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raighilts/Library/CloudStorage/Dropbox/FBC/FBC Data &amp; Apps/"/>
    </mc:Choice>
  </mc:AlternateContent>
  <xr:revisionPtr revIDLastSave="0" documentId="13_ncr:1_{12B91CF2-3D53-0D48-964D-5C05BB048B66}" xr6:coauthVersionLast="47" xr6:coauthVersionMax="47" xr10:uidLastSave="{00000000-0000-0000-0000-000000000000}"/>
  <bookViews>
    <workbookView xWindow="8200" yWindow="600" windowWidth="33040" windowHeight="22600" tabRatio="500" activeTab="2" xr2:uid="{00000000-000D-0000-FFFF-FFFF00000000}"/>
  </bookViews>
  <sheets>
    <sheet name="Handicaps" sheetId="1" r:id="rId1"/>
    <sheet name="Points" sheetId="2" r:id="rId2"/>
    <sheet name="Cups" sheetId="3" r:id="rId3"/>
  </sheets>
  <definedNames>
    <definedName name="_xlnm._FilterDatabase" localSheetId="2" hidden="1">Cups!$B$3:$S$31</definedName>
  </definedNames>
  <calcPr fullCalcOnLoad="1"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<sst xmlns="http://schemas.openxmlformats.org/spreadsheetml/2006/main" count="440" uniqueCount="74">
  <si>
    <t>Player</t>
  </si>
  <si>
    <t>FBC 2</t>
  </si>
  <si>
    <t>FBC 3</t>
  </si>
  <si>
    <t>FBC 4</t>
  </si>
  <si>
    <t>FBC 5</t>
  </si>
  <si>
    <t>FBC 6</t>
  </si>
  <si>
    <t>FBC 7</t>
  </si>
  <si>
    <t>FBC 8</t>
  </si>
  <si>
    <t>FBC 9</t>
  </si>
  <si>
    <t>FBC 10</t>
  </si>
  <si>
    <t>FBC 11</t>
  </si>
  <si>
    <t>FBC 12</t>
  </si>
  <si>
    <t>Average</t>
  </si>
  <si>
    <t>SD</t>
  </si>
  <si>
    <t>High</t>
  </si>
  <si>
    <t>Low</t>
  </si>
  <si>
    <t>Delta</t>
  </si>
  <si>
    <t>Cole</t>
  </si>
  <si>
    <t>X</t>
  </si>
  <si>
    <t>Connolly, B</t>
  </si>
  <si>
    <t>Connolly, R</t>
  </si>
  <si>
    <t>Connors</t>
  </si>
  <si>
    <t>Delaney</t>
  </si>
  <si>
    <t>Delneky</t>
  </si>
  <si>
    <t>Ferrin</t>
  </si>
  <si>
    <t>Flanders</t>
  </si>
  <si>
    <t>Fogan</t>
  </si>
  <si>
    <t>Forster</t>
  </si>
  <si>
    <t>Gray</t>
  </si>
  <si>
    <t>Grise</t>
  </si>
  <si>
    <t>Hilts</t>
  </si>
  <si>
    <t>Jackson</t>
  </si>
  <si>
    <t>Lynch</t>
  </si>
  <si>
    <t>Mangold</t>
  </si>
  <si>
    <t>McInerney</t>
  </si>
  <si>
    <t>Norat</t>
  </si>
  <si>
    <t>Perkins</t>
  </si>
  <si>
    <t>Piegari</t>
  </si>
  <si>
    <t>Poirier</t>
  </si>
  <si>
    <t>Shively</t>
  </si>
  <si>
    <t>Welker</t>
  </si>
  <si>
    <t>Zimmer</t>
  </si>
  <si>
    <t>Median</t>
  </si>
  <si>
    <t>Points</t>
  </si>
  <si>
    <t>Aggregate</t>
  </si>
  <si>
    <t>Played</t>
  </si>
  <si>
    <t>FBC 1</t>
  </si>
  <si>
    <t>Per Cup</t>
  </si>
  <si>
    <t>Total</t>
  </si>
  <si>
    <t>Best Cup</t>
  </si>
  <si>
    <t>Worst Cup</t>
  </si>
  <si>
    <t>Saratoga</t>
  </si>
  <si>
    <t>Turning Stone</t>
  </si>
  <si>
    <t>Sea Island I</t>
  </si>
  <si>
    <t>French Lick</t>
  </si>
  <si>
    <t>Hilton Head</t>
  </si>
  <si>
    <t>Arcadia Blufs</t>
  </si>
  <si>
    <t>Pebble Beach</t>
  </si>
  <si>
    <t>Sand Valley</t>
  </si>
  <si>
    <t>Sea Island II</t>
  </si>
  <si>
    <t>Dublin</t>
  </si>
  <si>
    <t>Pinehurst</t>
  </si>
  <si>
    <t>Killarney</t>
  </si>
  <si>
    <t>DeOteris</t>
  </si>
  <si>
    <t>%</t>
  </si>
  <si>
    <t>Lost</t>
  </si>
  <si>
    <t>Bussiculo</t>
  </si>
  <si>
    <t>Hickerson</t>
  </si>
  <si>
    <t>Macklin</t>
  </si>
  <si>
    <t>Weisberger</t>
  </si>
  <si>
    <t>Snyder</t>
  </si>
  <si>
    <t>Connolly, B</t>
  </si>
  <si>
    <t>Ramsay</t>
  </si>
  <si>
    <t>FBC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</si>
</sst>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0.0"/>
    <numFmt numFmtId="166" formatCode="0.0%"/>
    <numFmt numFmtId="167" formatCode="_(* #,##0_);_(* \(#,##0\);_(* \-??_);_(@_)"/>
  </numFmts>
  <fonts count="8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u/>
      <sz val="10"/>
      <color theme="1"/>
      <name val="Calibri"/>
      <family val="2"/>
      <charset val="1"/>
    </font>
    <font>
      <b/>
      <u/>
      <sz val="11"/>
      <color theme="1"/>
      <name val="Calibri"/>
      <family val="2"/>
      <charset val="1"/>
    </font>
    <font>
      <u/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1" fillId="0" borderId="0" xfId="0" applyNumberFormat="1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0" fontId="6" fillId="0" borderId="0" xfId="0" applyFont="1"/>
    <xf numFmtId="167" fontId="5" fillId="0" borderId="0" xfId="0" applyNumberFormat="1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7" fillId="0" borderId="0" xfId="0" applyFont="1"/>
    <xf numFmtId="165" fontId="5" fillId="0" borderId="0" xfId="0" applyNumberFormat="1" applyFont="1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zoomScaleNormal="100" workbookViewId="0">
      <selection activeCell="B9" sqref="B9"/>
    </sheetView>
  </sheetViews>
  <sheetFormatPr baseColWidth="10" defaultColWidth="11" defaultRowHeight="16" x14ac:dyDescent="0.2"/>
  <cols>
    <col min="1" max="1" width="5" customWidth="1"/>
    <col min="3" max="5" width="9.6640625" customWidth="1"/>
    <col min="6" max="6" width="8.6640625" customWidth="1"/>
    <col min="7" max="7" width="8.5" customWidth="1"/>
    <col min="8" max="14" width="9.5" customWidth="1"/>
    <col min="15" max="15" width="4.1640625" customWidth="1"/>
    <col min="18" max="18" width="11.1640625" customWidth="1"/>
    <col min="20" max="20" width="8.6640625" customWidth="1"/>
  </cols>
  <sheetData>
    <row r="1" spans="1:21" ht="15.75" customHeight="1" x14ac:dyDescent="0.2">
      <c r="B1" s="1"/>
      <c r="C1" s="1"/>
      <c r="D1" s="1"/>
      <c r="E1" s="1"/>
      <c r="F1" s="1"/>
      <c r="G1" s="27"/>
      <c r="H1" s="27"/>
      <c r="I1" s="27"/>
      <c r="J1" s="27"/>
      <c r="K1" s="27"/>
      <c r="L1" s="27"/>
      <c r="M1" s="27"/>
      <c r="O1" s="27"/>
      <c r="P1" s="2"/>
      <c r="Q1" s="2"/>
      <c r="R1" s="2"/>
      <c r="S1" s="2"/>
      <c r="T1" s="2"/>
    </row>
    <row r="2" spans="1:21" ht="15.75" customHeight="1" x14ac:dyDescent="0.2">
      <c r="A2" s="3"/>
      <c r="B2" s="4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73</v>
      </c>
      <c r="O2" s="7"/>
      <c r="P2" s="5" t="s">
        <v>12</v>
      </c>
      <c r="Q2" s="5" t="s">
        <v>13</v>
      </c>
      <c r="R2" s="5" t="s">
        <v>14</v>
      </c>
      <c r="S2" s="5" t="s">
        <v>15</v>
      </c>
      <c r="T2" s="5" t="s">
        <v>16</v>
      </c>
      <c r="U2" s="8"/>
    </row>
    <row r="3" spans="1:21" ht="15.75" customHeight="1" x14ac:dyDescent="0.2">
      <c r="A3" s="9"/>
      <c r="B3" s="2" t="s">
        <v>17</v>
      </c>
      <c r="C3" s="10">
        <v>32.4</v>
      </c>
      <c r="D3" s="10">
        <v>24.8</v>
      </c>
      <c r="E3" s="10">
        <v>22</v>
      </c>
      <c r="F3" s="10">
        <v>18.899999999999999</v>
      </c>
      <c r="G3" s="10">
        <v>20.2</v>
      </c>
      <c r="H3" s="10">
        <v>17.8</v>
      </c>
      <c r="I3" s="10">
        <v>15.5</v>
      </c>
      <c r="J3" s="10">
        <v>15.2</v>
      </c>
      <c r="K3" s="10">
        <v>16</v>
      </c>
      <c r="L3" s="10">
        <v>16.5</v>
      </c>
      <c r="M3" s="10" t="s">
        <v>18</v>
      </c>
      <c r="N3" s="10">
        <v>16.3</v>
      </c>
      <c r="O3" s="11"/>
      <c r="P3" s="10">
        <f>AVERAGE(C3:N3)</f>
        <v>19.6</v>
      </c>
      <c r="Q3" s="10">
        <f>STDEV(C3:N3)</f>
        <v>5.19961537039039</v>
      </c>
      <c r="R3" s="10">
        <f>MAX(C3:N3)</f>
        <v>32.4</v>
      </c>
      <c r="S3" s="10">
        <f>MIN(C3:N3)</f>
        <v>15.2</v>
      </c>
      <c r="T3" s="10">
        <f>R3-S3</f>
        <v>17.2</v>
      </c>
      <c r="U3" s="8"/>
    </row>
    <row r="4" spans="1:21" ht="15.75" customHeight="1" x14ac:dyDescent="0.2">
      <c r="A4" s="9"/>
      <c r="B4" s="2" t="s">
        <v>19</v>
      </c>
      <c r="C4" s="10">
        <v>12.4</v>
      </c>
      <c r="D4" s="10">
        <v>9.1</v>
      </c>
      <c r="E4" s="10">
        <v>10.1</v>
      </c>
      <c r="F4" s="10">
        <v>11.1</v>
      </c>
      <c r="G4" s="10">
        <v>10.5</v>
      </c>
      <c r="H4" s="10">
        <v>10.5</v>
      </c>
      <c r="I4" s="10">
        <v>10.8</v>
      </c>
      <c r="J4" s="10">
        <v>8.3000000000000007</v>
      </c>
      <c r="K4" s="10">
        <v>10.1</v>
      </c>
      <c r="L4" s="10">
        <v>9.5</v>
      </c>
      <c r="M4" s="10">
        <v>9.4</v>
      </c>
      <c r="N4" s="10">
        <v>9.3</v>
      </c>
      <c r="O4" s="11"/>
      <c r="P4" s="10">
        <f>AVERAGE(C4:N4)</f>
        <v>10.091666666666667</v>
      </c>
      <c r="Q4" s="10">
        <f>STDEV(C4:N4)</f>
        <v>1.0799480907839407</v>
      </c>
      <c r="R4" s="10">
        <f>MAX(C4:N4)</f>
        <v>12.4</v>
      </c>
      <c r="S4" s="10">
        <f>MIN(C4:N4)</f>
        <v>8.3</v>
      </c>
      <c r="T4" s="10">
        <f>R4-S4</f>
        <v>4.1</v>
      </c>
      <c r="U4" s="8"/>
    </row>
    <row r="5" spans="1:21" ht="15.75" customHeight="1" x14ac:dyDescent="0.2">
      <c r="A5" s="9"/>
      <c r="B5" s="2" t="s">
        <v>20</v>
      </c>
      <c r="C5" s="10" t="s">
        <v>18</v>
      </c>
      <c r="D5" s="10" t="s">
        <v>18</v>
      </c>
      <c r="E5" s="10" t="s">
        <v>18</v>
      </c>
      <c r="F5" s="10" t="s">
        <v>18</v>
      </c>
      <c r="G5" s="10" t="s">
        <v>18</v>
      </c>
      <c r="H5" s="10" t="s">
        <v>18</v>
      </c>
      <c r="I5" s="10" t="s">
        <v>18</v>
      </c>
      <c r="J5" s="10" t="s">
        <v>18</v>
      </c>
      <c r="K5" s="10">
        <v>14.6</v>
      </c>
      <c r="L5" s="10" t="s">
        <v>18</v>
      </c>
      <c r="M5" s="10">
        <v>12.1</v>
      </c>
      <c r="N5" s="10">
        <v>10.8</v>
      </c>
      <c r="O5" s="11"/>
      <c r="P5" s="10">
        <f>AVERAGE(C5:N5)</f>
        <v>12.5</v>
      </c>
      <c r="Q5" s="10">
        <f>STDEV(C5:N5)</f>
        <v>1.931320791582796</v>
      </c>
      <c r="R5" s="10">
        <f>MAX(C5:N5)</f>
        <v>14.6</v>
      </c>
      <c r="S5" s="10">
        <f>MIN(C5:N5)</f>
        <v>10.8</v>
      </c>
      <c r="T5" s="10">
        <f>R5-S5</f>
        <v>3.799999999999999</v>
      </c>
      <c r="U5" s="8"/>
    </row>
    <row r="6" spans="1:21" ht="15.75" customHeight="1" x14ac:dyDescent="0.2">
      <c r="A6" s="9"/>
      <c r="B6" s="2" t="s">
        <v>21</v>
      </c>
      <c r="C6" s="10">
        <v>18.8</v>
      </c>
      <c r="D6" s="10">
        <v>16.7</v>
      </c>
      <c r="E6" s="10">
        <v>16.2</v>
      </c>
      <c r="F6" s="10">
        <v>15.5</v>
      </c>
      <c r="G6" s="10">
        <v>15.4</v>
      </c>
      <c r="H6" s="10">
        <v>16.399999999999999</v>
      </c>
      <c r="I6" s="10">
        <v>17.100000000000001</v>
      </c>
      <c r="J6" s="10">
        <v>18.3</v>
      </c>
      <c r="K6" s="10">
        <v>17.600000000000001</v>
      </c>
      <c r="L6" s="10">
        <v>17.600000000000001</v>
      </c>
      <c r="M6" s="10" t="s">
        <v>18</v>
      </c>
      <c r="N6" s="10" t="s">
        <v>18</v>
      </c>
      <c r="O6" s="11"/>
      <c r="P6" s="10">
        <f>AVERAGE(C6:N6)</f>
        <v>16.96</v>
      </c>
      <c r="Q6" s="10">
        <f>STDEV(C6:N6)</f>
        <v>1.1325487480310363</v>
      </c>
      <c r="R6" s="10">
        <f>MAX(C6:N6)</f>
        <v>18.8</v>
      </c>
      <c r="S6" s="10">
        <f>MIN(C6:N6)</f>
        <v>15.4</v>
      </c>
      <c r="T6" s="10">
        <f>R6-S6</f>
        <v>3.4000000000000004</v>
      </c>
      <c r="U6" s="8"/>
    </row>
    <row r="7" spans="1:21" ht="15.75" customHeight="1" x14ac:dyDescent="0.2">
      <c r="A7" s="9"/>
      <c r="B7" s="2" t="s">
        <v>22</v>
      </c>
      <c r="C7" s="10" t="s">
        <v>18</v>
      </c>
      <c r="D7" s="10" t="s">
        <v>18</v>
      </c>
      <c r="E7" s="10" t="s">
        <v>18</v>
      </c>
      <c r="F7" s="10">
        <v>14.2</v>
      </c>
      <c r="G7" s="10" t="s">
        <v>18</v>
      </c>
      <c r="H7" s="10" t="s">
        <v>18</v>
      </c>
      <c r="I7" s="10">
        <v>11.7</v>
      </c>
      <c r="J7" s="10">
        <v>10.7</v>
      </c>
      <c r="K7" s="10">
        <v>11.7</v>
      </c>
      <c r="L7" s="10">
        <v>9.5</v>
      </c>
      <c r="M7" s="10">
        <v>11.8</v>
      </c>
      <c r="N7" s="10">
        <v>14</v>
      </c>
      <c r="O7" s="11"/>
      <c r="P7" s="10">
        <f>AVERAGE(C7:N7)</f>
        <v>11.942857142857141</v>
      </c>
      <c r="Q7" s="10">
        <f>STDEV(C7:N7)</f>
        <v>1.6821188452436437</v>
      </c>
      <c r="R7" s="10">
        <f>MAX(C7:N7)</f>
        <v>14.2</v>
      </c>
      <c r="S7" s="10">
        <f>MIN(C7:N7)</f>
        <v>9.5</v>
      </c>
      <c r="T7" s="10">
        <f>R7-S7</f>
        <v>4.699999999999999</v>
      </c>
      <c r="U7" s="8"/>
    </row>
    <row r="8" spans="1:21" ht="15.75" customHeight="1" x14ac:dyDescent="0.2">
      <c r="A8" s="9"/>
      <c r="B8" s="2" t="s">
        <v>23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18</v>
      </c>
      <c r="I8" s="10">
        <v>17.2</v>
      </c>
      <c r="J8" s="10">
        <v>18.5</v>
      </c>
      <c r="K8" s="10">
        <v>18.399999999999999</v>
      </c>
      <c r="L8" s="10">
        <v>17.2</v>
      </c>
      <c r="M8" s="10">
        <v>17.8</v>
      </c>
      <c r="N8" s="10">
        <v>17.1</v>
      </c>
      <c r="O8" s="11"/>
      <c r="P8" s="10">
        <f>AVERAGE(C8:N8)</f>
        <v>17.7</v>
      </c>
      <c r="Q8" s="10">
        <f>STDEV(C8:N8)</f>
        <v>0.6324555320336755</v>
      </c>
      <c r="R8" s="10">
        <f>MAX(C8:N8)</f>
        <v>18.5</v>
      </c>
      <c r="S8" s="10">
        <f>MIN(C8:N8)</f>
        <v>17.1</v>
      </c>
      <c r="T8" s="10">
        <f>R8-S8</f>
        <v>1.3999999999999986</v>
      </c>
      <c r="U8" s="8"/>
    </row>
    <row r="9" spans="1:21" ht="15.75" customHeight="1" x14ac:dyDescent="0.2">
      <c r="A9" s="9"/>
      <c r="B9" s="2" t="s">
        <v>63</v>
      </c>
      <c r="C9" s="10" t="s">
        <v>18</v>
      </c>
      <c r="D9" s="10" t="s">
        <v>18</v>
      </c>
      <c r="E9" s="10" t="s">
        <v>18</v>
      </c>
      <c r="F9" s="10" t="s">
        <v>18</v>
      </c>
      <c r="G9" s="10" t="s">
        <v>18</v>
      </c>
      <c r="H9" s="10" t="s">
        <v>18</v>
      </c>
      <c r="I9" s="10">
        <v>12.8</v>
      </c>
      <c r="J9" s="10">
        <v>12.5</v>
      </c>
      <c r="K9" s="10" t="s">
        <v>18</v>
      </c>
      <c r="L9" s="10" t="s">
        <v>18</v>
      </c>
      <c r="M9" s="10">
        <v>12.4</v>
      </c>
      <c r="N9" s="10">
        <v>11.3</v>
      </c>
      <c r="O9" s="11"/>
      <c r="P9" s="10">
        <f>AVERAGE(C9:N9)</f>
      </c>
      <c r="Q9" s="10">
        <f>STDEV(C9:N9)</f>
      </c>
      <c r="R9" s="10">
        <f>MAX(C9:N9)</f>
      </c>
      <c r="S9" s="10">
        <f>MIN(C9:N9)</f>
      </c>
      <c r="T9" s="10">
        <f>R9-S9</f>
      </c>
      <c r="U9" s="8"/>
    </row>
    <row r="10" spans="1:21" ht="15.75" customHeight="1" x14ac:dyDescent="0.2">
      <c r="A10" s="9"/>
      <c r="B10" s="2" t="s">
        <v>24</v>
      </c>
      <c r="C10" s="10">
        <v>22.3</v>
      </c>
      <c r="D10" s="10">
        <v>19.899999999999999</v>
      </c>
      <c r="E10" s="10">
        <v>17.3</v>
      </c>
      <c r="F10" s="10">
        <v>15.2</v>
      </c>
      <c r="G10" s="10">
        <v>14.6</v>
      </c>
      <c r="H10" s="10">
        <v>14.8</v>
      </c>
      <c r="I10" s="10">
        <v>12.4</v>
      </c>
      <c r="J10" s="10">
        <v>13.5</v>
      </c>
      <c r="K10" s="10">
        <v>12.7</v>
      </c>
      <c r="L10" s="10">
        <v>10</v>
      </c>
      <c r="M10" s="10">
        <v>10.1</v>
      </c>
      <c r="N10" s="10">
        <v>9.8</v>
      </c>
      <c r="O10" s="11"/>
      <c r="P10" s="10">
        <f>AVERAGE(C10:N10)</f>
        <v>14.383333333333333</v>
      </c>
      <c r="Q10" s="10">
        <f>STDEV(C10:N10)</f>
        <v>3.915199596289808</v>
      </c>
      <c r="R10" s="10">
        <f>MAX(C10:N10)</f>
        <v>22.3</v>
      </c>
      <c r="S10" s="10">
        <f>MIN(C10:N10)</f>
        <v>9.8</v>
      </c>
      <c r="T10" s="10">
        <f>R10-S10</f>
        <v>12.5</v>
      </c>
      <c r="U10" s="8"/>
    </row>
    <row r="11" spans="1:21" ht="15.75" customHeight="1" x14ac:dyDescent="0.2">
      <c r="A11" s="9"/>
      <c r="B11" s="2" t="s">
        <v>25</v>
      </c>
      <c r="C11" s="10">
        <v>16.8</v>
      </c>
      <c r="D11" s="10">
        <v>13.4</v>
      </c>
      <c r="E11" s="10">
        <v>7.8</v>
      </c>
      <c r="F11" s="10">
        <v>4.5999999999999996</v>
      </c>
      <c r="G11" s="10">
        <v>3.9</v>
      </c>
      <c r="H11" s="10">
        <v>4</v>
      </c>
      <c r="I11" s="10">
        <v>3.3</v>
      </c>
      <c r="J11" s="10">
        <v>6.3</v>
      </c>
      <c r="K11" s="10">
        <v>6.7</v>
      </c>
      <c r="L11" s="10">
        <v>6.8</v>
      </c>
      <c r="M11" s="10">
        <v>6.7</v>
      </c>
      <c r="N11" s="10">
        <v>10.7</v>
      </c>
      <c r="O11" s="11"/>
      <c r="P11" s="10">
        <f>AVERAGE(C11:N11)</f>
        <v>7.583333333333333</v>
      </c>
      <c r="Q11" s="10">
        <f>STDEV(C11:N11)</f>
        <v>4.112250729297286</v>
      </c>
      <c r="R11" s="10">
        <f>MAX(C11:N11)</f>
        <v>16.8</v>
      </c>
      <c r="S11" s="10">
        <f>MIN(C11:N11)</f>
        <v>3.3</v>
      </c>
      <c r="T11" s="10">
        <f>R11-S11</f>
        <v>13.5</v>
      </c>
      <c r="U11" s="8"/>
    </row>
    <row r="12" spans="1:21" ht="15.75" customHeight="1" x14ac:dyDescent="0.2">
      <c r="A12" s="9"/>
      <c r="B12" s="2" t="s">
        <v>26</v>
      </c>
      <c r="C12" s="10">
        <v>31.4</v>
      </c>
      <c r="D12" s="10">
        <v>25</v>
      </c>
      <c r="E12" s="10">
        <v>27.2</v>
      </c>
      <c r="F12" s="10">
        <v>26.2</v>
      </c>
      <c r="G12" s="10">
        <v>25.2</v>
      </c>
      <c r="H12" s="10">
        <v>23.5</v>
      </c>
      <c r="I12" s="10">
        <v>18.899999999999999</v>
      </c>
      <c r="J12" s="10">
        <v>19.2</v>
      </c>
      <c r="K12" s="10">
        <v>19.899999999999999</v>
      </c>
      <c r="L12" s="10">
        <v>18</v>
      </c>
      <c r="M12" s="10">
        <v>17.399999999999999</v>
      </c>
      <c r="N12" s="10">
        <v>16.6</v>
      </c>
      <c r="O12" s="11"/>
      <c r="P12" s="10">
        <f>AVERAGE(C12:N12)</f>
        <v>22.375</v>
      </c>
      <c r="Q12" s="10">
        <f>STDEV(C12:N12)</f>
        <v>4.680933279126756</v>
      </c>
      <c r="R12" s="10">
        <f>MAX(C12:N12)</f>
        <v>31.4</v>
      </c>
      <c r="S12" s="10">
        <f>MIN(C12:N12)</f>
        <v>16.6</v>
      </c>
      <c r="T12" s="10">
        <f>R12-S12</f>
        <v>14.799999999999997</v>
      </c>
      <c r="U12" s="8"/>
    </row>
    <row r="13" spans="1:21" ht="15.75" customHeight="1" x14ac:dyDescent="0.2">
      <c r="A13" s="9"/>
      <c r="B13" s="2" t="s">
        <v>27</v>
      </c>
      <c r="C13" s="10">
        <v>30</v>
      </c>
      <c r="D13" s="10">
        <v>25</v>
      </c>
      <c r="E13" s="10">
        <v>22.4</v>
      </c>
      <c r="F13" s="10">
        <v>19.2</v>
      </c>
      <c r="G13" s="10">
        <v>15.8</v>
      </c>
      <c r="H13" s="10">
        <v>16.899999999999999</v>
      </c>
      <c r="I13" s="10">
        <v>15.1</v>
      </c>
      <c r="J13" s="10">
        <v>12</v>
      </c>
      <c r="K13" s="10">
        <v>12.7</v>
      </c>
      <c r="L13" s="10">
        <v>13.1</v>
      </c>
      <c r="M13" s="10">
        <v>10.9</v>
      </c>
      <c r="N13" s="10">
        <v>12.1</v>
      </c>
      <c r="O13" s="11"/>
      <c r="P13" s="10">
        <f>AVERAGE(C13:N13)</f>
        <v>17.099999999999998</v>
      </c>
      <c r="Q13" s="10">
        <f>STDEV(C13:N13)</f>
        <v>5.968553959179423</v>
      </c>
      <c r="R13" s="10">
        <f>MAX(C13:N13)</f>
        <v>30</v>
      </c>
      <c r="S13" s="10">
        <f>MIN(C13:N13)</f>
        <v>10.9</v>
      </c>
      <c r="T13" s="10">
        <f>R13-S13</f>
        <v>19.1</v>
      </c>
      <c r="U13" s="8"/>
    </row>
    <row r="14" spans="1:21" ht="15.75" customHeight="1" x14ac:dyDescent="0.2">
      <c r="A14" s="9"/>
      <c r="B14" s="2" t="s">
        <v>28</v>
      </c>
      <c r="C14" s="10" t="s">
        <v>18</v>
      </c>
      <c r="D14" s="10">
        <v>11</v>
      </c>
      <c r="E14" s="10">
        <v>9.4</v>
      </c>
      <c r="F14" s="10">
        <v>6.8</v>
      </c>
      <c r="G14" s="10">
        <v>7.5</v>
      </c>
      <c r="H14" s="10">
        <v>7.3</v>
      </c>
      <c r="I14" s="10" t="s">
        <v>18</v>
      </c>
      <c r="J14" s="10" t="s">
        <v>18</v>
      </c>
      <c r="K14" s="10">
        <v>9</v>
      </c>
      <c r="L14" s="10">
        <v>8</v>
      </c>
      <c r="M14" s="10" t="s">
        <v>18</v>
      </c>
      <c r="N14" s="10">
        <v>8.8</v>
      </c>
      <c r="O14" s="11"/>
      <c r="P14" s="10">
        <f>AVERAGE(C14:N14)</f>
        <v>8.475000000000001</v>
      </c>
      <c r="Q14" s="10">
        <f>STDEV(C14:N14)</f>
        <v>1.3614593011072453</v>
      </c>
      <c r="R14" s="10">
        <f>MAX(C14:N14)</f>
        <v>11</v>
      </c>
      <c r="S14" s="10">
        <f>MIN(C14:N14)</f>
        <v>6.8</v>
      </c>
      <c r="T14" s="10">
        <f>R14-S14</f>
        <v>4.2</v>
      </c>
      <c r="U14" s="8"/>
    </row>
    <row r="15" spans="1:21" ht="15.75" customHeight="1" x14ac:dyDescent="0.2">
      <c r="A15" s="9"/>
      <c r="B15" s="2" t="s">
        <v>29</v>
      </c>
      <c r="C15" s="10">
        <v>14.1</v>
      </c>
      <c r="D15" s="10">
        <v>14.7</v>
      </c>
      <c r="E15" s="10">
        <v>13.1</v>
      </c>
      <c r="F15" s="10">
        <v>11.8</v>
      </c>
      <c r="G15" s="10">
        <v>12.5</v>
      </c>
      <c r="H15" s="10">
        <v>11.9</v>
      </c>
      <c r="I15" s="10">
        <v>12</v>
      </c>
      <c r="J15" s="10">
        <v>11.7</v>
      </c>
      <c r="K15" s="10">
        <v>11.7</v>
      </c>
      <c r="L15" s="10">
        <v>10.9</v>
      </c>
      <c r="M15" s="10">
        <v>11.6</v>
      </c>
      <c r="N15" s="10">
        <v>10.4</v>
      </c>
      <c r="O15" s="11"/>
      <c r="P15" s="10">
        <f>AVERAGE(C15:N15)</f>
        <v>12.200000000000001</v>
      </c>
      <c r="Q15" s="10">
        <f>STDEV(C15:N15)</f>
        <v>1.2372991113344785</v>
      </c>
      <c r="R15" s="10">
        <f>MAX(C15:N15)</f>
        <v>14.7</v>
      </c>
      <c r="S15" s="10">
        <f>MIN(C15:N15)</f>
        <v>10.4</v>
      </c>
      <c r="T15" s="10">
        <f>R15-S15</f>
        <v>4.299999999999999</v>
      </c>
      <c r="U15" s="8"/>
    </row>
    <row r="16" spans="1:21" ht="15.75" customHeight="1" x14ac:dyDescent="0.2">
      <c r="A16" s="9"/>
      <c r="B16" s="2" t="s">
        <v>30</v>
      </c>
      <c r="C16" s="10">
        <v>18.399999999999999</v>
      </c>
      <c r="D16" s="10">
        <v>17.899999999999999</v>
      </c>
      <c r="E16" s="10" t="s">
        <v>18</v>
      </c>
      <c r="F16" s="10">
        <v>18.5</v>
      </c>
      <c r="G16" s="10">
        <v>18.399999999999999</v>
      </c>
      <c r="H16" s="10">
        <v>19.600000000000001</v>
      </c>
      <c r="I16" s="10">
        <v>19.600000000000001</v>
      </c>
      <c r="J16" s="10">
        <v>19.100000000000001</v>
      </c>
      <c r="K16" s="10">
        <v>17.100000000000001</v>
      </c>
      <c r="L16" s="10">
        <v>16.399999999999999</v>
      </c>
      <c r="M16" s="10">
        <v>16</v>
      </c>
      <c r="N16" s="10">
        <v>16.5</v>
      </c>
      <c r="O16" s="11"/>
      <c r="P16" s="10">
        <f>AVERAGE(C16:N16)</f>
        <v>17.954545454545453</v>
      </c>
      <c r="Q16" s="10">
        <f>STDEV(C16:N16)</f>
        <v>1.2848063172039876</v>
      </c>
      <c r="R16" s="10">
        <f>MAX(C16:N16)</f>
        <v>19.6</v>
      </c>
      <c r="S16" s="10">
        <f>MIN(C16:N16)</f>
        <v>16</v>
      </c>
      <c r="T16" s="10">
        <f>R16-S16</f>
        <v>3.6000000000000014</v>
      </c>
      <c r="U16" s="8"/>
    </row>
    <row r="17" spans="1:21" ht="15.75" customHeight="1" x14ac:dyDescent="0.2">
      <c r="A17" s="9"/>
      <c r="B17" s="2" t="s">
        <v>31</v>
      </c>
      <c r="C17" s="10">
        <v>12.8</v>
      </c>
      <c r="D17" s="10">
        <v>12.3</v>
      </c>
      <c r="E17" s="10">
        <v>12.5</v>
      </c>
      <c r="F17" s="10">
        <v>12.7</v>
      </c>
      <c r="G17" s="10">
        <v>12.5</v>
      </c>
      <c r="H17" s="10">
        <v>11.3</v>
      </c>
      <c r="I17" s="10">
        <v>9.1</v>
      </c>
      <c r="J17" s="10">
        <v>8.8000000000000007</v>
      </c>
      <c r="K17" s="10">
        <v>8.6999999999999993</v>
      </c>
      <c r="L17" s="10">
        <v>9.4</v>
      </c>
      <c r="M17" s="10">
        <v>7.4</v>
      </c>
      <c r="N17" s="10">
        <v>8.4</v>
      </c>
      <c r="O17" s="11"/>
      <c r="P17" s="10">
        <f>AVERAGE(C17:N17)</f>
        <v>10.491666666666669</v>
      </c>
      <c r="Q17" s="10">
        <f>STDEV(C17:N17)</f>
        <v>2.029983579572341</v>
      </c>
      <c r="R17" s="10">
        <f>MAX(C17:N17)</f>
        <v>12.8</v>
      </c>
      <c r="S17" s="10">
        <f>MIN(C17:N17)</f>
        <v>7.4</v>
      </c>
      <c r="T17" s="10">
        <f>R17-S17</f>
        <v>5.4</v>
      </c>
      <c r="U17" s="8"/>
    </row>
    <row r="18" spans="1:21" ht="15.75" customHeight="1" x14ac:dyDescent="0.2">
      <c r="A18" s="9"/>
      <c r="B18" s="2" t="s">
        <v>32</v>
      </c>
      <c r="C18" s="10">
        <v>18.8</v>
      </c>
      <c r="D18" s="10">
        <v>16</v>
      </c>
      <c r="E18" s="10">
        <v>13.9</v>
      </c>
      <c r="F18" s="10">
        <v>11.8</v>
      </c>
      <c r="G18" s="10">
        <v>14.4</v>
      </c>
      <c r="H18" s="10">
        <v>13.4</v>
      </c>
      <c r="I18" s="10">
        <v>8.9</v>
      </c>
      <c r="J18" s="10">
        <v>9.3000000000000007</v>
      </c>
      <c r="K18" s="10">
        <v>8.6999999999999993</v>
      </c>
      <c r="L18" s="10">
        <v>7.9</v>
      </c>
      <c r="M18" s="10">
        <v>8.9</v>
      </c>
      <c r="N18" s="10">
        <v>8.5</v>
      </c>
      <c r="O18" s="11"/>
      <c r="P18" s="10">
        <f>AVERAGE(C18:N18)</f>
        <v>11.708333333333334</v>
      </c>
      <c r="Q18" s="10">
        <f>STDEV(C18:N18)</f>
        <v>3.555394961651002</v>
      </c>
      <c r="R18" s="10">
        <f>MAX(C18:N18)</f>
        <v>18.8</v>
      </c>
      <c r="S18" s="10">
        <f>MIN(C18:N18)</f>
        <v>7.9</v>
      </c>
      <c r="T18" s="10">
        <f>R18-S18</f>
        <v>10.9</v>
      </c>
      <c r="U18" s="8"/>
    </row>
    <row r="19" spans="1:21" ht="15.75" customHeight="1" x14ac:dyDescent="0.2">
      <c r="A19" s="9"/>
      <c r="B19" s="2" t="s">
        <v>33</v>
      </c>
      <c r="C19" s="10">
        <v>15.7</v>
      </c>
      <c r="D19" s="10">
        <v>16.399999999999999</v>
      </c>
      <c r="E19" s="10">
        <v>15.9</v>
      </c>
      <c r="F19" s="10">
        <v>14.3</v>
      </c>
      <c r="G19" s="10">
        <v>14</v>
      </c>
      <c r="H19" s="10">
        <v>15.4</v>
      </c>
      <c r="I19" s="10">
        <v>14.5</v>
      </c>
      <c r="J19" s="10" t="s">
        <v>18</v>
      </c>
      <c r="K19" s="10">
        <v>15.9</v>
      </c>
      <c r="L19" s="10">
        <v>16.2</v>
      </c>
      <c r="M19" s="10">
        <v>14.7</v>
      </c>
      <c r="N19" s="10">
        <v>15.2</v>
      </c>
      <c r="O19" s="11"/>
      <c r="P19" s="10">
        <f>AVERAGE(C19:N19)</f>
        <v>15.290909090909087</v>
      </c>
      <c r="Q19" s="10">
        <f>STDEV(C19:N19)</f>
        <v>0.8129631547057287</v>
      </c>
      <c r="R19" s="10">
        <f>MAX(C19:N19)</f>
        <v>16.4</v>
      </c>
      <c r="S19" s="10">
        <f>MIN(C19:N19)</f>
        <v>14</v>
      </c>
      <c r="T19" s="10">
        <f>R19-S19</f>
        <v>2.3999999999999986</v>
      </c>
      <c r="U19" s="8"/>
    </row>
    <row r="20" spans="1:21" ht="15.75" customHeight="1" x14ac:dyDescent="0.2">
      <c r="A20" s="9"/>
      <c r="B20" s="2" t="s">
        <v>34</v>
      </c>
      <c r="C20" s="10" t="s">
        <v>18</v>
      </c>
      <c r="D20" s="10">
        <v>9.5</v>
      </c>
      <c r="E20" s="10">
        <v>8.6999999999999993</v>
      </c>
      <c r="F20" s="10">
        <v>7.5</v>
      </c>
      <c r="G20" s="10">
        <v>8.6</v>
      </c>
      <c r="H20" s="10">
        <v>8.3000000000000007</v>
      </c>
      <c r="I20" s="10">
        <v>4.2</v>
      </c>
      <c r="J20" s="10">
        <v>5.3</v>
      </c>
      <c r="K20" s="10">
        <v>5.7</v>
      </c>
      <c r="L20" s="10" t="s">
        <v>18</v>
      </c>
      <c r="M20" s="10" t="s">
        <v>18</v>
      </c>
      <c r="N20" s="10">
        <v>4.1</v>
      </c>
      <c r="O20" s="11"/>
      <c r="P20" s="10">
        <f>AVERAGE(C20:N20)</f>
        <v>6.877777777777777</v>
      </c>
      <c r="Q20" s="10">
        <f>STDEV(C20:N20)</f>
        <v>2.0717008578567624</v>
      </c>
      <c r="R20" s="10">
        <f>MAX(C20:N20)</f>
        <v>9.5</v>
      </c>
      <c r="S20" s="10">
        <f>MIN(C20:N20)</f>
        <v>4.1</v>
      </c>
      <c r="T20" s="10">
        <f>R20-S20</f>
        <v>5.4</v>
      </c>
      <c r="U20" s="8"/>
    </row>
    <row r="21" spans="1:21" ht="15.75" customHeight="1" x14ac:dyDescent="0.2">
      <c r="A21" s="9"/>
      <c r="B21" s="2" t="s">
        <v>35</v>
      </c>
      <c r="C21" s="10" t="s">
        <v>18</v>
      </c>
      <c r="D21" s="10">
        <v>18.7</v>
      </c>
      <c r="E21" s="10">
        <v>18.2</v>
      </c>
      <c r="F21" s="10">
        <v>18.600000000000001</v>
      </c>
      <c r="G21" s="10">
        <v>18.899999999999999</v>
      </c>
      <c r="H21" s="10">
        <v>15</v>
      </c>
      <c r="I21" s="10" t="s">
        <v>18</v>
      </c>
      <c r="J21" s="10" t="s">
        <v>18</v>
      </c>
      <c r="K21" s="10" t="s">
        <v>18</v>
      </c>
      <c r="L21" s="10">
        <v>18</v>
      </c>
      <c r="M21" s="10" t="s">
        <v>18</v>
      </c>
      <c r="N21" s="10">
        <v>16.85</v>
      </c>
      <c r="O21" s="11"/>
      <c r="P21" s="10">
        <f>AVERAGE(C21:N21)</f>
        <v>17.75</v>
      </c>
      <c r="Q21" s="10">
        <f>STDEV(C21:N21)</f>
        <v>1.3895442898063135</v>
      </c>
      <c r="R21" s="10">
        <f>MAX(C21:N21)</f>
        <v>18.9</v>
      </c>
      <c r="S21" s="10">
        <f>MIN(C21:N21)</f>
        <v>15</v>
      </c>
      <c r="T21" s="10">
        <f>R21-S21</f>
        <v>3.8999999999999986</v>
      </c>
      <c r="U21" s="8"/>
    </row>
    <row r="22" spans="1:21" ht="15.75" customHeight="1" x14ac:dyDescent="0.2">
      <c r="A22" s="9"/>
      <c r="B22" s="2" t="s">
        <v>36</v>
      </c>
      <c r="C22" s="10" t="s">
        <v>18</v>
      </c>
      <c r="D22" s="10" t="s">
        <v>18</v>
      </c>
      <c r="E22" s="10" t="s">
        <v>18</v>
      </c>
      <c r="F22" s="10" t="s">
        <v>18</v>
      </c>
      <c r="G22" s="10" t="s">
        <v>18</v>
      </c>
      <c r="H22" s="10" t="s">
        <v>18</v>
      </c>
      <c r="I22" s="10">
        <v>5.7</v>
      </c>
      <c r="J22" s="10">
        <v>8.8000000000000007</v>
      </c>
      <c r="K22" s="10">
        <v>6.8</v>
      </c>
      <c r="L22" s="10" t="s">
        <v>18</v>
      </c>
      <c r="M22" s="10">
        <v>10.5</v>
      </c>
      <c r="N22" s="10">
        <v>7.9</v>
      </c>
      <c r="O22" s="11"/>
      <c r="P22" s="10">
        <f>AVERAGE(C22:N22)</f>
        <v>7.94</v>
      </c>
      <c r="Q22" s="10">
        <f>STDEV(C22:N22)</f>
        <v>1.8447222013083704</v>
      </c>
      <c r="R22" s="10">
        <f>MAX(C22:N22)</f>
        <v>10.5</v>
      </c>
      <c r="S22" s="10">
        <f>MIN(C22:N22)</f>
        <v>5.7</v>
      </c>
      <c r="T22" s="10">
        <f>R22-S22</f>
        <v>4.8</v>
      </c>
      <c r="U22" s="8"/>
    </row>
    <row r="23" spans="1:21" ht="15.75" customHeight="1" x14ac:dyDescent="0.2">
      <c r="A23" s="9"/>
      <c r="B23" s="2" t="s">
        <v>37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  <c r="H23" s="10" t="s">
        <v>18</v>
      </c>
      <c r="I23" s="10">
        <v>10.1</v>
      </c>
      <c r="J23" s="10" t="s">
        <v>18</v>
      </c>
      <c r="K23" s="10" t="s">
        <v>18</v>
      </c>
      <c r="L23" s="10" t="s">
        <v>18</v>
      </c>
      <c r="M23" s="10">
        <v>9</v>
      </c>
      <c r="N23" s="10">
        <v>9.9</v>
      </c>
      <c r="O23" s="11"/>
      <c r="P23" s="10">
        <f>AVERAGE(C23:N23)</f>
        <v>9.666666666666666</v>
      </c>
      <c r="Q23" s="10">
        <f>STDEV(C23:N23)</f>
        <v>0.5859465277082314</v>
      </c>
      <c r="R23" s="10">
        <f>MAX(C23:N23)</f>
        <v>10.1</v>
      </c>
      <c r="S23" s="10">
        <f>MIN(C23:N23)</f>
        <v>9</v>
      </c>
      <c r="T23" s="10">
        <f>R23-S23</f>
        <v>1.0999999999999996</v>
      </c>
      <c r="U23" s="8"/>
    </row>
    <row r="24" spans="1:21" ht="15.75" customHeight="1" x14ac:dyDescent="0.2">
      <c r="A24" s="9"/>
      <c r="B24" s="2" t="s">
        <v>38</v>
      </c>
      <c r="C24" s="10" t="s">
        <v>18</v>
      </c>
      <c r="D24" s="10" t="s">
        <v>18</v>
      </c>
      <c r="E24" s="10" t="s">
        <v>18</v>
      </c>
      <c r="F24" s="10">
        <v>9.5</v>
      </c>
      <c r="G24" s="10">
        <v>7.5</v>
      </c>
      <c r="H24" s="10">
        <v>7.7</v>
      </c>
      <c r="I24" s="10" t="s">
        <v>18</v>
      </c>
      <c r="J24" s="10">
        <v>4.5</v>
      </c>
      <c r="K24" s="10" t="s">
        <v>18</v>
      </c>
      <c r="L24" s="10">
        <v>5.7</v>
      </c>
      <c r="M24" s="10">
        <v>4.3</v>
      </c>
      <c r="N24" s="10">
        <v>5.2</v>
      </c>
      <c r="O24" s="11"/>
      <c r="P24" s="10">
        <f>AVERAGE(C24:N24)</f>
        <v>6.3428571428571425</v>
      </c>
      <c r="Q24" s="10">
        <f>STDEV(C24:N24)</f>
        <v>1.933784840545558</v>
      </c>
      <c r="R24" s="10">
        <f>MAX(C24:N24)</f>
        <v>9.5</v>
      </c>
      <c r="S24" s="10">
        <f>MIN(C24:N24)</f>
        <v>4.3</v>
      </c>
      <c r="T24" s="10">
        <f>R24-S24</f>
        <v>5.2</v>
      </c>
      <c r="U24" s="8"/>
    </row>
    <row r="25" spans="1:21" ht="15.75" customHeight="1" x14ac:dyDescent="0.2">
      <c r="A25" s="9"/>
      <c r="B25" s="2" t="s">
        <v>39</v>
      </c>
      <c r="C25" s="10">
        <v>21.8</v>
      </c>
      <c r="D25" s="10">
        <v>17.7</v>
      </c>
      <c r="E25" s="10">
        <v>17.3</v>
      </c>
      <c r="F25" s="10">
        <v>16.5</v>
      </c>
      <c r="G25" s="10">
        <v>16.2</v>
      </c>
      <c r="H25" s="10">
        <v>14.6</v>
      </c>
      <c r="I25" s="10">
        <v>14.6</v>
      </c>
      <c r="J25" s="10">
        <v>14.4</v>
      </c>
      <c r="K25" s="10" t="s">
        <v>18</v>
      </c>
      <c r="L25" s="10">
        <v>12.9</v>
      </c>
      <c r="M25" s="10">
        <v>12.9</v>
      </c>
      <c r="N25" s="10">
        <v>13</v>
      </c>
      <c r="O25" s="11"/>
      <c r="P25" s="10">
        <f>AVERAGE(C25:N25)</f>
        <v>15.627272727272727</v>
      </c>
      <c r="Q25" s="10">
        <f>STDEV(C25:N25)</f>
        <v>2.6773460400519427</v>
      </c>
      <c r="R25" s="10">
        <f>MAX(C25:N25)</f>
        <v>21.8</v>
      </c>
      <c r="S25" s="10">
        <f>MIN(C25:N25)</f>
        <v>12.9</v>
      </c>
      <c r="T25" s="10">
        <f>R25-S25</f>
        <v>8.9</v>
      </c>
      <c r="U25" s="8"/>
    </row>
    <row r="26" spans="1:21" ht="15.75" customHeight="1" x14ac:dyDescent="0.2">
      <c r="A26" s="9"/>
      <c r="B26" s="2" t="s">
        <v>40</v>
      </c>
      <c r="C26" s="10" t="s">
        <v>18</v>
      </c>
      <c r="D26" s="10" t="s">
        <v>18</v>
      </c>
      <c r="E26" s="10">
        <v>12.7</v>
      </c>
      <c r="F26" s="10">
        <v>13.6</v>
      </c>
      <c r="G26" s="10">
        <v>15</v>
      </c>
      <c r="H26" s="10">
        <v>13.6</v>
      </c>
      <c r="I26" s="10">
        <v>9</v>
      </c>
      <c r="J26" s="10">
        <v>9.3000000000000007</v>
      </c>
      <c r="K26" s="10">
        <v>10</v>
      </c>
      <c r="L26" s="10">
        <v>9.5</v>
      </c>
      <c r="M26" s="10" t="s">
        <v>18</v>
      </c>
      <c r="N26" s="10">
        <v>13.5</v>
      </c>
      <c r="O26" s="11"/>
      <c r="P26" s="10">
        <f>AVERAGE(C26:N26)</f>
        <v>11.799999999999999</v>
      </c>
      <c r="Q26" s="10">
        <f>STDEV(C26:N26)</f>
        <v>2.3194827009486403</v>
      </c>
      <c r="R26" s="10">
        <f>MAX(C26:N26)</f>
        <v>15</v>
      </c>
      <c r="S26" s="10">
        <f>MIN(C26:N26)</f>
        <v>9</v>
      </c>
      <c r="T26" s="10">
        <f>R26-S26</f>
        <v>6</v>
      </c>
      <c r="U26" s="8"/>
    </row>
    <row r="27" spans="1:21" ht="15.75" customHeight="1" x14ac:dyDescent="0.2">
      <c r="A27" s="9"/>
      <c r="B27" s="2" t="s">
        <v>41</v>
      </c>
      <c r="C27" s="10" t="s">
        <v>18</v>
      </c>
      <c r="D27" s="10">
        <v>14.3</v>
      </c>
      <c r="E27" s="10">
        <v>13</v>
      </c>
      <c r="F27" s="10">
        <v>11.9</v>
      </c>
      <c r="G27" s="10">
        <v>11.1</v>
      </c>
      <c r="H27" s="10">
        <v>9.9</v>
      </c>
      <c r="I27" s="10">
        <v>10.199999999999999</v>
      </c>
      <c r="J27" s="10">
        <v>10.4</v>
      </c>
      <c r="K27" s="10">
        <v>8.9</v>
      </c>
      <c r="L27" s="10">
        <v>10.199999999999999</v>
      </c>
      <c r="M27" s="10">
        <v>8.6</v>
      </c>
      <c r="N27" s="10">
        <v>7.5</v>
      </c>
      <c r="O27" s="11"/>
      <c r="P27" s="10">
        <f>AVERAGE(C27:N27)</f>
        <v>10.545454545454545</v>
      </c>
      <c r="Q27" s="10">
        <f>STDEV(C27:N27)</f>
        <v>1.9674163953589676</v>
      </c>
      <c r="R27" s="10">
        <f>MAX(C27:N27)</f>
        <v>14.3</v>
      </c>
      <c r="S27" s="10">
        <f>MIN(C27:N27)</f>
        <v>7.5</v>
      </c>
      <c r="T27" s="10">
        <f>R27-S27</f>
        <v>6.800000000000001</v>
      </c>
      <c r="U27" s="8"/>
    </row>
    <row r="28" spans="1:21" ht="15.75" customHeight="1" x14ac:dyDescent="0.2">
      <c r="B28" s="2"/>
      <c r="C28" s="2"/>
      <c r="D28" s="2"/>
      <c r="E28" s="12"/>
      <c r="F28" s="13"/>
      <c r="G28" s="14"/>
      <c r="H28" s="14"/>
      <c r="I28" s="14"/>
      <c r="J28" s="14"/>
      <c r="K28" s="14"/>
      <c r="L28" s="14"/>
      <c r="M28" s="14"/>
      <c r="O28" s="2"/>
      <c r="P28" s="2"/>
      <c r="Q28" s="14"/>
      <c r="R28" s="2"/>
      <c r="S28" s="2"/>
      <c r="T28" s="2"/>
      <c r="U28" s="8"/>
    </row>
    <row r="29" spans="1:21" ht="15.75" customHeight="1" x14ac:dyDescent="0.2">
      <c r="B29" s="15" t="s">
        <v>12</v>
      </c>
      <c r="C29" s="10">
        <f t="shared" ref="C29:M29" si="3">AVERAGE(C3:C27)</f>
        <v>20.438461538461542</v>
      </c>
      <c r="D29" s="10">
        <f t="shared" si="3"/>
        <v>16.611764705882354</v>
      </c>
      <c r="E29" s="10">
        <f t="shared" si="3"/>
        <v>15.158823529411764</v>
      </c>
      <c r="F29" s="10">
        <f t="shared" si="3"/>
        <v>13.919999999999998</v>
      </c>
      <c r="G29" s="10">
        <f t="shared" si="3"/>
        <v>13.799999999999999</v>
      </c>
      <c r="H29" s="10">
        <f t="shared" si="3"/>
        <v>13.257894736842106</v>
      </c>
      <c r="I29" s="10">
        <f t="shared" si="3"/>
        <v>11.995</v>
      </c>
      <c r="J29" s="10">
        <f t="shared" si="3"/>
        <v>11.768421052631581</v>
      </c>
      <c r="K29" s="10">
        <f t="shared" si="3"/>
        <v>12.145</v>
      </c>
      <c r="L29" s="10">
        <f t="shared" si="3"/>
        <v>12.165</v>
      </c>
      <c r="M29" s="10">
        <f t="shared" si="3"/>
        <v>11.18421052631579</v>
      </c>
      <c r="N29" s="10">
        <f>AVERAGE(N3:N27)</f>
        <v>11.40625</v>
      </c>
      <c r="O29" s="2"/>
      <c r="P29" s="10">
        <f>AVERAGE(P3:P27)</f>
        <v>12.990266955266954</v>
      </c>
      <c r="Q29" s="10">
        <f>AVERAGE(Q3:Q27)</f>
        <v>2.247384507216941</v>
      </c>
      <c r="R29" s="10">
        <f>AVERAGE(R3:R27)</f>
        <v>17.067999999999998</v>
      </c>
      <c r="S29" s="10">
        <f>AVERAGE(S3:S27)</f>
        <v>10.328</v>
      </c>
      <c r="T29" s="10">
        <f>AVERAGE(T3:T27)</f>
        <v>6.74</v>
      </c>
    </row>
    <row r="30" spans="1:21" ht="15.75" customHeight="1" x14ac:dyDescent="0.2">
      <c r="B30" s="15" t="s">
        <v>42</v>
      </c>
      <c r="C30" s="10">
        <f t="shared" ref="C30:M30" si="4">MEDIAN(C3:C27)</f>
        <v>18.8</v>
      </c>
      <c r="D30" s="10">
        <f t="shared" si="4"/>
        <v>16.4</v>
      </c>
      <c r="E30" s="10">
        <f t="shared" si="4"/>
        <v>13.9</v>
      </c>
      <c r="F30" s="10">
        <f t="shared" si="4"/>
        <v>13.899999999999999</v>
      </c>
      <c r="G30" s="10">
        <f t="shared" si="4"/>
        <v>14.4</v>
      </c>
      <c r="H30" s="10">
        <f t="shared" si="4"/>
        <v>13.6</v>
      </c>
      <c r="I30" s="10">
        <f t="shared" si="4"/>
        <v>11.85</v>
      </c>
      <c r="J30" s="10">
        <f t="shared" si="4"/>
        <v>10.7</v>
      </c>
      <c r="K30" s="10">
        <f t="shared" si="4"/>
        <v>11.7</v>
      </c>
      <c r="L30" s="10">
        <f t="shared" si="4"/>
        <v>10.55</v>
      </c>
      <c r="M30" s="10">
        <f t="shared" si="4"/>
        <v>10.9</v>
      </c>
      <c r="N30" s="10">
        <f>MEDIAN(N3:N27)</f>
        <v>10.75</v>
      </c>
      <c r="O30" s="2"/>
      <c r="P30" s="10">
        <f>MEDIAN(P3:P27)</f>
        <v>11.942857142857141</v>
      </c>
      <c r="Q30" s="10">
        <f>MEDIAN(Q3:Q27)</f>
        <v>1.931320791582796</v>
      </c>
      <c r="R30" s="10">
        <f>MEDIAN(R3:R27)</f>
        <v>15</v>
      </c>
      <c r="S30" s="10">
        <f>MEDIAN(S3:S27)</f>
        <v>9.8</v>
      </c>
      <c r="T30" s="10">
        <f>MEDIAN(T3:T27)</f>
        <v>4.8</v>
      </c>
    </row>
    <row r="31" spans="1:21" ht="15.75" customHeight="1" x14ac:dyDescent="0.2">
      <c r="B31" s="2" t="s">
        <v>13</v>
      </c>
      <c r="C31" s="10">
        <f t="shared" ref="C31:M31" si="5">STDEV(C3:C27)</f>
        <v>6.881925416327718</v>
      </c>
      <c r="D31" s="10">
        <f t="shared" si="5"/>
        <v>5.016333615418383</v>
      </c>
      <c r="E31" s="10">
        <f t="shared" si="5"/>
        <v>5.258927982907901</v>
      </c>
      <c r="F31" s="10">
        <f t="shared" si="5"/>
        <v>5.017296399246783</v>
      </c>
      <c r="G31" s="10">
        <f t="shared" si="5"/>
        <v>5.0490923276697295</v>
      </c>
      <c r="H31" s="10">
        <f t="shared" si="5"/>
        <v>4.7262054064396795</v>
      </c>
      <c r="I31" s="10">
        <f t="shared" si="5"/>
        <v>4.617298709031186</v>
      </c>
      <c r="J31" s="10">
        <f t="shared" si="5"/>
        <v>4.643639931440152</v>
      </c>
      <c r="K31" s="10">
        <f t="shared" si="5"/>
        <v>4.244311983175402</v>
      </c>
      <c r="L31" s="10">
        <f t="shared" si="5"/>
        <v>4.120714679965626</v>
      </c>
      <c r="M31" s="10">
        <f t="shared" si="5"/>
        <v>3.5525050876333473</v>
      </c>
      <c r="N31" s="10">
        <f>STDEV(N3:N27)</f>
        <v>3.743699417165721</v>
      </c>
      <c r="O31" s="2"/>
      <c r="P31" s="2"/>
      <c r="Q31" s="2"/>
      <c r="R31" s="2"/>
      <c r="S31" s="2"/>
      <c r="T31" s="2"/>
    </row>
    <row r="32" spans="1:21" ht="15.75" customHeight="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O32" s="2"/>
      <c r="P32" s="2"/>
      <c r="Q32" s="2"/>
      <c r="R32" s="2"/>
      <c r="S32" s="2"/>
      <c r="T32" s="2"/>
    </row>
    <row r="33" spans="2:16" ht="15.75" customHeight="1" x14ac:dyDescent="0.2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O33" s="8"/>
      <c r="P33" s="8"/>
      <c r="Q33" s="8"/>
    </row>
    <row r="34" spans="2:16" ht="15.75" customHeight="1" x14ac:dyDescent="0.2">
      <c r="B34" s="8"/>
      <c r="C34" s="8"/>
      <c r="D34" s="16"/>
      <c r="E34" s="8"/>
      <c r="F34" s="8"/>
      <c r="G34" s="8"/>
      <c r="H34" s="8"/>
      <c r="I34" s="8"/>
      <c r="J34" s="8"/>
      <c r="K34" s="8"/>
      <c r="L34" s="8"/>
      <c r="M34" s="8"/>
      <c r="O34" s="8"/>
      <c r="P34" s="8"/>
      <c r="Q34" s="8"/>
    </row>
    <row r="35" spans="2:16" ht="15.75" customHeight="1" x14ac:dyDescent="0.2">
      <c r="B35" s="8"/>
      <c r="C35" s="8"/>
      <c r="D35" s="16"/>
      <c r="E35" s="8"/>
      <c r="F35" s="8"/>
      <c r="G35" s="8"/>
      <c r="H35" s="8"/>
      <c r="I35" s="8"/>
      <c r="J35" s="8"/>
      <c r="K35" s="8"/>
      <c r="L35" s="8"/>
      <c r="M35" s="8"/>
      <c r="O35" s="8"/>
      <c r="P35" s="8"/>
      <c r="Q35" s="8"/>
    </row>
    <row r="36" spans="2:16" ht="15.75" customHeight="1" x14ac:dyDescent="0.2">
      <c r="B36" s="8"/>
      <c r="C36" s="8"/>
      <c r="D36" s="16"/>
      <c r="E36" s="8"/>
      <c r="F36" s="8"/>
      <c r="G36" s="8"/>
      <c r="H36" s="8"/>
      <c r="I36" s="8"/>
      <c r="J36" s="8"/>
      <c r="K36" s="8"/>
      <c r="L36" s="8"/>
      <c r="M36" s="8"/>
      <c r="O36" s="8"/>
      <c r="P36" s="8"/>
      <c r="Q36" s="8"/>
    </row>
    <row r="37" spans="2:16" ht="15.75" customHeight="1" x14ac:dyDescent="0.2">
      <c r="B37" s="8"/>
      <c r="C37" s="8"/>
      <c r="D37" s="16"/>
      <c r="E37" s="8"/>
      <c r="F37" s="8"/>
      <c r="G37" s="8"/>
      <c r="H37" s="8"/>
      <c r="I37" s="8"/>
      <c r="J37" s="8"/>
      <c r="K37" s="8"/>
      <c r="L37" s="8"/>
      <c r="M37" s="8"/>
      <c r="O37" s="8"/>
      <c r="P37" s="8"/>
      <c r="Q37" s="8"/>
    </row>
    <row r="38" spans="2:16" ht="15.75" customHeight="1" x14ac:dyDescent="0.2">
      <c r="B38" s="8"/>
      <c r="C38" s="8"/>
      <c r="D38" s="16"/>
      <c r="E38" s="8"/>
      <c r="F38" s="8"/>
      <c r="G38" s="8"/>
      <c r="H38" s="8"/>
      <c r="I38" s="8"/>
      <c r="J38" s="8"/>
      <c r="K38" s="8"/>
      <c r="L38" s="8"/>
      <c r="M38" s="8"/>
      <c r="O38" s="8"/>
      <c r="P38" s="8"/>
      <c r="Q38" s="8"/>
    </row>
    <row r="39" spans="2:16" ht="15.75" customHeight="1" x14ac:dyDescent="0.2">
      <c r="B39" s="8"/>
      <c r="C39" s="8"/>
      <c r="D39" s="16"/>
      <c r="E39" s="8"/>
      <c r="F39" s="8"/>
      <c r="G39" s="8"/>
      <c r="H39" s="8"/>
      <c r="I39" s="8"/>
      <c r="J39" s="8"/>
      <c r="K39" s="8"/>
      <c r="L39" s="8"/>
      <c r="M39" s="8"/>
      <c r="O39" s="8"/>
      <c r="P39" s="8"/>
      <c r="Q39" s="8"/>
    </row>
    <row r="40" spans="2:16" ht="15.75" customHeight="1" x14ac:dyDescent="0.2">
      <c r="B40" s="8"/>
      <c r="C40" s="8"/>
      <c r="D40" s="16"/>
      <c r="E40" s="8"/>
      <c r="F40" s="8"/>
      <c r="G40" s="8"/>
      <c r="H40" s="8"/>
      <c r="I40" s="8"/>
      <c r="J40" s="8"/>
      <c r="K40" s="8"/>
      <c r="L40" s="8"/>
      <c r="M40" s="8"/>
      <c r="O40" s="8"/>
      <c r="P40" s="8"/>
      <c r="Q40" s="8"/>
    </row>
    <row r="41" spans="2:16" ht="15.75" customHeight="1" x14ac:dyDescent="0.2">
      <c r="B41" s="8"/>
      <c r="C41" s="8"/>
      <c r="D41" s="16"/>
      <c r="E41" s="8"/>
      <c r="F41" s="8"/>
      <c r="G41" s="8"/>
      <c r="H41" s="8"/>
      <c r="I41" s="8"/>
      <c r="J41" s="8"/>
      <c r="K41" s="8"/>
      <c r="L41" s="8"/>
      <c r="M41" s="8"/>
      <c r="O41" s="8"/>
      <c r="P41" s="8"/>
      <c r="Q41" s="8"/>
    </row>
    <row r="42" spans="2:16" ht="15.75" customHeight="1" x14ac:dyDescent="0.2">
      <c r="B42" s="8"/>
      <c r="C42" s="8"/>
      <c r="D42" s="16"/>
      <c r="E42" s="8"/>
      <c r="F42" s="8"/>
      <c r="G42" s="8"/>
      <c r="H42" s="8"/>
      <c r="I42" s="8"/>
      <c r="J42" s="8"/>
      <c r="K42" s="8"/>
      <c r="L42" s="8"/>
      <c r="M42" s="8"/>
      <c r="O42" s="8"/>
      <c r="P42" s="8"/>
      <c r="Q42" s="8"/>
    </row>
    <row r="43" spans="2:16" ht="15.75" customHeight="1" x14ac:dyDescent="0.2">
      <c r="B43" s="8"/>
      <c r="C43" s="8"/>
      <c r="D43" s="16"/>
      <c r="E43" s="8"/>
      <c r="F43" s="8"/>
      <c r="G43" s="8"/>
      <c r="H43" s="8"/>
      <c r="I43" s="8"/>
      <c r="J43" s="8"/>
      <c r="K43" s="8"/>
      <c r="L43" s="8"/>
      <c r="M43" s="8"/>
      <c r="O43" s="8"/>
      <c r="P43" s="8"/>
      <c r="Q43" s="8"/>
    </row>
    <row r="44" spans="2:16" ht="15.75" customHeight="1" x14ac:dyDescent="0.2">
      <c r="B44" s="8"/>
      <c r="C44" s="8"/>
      <c r="D44" s="16"/>
      <c r="E44" s="8"/>
      <c r="F44" s="8"/>
      <c r="G44" s="8"/>
      <c r="H44" s="8"/>
      <c r="I44" s="8"/>
      <c r="J44" s="8"/>
      <c r="K44" s="8"/>
      <c r="L44" s="8"/>
      <c r="M44" s="8"/>
      <c r="O44" s="8"/>
      <c r="P44" s="8"/>
      <c r="Q44" s="8"/>
    </row>
    <row r="45" spans="2:16" ht="15.75" customHeight="1" x14ac:dyDescent="0.2">
      <c r="B45" s="8"/>
      <c r="C45" s="8"/>
      <c r="D45" s="16"/>
      <c r="E45" s="8"/>
      <c r="F45" s="8"/>
      <c r="G45" s="8"/>
      <c r="H45" s="8"/>
      <c r="I45" s="8"/>
      <c r="J45" s="8"/>
      <c r="K45" s="8"/>
      <c r="L45" s="8"/>
      <c r="M45" s="8"/>
      <c r="O45" s="8"/>
      <c r="P45" s="8"/>
      <c r="Q45" s="8"/>
    </row>
    <row r="46" spans="2:16" ht="15.75" customHeight="1" x14ac:dyDescent="0.2">
      <c r="B46" s="8"/>
      <c r="C46" s="8"/>
      <c r="D46" s="16"/>
      <c r="E46" s="8"/>
      <c r="F46" s="8"/>
      <c r="G46" s="8"/>
      <c r="H46" s="8"/>
      <c r="I46" s="8"/>
      <c r="J46" s="8"/>
      <c r="K46" s="8"/>
      <c r="L46" s="8"/>
      <c r="M46" s="8"/>
      <c r="O46" s="8"/>
      <c r="P46" s="8"/>
      <c r="Q46" s="8"/>
    </row>
    <row r="47" spans="2:16" ht="15.75" customHeight="1" x14ac:dyDescent="0.2">
      <c r="C47" s="8"/>
      <c r="D47" s="16"/>
    </row>
    <row r="48" spans="2:16" ht="15.75" customHeight="1" x14ac:dyDescent="0.2">
      <c r="C48" s="8"/>
      <c r="D48" s="16"/>
    </row>
    <row r="49" spans="3:4" ht="15.75" customHeight="1" x14ac:dyDescent="0.2">
      <c r="C49" s="8"/>
      <c r="D49" s="16"/>
    </row>
    <row r="50" spans="3:4" ht="15.75" customHeight="1" x14ac:dyDescent="0.2">
      <c r="C50" s="8"/>
      <c r="D50" s="16"/>
    </row>
    <row r="51" spans="3:4" ht="15.75" customHeight="1" x14ac:dyDescent="0.2">
      <c r="C51" s="8"/>
      <c r="D51" s="16"/>
    </row>
    <row r="52" spans="3:4" ht="15.75" customHeight="1" x14ac:dyDescent="0.2">
      <c r="C52" s="8"/>
      <c r="D52" s="16"/>
    </row>
  </sheetData>
  <mergeCells count="1">
    <mergeCell ref="G1:N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70"/>
  <sheetViews>
    <sheetView zoomScaleNormal="100" workbookViewId="0">
      <selection activeCell="B37" sqref="B37"/>
    </sheetView>
  </sheetViews>
  <sheetFormatPr baseColWidth="10" defaultColWidth="8.83203125" defaultRowHeight="16" x14ac:dyDescent="0.2"/>
  <cols>
    <col min="2" max="2" width="10.33203125" customWidth="1"/>
    <col min="4" max="4" width="11.5" customWidth="1"/>
    <col min="5" max="5" width="14" customWidth="1"/>
    <col min="6" max="7" width="11" customWidth="1"/>
    <col min="8" max="8" width="11.5" customWidth="1"/>
    <col min="9" max="9" width="12.6640625" customWidth="1"/>
    <col min="10" max="10" width="12.1640625" customWidth="1"/>
    <col min="11" max="11" width="13.6640625" customWidth="1"/>
    <col min="12" max="12" width="12.6640625" customWidth="1"/>
    <col min="13" max="13" width="10" customWidth="1"/>
    <col min="16" max="16" width="9.5" customWidth="1"/>
    <col min="19" max="19" width="10.33203125" customWidth="1"/>
    <col min="20" max="20" width="9.83203125" customWidth="1"/>
    <col min="29" max="29" width="12" customWidth="1"/>
  </cols>
  <sheetData>
    <row r="1" spans="1:30" ht="15.75" customHeight="1" x14ac:dyDescent="0.2">
      <c r="A1" s="17" t="s">
        <v>43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30" ht="15.75" customHeight="1" x14ac:dyDescent="0.2">
      <c r="A2" s="17" t="s">
        <v>44</v>
      </c>
      <c r="B2" s="3" t="str">
        <f>Handicaps!B2</f>
        <v>Player</v>
      </c>
      <c r="C2" s="18" t="s">
        <v>45</v>
      </c>
      <c r="D2" s="19" t="s">
        <v>46</v>
      </c>
      <c r="E2" s="5" t="s">
        <v>1</v>
      </c>
      <c r="F2" s="5" t="s">
        <v>2</v>
      </c>
      <c r="G2" s="6" t="s">
        <v>3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9</v>
      </c>
      <c r="N2" s="5" t="s">
        <v>10</v>
      </c>
      <c r="O2" s="5" t="s">
        <v>11</v>
      </c>
      <c r="P2" s="5" t="inlineStr">
        <is>
          <t>FBC 13</t>
        </is>
      </c>
      <c r="Q2" s="5"/>
      <c r="R2" s="19"/>
      <c r="S2" s="8"/>
      <c r="T2" s="8"/>
      <c r="U2" s="8"/>
      <c r="V2" s="18"/>
      <c r="W2" s="18"/>
      <c r="X2" s="18"/>
      <c r="Y2" s="18"/>
      <c r="Z2" s="9"/>
      <c r="AA2" s="9"/>
      <c r="AB2" s="9"/>
      <c r="AC2" s="9"/>
    </row>
    <row r="3" spans="1:30" ht="15.75" customHeight="1" x14ac:dyDescent="0.2">
      <c r="A3" s="8"/>
      <c r="B3" s="8" t="str">
        <f>Handicaps!B3</f>
        <v>Cole</v>
      </c>
      <c r="C3" s="18">
        <f t="shared" ref="C3:C27" si="0">COUNT(D31:P31)</f>
      </c>
      <c r="D3" s="20" t="str">
        <f>IF(COUNT($D31:D31)=0,"X",SUM($D31:D31))</f>
        <v>X</v>
      </c>
      <c r="E3" s="20">
        <f>IF(COUNT($D31:E31)=0,"X",SUM($D31:E31))</f>
        <v>0.5</v>
      </c>
      <c r="F3" s="20">
        <f>IF(COUNT($D31:F31)=0,"X",SUM($D31:F31))</f>
        <v>4</v>
      </c>
      <c r="G3" s="20">
        <f>IF(COUNT($D31:G31)=0,"X",SUM($D31:G31))</f>
        <v>6.5</v>
      </c>
      <c r="H3" s="20">
        <f>IF(COUNT($D31:H31)=0,"X",SUM($D31:H31))</f>
        <v>7.5</v>
      </c>
      <c r="I3" s="20">
        <f>IF(COUNT($D31:I31)=0,"X",SUM($D31:I31))</f>
        <v>11.5</v>
      </c>
      <c r="J3" s="20">
        <f>IF(COUNT($D31:J31)=0,"X",SUM($D31:J31))</f>
        <v>16</v>
      </c>
      <c r="K3" s="20">
        <f>IF(COUNT($D31:K31)=0,"X",SUM($D31:K31))</f>
        <v>19.5</v>
      </c>
      <c r="L3" s="20">
        <f>IF(COUNT($D31:L31)=0,"X",SUM($D31:L31))</f>
        <v>22</v>
      </c>
      <c r="M3" s="20">
        <f>IF(COUNT($D31:M31)=0,"X",SUM($D31:M31))</f>
        <v>26.5</v>
      </c>
      <c r="N3" s="20">
        <f>IF(COUNT($D31:N31)=0,"X",SUM($D31:N31))</f>
        <v>30</v>
      </c>
      <c r="O3" s="20">
        <f>IF(COUNT($D31:O31)=0,"X",SUM($D31:O31))</f>
        <v>30</v>
      </c>
      <c r="P3" s="20">
        <f>IF(COUNT($D31:P31)=0,"X",SUM($D31:P31))</f>
      </c>
      <c r="Q3" s="2"/>
      <c r="R3" s="21"/>
      <c r="S3" s="8"/>
      <c r="T3" s="8"/>
      <c r="U3" s="8"/>
      <c r="V3" s="18"/>
      <c r="W3" s="18"/>
      <c r="X3" s="18"/>
      <c r="Y3" s="18"/>
      <c r="Z3" s="18"/>
      <c r="AA3" s="18"/>
      <c r="AB3" s="18"/>
      <c r="AC3" s="20"/>
      <c r="AD3" s="8"/>
    </row>
    <row r="4" spans="1:30" ht="15.75" customHeight="1" x14ac:dyDescent="0.2">
      <c r="A4" s="8"/>
      <c r="B4" s="8" t="str">
        <f>Handicaps!B4</f>
        <v>Connolly, B</v>
      </c>
      <c r="C4" s="18">
        <f t="shared" si="0"/>
      </c>
      <c r="D4" s="20">
        <f>IF(COUNT($D32:D32)=0,"X",SUM($D32:D32))</f>
        <v>6</v>
      </c>
      <c r="E4" s="20">
        <f>IF(COUNT($D32:E32)=0,"X",SUM($D32:E32))</f>
        <v>9.5</v>
      </c>
      <c r="F4" s="20">
        <f>IF(COUNT($D32:F32)=0,"X",SUM($D32:F32))</f>
        <v>14</v>
      </c>
      <c r="G4" s="20">
        <f>IF(COUNT($D32:G32)=0,"X",SUM($D32:G32))</f>
        <v>17.5</v>
      </c>
      <c r="H4" s="20">
        <f>IF(COUNT($D32:H32)=0,"X",SUM($D32:H32))</f>
        <v>21.5</v>
      </c>
      <c r="I4" s="20">
        <f>IF(COUNT($D32:I32)=0,"X",SUM($D32:I32))</f>
        <v>23.5</v>
      </c>
      <c r="J4" s="20">
        <f>IF(COUNT($D32:J32)=0,"X",SUM($D32:J32))</f>
        <v>25.5</v>
      </c>
      <c r="K4" s="20">
        <f>IF(COUNT($D32:K32)=0,"X",SUM($D32:K32))</f>
        <v>29.5</v>
      </c>
      <c r="L4" s="20">
        <f>IF(COUNT($D32:L32)=0,"X",SUM($D32:L32))</f>
        <v>33</v>
      </c>
      <c r="M4" s="20">
        <f>IF(COUNT($D32:M32)=0,"X",SUM($D32:M32))</f>
        <v>39</v>
      </c>
      <c r="N4" s="20">
        <f>IF(COUNT($D32:N32)=0,"X",SUM($D32:N32))</f>
        <v>44</v>
      </c>
      <c r="O4" s="20">
        <f>IF(COUNT($D32:O32)=0,"X",SUM($D32:O32))</f>
        <v>50.5</v>
      </c>
      <c r="P4" s="20">
        <f>IF(COUNT($D32:P32)=0,"X",SUM($D32:P32))</f>
      </c>
      <c r="Q4" s="2"/>
      <c r="R4" s="21"/>
      <c r="S4" s="8"/>
      <c r="T4" s="8"/>
      <c r="U4" s="8"/>
      <c r="V4" s="18"/>
      <c r="W4" s="18"/>
      <c r="X4" s="18"/>
      <c r="Y4" s="18"/>
      <c r="Z4" s="18"/>
      <c r="AA4" s="18"/>
      <c r="AB4" s="18"/>
      <c r="AC4" s="20"/>
      <c r="AD4" s="8"/>
    </row>
    <row r="5" spans="1:30" ht="15.75" customHeight="1" x14ac:dyDescent="0.2">
      <c r="A5" s="8"/>
      <c r="B5" s="8" t="s">
        <v>20</v>
      </c>
      <c r="C5" s="18">
        <f t="shared" si="0"/>
      </c>
      <c r="D5" s="20" t="str">
        <f>IF(COUNT($D33:D33)=0,"X",SUM($D33:D33))</f>
        <v>X</v>
      </c>
      <c r="E5" s="20" t="str">
        <f>IF(COUNT($D33:E33)=0,"X",SUM($D33:E33))</f>
        <v>X</v>
      </c>
      <c r="F5" s="20" t="str">
        <f>IF(COUNT($D33:F33)=0,"X",SUM($D33:F33))</f>
        <v>X</v>
      </c>
      <c r="G5" s="20" t="str">
        <f>IF(COUNT($D33:G33)=0,"X",SUM($D33:G33))</f>
        <v>X</v>
      </c>
      <c r="H5" s="20" t="str">
        <f>IF(COUNT($D33:H33)=0,"X",SUM($D33:H33))</f>
        <v>X</v>
      </c>
      <c r="I5" s="20" t="str">
        <f>IF(COUNT($D33:I33)=0,"X",SUM($D33:I33))</f>
        <v>X</v>
      </c>
      <c r="J5" s="20" t="str">
        <f>IF(COUNT($D33:J33)=0,"X",SUM($D33:J33))</f>
        <v>X</v>
      </c>
      <c r="K5" s="20" t="str">
        <f>IF(COUNT($D33:K33)=0,"X",SUM($D33:K33))</f>
        <v>X</v>
      </c>
      <c r="L5" s="20" t="str">
        <f>IF(COUNT($D33:L33)=0,"X",SUM($D33:L33))</f>
        <v>X</v>
      </c>
      <c r="M5" s="20">
        <f>IF(COUNT($D33:M33)=0,"X",SUM($D33:M33))</f>
        <v>3</v>
      </c>
      <c r="N5" s="20">
        <f>IF(COUNT($D33:N33)=0,"X",SUM($D33:N33))</f>
        <v>3</v>
      </c>
      <c r="O5" s="20">
        <f>IF(COUNT($D33:O33)=0,"X",SUM($D33:O33))</f>
        <v>9</v>
      </c>
      <c r="P5" s="20">
        <f>IF(COUNT($D33:P33)=0,"X",SUM($D33:P33))</f>
      </c>
      <c r="Q5" s="2"/>
      <c r="R5" s="21"/>
      <c r="S5" s="8"/>
      <c r="T5" s="8"/>
      <c r="U5" s="8"/>
      <c r="V5" s="18"/>
      <c r="W5" s="18"/>
      <c r="X5" s="18"/>
      <c r="Y5" s="18"/>
      <c r="Z5" s="18"/>
      <c r="AA5" s="18"/>
      <c r="AB5" s="18"/>
      <c r="AC5" s="20"/>
      <c r="AD5" s="8"/>
    </row>
    <row r="6" spans="1:30" ht="15.75" customHeight="1" x14ac:dyDescent="0.2">
      <c r="A6" s="8"/>
      <c r="B6" s="8" t="str">
        <f>Handicaps!B6</f>
        <v>Connors</v>
      </c>
      <c r="C6" s="18">
        <f t="shared" si="0"/>
      </c>
      <c r="D6" s="20" t="str">
        <f>IF(COUNT($D34:D34)=0,"X",SUM($D34:D34))</f>
        <v>X</v>
      </c>
      <c r="E6" s="20">
        <f>IF(COUNT($D34:E34)=0,"X",SUM($D34:E34))</f>
        <v>2.5</v>
      </c>
      <c r="F6" s="20">
        <f>IF(COUNT($D34:F34)=0,"X",SUM($D34:F34))</f>
        <v>4.5</v>
      </c>
      <c r="G6" s="20">
        <f>IF(COUNT($D34:G34)=0,"X",SUM($D34:G34))</f>
        <v>8</v>
      </c>
      <c r="H6" s="20">
        <f>IF(COUNT($D34:H34)=0,"X",SUM($D34:H34))</f>
        <v>9</v>
      </c>
      <c r="I6" s="20">
        <f>IF(COUNT($D34:I34)=0,"X",SUM($D34:I34))</f>
        <v>11.5</v>
      </c>
      <c r="J6" s="20">
        <f>IF(COUNT($D34:J34)=0,"X",SUM($D34:J34))</f>
        <v>13</v>
      </c>
      <c r="K6" s="20">
        <f>IF(COUNT($D34:K34)=0,"X",SUM($D34:K34))</f>
        <v>15.5</v>
      </c>
      <c r="L6" s="20">
        <f>IF(COUNT($D34:L34)=0,"X",SUM($D34:L34))</f>
        <v>16.5</v>
      </c>
      <c r="M6" s="20">
        <f>IF(COUNT($D34:M34)=0,"X",SUM($D34:M34))</f>
        <v>19.5</v>
      </c>
      <c r="N6" s="20">
        <f>IF(COUNT($D34:N34)=0,"X",SUM($D34:N34))</f>
        <v>22</v>
      </c>
      <c r="O6" s="20">
        <f>IF(COUNT($D34:O34)=0,"X",SUM($D34:O34))</f>
        <v>22</v>
      </c>
      <c r="P6" s="20">
        <f>IF(COUNT($D34:P34)=0,"X",SUM($D34:P34))</f>
      </c>
      <c r="Q6" s="2"/>
      <c r="R6" s="21"/>
      <c r="S6" s="8"/>
      <c r="T6" s="8"/>
      <c r="U6" s="8"/>
      <c r="V6" s="18"/>
      <c r="W6" s="18"/>
      <c r="X6" s="18"/>
      <c r="Y6" s="18"/>
      <c r="Z6" s="18"/>
      <c r="AA6" s="18"/>
      <c r="AB6" s="18"/>
      <c r="AC6" s="20"/>
      <c r="AD6" s="8"/>
    </row>
    <row r="7" spans="1:30" ht="15.75" customHeight="1" x14ac:dyDescent="0.2">
      <c r="A7" s="8"/>
      <c r="B7" s="8" t="s">
        <v>22</v>
      </c>
      <c r="C7" s="18">
        <f t="shared" si="0"/>
      </c>
      <c r="D7" s="20" t="str">
        <f>IF(COUNT($D35:D35)=0,"X",SUM($D35:D35))</f>
        <v>X</v>
      </c>
      <c r="E7" s="20" t="str">
        <f>IF(COUNT($D35:E35)=0,"X",SUM($D35:E35))</f>
        <v>X</v>
      </c>
      <c r="F7" s="20" t="str">
        <f>IF(COUNT($D35:F35)=0,"X",SUM($D35:F35))</f>
        <v>X</v>
      </c>
      <c r="G7" s="20" t="str">
        <f>IF(COUNT($D35:G35)=0,"X",SUM($D35:G35))</f>
        <v>X</v>
      </c>
      <c r="H7" s="20">
        <f>IF(COUNT($D35:H35)=0,"X",SUM($D35:H35))</f>
        <v>4</v>
      </c>
      <c r="I7" s="20">
        <f>IF(COUNT($D35:I35)=0,"X",SUM($D35:I35))</f>
        <v>4</v>
      </c>
      <c r="J7" s="20">
        <f>IF(COUNT($D35:J35)=0,"X",SUM($D35:J35))</f>
        <v>4</v>
      </c>
      <c r="K7" s="20">
        <f>IF(COUNT($D35:K35)=0,"X",SUM($D35:K35))</f>
        <v>7</v>
      </c>
      <c r="L7" s="20">
        <f>IF(COUNT($D35:L35)=0,"X",SUM($D35:L35))</f>
        <v>10</v>
      </c>
      <c r="M7" s="20">
        <f>IF(COUNT($D35:M35)=0,"X",SUM($D35:M35))</f>
        <v>12</v>
      </c>
      <c r="N7" s="20">
        <f>IF(COUNT($D35:N35)=0,"X",SUM($D35:N35))</f>
        <v>14.5</v>
      </c>
      <c r="O7" s="20">
        <f>IF(COUNT($D35:O35)=0,"X",SUM($D35:O35))</f>
        <v>18.5</v>
      </c>
      <c r="P7" s="20">
        <f>IF(COUNT($D35:P35)=0,"X",SUM($D35:P35))</f>
      </c>
      <c r="Q7" s="2"/>
      <c r="R7" s="21"/>
      <c r="S7" s="8"/>
      <c r="T7" s="8"/>
      <c r="U7" s="8"/>
      <c r="V7" s="18"/>
      <c r="W7" s="18"/>
      <c r="X7" s="18"/>
      <c r="Y7" s="18"/>
      <c r="Z7" s="18"/>
      <c r="AA7" s="18"/>
      <c r="AB7" s="18"/>
      <c r="AC7" s="20"/>
      <c r="AD7" s="8"/>
    </row>
    <row r="8" spans="1:30" ht="15.75" customHeight="1" x14ac:dyDescent="0.2">
      <c r="A8" s="8"/>
      <c r="B8" s="8" t="s">
        <v>23</v>
      </c>
      <c r="C8" s="18">
        <f t="shared" si="0"/>
      </c>
      <c r="D8" s="20" t="str">
        <f>IF(COUNT($D36:D36)=0,"X",SUM($D36:D36))</f>
        <v>X</v>
      </c>
      <c r="E8" s="20" t="str">
        <f>IF(COUNT($D36:E36)=0,"X",SUM($D36:E36))</f>
        <v>X</v>
      </c>
      <c r="F8" s="20" t="str">
        <f>IF(COUNT($D36:F36)=0,"X",SUM($D36:F36))</f>
        <v>X</v>
      </c>
      <c r="G8" s="20" t="str">
        <f>IF(COUNT($D36:G36)=0,"X",SUM($D36:G36))</f>
        <v>X</v>
      </c>
      <c r="H8" s="20" t="str">
        <f>IF(COUNT($D36:H36)=0,"X",SUM($D36:H36))</f>
        <v>X</v>
      </c>
      <c r="I8" s="20" t="str">
        <f>IF(COUNT($D36:I36)=0,"X",SUM($D36:I36))</f>
        <v>X</v>
      </c>
      <c r="J8" s="20" t="str">
        <f>IF(COUNT($D36:J36)=0,"X",SUM($D36:J36))</f>
        <v>X</v>
      </c>
      <c r="K8" s="20">
        <f>IF(COUNT($D36:K36)=0,"X",SUM($D36:K36))</f>
        <v>1.5</v>
      </c>
      <c r="L8" s="20">
        <f>IF(COUNT($D36:L36)=0,"X",SUM($D36:L36))</f>
        <v>6</v>
      </c>
      <c r="M8" s="20">
        <f>IF(COUNT($D36:M36)=0,"X",SUM($D36:M36))</f>
        <v>11</v>
      </c>
      <c r="N8" s="20">
        <f>IF(COUNT($D36:N36)=0,"X",SUM($D36:N36))</f>
        <v>15.5</v>
      </c>
      <c r="O8" s="20">
        <f>IF(COUNT($D36:O36)=0,"X",SUM($D36:O36))</f>
        <v>20.5</v>
      </c>
      <c r="P8" s="20">
        <f>IF(COUNT($D36:P36)=0,"X",SUM($D36:P36))</f>
      </c>
      <c r="Q8" s="2"/>
      <c r="R8" s="21"/>
      <c r="S8" s="8"/>
      <c r="T8" s="8"/>
      <c r="U8" s="8"/>
      <c r="V8" s="18"/>
      <c r="W8" s="18"/>
      <c r="X8" s="18"/>
      <c r="Y8" s="18"/>
      <c r="Z8" s="18"/>
      <c r="AA8" s="18"/>
      <c r="AB8" s="18"/>
      <c r="AC8" s="20"/>
      <c r="AD8" s="8"/>
    </row>
    <row r="9" spans="1:30" ht="15.75" customHeight="1" x14ac:dyDescent="0.2">
      <c r="A9" s="8"/>
      <c r="B9" s="8" t="s">
        <v>63</v>
      </c>
      <c r="C9" s="18">
        <f t="shared" si="0"/>
      </c>
      <c r="D9" s="20" t="str">
        <f>IF(COUNT($D37:D37)=0,"X",SUM($D37:D37))</f>
        <v>X</v>
      </c>
      <c r="E9" s="20" t="str">
        <f>IF(COUNT($D37:E37)=0,"X",SUM($D37:E37))</f>
        <v>X</v>
      </c>
      <c r="F9" s="20" t="str">
        <f>IF(COUNT($D37:F37)=0,"X",SUM($D37:F37))</f>
        <v>X</v>
      </c>
      <c r="G9" s="20" t="str">
        <f>IF(COUNT($D37:G37)=0,"X",SUM($D37:G37))</f>
        <v>X</v>
      </c>
      <c r="H9" s="20" t="str">
        <f>IF(COUNT($D37:H37)=0,"X",SUM($D37:H37))</f>
        <v>X</v>
      </c>
      <c r="I9" s="20" t="str">
        <f>IF(COUNT($D37:I37)=0,"X",SUM($D37:I37))</f>
        <v>X</v>
      </c>
      <c r="J9" s="20" t="str">
        <f>IF(COUNT($D37:J37)=0,"X",SUM($D37:J37))</f>
        <v>X</v>
      </c>
      <c r="K9" s="20">
        <f>IF(COUNT($D37:K37)=0,"X",SUM($D37:K37))</f>
        <v>3</v>
      </c>
      <c r="L9" s="20">
        <f>IF(COUNT($D37:L37)=0,"X",SUM($D37:L37))</f>
        <v>6</v>
      </c>
      <c r="M9" s="20">
        <f>IF(COUNT($D37:M37)=0,"X",SUM($D37:M37))</f>
        <v>6</v>
      </c>
      <c r="N9" s="20">
        <f>IF(COUNT($D37:N37)=0,"X",SUM($D37:N37))</f>
        <v>6</v>
      </c>
      <c r="O9" s="20">
        <f>IF(COUNT($D37:O37)=0,"X",SUM($D37:O37))</f>
        <v>7</v>
      </c>
      <c r="P9" s="20">
        <f>IF(COUNT($D37:P37)=0,"X",SUM($D37:P37))</f>
      </c>
      <c r="Q9" s="2"/>
      <c r="R9" s="21"/>
      <c r="S9" s="8"/>
      <c r="T9" s="8"/>
      <c r="U9" s="8"/>
      <c r="V9" s="18"/>
      <c r="W9" s="18"/>
      <c r="X9" s="18"/>
      <c r="Y9" s="18"/>
      <c r="Z9" s="18"/>
      <c r="AA9" s="18"/>
      <c r="AB9" s="18"/>
      <c r="AC9" s="20"/>
      <c r="AD9" s="8"/>
    </row>
    <row r="10" spans="1:30" ht="15.75" customHeight="1" x14ac:dyDescent="0.2">
      <c r="A10" s="8"/>
      <c r="B10" s="8" t="str">
        <f>Handicaps!B10</f>
        <v>Ferrin</v>
      </c>
      <c r="C10" s="18">
        <f t="shared" si="0"/>
      </c>
      <c r="D10" s="20">
        <f>IF(COUNT($D38:D38)=0,"X",SUM($D38:D38))</f>
        <v>5.5</v>
      </c>
      <c r="E10" s="20">
        <f>IF(COUNT($D38:E38)=0,"X",SUM($D38:E38))</f>
        <v>8</v>
      </c>
      <c r="F10" s="20">
        <f>IF(COUNT($D38:F38)=0,"X",SUM($D38:F38))</f>
        <v>13</v>
      </c>
      <c r="G10" s="20">
        <f>IF(COUNT($D38:G38)=0,"X",SUM($D38:G38))</f>
        <v>15.5</v>
      </c>
      <c r="H10" s="20">
        <f>IF(COUNT($D38:H38)=0,"X",SUM($D38:H38))</f>
        <v>20</v>
      </c>
      <c r="I10" s="20">
        <f>IF(COUNT($D38:I38)=0,"X",SUM($D38:I38))</f>
        <v>23</v>
      </c>
      <c r="J10" s="20">
        <f>IF(COUNT($D38:J38)=0,"X",SUM($D38:J38))</f>
        <v>27.5</v>
      </c>
      <c r="K10" s="20">
        <f>IF(COUNT($D38:K38)=0,"X",SUM($D38:K38))</f>
        <v>31</v>
      </c>
      <c r="L10" s="20">
        <f>IF(COUNT($D38:L38)=0,"X",SUM($D38:L38))</f>
        <v>33.5</v>
      </c>
      <c r="M10" s="20">
        <f>IF(COUNT($D38:M38)=0,"X",SUM($D38:M38))</f>
        <v>37.5</v>
      </c>
      <c r="N10" s="20">
        <f>IF(COUNT($D38:N38)=0,"X",SUM($D38:N38))</f>
        <v>42.5</v>
      </c>
      <c r="O10" s="20">
        <f>IF(COUNT($D38:O38)=0,"X",SUM($D38:O38))</f>
        <v>46</v>
      </c>
      <c r="P10" s="20">
        <f>IF(COUNT($D38:P38)=0,"X",SUM($D38:P38))</f>
      </c>
      <c r="Q10" s="2"/>
      <c r="R10" s="21"/>
      <c r="S10" s="8"/>
      <c r="T10" s="8"/>
      <c r="U10" s="8"/>
      <c r="V10" s="18"/>
      <c r="W10" s="18"/>
      <c r="X10" s="18"/>
      <c r="Y10" s="18"/>
      <c r="Z10" s="18"/>
      <c r="AA10" s="18"/>
      <c r="AB10" s="18"/>
      <c r="AC10" s="20"/>
      <c r="AD10" s="8"/>
    </row>
    <row r="11" spans="1:30" ht="15.75" customHeight="1" x14ac:dyDescent="0.2">
      <c r="A11" s="8"/>
      <c r="B11" s="8" t="str">
        <f>Handicaps!B11</f>
        <v>Flanders</v>
      </c>
      <c r="C11" s="18">
        <f t="shared" si="0"/>
      </c>
      <c r="D11" s="20">
        <f>IF(COUNT($D39:D39)=0,"X",SUM($D39:D39))</f>
        <v>2</v>
      </c>
      <c r="E11" s="20">
        <f>IF(COUNT($D39:E39)=0,"X",SUM($D39:E39))</f>
        <v>3.5</v>
      </c>
      <c r="F11" s="20">
        <f>IF(COUNT($D39:F39)=0,"X",SUM($D39:F39))</f>
        <v>4</v>
      </c>
      <c r="G11" s="20">
        <f>IF(COUNT($D39:G39)=0,"X",SUM($D39:G39))</f>
        <v>9.5</v>
      </c>
      <c r="H11" s="20">
        <f>IF(COUNT($D39:H39)=0,"X",SUM($D39:H39))</f>
        <v>12.5</v>
      </c>
      <c r="I11" s="20">
        <f>IF(COUNT($D39:I39)=0,"X",SUM($D39:I39))</f>
        <v>15.5</v>
      </c>
      <c r="J11" s="20">
        <f>IF(COUNT($D39:J39)=0,"X",SUM($D39:J39))</f>
        <v>19.5</v>
      </c>
      <c r="K11" s="20">
        <f>IF(COUNT($D39:K39)=0,"X",SUM($D39:K39))</f>
        <v>22.5</v>
      </c>
      <c r="L11" s="20">
        <f>IF(COUNT($D39:L39)=0,"X",SUM($D39:L39))</f>
        <v>24.5</v>
      </c>
      <c r="M11" s="20">
        <f>IF(COUNT($D39:M39)=0,"X",SUM($D39:M39))</f>
        <v>28.5</v>
      </c>
      <c r="N11" s="20">
        <f>IF(COUNT($D39:N39)=0,"X",SUM($D39:N39))</f>
        <v>30</v>
      </c>
      <c r="O11" s="20">
        <f>IF(COUNT($D39:O39)=0,"X",SUM($D39:O39))</f>
        <v>36.5</v>
      </c>
      <c r="P11" s="20">
        <f>IF(COUNT($D39:P39)=0,"X",SUM($D39:P39))</f>
      </c>
      <c r="Q11" s="2"/>
      <c r="R11" s="21"/>
      <c r="S11" s="8"/>
      <c r="T11" s="8"/>
      <c r="U11" s="8"/>
      <c r="V11" s="18"/>
      <c r="W11" s="18"/>
      <c r="X11" s="18"/>
      <c r="Y11" s="18"/>
      <c r="Z11" s="18"/>
      <c r="AA11" s="18"/>
      <c r="AB11" s="18"/>
      <c r="AC11" s="20"/>
      <c r="AD11" s="8"/>
    </row>
    <row r="12" spans="1:30" ht="15.75" customHeight="1" x14ac:dyDescent="0.2">
      <c r="A12" s="8"/>
      <c r="B12" s="8" t="str">
        <f>Handicaps!B12</f>
        <v>Fogan</v>
      </c>
      <c r="C12" s="18">
        <f t="shared" si="0"/>
      </c>
      <c r="D12" s="20" t="str">
        <f>IF(COUNT($D40:D40)=0,"X",SUM($D40:D40))</f>
        <v>X</v>
      </c>
      <c r="E12" s="20">
        <f>IF(COUNT($D40:E40)=0,"X",SUM($D40:E40))</f>
        <v>2</v>
      </c>
      <c r="F12" s="20">
        <f>IF(COUNT($D40:F40)=0,"X",SUM($D40:F40))</f>
        <v>5</v>
      </c>
      <c r="G12" s="20">
        <f>IF(COUNT($D40:G40)=0,"X",SUM($D40:G40))</f>
        <v>8</v>
      </c>
      <c r="H12" s="20">
        <f>IF(COUNT($D40:H40)=0,"X",SUM($D40:H40))</f>
        <v>9</v>
      </c>
      <c r="I12" s="20">
        <f>IF(COUNT($D40:I40)=0,"X",SUM($D40:I40))</f>
        <v>9.5</v>
      </c>
      <c r="J12" s="20">
        <f>IF(COUNT($D40:J40)=0,"X",SUM($D40:J40))</f>
        <v>12.5</v>
      </c>
      <c r="K12" s="20">
        <f>IF(COUNT($D40:K40)=0,"X",SUM($D40:K40))</f>
        <v>15.5</v>
      </c>
      <c r="L12" s="20">
        <f>IF(COUNT($D40:L40)=0,"X",SUM($D40:L40))</f>
        <v>20</v>
      </c>
      <c r="M12" s="20">
        <f>IF(COUNT($D40:M40)=0,"X",SUM($D40:M40))</f>
        <v>21.5</v>
      </c>
      <c r="N12" s="20">
        <f>IF(COUNT($D40:N40)=0,"X",SUM($D40:N40))</f>
        <v>26</v>
      </c>
      <c r="O12" s="20">
        <f>IF(COUNT($D40:O40)=0,"X",SUM($D40:O40))</f>
        <v>30</v>
      </c>
      <c r="P12" s="20">
        <f>IF(COUNT($D40:P40)=0,"X",SUM($D40:P40))</f>
      </c>
      <c r="Q12" s="2"/>
      <c r="R12" s="21"/>
      <c r="S12" s="8"/>
      <c r="T12" s="8"/>
      <c r="U12" s="8"/>
      <c r="V12" s="18"/>
      <c r="W12" s="18"/>
      <c r="X12" s="18"/>
      <c r="Y12" s="18"/>
      <c r="Z12" s="18"/>
      <c r="AA12" s="18"/>
      <c r="AB12" s="18"/>
      <c r="AC12" s="20"/>
      <c r="AD12" s="8"/>
    </row>
    <row r="13" spans="1:30" ht="15.75" customHeight="1" x14ac:dyDescent="0.2">
      <c r="A13" s="8"/>
      <c r="B13" s="8" t="str">
        <f>Handicaps!B13</f>
        <v>Forster</v>
      </c>
      <c r="C13" s="18">
        <f t="shared" si="0"/>
      </c>
      <c r="D13" s="20" t="str">
        <f>IF(COUNT($D41:D41)=0,"X",SUM($D41:D41))</f>
        <v>X</v>
      </c>
      <c r="E13" s="20">
        <f>IF(COUNT($D41:E41)=0,"X",SUM($D41:E41))</f>
        <v>5.5</v>
      </c>
      <c r="F13" s="20">
        <f>IF(COUNT($D41:F41)=0,"X",SUM($D41:F41))</f>
        <v>9</v>
      </c>
      <c r="G13" s="20">
        <f>IF(COUNT($D41:G41)=0,"X",SUM($D41:G41))</f>
        <v>14.5</v>
      </c>
      <c r="H13" s="20">
        <f>IF(COUNT($D41:H41)=0,"X",SUM($D41:H41))</f>
        <v>19.5</v>
      </c>
      <c r="I13" s="20">
        <f>IF(COUNT($D41:I41)=0,"X",SUM($D41:I41))</f>
        <v>24.5</v>
      </c>
      <c r="J13" s="20">
        <f>IF(COUNT($D41:J41)=0,"X",SUM($D41:J41))</f>
        <v>29</v>
      </c>
      <c r="K13" s="20">
        <f>IF(COUNT($D41:K41)=0,"X",SUM($D41:K41))</f>
        <v>30</v>
      </c>
      <c r="L13" s="20">
        <f>IF(COUNT($D41:L41)=0,"X",SUM($D41:L41))</f>
        <v>34.5</v>
      </c>
      <c r="M13" s="20">
        <f>IF(COUNT($D41:M41)=0,"X",SUM($D41:M41))</f>
        <v>34.5</v>
      </c>
      <c r="N13" s="20">
        <f>IF(COUNT($D41:N41)=0,"X",SUM($D41:N41))</f>
        <v>38</v>
      </c>
      <c r="O13" s="20">
        <f>IF(COUNT($D41:O41)=0,"X",SUM($D41:O41))</f>
        <v>42</v>
      </c>
      <c r="P13" s="20">
        <f>IF(COUNT($D41:P41)=0,"X",SUM($D41:P41))</f>
      </c>
      <c r="Q13" s="2"/>
      <c r="R13" s="21"/>
      <c r="S13" s="8"/>
      <c r="T13" s="8"/>
      <c r="U13" s="8"/>
      <c r="V13" s="18"/>
      <c r="W13" s="18"/>
      <c r="X13" s="18"/>
      <c r="Y13" s="18"/>
      <c r="Z13" s="18"/>
      <c r="AA13" s="18"/>
      <c r="AB13" s="18"/>
      <c r="AC13" s="20"/>
      <c r="AD13" s="8"/>
    </row>
    <row r="14" spans="1:30" ht="15.75" customHeight="1" x14ac:dyDescent="0.2">
      <c r="A14" s="8"/>
      <c r="B14" s="8" t="str">
        <f>Handicaps!B14</f>
        <v>Gray</v>
      </c>
      <c r="C14" s="18">
        <f t="shared" si="0"/>
      </c>
      <c r="D14" s="20" t="str">
        <f>IF(COUNT($D42:D42)=0,"X",SUM($D42:D42))</f>
        <v>X</v>
      </c>
      <c r="E14" s="20" t="str">
        <f>IF(COUNT($D42:E42)=0,"X",SUM($D42:E42))</f>
        <v>X</v>
      </c>
      <c r="F14" s="20">
        <f>IF(COUNT($D42:F42)=0,"X",SUM($D42:F42))</f>
        <v>4</v>
      </c>
      <c r="G14" s="20">
        <f>IF(COUNT($D42:G42)=0,"X",SUM($D42:G42))</f>
        <v>8</v>
      </c>
      <c r="H14" s="20">
        <f>IF(COUNT($D42:H42)=0,"X",SUM($D42:H42))</f>
        <v>11.5</v>
      </c>
      <c r="I14" s="20">
        <f>IF(COUNT($D42:I42)=0,"X",SUM($D42:I42))</f>
        <v>16</v>
      </c>
      <c r="J14" s="20">
        <f>IF(COUNT($D42:J42)=0,"X",SUM($D42:J42))</f>
        <v>23</v>
      </c>
      <c r="K14" s="20">
        <f>IF(COUNT($D42:K42)=0,"X",SUM($D42:K42))</f>
        <v>23</v>
      </c>
      <c r="L14" s="20">
        <f>IF(COUNT($D42:L42)=0,"X",SUM($D42:L42))</f>
        <v>23</v>
      </c>
      <c r="M14" s="20">
        <f>IF(COUNT($D42:M42)=0,"X",SUM($D42:M42))</f>
        <v>28.5</v>
      </c>
      <c r="N14" s="20">
        <f>IF(COUNT($D42:N42)=0,"X",SUM($D42:N42))</f>
        <v>31</v>
      </c>
      <c r="O14" s="20">
        <f>IF(COUNT($D42:O42)=0,"X",SUM($D42:O42))</f>
        <v>31</v>
      </c>
      <c r="P14" s="20">
        <f>IF(COUNT($D42:P42)=0,"X",SUM($D42:P42))</f>
      </c>
      <c r="Q14" s="2"/>
      <c r="R14" s="21"/>
      <c r="S14" s="8"/>
      <c r="T14" s="8"/>
      <c r="U14" s="8"/>
      <c r="V14" s="18"/>
      <c r="W14" s="18"/>
      <c r="X14" s="18"/>
      <c r="Y14" s="18"/>
      <c r="Z14" s="18"/>
      <c r="AA14" s="18"/>
      <c r="AB14" s="18"/>
      <c r="AC14" s="20"/>
      <c r="AD14" s="8"/>
    </row>
    <row r="15" spans="1:30" ht="15.75" customHeight="1" x14ac:dyDescent="0.2">
      <c r="A15" s="8"/>
      <c r="B15" s="8" t="str">
        <f>Handicaps!B15</f>
        <v>Grise</v>
      </c>
      <c r="C15" s="18">
        <f t="shared" si="0"/>
      </c>
      <c r="D15" s="20">
        <f>IF(COUNT($D43:D43)=0,"X",SUM($D43:D43))</f>
        <v>2.5</v>
      </c>
      <c r="E15" s="20">
        <f>IF(COUNT($D43:E43)=0,"X",SUM($D43:E43))</f>
        <v>7.5</v>
      </c>
      <c r="F15" s="20">
        <f>IF(COUNT($D43:F43)=0,"X",SUM($D43:F43))</f>
        <v>8.5</v>
      </c>
      <c r="G15" s="20">
        <f>IF(COUNT($D43:G43)=0,"X",SUM($D43:G43))</f>
        <v>13.5</v>
      </c>
      <c r="H15" s="20">
        <f>IF(COUNT($D43:H43)=0,"X",SUM($D43:H43))</f>
        <v>16</v>
      </c>
      <c r="I15" s="20">
        <f>IF(COUNT($D43:I43)=0,"X",SUM($D43:I43))</f>
        <v>20.5</v>
      </c>
      <c r="J15" s="20">
        <f>IF(COUNT($D43:J43)=0,"X",SUM($D43:J43))</f>
        <v>27</v>
      </c>
      <c r="K15" s="20">
        <f>IF(COUNT($D43:K43)=0,"X",SUM($D43:K43))</f>
        <v>31.5</v>
      </c>
      <c r="L15" s="20">
        <f>IF(COUNT($D43:L43)=0,"X",SUM($D43:L43))</f>
        <v>33.5</v>
      </c>
      <c r="M15" s="20">
        <f>IF(COUNT($D43:M43)=0,"X",SUM($D43:M43))</f>
        <v>38.5</v>
      </c>
      <c r="N15" s="20">
        <f>IF(COUNT($D43:N43)=0,"X",SUM($D43:N43))</f>
        <v>39</v>
      </c>
      <c r="O15" s="20">
        <f>IF(COUNT($D43:O43)=0,"X",SUM($D43:O43))</f>
        <v>43</v>
      </c>
      <c r="P15" s="20">
        <f>IF(COUNT($D43:P43)=0,"X",SUM($D43:P43))</f>
      </c>
      <c r="Q15" s="2"/>
      <c r="R15" s="21"/>
      <c r="S15" s="8"/>
      <c r="T15" s="8"/>
      <c r="U15" s="8"/>
      <c r="V15" s="18"/>
      <c r="W15" s="18"/>
      <c r="X15" s="18"/>
      <c r="Y15" s="18"/>
      <c r="Z15" s="18"/>
      <c r="AA15" s="18"/>
      <c r="AB15" s="18"/>
      <c r="AC15" s="20"/>
      <c r="AD15" s="8"/>
    </row>
    <row r="16" spans="1:30" ht="15.75" customHeight="1" x14ac:dyDescent="0.2">
      <c r="A16" s="8"/>
      <c r="B16" s="8" t="str">
        <f>Handicaps!B16</f>
        <v>Hilts</v>
      </c>
      <c r="C16" s="18">
        <f t="shared" si="0"/>
      </c>
      <c r="D16" s="20">
        <f>IF(COUNT($D44:D44)=0,"X",SUM($D44:D44))</f>
        <v>2.5</v>
      </c>
      <c r="E16" s="20">
        <f>IF(COUNT($D44:E44)=0,"X",SUM($D44:E44))</f>
        <v>4.5</v>
      </c>
      <c r="F16" s="20">
        <f>IF(COUNT($D44:F44)=0,"X",SUM($D44:F44))</f>
        <v>7</v>
      </c>
      <c r="G16" s="20">
        <f>IF(COUNT($D44:G44)=0,"X",SUM($D44:G44))</f>
        <v>7</v>
      </c>
      <c r="H16" s="20">
        <f>IF(COUNT($D44:H44)=0,"X",SUM($D44:H44))</f>
        <v>10</v>
      </c>
      <c r="I16" s="20">
        <f>IF(COUNT($D44:I44)=0,"X",SUM($D44:I44))</f>
        <v>13.5</v>
      </c>
      <c r="J16" s="20">
        <f>IF(COUNT($D44:J44)=0,"X",SUM($D44:J44))</f>
        <v>15.5</v>
      </c>
      <c r="K16" s="20">
        <f>IF(COUNT($D44:K44)=0,"X",SUM($D44:K44))</f>
        <v>20.5</v>
      </c>
      <c r="L16" s="20">
        <f>IF(COUNT($D44:L44)=0,"X",SUM($D44:L44))</f>
        <v>24</v>
      </c>
      <c r="M16" s="20">
        <f>IF(COUNT($D44:M44)=0,"X",SUM($D44:M44))</f>
        <v>27</v>
      </c>
      <c r="N16" s="20">
        <f>IF(COUNT($D44:N44)=0,"X",SUM($D44:N44))</f>
        <v>32.5</v>
      </c>
      <c r="O16" s="20">
        <f>IF(COUNT($D44:O44)=0,"X",SUM($D44:O44))</f>
        <v>37</v>
      </c>
      <c r="P16" s="20">
        <f>IF(COUNT($D44:P44)=0,"X",SUM($D44:P44))</f>
      </c>
      <c r="Q16" s="2"/>
      <c r="R16" s="21"/>
      <c r="S16" s="8"/>
      <c r="T16" s="22"/>
      <c r="U16" s="18"/>
      <c r="V16" s="18"/>
      <c r="W16" s="18"/>
      <c r="X16" s="18"/>
      <c r="Y16" s="18"/>
      <c r="Z16" s="18"/>
      <c r="AA16" s="18"/>
      <c r="AB16" s="18"/>
      <c r="AC16" s="20"/>
      <c r="AD16" s="8"/>
    </row>
    <row r="17" spans="1:30" ht="15.75" customHeight="1" x14ac:dyDescent="0.2">
      <c r="A17" s="8"/>
      <c r="B17" s="8" t="str">
        <f>Handicaps!B17</f>
        <v>Jackson</v>
      </c>
      <c r="C17" s="18">
        <f t="shared" si="0"/>
      </c>
      <c r="D17" s="20">
        <f>IF(COUNT($D45:D45)=0,"X",SUM($D45:D45))</f>
        <v>3.5</v>
      </c>
      <c r="E17" s="20">
        <f>IF(COUNT($D45:E45)=0,"X",SUM($D45:E45))</f>
        <v>9.5</v>
      </c>
      <c r="F17" s="20">
        <f>IF(COUNT($D45:F45)=0,"X",SUM($D45:F45))</f>
        <v>14.5</v>
      </c>
      <c r="G17" s="20">
        <f>IF(COUNT($D45:G45)=0,"X",SUM($D45:G45))</f>
        <v>17</v>
      </c>
      <c r="H17" s="20">
        <f>IF(COUNT($D45:H45)=0,"X",SUM($D45:H45))</f>
        <v>20.5</v>
      </c>
      <c r="I17" s="20">
        <f>IF(COUNT($D45:I45)=0,"X",SUM($D45:I45))</f>
        <v>27</v>
      </c>
      <c r="J17" s="20">
        <f>IF(COUNT($D45:J45)=0,"X",SUM($D45:J45))</f>
        <v>31</v>
      </c>
      <c r="K17" s="20">
        <f>IF(COUNT($D45:K45)=0,"X",SUM($D45:K45))</f>
        <v>33.5</v>
      </c>
      <c r="L17" s="20">
        <f>IF(COUNT($D45:L45)=0,"X",SUM($D45:L45))</f>
        <v>34.5</v>
      </c>
      <c r="M17" s="20">
        <f>IF(COUNT($D45:M45)=0,"X",SUM($D45:M45))</f>
        <v>40</v>
      </c>
      <c r="N17" s="20">
        <f>IF(COUNT($D45:N45)=0,"X",SUM($D45:N45))</f>
        <v>42.5</v>
      </c>
      <c r="O17" s="20">
        <f>IF(COUNT($D45:O45)=0,"X",SUM($D45:O45))</f>
        <v>46</v>
      </c>
      <c r="P17" s="20">
        <f>IF(COUNT($D45:P45)=0,"X",SUM($D45:P45))</f>
      </c>
      <c r="Q17" s="2"/>
      <c r="R17" s="21"/>
      <c r="S17" s="8"/>
      <c r="T17" s="8"/>
      <c r="U17" s="8"/>
      <c r="V17" s="18"/>
      <c r="W17" s="18"/>
      <c r="X17" s="18"/>
      <c r="Y17" s="18"/>
      <c r="Z17" s="18"/>
      <c r="AA17" s="18"/>
      <c r="AB17" s="18"/>
      <c r="AC17" s="20"/>
      <c r="AD17" s="8"/>
    </row>
    <row r="18" spans="1:30" ht="15.75" customHeight="1" x14ac:dyDescent="0.2">
      <c r="A18" s="8"/>
      <c r="B18" s="8" t="str">
        <f>Handicaps!B18</f>
        <v>Lynch</v>
      </c>
      <c r="C18" s="18">
        <f t="shared" si="0"/>
      </c>
      <c r="D18" s="20">
        <f>IF(COUNT($D46:D46)=0,"X",SUM($D46:D46))</f>
        <v>1.5</v>
      </c>
      <c r="E18" s="20">
        <f>IF(COUNT($D46:E46)=0,"X",SUM($D46:E46))</f>
        <v>5.5</v>
      </c>
      <c r="F18" s="20">
        <f>IF(COUNT($D46:F46)=0,"X",SUM($D46:F46))</f>
        <v>9.5</v>
      </c>
      <c r="G18" s="20">
        <f>IF(COUNT($D46:G46)=0,"X",SUM($D46:G46))</f>
        <v>13.5</v>
      </c>
      <c r="H18" s="20">
        <f>IF(COUNT($D46:H46)=0,"X",SUM($D46:H46))</f>
        <v>17</v>
      </c>
      <c r="I18" s="20">
        <f>IF(COUNT($D46:I46)=0,"X",SUM($D46:I46))</f>
        <v>18.5</v>
      </c>
      <c r="J18" s="20">
        <f>IF(COUNT($D46:J46)=0,"X",SUM($D46:J46))</f>
        <v>23</v>
      </c>
      <c r="K18" s="20">
        <f>IF(COUNT($D46:K46)=0,"X",SUM($D46:K46))</f>
        <v>27</v>
      </c>
      <c r="L18" s="20">
        <f>IF(COUNT($D46:L46)=0,"X",SUM($D46:L46))</f>
        <v>32.5</v>
      </c>
      <c r="M18" s="20">
        <f>IF(COUNT($D46:M46)=0,"X",SUM($D46:M46))</f>
        <v>36</v>
      </c>
      <c r="N18" s="20">
        <f>IF(COUNT($D46:N46)=0,"X",SUM($D46:N46))</f>
        <v>38</v>
      </c>
      <c r="O18" s="20">
        <f>IF(COUNT($D46:O46)=0,"X",SUM($D46:O46))</f>
        <v>41</v>
      </c>
      <c r="P18" s="20">
        <f>IF(COUNT($D46:P46)=0,"X",SUM($D46:P46))</f>
      </c>
      <c r="Q18" s="2"/>
      <c r="R18" s="21"/>
      <c r="S18" s="8"/>
      <c r="T18" s="8"/>
      <c r="U18" s="8"/>
      <c r="V18" s="18"/>
      <c r="W18" s="18"/>
      <c r="X18" s="18"/>
      <c r="Y18" s="18"/>
      <c r="Z18" s="18"/>
      <c r="AA18" s="18"/>
      <c r="AB18" s="18"/>
      <c r="AC18" s="20"/>
      <c r="AD18" s="8"/>
    </row>
    <row r="19" spans="1:30" ht="15.75" customHeight="1" x14ac:dyDescent="0.2">
      <c r="A19" s="8"/>
      <c r="B19" s="8" t="str">
        <f>Handicaps!B19</f>
        <v>Mangold</v>
      </c>
      <c r="C19" s="18">
        <f t="shared" si="0"/>
      </c>
      <c r="D19" s="20">
        <f>IF(COUNT($D47:D47)=0,"X",SUM($D47:D47))</f>
        <v>0</v>
      </c>
      <c r="E19" s="20">
        <f>IF(COUNT($D47:E47)=0,"X",SUM($D47:E47))</f>
        <v>3.5</v>
      </c>
      <c r="F19" s="20">
        <f>IF(COUNT($D47:F47)=0,"X",SUM($D47:F47))</f>
        <v>6.5</v>
      </c>
      <c r="G19" s="20">
        <f>IF(COUNT($D47:G47)=0,"X",SUM($D47:G47))</f>
        <v>8.5</v>
      </c>
      <c r="H19" s="20">
        <f>IF(COUNT($D47:H47)=0,"X",SUM($D47:H47))</f>
        <v>13.5</v>
      </c>
      <c r="I19" s="20">
        <f>IF(COUNT($D47:I47)=0,"X",SUM($D47:I47))</f>
        <v>14.5</v>
      </c>
      <c r="J19" s="20">
        <f>IF(COUNT($D47:J47)=0,"X",SUM($D47:J47))</f>
        <v>17</v>
      </c>
      <c r="K19" s="20">
        <f>IF(COUNT($D47:K47)=0,"X",SUM($D47:K47))</f>
        <v>18</v>
      </c>
      <c r="L19" s="20">
        <f>IF(COUNT($D47:L47)=0,"X",SUM($D47:L47))</f>
        <v>18</v>
      </c>
      <c r="M19" s="20">
        <f>IF(COUNT($D47:M47)=0,"X",SUM($D47:M47))</f>
        <v>21.5</v>
      </c>
      <c r="N19" s="20">
        <f>IF(COUNT($D47:N47)=0,"X",SUM($D47:N47))</f>
        <v>23</v>
      </c>
      <c r="O19" s="20">
        <f>IF(COUNT($D47:O47)=0,"X",SUM($D47:O47))</f>
        <v>28.5</v>
      </c>
      <c r="P19" s="20">
        <f>IF(COUNT($D47:P47)=0,"X",SUM($D47:P47))</f>
      </c>
      <c r="Q19" s="2"/>
      <c r="R19" s="21"/>
      <c r="S19" s="8"/>
      <c r="T19" s="8"/>
      <c r="U19" s="18"/>
      <c r="V19" s="18"/>
      <c r="W19" s="18"/>
      <c r="X19" s="18"/>
      <c r="Y19" s="18"/>
      <c r="Z19" s="18"/>
      <c r="AA19" s="18"/>
      <c r="AB19" s="18"/>
      <c r="AC19" s="20"/>
      <c r="AD19" s="8"/>
    </row>
    <row r="20" spans="1:30" ht="15.75" customHeight="1" x14ac:dyDescent="0.2">
      <c r="A20" s="8"/>
      <c r="B20" s="8" t="str">
        <f>Handicaps!B20</f>
        <v>McInerney</v>
      </c>
      <c r="C20" s="18">
        <f t="shared" si="0"/>
      </c>
      <c r="D20" s="20" t="str">
        <f>IF(COUNT($D48:D48)=0,"X",SUM($D48:D48))</f>
        <v>X</v>
      </c>
      <c r="E20" s="20" t="str">
        <f>IF(COUNT($D48:E48)=0,"X",SUM($D48:E48))</f>
        <v>X</v>
      </c>
      <c r="F20" s="20">
        <f>IF(COUNT($D48:F48)=0,"X",SUM($D48:F48))</f>
        <v>2.5</v>
      </c>
      <c r="G20" s="20">
        <f>IF(COUNT($D48:G48)=0,"X",SUM($D48:G48))</f>
        <v>6</v>
      </c>
      <c r="H20" s="20">
        <f>IF(COUNT($D48:H48)=0,"X",SUM($D48:H48))</f>
        <v>9.5</v>
      </c>
      <c r="I20" s="20">
        <f>IF(COUNT($D48:I48)=0,"X",SUM($D48:I48))</f>
        <v>15</v>
      </c>
      <c r="J20" s="20">
        <f>IF(COUNT($D48:J48)=0,"X",SUM($D48:J48))</f>
        <v>18</v>
      </c>
      <c r="K20" s="20">
        <f>IF(COUNT($D48:K48)=0,"X",SUM($D48:K48))</f>
        <v>21</v>
      </c>
      <c r="L20" s="20">
        <f>IF(COUNT($D48:L48)=0,"X",SUM($D48:L48))</f>
        <v>25</v>
      </c>
      <c r="M20" s="20">
        <f>IF(COUNT($D48:M48)=0,"X",SUM($D48:M48))</f>
        <v>28</v>
      </c>
      <c r="N20" s="20">
        <f>IF(COUNT($D48:N48)=0,"X",SUM($D48:N48))</f>
        <v>28</v>
      </c>
      <c r="O20" s="20">
        <f>IF(COUNT($D48:O48)=0,"X",SUM($D48:O48))</f>
        <v>28</v>
      </c>
      <c r="P20" s="20">
        <f>IF(COUNT($D48:P48)=0,"X",SUM($D48:P48))</f>
      </c>
      <c r="Q20" s="2"/>
      <c r="R20" s="21"/>
      <c r="S20" s="8"/>
      <c r="T20" s="8"/>
      <c r="U20" s="18"/>
      <c r="V20" s="18"/>
      <c r="W20" s="18"/>
      <c r="X20" s="18"/>
      <c r="Y20" s="18"/>
      <c r="Z20" s="18"/>
      <c r="AA20" s="18"/>
      <c r="AB20" s="18"/>
      <c r="AC20" s="20"/>
      <c r="AD20" s="8"/>
    </row>
    <row r="21" spans="1:30" ht="15.75" customHeight="1" x14ac:dyDescent="0.2">
      <c r="A21" s="8"/>
      <c r="B21" s="8" t="str">
        <f>Handicaps!B21</f>
        <v>Norat</v>
      </c>
      <c r="C21" s="18">
        <f t="shared" si="0"/>
      </c>
      <c r="D21" s="20" t="str">
        <f>IF(COUNT($D49:D49)=0,"X",SUM($D49:D49))</f>
        <v>X</v>
      </c>
      <c r="E21" s="20" t="str">
        <f>IF(COUNT($D49:E49)=0,"X",SUM($D49:E49))</f>
        <v>X</v>
      </c>
      <c r="F21" s="20">
        <f>IF(COUNT($D49:F49)=0,"X",SUM($D49:F49))</f>
        <v>2.5</v>
      </c>
      <c r="G21" s="20">
        <f>IF(COUNT($D49:G49)=0,"X",SUM($D49:G49))</f>
        <v>4.5</v>
      </c>
      <c r="H21" s="20">
        <f>IF(COUNT($D49:H49)=0,"X",SUM($D49:H49))</f>
        <v>10</v>
      </c>
      <c r="I21" s="20">
        <f>IF(COUNT($D49:I49)=0,"X",SUM($D49:I49))</f>
        <v>14</v>
      </c>
      <c r="J21" s="20">
        <f>IF(COUNT($D49:J49)=0,"X",SUM($D49:J49))</f>
        <v>16</v>
      </c>
      <c r="K21" s="20">
        <f>IF(COUNT($D49:K49)=0,"X",SUM($D49:K49))</f>
        <v>16</v>
      </c>
      <c r="L21" s="20">
        <f>IF(COUNT($D49:L49)=0,"X",SUM($D49:L49))</f>
        <v>16</v>
      </c>
      <c r="M21" s="20">
        <f>IF(COUNT($D49:M49)=0,"X",SUM($D49:M49))</f>
        <v>16</v>
      </c>
      <c r="N21" s="20">
        <f>IF(COUNT($D49:N49)=0,"X",SUM($D49:N49))</f>
        <v>21</v>
      </c>
      <c r="O21" s="20">
        <f>IF(COUNT($D49:O49)=0,"X",SUM($D49:O49))</f>
        <v>21</v>
      </c>
      <c r="P21" s="20">
        <f>IF(COUNT($D49:P49)=0,"X",SUM($D49:P49))</f>
      </c>
      <c r="Q21" s="2"/>
      <c r="R21" s="21"/>
      <c r="S21" s="8"/>
      <c r="T21" s="8"/>
      <c r="U21" s="18"/>
      <c r="V21" s="18"/>
      <c r="W21" s="18"/>
      <c r="X21" s="18"/>
      <c r="Y21" s="18"/>
      <c r="Z21" s="18"/>
      <c r="AA21" s="18"/>
      <c r="AB21" s="18"/>
      <c r="AC21" s="20"/>
      <c r="AD21" s="8"/>
    </row>
    <row r="22" spans="1:30" ht="15.75" customHeight="1" x14ac:dyDescent="0.2">
      <c r="A22" s="8"/>
      <c r="B22" s="8" t="s">
        <v>36</v>
      </c>
      <c r="C22" s="18">
        <f t="shared" si="0"/>
      </c>
      <c r="D22" s="20" t="str">
        <f>IF(COUNT($D50:D50)=0,"X",SUM($D50:D50))</f>
        <v>X</v>
      </c>
      <c r="E22" s="20" t="str">
        <f>IF(COUNT($D50:E50)=0,"X",SUM($D50:E50))</f>
        <v>X</v>
      </c>
      <c r="F22" s="20" t="str">
        <f>IF(COUNT($D50:F50)=0,"X",SUM($D50:F50))</f>
        <v>X</v>
      </c>
      <c r="G22" s="20" t="str">
        <f>IF(COUNT($D50:G50)=0,"X",SUM($D50:G50))</f>
        <v>X</v>
      </c>
      <c r="H22" s="20" t="str">
        <f>IF(COUNT($D50:H50)=0,"X",SUM($D50:H50))</f>
        <v>X</v>
      </c>
      <c r="I22" s="20" t="str">
        <f>IF(COUNT($D50:I50)=0,"X",SUM($D50:I50))</f>
        <v>X</v>
      </c>
      <c r="J22" s="20" t="str">
        <f>IF(COUNT($D50:J50)=0,"X",SUM($D50:J50))</f>
        <v>X</v>
      </c>
      <c r="K22" s="20">
        <f>IF(COUNT($D50:K50)=0,"X",SUM($D50:K50))</f>
        <v>5.5</v>
      </c>
      <c r="L22" s="20">
        <f>IF(COUNT($D50:L50)=0,"X",SUM($D50:L50))</f>
        <v>11.5</v>
      </c>
      <c r="M22" s="20">
        <f>IF(COUNT($D50:M50)=0,"X",SUM($D50:M50))</f>
        <v>13.5</v>
      </c>
      <c r="N22" s="20">
        <f>IF(COUNT($D50:N50)=0,"X",SUM($D50:N50))</f>
        <v>13.5</v>
      </c>
      <c r="O22" s="20">
        <f>IF(COUNT($D50:O50)=0,"X",SUM($D50:O50))</f>
        <v>18.5</v>
      </c>
      <c r="P22" s="20">
        <f>IF(COUNT($D50:P50)=0,"X",SUM($D50:P50))</f>
      </c>
      <c r="Q22" s="2"/>
      <c r="R22" s="21"/>
      <c r="S22" s="8"/>
      <c r="T22" s="8"/>
      <c r="U22" s="18"/>
      <c r="V22" s="18"/>
      <c r="W22" s="18"/>
      <c r="X22" s="18"/>
      <c r="Y22" s="18"/>
      <c r="Z22" s="18"/>
      <c r="AA22" s="18"/>
      <c r="AB22" s="18"/>
      <c r="AC22" s="20"/>
      <c r="AD22" s="8"/>
    </row>
    <row r="23" spans="1:30" ht="15.75" customHeight="1" x14ac:dyDescent="0.2">
      <c r="A23" s="8"/>
      <c r="B23" s="8" t="s">
        <v>37</v>
      </c>
      <c r="C23" s="18">
        <f t="shared" si="0"/>
      </c>
      <c r="D23" s="20" t="str">
        <f>IF(COUNT($D51:D51)=0,"X",SUM($D51:D51))</f>
        <v>X</v>
      </c>
      <c r="E23" s="20" t="str">
        <f>IF(COUNT($D51:E51)=0,"X",SUM($D51:E51))</f>
        <v>X</v>
      </c>
      <c r="F23" s="20" t="str">
        <f>IF(COUNT($D51:F51)=0,"X",SUM($D51:F51))</f>
        <v>X</v>
      </c>
      <c r="G23" s="20" t="str">
        <f>IF(COUNT($D51:G51)=0,"X",SUM($D51:G51))</f>
        <v>X</v>
      </c>
      <c r="H23" s="20" t="str">
        <f>IF(COUNT($D51:H51)=0,"X",SUM($D51:H51))</f>
        <v>X</v>
      </c>
      <c r="I23" s="20" t="str">
        <f>IF(COUNT($D51:I51)=0,"X",SUM($D51:I51))</f>
        <v>X</v>
      </c>
      <c r="J23" s="20" t="str">
        <f>IF(COUNT($D51:J51)=0,"X",SUM($D51:J51))</f>
        <v>X</v>
      </c>
      <c r="K23" s="20">
        <f>IF(COUNT($D51:K51)=0,"X",SUM($D51:K51))</f>
        <v>1.5</v>
      </c>
      <c r="L23" s="20">
        <f>IF(COUNT($D51:L51)=0,"X",SUM($D51:L51))</f>
        <v>1.5</v>
      </c>
      <c r="M23" s="20">
        <f>IF(COUNT($D51:M51)=0,"X",SUM($D51:M51))</f>
        <v>1.5</v>
      </c>
      <c r="N23" s="20">
        <f>IF(COUNT($D51:N51)=0,"X",SUM($D51:N51))</f>
        <v>1.5</v>
      </c>
      <c r="O23" s="20">
        <f>IF(COUNT($D51:O51)=0,"X",SUM($D51:O51))</f>
        <v>2.5</v>
      </c>
      <c r="P23" s="20">
        <f>IF(COUNT($D51:P51)=0,"X",SUM($D51:P51))</f>
      </c>
      <c r="Q23" s="2"/>
      <c r="R23" s="21"/>
      <c r="S23" s="8"/>
      <c r="T23" s="8"/>
      <c r="U23" s="18"/>
      <c r="V23" s="18"/>
      <c r="W23" s="18"/>
      <c r="X23" s="18"/>
      <c r="Y23" s="18"/>
      <c r="Z23" s="18"/>
      <c r="AA23" s="18"/>
      <c r="AB23" s="18"/>
      <c r="AC23" s="20"/>
      <c r="AD23" s="8"/>
    </row>
    <row r="24" spans="1:30" ht="15.75" customHeight="1" x14ac:dyDescent="0.2">
      <c r="A24" s="8"/>
      <c r="B24" s="8" t="str">
        <f>Handicaps!B24</f>
        <v>Poirier</v>
      </c>
      <c r="C24" s="18">
        <f t="shared" si="0"/>
      </c>
      <c r="D24" s="20">
        <f>IF(COUNT($D52:D52)=0,"X",SUM($D52:D52))</f>
        <v>3.5</v>
      </c>
      <c r="E24" s="20">
        <f>IF(COUNT($D52:E52)=0,"X",SUM($D52:E52))</f>
        <v>3.5</v>
      </c>
      <c r="F24" s="20">
        <f>IF(COUNT($D52:F52)=0,"X",SUM($D52:F52))</f>
        <v>3.5</v>
      </c>
      <c r="G24" s="20">
        <f>IF(COUNT($D52:G52)=0,"X",SUM($D52:G52))</f>
        <v>3.5</v>
      </c>
      <c r="H24" s="20">
        <f>IF(COUNT($D52:H52)=0,"X",SUM($D52:H52))</f>
        <v>7</v>
      </c>
      <c r="I24" s="20">
        <f>IF(COUNT($D52:I52)=0,"X",SUM($D52:I52))</f>
        <v>7</v>
      </c>
      <c r="J24" s="20">
        <f>IF(COUNT($D52:J52)=0,"X",SUM($D52:J52))</f>
        <v>11.5</v>
      </c>
      <c r="K24" s="20">
        <f>IF(COUNT($D52:K52)=0,"X",SUM($D52:K52))</f>
        <v>11.5</v>
      </c>
      <c r="L24" s="20">
        <f>IF(COUNT($D52:L52)=0,"X",SUM($D52:L52))</f>
        <v>16</v>
      </c>
      <c r="M24" s="20">
        <f>IF(COUNT($D52:M52)=0,"X",SUM($D52:M52))</f>
        <v>16</v>
      </c>
      <c r="N24" s="20">
        <f>IF(COUNT($D52:N52)=0,"X",SUM($D52:N52))</f>
        <v>21</v>
      </c>
      <c r="O24" s="20">
        <f>IF(COUNT($D52:O52)=0,"X",SUM($D52:O52))</f>
        <v>27</v>
      </c>
      <c r="P24" s="20">
        <f>IF(COUNT($D52:P52)=0,"X",SUM($D52:P52))</f>
      </c>
      <c r="Q24" s="2"/>
      <c r="R24" s="21"/>
      <c r="S24" s="8"/>
      <c r="T24" s="8"/>
      <c r="U24" s="18"/>
      <c r="V24" s="18"/>
      <c r="W24" s="18"/>
      <c r="X24" s="18"/>
      <c r="Y24" s="18"/>
      <c r="Z24" s="18"/>
      <c r="AA24" s="18"/>
      <c r="AB24" s="18"/>
      <c r="AC24" s="20"/>
      <c r="AD24" s="8"/>
    </row>
    <row r="25" spans="1:30" ht="15.75" customHeight="1" x14ac:dyDescent="0.2">
      <c r="A25" s="8"/>
      <c r="B25" s="8" t="str">
        <f>Handicaps!B25</f>
        <v>Shively</v>
      </c>
      <c r="C25" s="18">
        <f t="shared" si="0"/>
      </c>
      <c r="D25" s="20">
        <f>IF(COUNT($D53:D53)=0,"X",SUM($D53:D53))</f>
        <v>4</v>
      </c>
      <c r="E25" s="20">
        <f>IF(COUNT($D53:E53)=0,"X",SUM($D53:E53))</f>
        <v>7</v>
      </c>
      <c r="F25" s="20">
        <f>IF(COUNT($D53:F53)=0,"X",SUM($D53:F53))</f>
        <v>8.5</v>
      </c>
      <c r="G25" s="20">
        <f>IF(COUNT($D53:G53)=0,"X",SUM($D53:G53))</f>
        <v>11</v>
      </c>
      <c r="H25" s="20">
        <f>IF(COUNT($D53:H53)=0,"X",SUM($D53:H53))</f>
        <v>11.5</v>
      </c>
      <c r="I25" s="20">
        <f>IF(COUNT($D53:I53)=0,"X",SUM($D53:I53))</f>
        <v>17</v>
      </c>
      <c r="J25" s="20">
        <f>IF(COUNT($D53:J53)=0,"X",SUM($D53:J53))</f>
        <v>20.5</v>
      </c>
      <c r="K25" s="20">
        <f>IF(COUNT($D53:K53)=0,"X",SUM($D53:K53))</f>
        <v>23</v>
      </c>
      <c r="L25" s="20">
        <f>IF(COUNT($D53:L53)=0,"X",SUM($D53:L53))</f>
        <v>24</v>
      </c>
      <c r="M25" s="20">
        <f>IF(COUNT($D53:M53)=0,"X",SUM($D53:M53))</f>
        <v>24</v>
      </c>
      <c r="N25" s="20">
        <f>IF(COUNT($D53:N53)=0,"X",SUM($D53:N53))</f>
        <v>25.5</v>
      </c>
      <c r="O25" s="20">
        <f>IF(COUNT($D53:O53)=0,"X",SUM($D53:O53))</f>
        <v>27</v>
      </c>
      <c r="P25" s="20">
        <f>IF(COUNT($D53:P53)=0,"X",SUM($D53:P53))</f>
      </c>
      <c r="Q25" s="2"/>
      <c r="R25" s="21"/>
      <c r="S25" s="8"/>
      <c r="T25" s="8"/>
      <c r="U25" s="18"/>
      <c r="V25" s="18"/>
      <c r="W25" s="18"/>
      <c r="X25" s="18"/>
      <c r="Y25" s="18"/>
      <c r="Z25" s="18"/>
      <c r="AA25" s="18"/>
      <c r="AB25" s="18"/>
      <c r="AC25" s="20"/>
      <c r="AD25" s="8"/>
    </row>
    <row r="26" spans="1:30" ht="15.75" customHeight="1" x14ac:dyDescent="0.2">
      <c r="A26" s="8"/>
      <c r="B26" s="8" t="str">
        <f>Handicaps!B26</f>
        <v>Welker</v>
      </c>
      <c r="C26" s="18">
        <f t="shared" si="0"/>
      </c>
      <c r="D26" s="20" t="str">
        <f>IF(COUNT($D54:D54)=0,"X",SUM($D54:D54))</f>
        <v>X</v>
      </c>
      <c r="E26" s="20" t="str">
        <f>IF(COUNT($D54:E54)=0,"X",SUM($D54:E54))</f>
        <v>X</v>
      </c>
      <c r="F26" s="20" t="str">
        <f>IF(COUNT($D54:F54)=0,"X",SUM($D54:F54))</f>
        <v>X</v>
      </c>
      <c r="G26" s="20">
        <f>IF(COUNT($D54:G54)=0,"X",SUM($D54:G54))</f>
        <v>2</v>
      </c>
      <c r="H26" s="20">
        <f>IF(COUNT($D54:H54)=0,"X",SUM($D54:H54))</f>
        <v>5</v>
      </c>
      <c r="I26" s="20">
        <f>IF(COUNT($D54:I54)=0,"X",SUM($D54:I54))</f>
        <v>10.5</v>
      </c>
      <c r="J26" s="20">
        <f>IF(COUNT($D54:J54)=0,"X",SUM($D54:J54))</f>
        <v>13.5</v>
      </c>
      <c r="K26" s="20">
        <f>IF(COUNT($D54:K54)=0,"X",SUM($D54:K54))</f>
        <v>16.5</v>
      </c>
      <c r="L26" s="20">
        <f>IF(COUNT($D54:L54)=0,"X",SUM($D54:L54))</f>
        <v>19.5</v>
      </c>
      <c r="M26" s="20">
        <f>IF(COUNT($D54:M54)=0,"X",SUM($D54:M54))</f>
        <v>24.5</v>
      </c>
      <c r="N26" s="20">
        <f>IF(COUNT($D54:N54)=0,"X",SUM($D54:N54))</f>
        <v>28.5</v>
      </c>
      <c r="O26" s="20">
        <f>IF(COUNT($D54:O54)=0,"X",SUM($D54:O54))</f>
        <v>28.5</v>
      </c>
      <c r="P26" s="20">
        <f>IF(COUNT($D54:P54)=0,"X",SUM($D54:P54))</f>
      </c>
      <c r="Q26" s="2"/>
      <c r="R26" s="21"/>
      <c r="S26" s="8"/>
      <c r="T26" s="8"/>
      <c r="U26" s="18"/>
      <c r="V26" s="18"/>
      <c r="W26" s="18"/>
      <c r="X26" s="18"/>
      <c r="Y26" s="18"/>
      <c r="Z26" s="18"/>
      <c r="AA26" s="18"/>
      <c r="AB26" s="18"/>
      <c r="AC26" s="20"/>
      <c r="AD26" s="8"/>
    </row>
    <row r="27" spans="1:30" ht="15.75" customHeight="1" x14ac:dyDescent="0.2">
      <c r="A27" s="8"/>
      <c r="B27" s="8" t="str">
        <f>Handicaps!B27</f>
        <v>Zimmer</v>
      </c>
      <c r="C27" s="18">
        <f t="shared" si="0"/>
      </c>
      <c r="D27" s="20" t="str">
        <f>IF(COUNT($D55:D55)=0,"X",SUM($D55:D55))</f>
        <v>X</v>
      </c>
      <c r="E27" s="20" t="str">
        <f>IF(COUNT($D55:E55)=0,"X",SUM($D55:E55))</f>
        <v>X</v>
      </c>
      <c r="F27" s="20">
        <f>IF(COUNT($D55:F55)=0,"X",SUM($D55:F55))</f>
        <v>4</v>
      </c>
      <c r="G27" s="20">
        <f>IF(COUNT($D55:G55)=0,"X",SUM($D55:G55))</f>
        <v>8</v>
      </c>
      <c r="H27" s="20">
        <f>IF(COUNT($D55:H55)=0,"X",SUM($D55:H55))</f>
        <v>12.5</v>
      </c>
      <c r="I27" s="20">
        <f>IF(COUNT($D55:I55)=0,"X",SUM($D55:I55))</f>
        <v>13.5</v>
      </c>
      <c r="J27" s="20">
        <f>IF(COUNT($D55:J55)=0,"X",SUM($D55:J55))</f>
        <v>19.5</v>
      </c>
      <c r="K27" s="20">
        <f>IF(COUNT($D55:K55)=0,"X",SUM($D55:K55))</f>
        <v>24</v>
      </c>
      <c r="L27" s="20">
        <f>IF(COUNT($D55:L55)=0,"X",SUM($D55:L55))</f>
        <v>27.5</v>
      </c>
      <c r="M27" s="20">
        <f>IF(COUNT($D55:M55)=0,"X",SUM($D55:M55))</f>
        <v>28.5</v>
      </c>
      <c r="N27" s="20">
        <f>IF(COUNT($D55:N55)=0,"X",SUM($D55:N55))</f>
        <v>31</v>
      </c>
      <c r="O27" s="20">
        <f>IF(COUNT($D55:O55)=0,"X",SUM($D55:O55))</f>
        <v>32.5</v>
      </c>
      <c r="P27" s="20">
        <f>IF(COUNT($D55:P55)=0,"X",SUM($D55:P55))</f>
      </c>
      <c r="Q27" s="2"/>
      <c r="R27" s="21"/>
      <c r="S27" s="8"/>
      <c r="T27" s="8"/>
      <c r="U27" s="18"/>
      <c r="V27" s="18"/>
      <c r="W27" s="18"/>
      <c r="X27" s="18"/>
      <c r="Y27" s="18"/>
      <c r="Z27" s="18"/>
      <c r="AA27" s="18"/>
      <c r="AB27" s="18"/>
      <c r="AC27" s="20"/>
      <c r="AD27" s="8"/>
    </row>
    <row r="28" spans="1:30" ht="15.75" customHeight="1" x14ac:dyDescent="0.2">
      <c r="A28" s="8"/>
      <c r="B28" s="8"/>
      <c r="C28" s="18"/>
      <c r="D28" s="18"/>
      <c r="E28" s="18"/>
      <c r="F28" s="18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8"/>
      <c r="R28" s="8"/>
      <c r="S28" s="8"/>
      <c r="T28" s="8"/>
      <c r="U28" s="18"/>
      <c r="V28" s="18"/>
      <c r="W28" s="18"/>
      <c r="X28" s="18"/>
      <c r="Y28" s="18"/>
      <c r="Z28" s="18"/>
      <c r="AA28" s="18"/>
      <c r="AB28" s="18"/>
      <c r="AC28" s="20"/>
      <c r="AD28" s="8"/>
    </row>
    <row r="29" spans="1:30" ht="15.75" customHeight="1" x14ac:dyDescent="0.2">
      <c r="A29" s="17" t="s">
        <v>47</v>
      </c>
      <c r="B29" s="3" t="s">
        <v>0</v>
      </c>
      <c r="C29" s="8"/>
      <c r="D29" s="19" t="str">
        <f t="shared" ref="D29:N29" si="1">D2</f>
        <v>FBC 1</v>
      </c>
      <c r="E29" s="19" t="str">
        <f t="shared" si="1"/>
        <v>FBC 2</v>
      </c>
      <c r="F29" s="19" t="str">
        <f t="shared" si="1"/>
        <v>FBC 3</v>
      </c>
      <c r="G29" s="19" t="str">
        <f t="shared" si="1"/>
        <v>FBC 4</v>
      </c>
      <c r="H29" s="19" t="str">
        <f t="shared" si="1"/>
        <v>FBC 5</v>
      </c>
      <c r="I29" s="19" t="str">
        <f t="shared" si="1"/>
        <v>FBC 6</v>
      </c>
      <c r="J29" s="19" t="str">
        <f t="shared" si="1"/>
        <v>FBC 7</v>
      </c>
      <c r="K29" s="19" t="str">
        <f t="shared" si="1"/>
        <v>FBC 8</v>
      </c>
      <c r="L29" s="19" t="str">
        <f t="shared" si="1"/>
        <v>FBC 9</v>
      </c>
      <c r="M29" s="19" t="str">
        <f t="shared" si="1"/>
        <v>FBC 10</v>
      </c>
      <c r="N29" s="19" t="str">
        <f t="shared" si="1"/>
        <v>FBC 11</v>
      </c>
      <c r="O29" s="19" t="s">
        <v>11</v>
      </c>
      <c r="P29" s="19" t="str">
        <f>P2</f>
        <v>FBC 13</v>
      </c>
      <c r="Q29" s="17" t="s">
        <v>48</v>
      </c>
      <c r="R29" s="19" t="s">
        <v>49</v>
      </c>
      <c r="S29" s="19" t="s">
        <v>50</v>
      </c>
      <c r="T29" s="19" t="s">
        <v>12</v>
      </c>
      <c r="U29" s="19" t="s">
        <v>16</v>
      </c>
      <c r="V29" s="18"/>
      <c r="W29" s="18"/>
      <c r="X29" s="18"/>
      <c r="Y29" s="18"/>
      <c r="Z29" s="18"/>
      <c r="AA29" s="18"/>
      <c r="AB29" s="18"/>
      <c r="AC29" s="20"/>
    </row>
    <row r="30" spans="1:30" ht="15.75" customHeight="1" x14ac:dyDescent="0.2">
      <c r="A30" s="17"/>
      <c r="B30" s="3"/>
      <c r="C30" s="8"/>
      <c r="D30" s="19" t="s">
        <v>51</v>
      </c>
      <c r="E30" s="19" t="s">
        <v>52</v>
      </c>
      <c r="F30" s="19" t="s">
        <v>53</v>
      </c>
      <c r="G30" s="19" t="s">
        <v>54</v>
      </c>
      <c r="H30" s="19" t="s">
        <v>55</v>
      </c>
      <c r="I30" s="19" t="s">
        <v>56</v>
      </c>
      <c r="J30" s="19" t="s">
        <v>57</v>
      </c>
      <c r="K30" s="19" t="s">
        <v>58</v>
      </c>
      <c r="L30" s="19" t="s">
        <v>59</v>
      </c>
      <c r="M30" s="19" t="s">
        <v>60</v>
      </c>
      <c r="N30" s="19" t="s">
        <v>61</v>
      </c>
      <c r="O30" s="19" t="s">
        <v>62</v>
      </c>
      <c r="P30" s="19" t="inlineStr">
        <is>
          <t>Frisco</t>
        </is>
      </c>
      <c r="Q30" s="17"/>
      <c r="R30" s="19"/>
      <c r="S30" s="19"/>
      <c r="T30" s="19"/>
      <c r="U30" s="19"/>
      <c r="V30" s="18"/>
      <c r="W30" s="18"/>
      <c r="X30" s="18"/>
      <c r="Y30" s="18"/>
      <c r="Z30" s="18"/>
      <c r="AA30" s="18"/>
      <c r="AB30" s="18"/>
      <c r="AC30" s="20"/>
    </row>
    <row r="31" spans="1:30" ht="15.75" customHeight="1" x14ac:dyDescent="0.2">
      <c r="A31" s="8"/>
      <c r="B31" s="8" t="str">
        <f>B3</f>
        <v>Cole</v>
      </c>
      <c r="C31" s="18"/>
      <c r="D31" s="20" t="s">
        <v>18</v>
      </c>
      <c r="E31" s="20">
        <v>0.5</v>
      </c>
      <c r="F31" s="20">
        <v>3.5</v>
      </c>
      <c r="G31" s="20">
        <v>2.5</v>
      </c>
      <c r="H31" s="20">
        <v>1</v>
      </c>
      <c r="I31" s="20">
        <v>4</v>
      </c>
      <c r="J31" s="20">
        <v>4.5</v>
      </c>
      <c r="K31" s="20">
        <v>3.5</v>
      </c>
      <c r="L31" s="20">
        <v>2.5</v>
      </c>
      <c r="M31" s="20">
        <v>4.5</v>
      </c>
      <c r="N31" s="20">
        <v>3.5</v>
      </c>
      <c r="O31" s="20" t="s">
        <v>18</v>
      </c>
      <c r="P31" s="20">
        <v>4</v>
      </c>
      <c r="Q31" s="20">
        <f t="shared" ref="Q31:Q55" si="2">SUM(D31:P31)</f>
      </c>
      <c r="R31" s="20">
        <f t="shared" ref="R31:R55" si="3">MAX(D31:P31)</f>
      </c>
      <c r="S31" s="20">
        <f t="shared" ref="S31:S55" si="4">MIN(D31:P31)</f>
      </c>
      <c r="T31" s="21">
        <f t="shared" ref="T31:T55" si="5">AVERAGE(D31:P31)</f>
      </c>
      <c r="U31" s="20">
        <f t="shared" ref="U31:U55" si="6">R31-S31</f>
        <v>4</v>
      </c>
      <c r="V31" s="18"/>
      <c r="W31" s="18"/>
      <c r="X31" s="18"/>
      <c r="Y31" s="18"/>
      <c r="Z31" s="18"/>
      <c r="AA31" s="18"/>
      <c r="AB31" s="18"/>
      <c r="AC31" s="20"/>
    </row>
    <row r="32" spans="1:30" ht="15.75" customHeight="1" x14ac:dyDescent="0.2">
      <c r="A32" s="8"/>
      <c r="B32" s="8" t="str">
        <f>B4</f>
        <v>Connolly, B</v>
      </c>
      <c r="C32" s="18"/>
      <c r="D32" s="20">
        <v>6</v>
      </c>
      <c r="E32" s="20">
        <v>3.5</v>
      </c>
      <c r="F32" s="20">
        <v>4.5</v>
      </c>
      <c r="G32" s="20">
        <v>3.5</v>
      </c>
      <c r="H32" s="20">
        <v>4</v>
      </c>
      <c r="I32" s="20">
        <v>2</v>
      </c>
      <c r="J32" s="20">
        <v>2</v>
      </c>
      <c r="K32" s="20">
        <v>4</v>
      </c>
      <c r="L32" s="20">
        <v>3.5</v>
      </c>
      <c r="M32" s="20">
        <v>6</v>
      </c>
      <c r="N32" s="20">
        <v>5</v>
      </c>
      <c r="O32" s="20">
        <v>6.5</v>
      </c>
      <c r="P32" s="20">
        <v>2</v>
      </c>
      <c r="Q32" s="20">
        <f t="shared" si="2"/>
      </c>
      <c r="R32" s="20">
        <f t="shared" si="3"/>
      </c>
      <c r="S32" s="20">
        <f t="shared" si="4"/>
      </c>
      <c r="T32" s="21">
        <f t="shared" si="5"/>
      </c>
      <c r="U32" s="20">
        <f t="shared" si="6"/>
        <v>4.5</v>
      </c>
      <c r="V32" s="23"/>
      <c r="W32" s="23"/>
      <c r="X32" s="23"/>
      <c r="Y32" s="23"/>
    </row>
    <row r="33" spans="1:45" ht="15.75" customHeight="1" x14ac:dyDescent="0.2">
      <c r="A33" s="8"/>
      <c r="B33" s="8" t="s">
        <v>20</v>
      </c>
      <c r="C33" s="18"/>
      <c r="D33" s="20" t="s">
        <v>18</v>
      </c>
      <c r="E33" s="20" t="s">
        <v>18</v>
      </c>
      <c r="F33" s="20" t="s">
        <v>18</v>
      </c>
      <c r="G33" s="20" t="s">
        <v>18</v>
      </c>
      <c r="H33" s="20" t="s">
        <v>18</v>
      </c>
      <c r="I33" s="20" t="s">
        <v>18</v>
      </c>
      <c r="J33" s="20" t="s">
        <v>18</v>
      </c>
      <c r="K33" s="20" t="s">
        <v>18</v>
      </c>
      <c r="L33" s="20" t="s">
        <v>18</v>
      </c>
      <c r="M33" s="20">
        <v>3</v>
      </c>
      <c r="N33" s="20" t="s">
        <v>18</v>
      </c>
      <c r="O33" s="20">
        <v>6</v>
      </c>
      <c r="P33" s="20">
        <v>1.5</v>
      </c>
      <c r="Q33" s="20">
        <f t="shared" si="2"/>
      </c>
      <c r="R33" s="20">
        <f t="shared" si="3"/>
      </c>
      <c r="S33" s="20">
        <f t="shared" si="4"/>
      </c>
      <c r="T33" s="21">
        <f t="shared" si="5"/>
      </c>
      <c r="U33" s="20">
        <f t="shared" si="6"/>
        <v>3</v>
      </c>
      <c r="V33" s="23"/>
      <c r="W33" s="23"/>
      <c r="X33" s="23"/>
      <c r="Y33" s="23"/>
    </row>
    <row r="34" spans="1:45" ht="15.75" customHeight="1" x14ac:dyDescent="0.2">
      <c r="A34" s="8"/>
      <c r="B34" s="8" t="str">
        <f>B6</f>
        <v>Connors</v>
      </c>
      <c r="C34" s="18"/>
      <c r="D34" s="20" t="s">
        <v>18</v>
      </c>
      <c r="E34" s="20">
        <v>2.5</v>
      </c>
      <c r="F34" s="20">
        <v>2</v>
      </c>
      <c r="G34" s="20">
        <v>3.5</v>
      </c>
      <c r="H34" s="20">
        <v>1</v>
      </c>
      <c r="I34" s="20">
        <v>2.5</v>
      </c>
      <c r="J34" s="20">
        <v>1.5</v>
      </c>
      <c r="K34" s="20">
        <v>2.5</v>
      </c>
      <c r="L34" s="20">
        <v>1</v>
      </c>
      <c r="M34" s="20">
        <v>3</v>
      </c>
      <c r="N34" s="20">
        <v>2.5</v>
      </c>
      <c r="O34" s="20" t="s">
        <v>18</v>
      </c>
      <c r="P34" s="20" t="inlineStr">
        <is>
          <t>X</t>
        </is>
      </c>
      <c r="Q34" s="20">
        <f t="shared" si="2"/>
      </c>
      <c r="R34" s="20">
        <f t="shared" si="3"/>
      </c>
      <c r="S34" s="20">
        <f t="shared" si="4"/>
      </c>
      <c r="T34" s="21">
        <f t="shared" si="5"/>
      </c>
      <c r="U34" s="20">
        <f t="shared" si="6"/>
        <v>2.5</v>
      </c>
      <c r="V34" s="23"/>
      <c r="W34" s="23"/>
      <c r="X34" s="23"/>
      <c r="Y34" s="23"/>
    </row>
    <row r="35" spans="1:45" ht="15.75" customHeight="1" x14ac:dyDescent="0.2">
      <c r="A35" s="8"/>
      <c r="B35" s="8" t="s">
        <v>22</v>
      </c>
      <c r="C35" s="18"/>
      <c r="D35" s="20" t="s">
        <v>18</v>
      </c>
      <c r="E35" s="20" t="s">
        <v>18</v>
      </c>
      <c r="F35" s="20" t="s">
        <v>18</v>
      </c>
      <c r="G35" s="20" t="s">
        <v>18</v>
      </c>
      <c r="H35" s="20">
        <v>4</v>
      </c>
      <c r="I35" s="20" t="s">
        <v>18</v>
      </c>
      <c r="J35" s="20" t="s">
        <v>18</v>
      </c>
      <c r="K35" s="20">
        <v>3</v>
      </c>
      <c r="L35" s="20">
        <v>3</v>
      </c>
      <c r="M35" s="20">
        <v>2</v>
      </c>
      <c r="N35" s="20">
        <v>2.5</v>
      </c>
      <c r="O35" s="20">
        <v>4</v>
      </c>
      <c r="P35" s="20">
        <v>4</v>
      </c>
      <c r="Q35" s="20">
        <f t="shared" si="2"/>
      </c>
      <c r="R35" s="20">
        <f t="shared" si="3"/>
      </c>
      <c r="S35" s="20">
        <f t="shared" si="4"/>
      </c>
      <c r="T35" s="21">
        <f t="shared" si="5"/>
      </c>
      <c r="U35" s="20">
        <f t="shared" si="6"/>
        <v>2</v>
      </c>
      <c r="V35" s="23"/>
      <c r="W35" s="23"/>
      <c r="X35" s="23"/>
      <c r="Y35" s="23"/>
    </row>
    <row r="36" spans="1:45" ht="15.75" customHeight="1" x14ac:dyDescent="0.2">
      <c r="A36" s="8"/>
      <c r="B36" s="8" t="s">
        <v>23</v>
      </c>
      <c r="C36" s="18"/>
      <c r="D36" s="20" t="s">
        <v>18</v>
      </c>
      <c r="E36" s="20" t="s">
        <v>18</v>
      </c>
      <c r="F36" s="20" t="s">
        <v>18</v>
      </c>
      <c r="G36" s="20" t="s">
        <v>18</v>
      </c>
      <c r="H36" s="20" t="s">
        <v>18</v>
      </c>
      <c r="I36" s="20" t="s">
        <v>18</v>
      </c>
      <c r="J36" s="20" t="s">
        <v>18</v>
      </c>
      <c r="K36" s="20">
        <v>1.5</v>
      </c>
      <c r="L36" s="20">
        <v>4.5</v>
      </c>
      <c r="M36" s="20">
        <v>5</v>
      </c>
      <c r="N36" s="20">
        <v>4.5</v>
      </c>
      <c r="O36" s="20">
        <v>5</v>
      </c>
      <c r="P36" s="20">
        <v>4</v>
      </c>
      <c r="Q36" s="20">
        <f t="shared" si="2"/>
      </c>
      <c r="R36" s="20">
        <f t="shared" si="3"/>
      </c>
      <c r="S36" s="20">
        <f t="shared" si="4"/>
      </c>
      <c r="T36" s="21">
        <f t="shared" si="5"/>
      </c>
      <c r="U36" s="20">
        <f t="shared" si="6"/>
        <v>3.5</v>
      </c>
      <c r="V36" s="23"/>
      <c r="W36" s="23"/>
      <c r="X36" s="23"/>
      <c r="Y36" s="23"/>
    </row>
    <row r="37" spans="1:45" ht="15.75" customHeight="1" x14ac:dyDescent="0.2">
      <c r="A37" s="8"/>
      <c r="B37" s="8" t="s">
        <v>63</v>
      </c>
      <c r="C37" s="18"/>
      <c r="D37" s="20" t="s">
        <v>18</v>
      </c>
      <c r="E37" s="20" t="s">
        <v>18</v>
      </c>
      <c r="F37" s="20" t="s">
        <v>18</v>
      </c>
      <c r="G37" s="20" t="s">
        <v>18</v>
      </c>
      <c r="H37" s="20" t="s">
        <v>18</v>
      </c>
      <c r="I37" s="20" t="s">
        <v>18</v>
      </c>
      <c r="J37" s="20" t="s">
        <v>18</v>
      </c>
      <c r="K37" s="20">
        <v>3</v>
      </c>
      <c r="L37" s="20">
        <v>3</v>
      </c>
      <c r="M37" s="20" t="s">
        <v>18</v>
      </c>
      <c r="N37" s="20" t="s">
        <v>18</v>
      </c>
      <c r="O37" s="20">
        <v>1</v>
      </c>
      <c r="P37" s="20">
        <v>2.5</v>
      </c>
      <c r="Q37" s="20">
        <f t="shared" si="2"/>
      </c>
      <c r="R37" s="20">
        <f t="shared" si="3"/>
      </c>
      <c r="S37" s="20">
        <f t="shared" si="4"/>
      </c>
      <c r="T37" s="21">
        <f t="shared" si="5"/>
      </c>
      <c r="U37" s="20">
        <f t="shared" si="6"/>
        <v>2</v>
      </c>
      <c r="V37" s="23"/>
      <c r="W37" s="23"/>
      <c r="X37" s="23"/>
      <c r="Y37" s="23"/>
    </row>
    <row r="38" spans="1:45" ht="15.75" customHeight="1" x14ac:dyDescent="0.2">
      <c r="A38" s="8"/>
      <c r="B38" s="8" t="str">
        <f t="shared" ref="B38:B49" si="7">B10</f>
        <v>Ferrin</v>
      </c>
      <c r="C38" s="18"/>
      <c r="D38" s="20">
        <v>5.5</v>
      </c>
      <c r="E38" s="20">
        <v>2.5</v>
      </c>
      <c r="F38" s="20">
        <v>5</v>
      </c>
      <c r="G38" s="20">
        <v>2.5</v>
      </c>
      <c r="H38" s="20">
        <v>4.5</v>
      </c>
      <c r="I38" s="20">
        <v>3</v>
      </c>
      <c r="J38" s="20">
        <v>4.5</v>
      </c>
      <c r="K38" s="20">
        <v>3.5</v>
      </c>
      <c r="L38" s="20">
        <v>2.5</v>
      </c>
      <c r="M38" s="20">
        <v>4</v>
      </c>
      <c r="N38" s="20">
        <v>5</v>
      </c>
      <c r="O38" s="20">
        <v>3.5</v>
      </c>
      <c r="P38" s="20">
        <v>4.5</v>
      </c>
      <c r="Q38" s="20">
        <f t="shared" si="2"/>
      </c>
      <c r="R38" s="20">
        <f t="shared" si="3"/>
      </c>
      <c r="S38" s="20">
        <f t="shared" si="4"/>
      </c>
      <c r="T38" s="21">
        <f t="shared" si="5"/>
      </c>
      <c r="U38" s="20">
        <f t="shared" si="6"/>
        <v>3</v>
      </c>
      <c r="V38" s="23"/>
      <c r="W38" s="23"/>
      <c r="X38" s="23"/>
      <c r="Y38" s="23"/>
    </row>
    <row r="39" spans="1:45" ht="15.75" customHeight="1" x14ac:dyDescent="0.2">
      <c r="A39" s="8"/>
      <c r="B39" s="8" t="str">
        <f t="shared" si="7"/>
        <v>Flanders</v>
      </c>
      <c r="C39" s="18"/>
      <c r="D39" s="20">
        <v>2</v>
      </c>
      <c r="E39" s="20">
        <v>1.5</v>
      </c>
      <c r="F39" s="20">
        <v>0.5</v>
      </c>
      <c r="G39" s="20">
        <v>5.5</v>
      </c>
      <c r="H39" s="20">
        <v>3</v>
      </c>
      <c r="I39" s="20">
        <v>3</v>
      </c>
      <c r="J39" s="20">
        <v>4</v>
      </c>
      <c r="K39" s="20">
        <v>3</v>
      </c>
      <c r="L39" s="20">
        <v>2</v>
      </c>
      <c r="M39" s="20">
        <v>4</v>
      </c>
      <c r="N39" s="20">
        <v>1.5</v>
      </c>
      <c r="O39" s="20">
        <v>6.5</v>
      </c>
      <c r="P39" s="20">
        <v>5</v>
      </c>
      <c r="Q39" s="20">
        <f t="shared" si="2"/>
      </c>
      <c r="R39" s="20">
        <f t="shared" si="3"/>
      </c>
      <c r="S39" s="20">
        <f t="shared" si="4"/>
      </c>
      <c r="T39" s="21">
        <f t="shared" si="5"/>
      </c>
      <c r="U39" s="20">
        <f t="shared" si="6"/>
        <v>6</v>
      </c>
      <c r="V39" s="23"/>
      <c r="W39" s="23"/>
      <c r="X39" s="23"/>
      <c r="Y39" s="23"/>
    </row>
    <row r="40" spans="1:45" ht="15.75" customHeight="1" x14ac:dyDescent="0.2">
      <c r="A40" s="8"/>
      <c r="B40" s="8" t="str">
        <f t="shared" si="7"/>
        <v>Fogan</v>
      </c>
      <c r="C40" s="18"/>
      <c r="D40" s="20" t="s">
        <v>18</v>
      </c>
      <c r="E40" s="20">
        <v>2</v>
      </c>
      <c r="F40" s="20">
        <v>3</v>
      </c>
      <c r="G40" s="20">
        <v>3</v>
      </c>
      <c r="H40" s="20">
        <v>1</v>
      </c>
      <c r="I40" s="20">
        <v>0.5</v>
      </c>
      <c r="J40" s="20">
        <v>3</v>
      </c>
      <c r="K40" s="20">
        <v>3</v>
      </c>
      <c r="L40" s="20">
        <v>4.5</v>
      </c>
      <c r="M40" s="20">
        <v>1.5</v>
      </c>
      <c r="N40" s="20">
        <v>4.5</v>
      </c>
      <c r="O40" s="20">
        <v>4</v>
      </c>
      <c r="P40" s="20">
        <v>3</v>
      </c>
      <c r="Q40" s="20">
        <f t="shared" si="2"/>
      </c>
      <c r="R40" s="20">
        <f t="shared" si="3"/>
      </c>
      <c r="S40" s="20">
        <f t="shared" si="4"/>
      </c>
      <c r="T40" s="21">
        <f t="shared" si="5"/>
      </c>
      <c r="U40" s="20">
        <f t="shared" si="6"/>
        <v>4</v>
      </c>
      <c r="V40" s="23"/>
      <c r="W40" s="23"/>
      <c r="X40" s="23"/>
      <c r="Y40" s="23"/>
    </row>
    <row r="41" spans="1:45" ht="15.75" customHeight="1" x14ac:dyDescent="0.2">
      <c r="A41" s="8"/>
      <c r="B41" s="8" t="str">
        <f t="shared" si="7"/>
        <v>Forster</v>
      </c>
      <c r="C41" s="18"/>
      <c r="D41" s="20" t="s">
        <v>18</v>
      </c>
      <c r="E41" s="20">
        <v>5.5</v>
      </c>
      <c r="F41" s="20">
        <v>3.5</v>
      </c>
      <c r="G41" s="20">
        <v>5.5</v>
      </c>
      <c r="H41" s="20">
        <v>5</v>
      </c>
      <c r="I41" s="20">
        <v>5</v>
      </c>
      <c r="J41" s="20">
        <v>4.5</v>
      </c>
      <c r="K41" s="20">
        <v>1</v>
      </c>
      <c r="L41" s="20">
        <v>4.5</v>
      </c>
      <c r="M41" s="20">
        <v>0</v>
      </c>
      <c r="N41" s="20">
        <v>3.5</v>
      </c>
      <c r="O41" s="20">
        <v>4</v>
      </c>
      <c r="P41" s="20">
        <v>4.5</v>
      </c>
      <c r="Q41" s="20">
        <f t="shared" si="2"/>
      </c>
      <c r="R41" s="20">
        <f t="shared" si="3"/>
      </c>
      <c r="S41" s="20">
        <f t="shared" si="4"/>
      </c>
      <c r="T41" s="21">
        <f t="shared" si="5"/>
      </c>
      <c r="U41" s="20">
        <f t="shared" si="6"/>
        <v>5.5</v>
      </c>
      <c r="V41" s="23"/>
      <c r="W41" s="23"/>
      <c r="X41" s="23"/>
      <c r="Y41" s="23"/>
      <c r="Z41" s="3"/>
      <c r="AA41" s="8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7"/>
      <c r="AP41" s="19"/>
      <c r="AQ41" s="19"/>
      <c r="AR41" s="19"/>
      <c r="AS41" s="19"/>
    </row>
    <row r="42" spans="1:45" ht="15.75" customHeight="1" x14ac:dyDescent="0.2">
      <c r="A42" s="8"/>
      <c r="B42" s="8" t="str">
        <f t="shared" si="7"/>
        <v>Gray</v>
      </c>
      <c r="C42" s="18"/>
      <c r="D42" s="20" t="s">
        <v>18</v>
      </c>
      <c r="E42" s="20" t="s">
        <v>18</v>
      </c>
      <c r="F42" s="20">
        <v>4</v>
      </c>
      <c r="G42" s="20">
        <v>4</v>
      </c>
      <c r="H42" s="20">
        <v>3.5</v>
      </c>
      <c r="I42" s="20">
        <v>4.5</v>
      </c>
      <c r="J42" s="20">
        <v>7</v>
      </c>
      <c r="K42" s="20" t="s">
        <v>18</v>
      </c>
      <c r="L42" s="20" t="s">
        <v>18</v>
      </c>
      <c r="M42" s="20">
        <v>5.5</v>
      </c>
      <c r="N42" s="20">
        <v>2.5</v>
      </c>
      <c r="O42" s="20" t="s">
        <v>18</v>
      </c>
      <c r="P42" s="20">
        <v>3.5</v>
      </c>
      <c r="Q42" s="20">
        <f t="shared" si="2"/>
      </c>
      <c r="R42" s="20">
        <f t="shared" si="3"/>
      </c>
      <c r="S42" s="20">
        <f t="shared" si="4"/>
      </c>
      <c r="T42" s="21">
        <f t="shared" si="5"/>
      </c>
      <c r="U42" s="20">
        <f t="shared" si="6"/>
        <v>4.5</v>
      </c>
      <c r="V42" s="23"/>
      <c r="W42" s="23"/>
      <c r="X42" s="23"/>
      <c r="Y42" s="23"/>
      <c r="Z42" s="3"/>
      <c r="AA42" s="8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7"/>
      <c r="AP42" s="19"/>
      <c r="AQ42" s="19"/>
      <c r="AR42" s="19"/>
      <c r="AS42" s="19"/>
    </row>
    <row r="43" spans="1:45" ht="15.75" customHeight="1" x14ac:dyDescent="0.2">
      <c r="A43" s="8"/>
      <c r="B43" s="8" t="str">
        <f t="shared" si="7"/>
        <v>Grise</v>
      </c>
      <c r="C43" s="18"/>
      <c r="D43" s="20">
        <v>2.5</v>
      </c>
      <c r="E43" s="20">
        <v>5</v>
      </c>
      <c r="F43" s="20">
        <v>1</v>
      </c>
      <c r="G43" s="20">
        <v>5</v>
      </c>
      <c r="H43" s="20">
        <v>2.5</v>
      </c>
      <c r="I43" s="20">
        <v>4.5</v>
      </c>
      <c r="J43" s="20">
        <v>6.5</v>
      </c>
      <c r="K43" s="20">
        <v>4.5</v>
      </c>
      <c r="L43" s="20">
        <v>2</v>
      </c>
      <c r="M43" s="20">
        <v>5</v>
      </c>
      <c r="N43" s="20">
        <v>0.5</v>
      </c>
      <c r="O43" s="20">
        <v>4</v>
      </c>
      <c r="P43" s="20">
        <v>3.5</v>
      </c>
      <c r="Q43" s="20">
        <f t="shared" si="2"/>
      </c>
      <c r="R43" s="20">
        <f t="shared" si="3"/>
      </c>
      <c r="S43" s="20">
        <f t="shared" si="4"/>
      </c>
      <c r="T43" s="21">
        <f t="shared" si="5"/>
      </c>
      <c r="U43" s="20">
        <f t="shared" si="6"/>
        <v>6</v>
      </c>
      <c r="V43" s="23"/>
      <c r="W43" s="23"/>
      <c r="X43" s="23"/>
      <c r="Y43" s="23"/>
      <c r="Z43" s="8"/>
      <c r="AA43" s="18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1"/>
      <c r="AS43" s="20"/>
    </row>
    <row r="44" spans="1:45" ht="15.75" customHeight="1" x14ac:dyDescent="0.2">
      <c r="A44" s="8"/>
      <c r="B44" s="8" t="str">
        <f t="shared" si="7"/>
        <v>Hilts</v>
      </c>
      <c r="C44" s="18"/>
      <c r="D44" s="20">
        <v>2.5</v>
      </c>
      <c r="E44" s="20">
        <v>2</v>
      </c>
      <c r="F44" s="20">
        <v>2.5</v>
      </c>
      <c r="G44" s="20" t="s">
        <v>18</v>
      </c>
      <c r="H44" s="20">
        <v>3</v>
      </c>
      <c r="I44" s="20">
        <v>3.5</v>
      </c>
      <c r="J44" s="20">
        <v>2</v>
      </c>
      <c r="K44" s="20">
        <v>5</v>
      </c>
      <c r="L44" s="20">
        <v>3.5</v>
      </c>
      <c r="M44" s="20">
        <v>3</v>
      </c>
      <c r="N44" s="20">
        <v>5.5</v>
      </c>
      <c r="O44" s="20">
        <v>4.5</v>
      </c>
      <c r="P44" s="20">
        <v>3.5</v>
      </c>
      <c r="Q44" s="20">
        <f t="shared" si="2"/>
      </c>
      <c r="R44" s="20">
        <f t="shared" si="3"/>
      </c>
      <c r="S44" s="20">
        <f t="shared" si="4"/>
      </c>
      <c r="T44" s="21">
        <f t="shared" si="5"/>
      </c>
      <c r="U44" s="20">
        <f t="shared" si="6"/>
        <v>3.5</v>
      </c>
      <c r="V44" s="23"/>
      <c r="W44" s="23"/>
      <c r="X44" s="23"/>
      <c r="Y44" s="23"/>
      <c r="Z44" s="8"/>
      <c r="AA44" s="18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1"/>
      <c r="AS44" s="20"/>
    </row>
    <row r="45" spans="1:45" ht="15.75" customHeight="1" x14ac:dyDescent="0.2">
      <c r="A45" s="8"/>
      <c r="B45" s="8" t="str">
        <f t="shared" si="7"/>
        <v>Jackson</v>
      </c>
      <c r="C45" s="18"/>
      <c r="D45" s="20">
        <v>3.5</v>
      </c>
      <c r="E45" s="20">
        <v>6</v>
      </c>
      <c r="F45" s="20">
        <v>5</v>
      </c>
      <c r="G45" s="20">
        <v>2.5</v>
      </c>
      <c r="H45" s="20">
        <v>3.5</v>
      </c>
      <c r="I45" s="20">
        <v>6.5</v>
      </c>
      <c r="J45" s="20">
        <v>4</v>
      </c>
      <c r="K45" s="20">
        <v>2.5</v>
      </c>
      <c r="L45" s="20">
        <v>1</v>
      </c>
      <c r="M45" s="20">
        <v>5.5</v>
      </c>
      <c r="N45" s="20">
        <v>2.5</v>
      </c>
      <c r="O45" s="20">
        <v>3.5</v>
      </c>
      <c r="P45" s="20">
        <v>5</v>
      </c>
      <c r="Q45" s="20">
        <f t="shared" si="2"/>
      </c>
      <c r="R45" s="20">
        <f t="shared" si="3"/>
      </c>
      <c r="S45" s="20">
        <f t="shared" si="4"/>
      </c>
      <c r="T45" s="21">
        <f t="shared" si="5"/>
      </c>
      <c r="U45" s="20">
        <f t="shared" si="6"/>
        <v>5.5</v>
      </c>
      <c r="V45" s="23"/>
      <c r="W45" s="23"/>
      <c r="X45" s="23"/>
      <c r="Y45" s="23"/>
      <c r="Z45" s="8"/>
      <c r="AA45" s="18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1"/>
      <c r="AS45" s="20"/>
    </row>
    <row r="46" spans="1:45" ht="15.75" customHeight="1" x14ac:dyDescent="0.2">
      <c r="A46" s="8"/>
      <c r="B46" s="8" t="str">
        <f t="shared" si="7"/>
        <v>Lynch</v>
      </c>
      <c r="C46" s="18"/>
      <c r="D46" s="20">
        <v>1.5</v>
      </c>
      <c r="E46" s="20">
        <v>4</v>
      </c>
      <c r="F46" s="20">
        <v>4</v>
      </c>
      <c r="G46" s="20">
        <v>4</v>
      </c>
      <c r="H46" s="20">
        <v>3.5</v>
      </c>
      <c r="I46" s="20">
        <v>1.5</v>
      </c>
      <c r="J46" s="20">
        <v>4.5</v>
      </c>
      <c r="K46" s="20">
        <v>4</v>
      </c>
      <c r="L46" s="20">
        <v>5.5</v>
      </c>
      <c r="M46" s="20">
        <v>3.5</v>
      </c>
      <c r="N46" s="20">
        <v>2</v>
      </c>
      <c r="O46" s="20">
        <v>3</v>
      </c>
      <c r="P46" s="20">
        <v>1.5</v>
      </c>
      <c r="Q46" s="20">
        <f t="shared" si="2"/>
      </c>
      <c r="R46" s="20">
        <f t="shared" si="3"/>
      </c>
      <c r="S46" s="20">
        <f t="shared" si="4"/>
      </c>
      <c r="T46" s="21">
        <f t="shared" si="5"/>
      </c>
      <c r="U46" s="20">
        <f t="shared" si="6"/>
        <v>4</v>
      </c>
      <c r="V46" s="23"/>
      <c r="W46" s="23"/>
      <c r="X46" s="23"/>
      <c r="Y46" s="23"/>
      <c r="Z46" s="8"/>
      <c r="AA46" s="18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1"/>
      <c r="AS46" s="20"/>
    </row>
    <row r="47" spans="1:45" ht="15.75" customHeight="1" x14ac:dyDescent="0.2">
      <c r="B47" s="8" t="str">
        <f t="shared" si="7"/>
        <v>Mangold</v>
      </c>
      <c r="C47" s="18"/>
      <c r="D47" s="20">
        <v>0</v>
      </c>
      <c r="E47" s="20">
        <v>3.5</v>
      </c>
      <c r="F47" s="20">
        <v>3</v>
      </c>
      <c r="G47" s="20">
        <v>2</v>
      </c>
      <c r="H47" s="20">
        <v>5</v>
      </c>
      <c r="I47" s="20">
        <v>1</v>
      </c>
      <c r="J47" s="20">
        <v>2.5</v>
      </c>
      <c r="K47" s="20">
        <v>1</v>
      </c>
      <c r="L47" s="20" t="s">
        <v>18</v>
      </c>
      <c r="M47" s="20">
        <v>3.5</v>
      </c>
      <c r="N47" s="20">
        <v>1.5</v>
      </c>
      <c r="O47" s="20">
        <v>5.5</v>
      </c>
      <c r="P47" s="20">
        <v>1.5</v>
      </c>
      <c r="Q47" s="20">
        <f t="shared" si="2"/>
      </c>
      <c r="R47" s="20">
        <f t="shared" si="3"/>
      </c>
      <c r="S47" s="20">
        <f t="shared" si="4"/>
      </c>
      <c r="T47" s="21">
        <f t="shared" si="5"/>
      </c>
      <c r="U47" s="20">
        <f t="shared" si="6"/>
        <v>5.5</v>
      </c>
      <c r="V47" s="23"/>
      <c r="W47" s="23"/>
      <c r="X47" s="23"/>
      <c r="Y47" s="23"/>
      <c r="Z47" s="8"/>
      <c r="AA47" s="18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1"/>
      <c r="AS47" s="20"/>
    </row>
    <row r="48" spans="1:45" ht="15.75" customHeight="1" x14ac:dyDescent="0.2">
      <c r="B48" s="8" t="str">
        <f t="shared" si="7"/>
        <v>McInerney</v>
      </c>
      <c r="C48" s="18"/>
      <c r="D48" s="20" t="s">
        <v>18</v>
      </c>
      <c r="E48" s="20" t="s">
        <v>18</v>
      </c>
      <c r="F48" s="20">
        <v>2.5</v>
      </c>
      <c r="G48" s="20">
        <v>3.5</v>
      </c>
      <c r="H48" s="20">
        <v>3.5</v>
      </c>
      <c r="I48" s="20">
        <v>5.5</v>
      </c>
      <c r="J48" s="20">
        <v>3</v>
      </c>
      <c r="K48" s="20">
        <v>3</v>
      </c>
      <c r="L48" s="20">
        <v>4</v>
      </c>
      <c r="M48" s="20">
        <v>3</v>
      </c>
      <c r="N48" s="20" t="s">
        <v>18</v>
      </c>
      <c r="O48" s="20" t="s">
        <v>18</v>
      </c>
      <c r="P48" s="20">
        <v>2</v>
      </c>
      <c r="Q48" s="20">
        <f t="shared" si="2"/>
      </c>
      <c r="R48" s="20">
        <f t="shared" si="3"/>
      </c>
      <c r="S48" s="20">
        <f t="shared" si="4"/>
      </c>
      <c r="T48" s="21">
        <f t="shared" si="5"/>
      </c>
      <c r="U48" s="20">
        <f t="shared" si="6"/>
        <v>3</v>
      </c>
      <c r="V48" s="23"/>
      <c r="W48" s="23"/>
      <c r="X48" s="23"/>
      <c r="Y48" s="23"/>
      <c r="Z48" s="8"/>
      <c r="AA48" s="18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1"/>
      <c r="AS48" s="20"/>
    </row>
    <row r="49" spans="2:45" ht="15.75" customHeight="1" x14ac:dyDescent="0.2">
      <c r="B49" s="8" t="str">
        <f t="shared" si="7"/>
        <v>Norat</v>
      </c>
      <c r="C49" s="18"/>
      <c r="D49" s="20" t="s">
        <v>18</v>
      </c>
      <c r="E49" s="20" t="s">
        <v>18</v>
      </c>
      <c r="F49" s="20">
        <v>2.5</v>
      </c>
      <c r="G49" s="20">
        <v>2</v>
      </c>
      <c r="H49" s="20">
        <v>5.5</v>
      </c>
      <c r="I49" s="20">
        <v>4</v>
      </c>
      <c r="J49" s="20">
        <v>2</v>
      </c>
      <c r="K49" s="20" t="s">
        <v>18</v>
      </c>
      <c r="L49" s="20" t="s">
        <v>18</v>
      </c>
      <c r="M49" s="20" t="s">
        <v>18</v>
      </c>
      <c r="N49" s="20">
        <v>5</v>
      </c>
      <c r="O49" s="20" t="s">
        <v>18</v>
      </c>
      <c r="P49" s="20">
        <v>5.5</v>
      </c>
      <c r="Q49" s="20">
        <f t="shared" si="2"/>
      </c>
      <c r="R49" s="20">
        <f t="shared" si="3"/>
      </c>
      <c r="S49" s="20">
        <f t="shared" si="4"/>
      </c>
      <c r="T49" s="21">
        <f t="shared" si="5"/>
      </c>
      <c r="U49" s="20">
        <f t="shared" si="6"/>
        <v>3.5</v>
      </c>
      <c r="V49" s="23"/>
      <c r="W49" s="23"/>
      <c r="X49" s="23"/>
      <c r="Y49" s="23"/>
      <c r="Z49" s="8"/>
      <c r="AA49" s="18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1"/>
      <c r="AS49" s="20"/>
    </row>
    <row r="50" spans="2:45" ht="15.75" customHeight="1" x14ac:dyDescent="0.2">
      <c r="B50" s="8" t="s">
        <v>36</v>
      </c>
      <c r="C50" s="18"/>
      <c r="D50" s="20" t="s">
        <v>18</v>
      </c>
      <c r="E50" s="20" t="s">
        <v>18</v>
      </c>
      <c r="F50" s="20" t="s">
        <v>18</v>
      </c>
      <c r="G50" s="20" t="s">
        <v>18</v>
      </c>
      <c r="H50" s="20" t="s">
        <v>18</v>
      </c>
      <c r="I50" s="20" t="s">
        <v>18</v>
      </c>
      <c r="J50" s="20" t="s">
        <v>18</v>
      </c>
      <c r="K50" s="20">
        <v>5.5</v>
      </c>
      <c r="L50" s="20">
        <v>6</v>
      </c>
      <c r="M50" s="20">
        <v>2</v>
      </c>
      <c r="N50" s="20" t="s">
        <v>18</v>
      </c>
      <c r="O50" s="20">
        <v>5</v>
      </c>
      <c r="P50" s="20">
        <v>2.5</v>
      </c>
      <c r="Q50" s="20">
        <f t="shared" si="2"/>
      </c>
      <c r="R50" s="20">
        <f t="shared" si="3"/>
      </c>
      <c r="S50" s="20">
        <f t="shared" si="4"/>
      </c>
      <c r="T50" s="21">
        <f t="shared" si="5"/>
      </c>
      <c r="U50" s="20">
        <f t="shared" si="6"/>
        <v>4</v>
      </c>
      <c r="V50" s="23"/>
      <c r="W50" s="23"/>
      <c r="X50" s="23"/>
      <c r="Y50" s="23"/>
      <c r="Z50" s="8"/>
      <c r="AA50" s="18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1"/>
      <c r="AS50" s="20"/>
    </row>
    <row r="51" spans="2:45" ht="15.75" customHeight="1" x14ac:dyDescent="0.2">
      <c r="B51" s="8" t="s">
        <v>37</v>
      </c>
      <c r="C51" s="18"/>
      <c r="D51" s="20" t="s">
        <v>18</v>
      </c>
      <c r="E51" s="20" t="s">
        <v>18</v>
      </c>
      <c r="F51" s="20" t="s">
        <v>18</v>
      </c>
      <c r="G51" s="20" t="s">
        <v>18</v>
      </c>
      <c r="H51" s="20" t="s">
        <v>18</v>
      </c>
      <c r="I51" s="20" t="s">
        <v>18</v>
      </c>
      <c r="J51" s="20" t="s">
        <v>18</v>
      </c>
      <c r="K51" s="20">
        <v>1.5</v>
      </c>
      <c r="L51" s="20" t="s">
        <v>18</v>
      </c>
      <c r="M51" s="20" t="s">
        <v>18</v>
      </c>
      <c r="N51" s="20" t="s">
        <v>18</v>
      </c>
      <c r="O51" s="20">
        <v>1</v>
      </c>
      <c r="P51" s="20">
        <v>4.5</v>
      </c>
      <c r="Q51" s="20">
        <f t="shared" si="2"/>
      </c>
      <c r="R51" s="20">
        <f t="shared" si="3"/>
      </c>
      <c r="S51" s="20">
        <f t="shared" si="4"/>
      </c>
      <c r="T51" s="21">
        <f t="shared" si="5"/>
      </c>
      <c r="U51" s="20">
        <f t="shared" si="6"/>
        <v>0.5</v>
      </c>
      <c r="V51" s="23"/>
      <c r="W51" s="23"/>
      <c r="X51" s="23"/>
      <c r="Y51" s="23"/>
      <c r="Z51" s="8"/>
      <c r="AA51" s="18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1"/>
      <c r="AS51" s="20"/>
    </row>
    <row r="52" spans="2:45" ht="15.75" customHeight="1" x14ac:dyDescent="0.2">
      <c r="B52" s="8" t="str">
        <f>B24</f>
        <v>Poirier</v>
      </c>
      <c r="C52" s="18"/>
      <c r="D52" s="20">
        <v>3.5</v>
      </c>
      <c r="E52" s="20" t="s">
        <v>18</v>
      </c>
      <c r="F52" s="20" t="s">
        <v>18</v>
      </c>
      <c r="G52" s="20" t="s">
        <v>18</v>
      </c>
      <c r="H52" s="20">
        <v>3.5</v>
      </c>
      <c r="I52" s="20">
        <v>0</v>
      </c>
      <c r="J52" s="20">
        <v>4.5</v>
      </c>
      <c r="K52" s="20" t="s">
        <v>18</v>
      </c>
      <c r="L52" s="20">
        <v>4.5</v>
      </c>
      <c r="M52" s="20" t="s">
        <v>18</v>
      </c>
      <c r="N52" s="20">
        <v>5</v>
      </c>
      <c r="O52" s="20">
        <v>6</v>
      </c>
      <c r="P52" s="20">
        <v>2.5</v>
      </c>
      <c r="Q52" s="20">
        <f t="shared" si="2"/>
      </c>
      <c r="R52" s="20">
        <f t="shared" si="3"/>
      </c>
      <c r="S52" s="20">
        <f t="shared" si="4"/>
      </c>
      <c r="T52" s="21">
        <f t="shared" si="5"/>
      </c>
      <c r="U52" s="20">
        <f t="shared" si="6"/>
        <v>6</v>
      </c>
      <c r="V52" s="23"/>
      <c r="W52" s="23"/>
      <c r="X52" s="23"/>
      <c r="Y52" s="23"/>
      <c r="Z52" s="8"/>
      <c r="AA52" s="18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1"/>
      <c r="AS52" s="20"/>
    </row>
    <row r="53" spans="2:45" ht="15.75" customHeight="1" x14ac:dyDescent="0.2">
      <c r="B53" s="8" t="str">
        <f>B25</f>
        <v>Shively</v>
      </c>
      <c r="C53" s="18"/>
      <c r="D53" s="20">
        <v>4</v>
      </c>
      <c r="E53" s="20">
        <v>3</v>
      </c>
      <c r="F53" s="20">
        <v>1.5</v>
      </c>
      <c r="G53" s="20">
        <v>2.5</v>
      </c>
      <c r="H53" s="20">
        <v>0.5</v>
      </c>
      <c r="I53" s="20">
        <v>5.5</v>
      </c>
      <c r="J53" s="20">
        <v>3.5</v>
      </c>
      <c r="K53" s="20">
        <v>2.5</v>
      </c>
      <c r="L53" s="20">
        <v>1</v>
      </c>
      <c r="M53" s="20" t="s">
        <v>18</v>
      </c>
      <c r="N53" s="20">
        <v>1.5</v>
      </c>
      <c r="O53" s="20">
        <v>1.5</v>
      </c>
      <c r="P53" s="20">
        <v>2</v>
      </c>
      <c r="Q53" s="20">
        <f t="shared" si="2"/>
      </c>
      <c r="R53" s="20">
        <f t="shared" si="3"/>
      </c>
      <c r="S53" s="20">
        <f t="shared" si="4"/>
      </c>
      <c r="T53" s="21">
        <f t="shared" si="5"/>
      </c>
      <c r="U53" s="20">
        <f t="shared" si="6"/>
        <v>5</v>
      </c>
      <c r="V53" s="23"/>
      <c r="W53" s="23"/>
      <c r="X53" s="23"/>
      <c r="Y53" s="23"/>
      <c r="Z53" s="8"/>
      <c r="AA53" s="18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1"/>
      <c r="AS53" s="20"/>
    </row>
    <row r="54" spans="2:45" ht="15.75" customHeight="1" x14ac:dyDescent="0.2">
      <c r="B54" s="8" t="str">
        <f>B26</f>
        <v>Welker</v>
      </c>
      <c r="C54" s="18"/>
      <c r="D54" s="20" t="s">
        <v>18</v>
      </c>
      <c r="E54" s="20" t="s">
        <v>18</v>
      </c>
      <c r="F54" s="20" t="s">
        <v>18</v>
      </c>
      <c r="G54" s="20">
        <v>2</v>
      </c>
      <c r="H54" s="20">
        <v>3</v>
      </c>
      <c r="I54" s="20">
        <v>5.5</v>
      </c>
      <c r="J54" s="20">
        <v>3</v>
      </c>
      <c r="K54" s="20">
        <v>3</v>
      </c>
      <c r="L54" s="20">
        <v>3</v>
      </c>
      <c r="M54" s="20">
        <v>5</v>
      </c>
      <c r="N54" s="20">
        <v>4</v>
      </c>
      <c r="O54" s="20" t="s">
        <v>18</v>
      </c>
      <c r="P54" s="20">
        <v>4.5</v>
      </c>
      <c r="Q54" s="20">
        <f t="shared" si="2"/>
      </c>
      <c r="R54" s="20">
        <f t="shared" si="3"/>
      </c>
      <c r="S54" s="20">
        <f t="shared" si="4"/>
      </c>
      <c r="T54" s="21">
        <f t="shared" si="5"/>
      </c>
      <c r="U54" s="20">
        <f t="shared" si="6"/>
        <v>3.5</v>
      </c>
      <c r="V54" s="23"/>
      <c r="W54" s="23"/>
      <c r="X54" s="23"/>
      <c r="Y54" s="23"/>
      <c r="Z54" s="8"/>
      <c r="AA54" s="18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1"/>
      <c r="AS54" s="20"/>
    </row>
    <row r="55" spans="2:45" ht="15.75" customHeight="1" x14ac:dyDescent="0.2">
      <c r="B55" s="8" t="str">
        <f>B27</f>
        <v>Zimmer</v>
      </c>
      <c r="C55" s="18"/>
      <c r="D55" s="20" t="s">
        <v>18</v>
      </c>
      <c r="E55" s="20" t="s">
        <v>18</v>
      </c>
      <c r="F55" s="20">
        <v>4</v>
      </c>
      <c r="G55" s="20">
        <v>4</v>
      </c>
      <c r="H55" s="20">
        <v>4.5</v>
      </c>
      <c r="I55" s="20">
        <v>1</v>
      </c>
      <c r="J55" s="20">
        <v>6</v>
      </c>
      <c r="K55" s="20">
        <v>4.5</v>
      </c>
      <c r="L55" s="20">
        <v>3.5</v>
      </c>
      <c r="M55" s="20">
        <v>1</v>
      </c>
      <c r="N55" s="20">
        <v>2.5</v>
      </c>
      <c r="O55" s="20">
        <v>1.5</v>
      </c>
      <c r="P55" s="20">
        <v>1</v>
      </c>
      <c r="Q55" s="20">
        <f t="shared" si="2"/>
      </c>
      <c r="R55" s="20">
        <f t="shared" si="3"/>
      </c>
      <c r="S55" s="20">
        <f t="shared" si="4"/>
      </c>
      <c r="T55" s="21">
        <f t="shared" si="5"/>
      </c>
      <c r="U55" s="20">
        <f t="shared" si="6"/>
        <v>5</v>
      </c>
      <c r="V55" s="23"/>
      <c r="W55" s="23"/>
      <c r="X55" s="23"/>
      <c r="Y55" s="23"/>
      <c r="Z55" s="8"/>
      <c r="AA55" s="18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1"/>
      <c r="AS55" s="20"/>
    </row>
    <row r="56" spans="2:45" ht="15.75" customHeight="1" x14ac:dyDescent="0.2">
      <c r="B56" s="8"/>
      <c r="K56" s="8"/>
      <c r="L56" s="8"/>
      <c r="M56" s="8"/>
      <c r="N56" s="8"/>
      <c r="O56" s="8"/>
      <c r="P56" s="8"/>
      <c r="Q56" s="8"/>
      <c r="R56" s="8"/>
      <c r="S56" s="8"/>
      <c r="T56" s="23"/>
      <c r="U56" s="23"/>
      <c r="V56" s="23"/>
      <c r="W56" s="23"/>
      <c r="X56" s="23"/>
      <c r="Y56" s="23"/>
      <c r="Z56" s="8"/>
      <c r="AA56" s="18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1"/>
      <c r="AS56" s="20"/>
    </row>
    <row r="57" spans="2:45" ht="15.75" customHeight="1" x14ac:dyDescent="0.2">
      <c r="K57" s="8"/>
      <c r="L57" s="8"/>
      <c r="M57" s="8"/>
      <c r="N57" s="8"/>
      <c r="O57" s="8"/>
      <c r="P57" s="8" t="s">
        <v>12</v>
      </c>
      <c r="Q57" s="20">
        <f>AVERAGE(Q31:Q55)</f>
        <v>28.94</v>
      </c>
      <c r="R57" s="20">
        <f>AVERAGE(R31:R55)</f>
        <v>5.3</v>
      </c>
      <c r="S57" s="20">
        <f>AVERAGE(S31:S55)</f>
        <v>1.32</v>
      </c>
      <c r="T57" s="20">
        <f>AVERAGE(T31:T55)</f>
        <v>3.362443722943723</v>
      </c>
      <c r="U57" s="23"/>
      <c r="V57" s="23"/>
      <c r="W57" s="23"/>
      <c r="X57" s="23"/>
      <c r="Y57" s="23"/>
      <c r="Z57" s="8"/>
      <c r="AA57" s="18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1"/>
      <c r="AS57" s="20"/>
    </row>
    <row r="58" spans="2:45" ht="15.75" customHeight="1" x14ac:dyDescent="0.2">
      <c r="K58" s="8"/>
      <c r="L58" s="8"/>
      <c r="M58" s="8"/>
      <c r="N58" s="8"/>
      <c r="O58" s="8"/>
      <c r="P58" s="8" t="s">
        <v>42</v>
      </c>
      <c r="Q58" s="20">
        <f>MEDIAN(Q31:Q55)</f>
        <v>28.5</v>
      </c>
      <c r="R58" s="20">
        <f>MEDIAN(R31:R55)</f>
        <v>5.5</v>
      </c>
      <c r="S58" s="20">
        <f>MEDIAN(S31:S55)</f>
        <v>1</v>
      </c>
      <c r="T58" s="20">
        <f>MEDIAN(T31:T55)</f>
        <v>3.5</v>
      </c>
      <c r="U58" s="8"/>
      <c r="V58" s="8"/>
      <c r="W58" s="8"/>
      <c r="Z58" s="8"/>
      <c r="AA58" s="18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1"/>
      <c r="AS58" s="20"/>
    </row>
    <row r="59" spans="2:45" ht="15.75" customHeight="1" x14ac:dyDescent="0.2"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Z59" s="8"/>
      <c r="AA59" s="18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1"/>
      <c r="AS59" s="20"/>
    </row>
    <row r="60" spans="2:45" ht="15.75" customHeight="1" x14ac:dyDescent="0.2"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Z60" s="8"/>
      <c r="AA60" s="18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1"/>
      <c r="AS60" s="20"/>
    </row>
    <row r="61" spans="2:45" ht="15.75" customHeight="1" x14ac:dyDescent="0.2"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Z61" s="8"/>
      <c r="AA61" s="18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1"/>
      <c r="AS61" s="20"/>
    </row>
    <row r="62" spans="2:45" ht="15.75" customHeight="1" x14ac:dyDescent="0.2">
      <c r="Z62" s="8"/>
      <c r="AA62" s="18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1"/>
      <c r="AS62" s="20"/>
    </row>
    <row r="63" spans="2:45" ht="15.75" customHeight="1" x14ac:dyDescent="0.2">
      <c r="Z63" s="8"/>
      <c r="AA63" s="18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1"/>
      <c r="AS63" s="20"/>
    </row>
    <row r="64" spans="2:45" ht="15.75" customHeight="1" x14ac:dyDescent="0.2">
      <c r="Z64" s="8"/>
      <c r="AA64" s="18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1"/>
      <c r="AS64" s="20"/>
    </row>
    <row r="65" spans="26:45" ht="15.75" customHeight="1" x14ac:dyDescent="0.2">
      <c r="Z65" s="8"/>
      <c r="AA65" s="18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1"/>
      <c r="AS65" s="20"/>
    </row>
    <row r="66" spans="26:45" ht="15.75" customHeight="1" x14ac:dyDescent="0.2">
      <c r="Z66" s="8"/>
      <c r="AA66" s="18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1"/>
      <c r="AS66" s="20"/>
    </row>
    <row r="67" spans="26:45" ht="15.75" customHeight="1" x14ac:dyDescent="0.2">
      <c r="Z67" s="8"/>
      <c r="AA67" s="18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1"/>
      <c r="AS67" s="20"/>
    </row>
    <row r="68" spans="26:45" ht="15.75" customHeight="1" x14ac:dyDescent="0.2">
      <c r="Z68" s="8"/>
      <c r="AI68" s="8"/>
      <c r="AJ68" s="8"/>
      <c r="AK68" s="8"/>
      <c r="AL68" s="8"/>
      <c r="AM68" s="8"/>
      <c r="AN68" s="8"/>
      <c r="AO68" s="8"/>
      <c r="AP68" s="8"/>
      <c r="AQ68" s="8"/>
      <c r="AR68" s="23"/>
      <c r="AS68" s="23"/>
    </row>
    <row r="69" spans="26:45" ht="15.75" customHeight="1" x14ac:dyDescent="0.2">
      <c r="AI69" s="8"/>
      <c r="AJ69" s="8"/>
      <c r="AK69" s="8"/>
      <c r="AL69" s="8"/>
      <c r="AM69" s="8"/>
      <c r="AN69" s="8"/>
      <c r="AO69" s="20"/>
      <c r="AP69" s="20"/>
      <c r="AQ69" s="20"/>
      <c r="AR69" s="20"/>
      <c r="AS69" s="23"/>
    </row>
    <row r="70" spans="26:45" ht="15.75" customHeight="1" x14ac:dyDescent="0.2">
      <c r="AI70" s="8"/>
      <c r="AJ70" s="8"/>
      <c r="AK70" s="8"/>
      <c r="AL70" s="8"/>
      <c r="AM70" s="8"/>
      <c r="AN70" s="8"/>
      <c r="AO70" s="20"/>
      <c r="AP70" s="20"/>
      <c r="AQ70" s="20"/>
      <c r="AR70" s="20"/>
      <c r="AS70" s="8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0"/>
  <sheetViews>
    <sheetView tabSelected="1" topLeftCell="A2" zoomScaleNormal="100" workbookViewId="0">
      <selection activeCell="I37" sqref="I37"/>
    </sheetView>
  </sheetViews>
  <sheetFormatPr baseColWidth="10" defaultColWidth="8.83203125" defaultRowHeight="16" x14ac:dyDescent="0.2"/>
  <cols>
    <col min="2" max="2" width="10.33203125" customWidth="1"/>
    <col min="3" max="4" width="7.6640625" customWidth="1"/>
    <col min="5" max="5" width="8" customWidth="1"/>
    <col min="6" max="6" width="7.6640625" customWidth="1"/>
    <col min="7" max="7" width="7.83203125" customWidth="1"/>
    <col min="8" max="8" width="7.5" customWidth="1"/>
    <col min="9" max="9" width="7.1640625" customWidth="1"/>
    <col min="10" max="11" width="7.5" customWidth="1"/>
    <col min="12" max="13" width="7.33203125" customWidth="1"/>
    <col min="14" max="15" width="8" customWidth="1"/>
    <col min="18" max="19" width="10" customWidth="1"/>
  </cols>
  <sheetData>
    <row r="1" spans="1:22" ht="15.7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.75" customHeight="1" x14ac:dyDescent="0.2">
      <c r="A2" s="2"/>
      <c r="B2" s="15" t="str">
        <f>Handicaps!B2</f>
        <v>Player</v>
      </c>
      <c r="C2" s="7" t="s">
        <v>46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inlineStr">
        <is>
          <t>FBC 13</t>
        </is>
      </c>
      <c r="P2" s="5" t="s">
        <v>48</v>
      </c>
      <c r="Q2" s="7" t="s">
        <v>45</v>
      </c>
      <c r="R2" s="7" t="s">
        <v>64</v>
      </c>
      <c r="S2" s="7" t="s">
        <v>65</v>
      </c>
      <c r="T2" s="2"/>
      <c r="U2" s="2"/>
      <c r="V2" s="2"/>
    </row>
    <row r="3" spans="1:22" ht="15.75" customHeight="1" x14ac:dyDescent="0.2">
      <c r="A3" s="2"/>
      <c r="B3" s="2" t="s">
        <v>32</v>
      </c>
      <c r="C3" s="24">
        <v>1</v>
      </c>
      <c r="D3" s="24">
        <v>1</v>
      </c>
      <c r="E3" s="24">
        <v>1</v>
      </c>
      <c r="F3" s="24">
        <v>1</v>
      </c>
      <c r="G3" s="24">
        <v>1</v>
      </c>
      <c r="H3" s="24">
        <v>1</v>
      </c>
      <c r="I3" s="24">
        <v>1</v>
      </c>
      <c r="J3" s="24">
        <v>0</v>
      </c>
      <c r="K3" s="24">
        <v>1</v>
      </c>
      <c r="L3" s="24">
        <v>1</v>
      </c>
      <c r="M3" s="24">
        <v>0</v>
      </c>
      <c r="N3" s="24">
        <v>1</v>
      </c>
      <c r="O3" s="24">
        <v>0</v>
      </c>
      <c r="P3" s="24">
        <f t="shared" ref="P3:P4" si="0">SUM(C3:O3)</f>
      </c>
      <c r="Q3" s="24">
        <f>VLOOKUP($B3,Points!$B$2:$C$34,2,FALSE())</f>
      </c>
      <c r="R3" s="25">
        <f t="shared" ref="R3:R4" si="1">P3/Q3</f>
      </c>
      <c r="S3" s="24">
        <f t="shared" ref="S3:S4" si="2">Q3-P3</f>
      </c>
      <c r="T3" s="2"/>
      <c r="U3" s="2"/>
      <c r="V3" s="2"/>
    </row>
    <row r="4" spans="1:22" ht="15.75" customHeight="1" x14ac:dyDescent="0.2">
      <c r="A4" s="2"/>
      <c r="B4" s="2" t="s">
        <v>71</v>
      </c>
      <c r="C4" s="24">
        <v>1</v>
      </c>
      <c r="D4" s="24">
        <v>1</v>
      </c>
      <c r="E4" s="24">
        <v>1</v>
      </c>
      <c r="F4" s="24">
        <v>1</v>
      </c>
      <c r="G4" s="24">
        <v>1</v>
      </c>
      <c r="H4" s="24">
        <v>0</v>
      </c>
      <c r="I4" s="24">
        <v>0</v>
      </c>
      <c r="J4" s="24">
        <v>1</v>
      </c>
      <c r="K4" s="24">
        <v>1</v>
      </c>
      <c r="L4" s="24">
        <v>1</v>
      </c>
      <c r="M4" s="24">
        <v>1</v>
      </c>
      <c r="N4" s="24">
        <v>0</v>
      </c>
      <c r="O4" s="24">
        <v>1</v>
      </c>
      <c r="P4" s="24">
        <f t="shared" si="0"/>
      </c>
      <c r="Q4" s="24">
        <f>VLOOKUP($B4,Points!$B$2:$C$34,2,FALSE())</f>
      </c>
      <c r="R4" s="25">
        <f t="shared" si="1"/>
      </c>
      <c r="S4" s="24">
        <f t="shared" si="2"/>
      </c>
      <c r="T4" s="2"/>
      <c r="U4" s="2"/>
      <c r="V4" s="2"/>
    </row>
    <row r="5" spans="1:22" ht="15.75" customHeight="1" x14ac:dyDescent="0.2">
      <c r="A5" s="2"/>
      <c r="B5" s="2" t="s">
        <v>29</v>
      </c>
      <c r="C5" s="24">
        <v>0</v>
      </c>
      <c r="D5" s="24">
        <v>1</v>
      </c>
      <c r="E5" s="24">
        <v>0</v>
      </c>
      <c r="F5" s="24">
        <v>1</v>
      </c>
      <c r="G5" s="24">
        <v>1</v>
      </c>
      <c r="H5" s="24">
        <v>1</v>
      </c>
      <c r="I5" s="24">
        <v>1</v>
      </c>
      <c r="J5" s="24">
        <v>1</v>
      </c>
      <c r="K5" s="24">
        <v>0</v>
      </c>
      <c r="L5" s="24">
        <v>1</v>
      </c>
      <c r="M5" s="24">
        <v>0</v>
      </c>
      <c r="N5" s="24">
        <v>1</v>
      </c>
      <c r="O5" s="24">
        <v>1</v>
      </c>
      <c r="P5" s="24">
        <f t="shared" ref="P5:P32" si="3">SUM(C5:O5)</f>
      </c>
      <c r="Q5" s="24">
        <f>VLOOKUP($B5,Points!$B$2:$C$34,2,FALSE())</f>
      </c>
      <c r="R5" s="25">
        <f t="shared" ref="R5:R32" si="4">P5/Q5</f>
      </c>
      <c r="S5" s="24">
        <f t="shared" ref="S5:S32" si="5">Q5-P5</f>
      </c>
      <c r="T5" s="2"/>
      <c r="U5" s="2"/>
      <c r="V5" s="2"/>
    </row>
    <row r="6" spans="1:22" ht="15.75" customHeight="1" x14ac:dyDescent="0.2">
      <c r="A6" s="2"/>
      <c r="B6" s="2" t="s">
        <v>30</v>
      </c>
      <c r="C6" s="24">
        <v>1</v>
      </c>
      <c r="D6" s="24">
        <v>1</v>
      </c>
      <c r="E6" s="24">
        <v>1</v>
      </c>
      <c r="F6" s="24" t="s">
        <v>18</v>
      </c>
      <c r="G6" s="24">
        <v>0</v>
      </c>
      <c r="H6" s="24">
        <v>1</v>
      </c>
      <c r="I6" s="24">
        <v>0</v>
      </c>
      <c r="J6" s="24">
        <v>1</v>
      </c>
      <c r="K6" s="24">
        <v>1</v>
      </c>
      <c r="L6" s="24">
        <v>1</v>
      </c>
      <c r="M6" s="24">
        <v>0</v>
      </c>
      <c r="N6" s="24">
        <v>1</v>
      </c>
      <c r="O6" s="24">
        <v>1</v>
      </c>
      <c r="P6" s="24">
        <f t="shared" si="3"/>
      </c>
      <c r="Q6" s="24">
        <f>VLOOKUP($B6,Points!$B$2:$C$34,2,FALSE())</f>
      </c>
      <c r="R6" s="25">
        <f t="shared" si="4"/>
      </c>
      <c r="S6" s="24">
        <f t="shared" si="5"/>
      </c>
      <c r="T6" s="2"/>
      <c r="U6" s="2"/>
      <c r="V6" s="2"/>
    </row>
    <row r="7" spans="1:22" ht="15.75" customHeight="1" x14ac:dyDescent="0.2">
      <c r="A7" s="2"/>
      <c r="B7" s="2" t="s">
        <v>39</v>
      </c>
      <c r="C7" s="24">
        <v>1</v>
      </c>
      <c r="D7" s="24">
        <v>0</v>
      </c>
      <c r="E7" s="24">
        <v>0</v>
      </c>
      <c r="F7" s="24">
        <v>1</v>
      </c>
      <c r="G7" s="24">
        <v>1</v>
      </c>
      <c r="H7" s="24">
        <v>1</v>
      </c>
      <c r="I7" s="24">
        <v>0</v>
      </c>
      <c r="J7" s="24">
        <v>0</v>
      </c>
      <c r="K7" s="24">
        <v>1</v>
      </c>
      <c r="L7" s="24" t="s">
        <v>18</v>
      </c>
      <c r="M7" s="24">
        <v>1</v>
      </c>
      <c r="N7" s="24">
        <v>1</v>
      </c>
      <c r="O7" s="24">
        <v>0</v>
      </c>
      <c r="P7" s="24">
        <f t="shared" si="3"/>
      </c>
      <c r="Q7" s="24">
        <f>VLOOKUP($B7,Points!$B$2:$C$34,2,FALSE())</f>
      </c>
      <c r="R7" s="25">
        <f t="shared" si="4"/>
      </c>
      <c r="S7" s="24">
        <f t="shared" si="5"/>
      </c>
      <c r="T7" s="2"/>
      <c r="U7" s="2"/>
      <c r="V7" s="2"/>
    </row>
    <row r="8" spans="1:22" ht="15.75" customHeight="1" x14ac:dyDescent="0.2">
      <c r="A8" s="2"/>
      <c r="B8" s="2" t="s">
        <v>41</v>
      </c>
      <c r="C8" s="24" t="s">
        <v>18</v>
      </c>
      <c r="D8" s="24" t="s">
        <v>18</v>
      </c>
      <c r="E8" s="24">
        <v>1</v>
      </c>
      <c r="F8" s="24">
        <v>1</v>
      </c>
      <c r="G8" s="24">
        <v>1</v>
      </c>
      <c r="H8" s="24">
        <v>0</v>
      </c>
      <c r="I8" s="24">
        <v>1</v>
      </c>
      <c r="J8" s="24">
        <v>1</v>
      </c>
      <c r="K8" s="24">
        <v>0</v>
      </c>
      <c r="L8" s="24">
        <v>0</v>
      </c>
      <c r="M8" s="24">
        <v>1</v>
      </c>
      <c r="N8" s="24">
        <v>0</v>
      </c>
      <c r="O8" s="24">
        <v>1</v>
      </c>
      <c r="P8" s="24">
        <f t="shared" si="3"/>
      </c>
      <c r="Q8" s="24">
        <f>VLOOKUP($B8,Points!$B$2:$C$34,2,FALSE())</f>
      </c>
      <c r="R8" s="25">
        <f t="shared" si="4"/>
      </c>
      <c r="S8" s="24">
        <f t="shared" si="5"/>
      </c>
      <c r="T8" s="2"/>
      <c r="U8" s="2"/>
      <c r="V8" s="2"/>
    </row>
    <row r="9" spans="1:22" ht="15.75" customHeight="1" x14ac:dyDescent="0.2">
      <c r="A9" s="2"/>
      <c r="B9" s="2" t="s">
        <v>34</v>
      </c>
      <c r="C9" s="24" t="s">
        <v>18</v>
      </c>
      <c r="D9" s="24" t="s">
        <v>18</v>
      </c>
      <c r="E9" s="24">
        <v>1</v>
      </c>
      <c r="F9" s="24">
        <v>1</v>
      </c>
      <c r="G9" s="24">
        <v>1</v>
      </c>
      <c r="H9" s="24">
        <v>1</v>
      </c>
      <c r="I9" s="24">
        <v>0</v>
      </c>
      <c r="J9" s="24">
        <v>0</v>
      </c>
      <c r="K9" s="24">
        <v>1</v>
      </c>
      <c r="L9" s="24">
        <v>0</v>
      </c>
      <c r="M9" s="24" t="s">
        <v>18</v>
      </c>
      <c r="N9" s="24" t="s">
        <v>18</v>
      </c>
      <c r="O9" s="24">
        <v>0</v>
      </c>
      <c r="P9" s="24">
        <f t="shared" si="3"/>
      </c>
      <c r="Q9" s="24">
        <f>VLOOKUP($B9,Points!$B$2:$C$34,2,FALSE())</f>
      </c>
      <c r="R9" s="25">
        <f t="shared" si="4"/>
      </c>
      <c r="S9" s="24">
        <f t="shared" si="5"/>
      </c>
      <c r="T9" s="2"/>
      <c r="U9" s="2"/>
      <c r="V9" s="2"/>
    </row>
    <row r="10" spans="1:22" ht="15.75" customHeight="1" x14ac:dyDescent="0.2">
      <c r="A10" s="2"/>
      <c r="B10" s="2" t="s">
        <v>25</v>
      </c>
      <c r="C10" s="24">
        <v>0</v>
      </c>
      <c r="D10" s="24">
        <v>1</v>
      </c>
      <c r="E10" s="24">
        <v>0</v>
      </c>
      <c r="F10" s="24">
        <v>0</v>
      </c>
      <c r="G10" s="24">
        <v>0</v>
      </c>
      <c r="H10" s="24">
        <v>0</v>
      </c>
      <c r="I10" s="24">
        <v>1</v>
      </c>
      <c r="J10" s="24">
        <v>0</v>
      </c>
      <c r="K10" s="24">
        <v>1</v>
      </c>
      <c r="L10" s="24">
        <v>1</v>
      </c>
      <c r="M10" s="24">
        <v>0</v>
      </c>
      <c r="N10" s="24">
        <v>1</v>
      </c>
      <c r="O10" s="24">
        <v>1</v>
      </c>
      <c r="P10" s="24">
        <f t="shared" si="3"/>
      </c>
      <c r="Q10" s="24">
        <f>VLOOKUP($B10,Points!$B$2:$C$34,2,FALSE())</f>
      </c>
      <c r="R10" s="25">
        <f t="shared" si="4"/>
      </c>
      <c r="S10" s="24">
        <f t="shared" si="5"/>
      </c>
      <c r="T10" s="2"/>
      <c r="U10" s="2"/>
      <c r="V10" s="2"/>
    </row>
    <row r="11" spans="1:22" ht="15.75" customHeight="1" x14ac:dyDescent="0.2">
      <c r="A11" s="2"/>
      <c r="B11" s="2" t="s">
        <v>26</v>
      </c>
      <c r="C11" s="24" t="s">
        <v>18</v>
      </c>
      <c r="D11" s="24">
        <v>0</v>
      </c>
      <c r="E11" s="24">
        <v>1</v>
      </c>
      <c r="F11" s="24">
        <v>1</v>
      </c>
      <c r="G11" s="24">
        <v>0</v>
      </c>
      <c r="H11" s="24">
        <v>1</v>
      </c>
      <c r="I11" s="24">
        <v>0</v>
      </c>
      <c r="J11" s="24">
        <v>0</v>
      </c>
      <c r="K11" s="24">
        <v>0</v>
      </c>
      <c r="L11" s="24">
        <v>0</v>
      </c>
      <c r="M11" s="24">
        <v>1</v>
      </c>
      <c r="N11" s="24">
        <v>0</v>
      </c>
      <c r="O11" s="24">
        <v>0</v>
      </c>
      <c r="P11" s="24">
        <f t="shared" si="3"/>
      </c>
      <c r="Q11" s="24">
        <f>VLOOKUP($B11,Points!$B$2:$C$34,2,FALSE())</f>
      </c>
      <c r="R11" s="25">
        <f t="shared" si="4"/>
      </c>
      <c r="S11" s="24">
        <f t="shared" si="5"/>
      </c>
      <c r="T11" s="2"/>
      <c r="U11" s="2"/>
      <c r="V11" s="2"/>
    </row>
    <row r="12" spans="1:22" ht="15.75" customHeight="1" x14ac:dyDescent="0.2">
      <c r="A12" s="2"/>
      <c r="B12" s="2" t="s">
        <v>21</v>
      </c>
      <c r="C12" s="24" t="s">
        <v>18</v>
      </c>
      <c r="D12" s="24">
        <v>1</v>
      </c>
      <c r="E12" s="24">
        <v>0</v>
      </c>
      <c r="F12" s="24">
        <v>0</v>
      </c>
      <c r="G12" s="24">
        <v>0</v>
      </c>
      <c r="H12" s="24">
        <v>0</v>
      </c>
      <c r="I12" s="24">
        <v>1</v>
      </c>
      <c r="J12" s="24">
        <v>1</v>
      </c>
      <c r="K12" s="24">
        <v>1</v>
      </c>
      <c r="L12" s="24">
        <v>0</v>
      </c>
      <c r="M12" s="24">
        <v>0</v>
      </c>
      <c r="N12" s="24" t="s">
        <v>18</v>
      </c>
      <c r="O12" s="24" t="inlineStr">
        <is>
          <t>X</t>
        </is>
      </c>
      <c r="P12" s="24">
        <f t="shared" si="3"/>
      </c>
      <c r="Q12" s="24">
        <f>VLOOKUP($B12,Points!$B$2:$C$34,2,FALSE())</f>
      </c>
      <c r="R12" s="25">
        <f t="shared" si="4"/>
      </c>
      <c r="S12" s="24">
        <f t="shared" si="5"/>
      </c>
      <c r="T12" s="2"/>
      <c r="U12" s="2"/>
      <c r="V12" s="2"/>
    </row>
    <row r="13" spans="1:22" ht="15.75" customHeight="1" x14ac:dyDescent="0.2">
      <c r="A13" s="2"/>
      <c r="B13" s="2" t="s">
        <v>17</v>
      </c>
      <c r="C13" s="24" t="s">
        <v>18</v>
      </c>
      <c r="D13" s="24">
        <v>0</v>
      </c>
      <c r="E13" s="24">
        <v>1</v>
      </c>
      <c r="F13" s="24">
        <v>0</v>
      </c>
      <c r="G13" s="24">
        <v>0</v>
      </c>
      <c r="H13" s="24">
        <v>0</v>
      </c>
      <c r="I13" s="24">
        <v>1</v>
      </c>
      <c r="J13" s="24">
        <v>0</v>
      </c>
      <c r="K13" s="24">
        <v>1</v>
      </c>
      <c r="L13" s="24">
        <v>1</v>
      </c>
      <c r="M13" s="24">
        <v>0</v>
      </c>
      <c r="N13" s="24" t="s">
        <v>18</v>
      </c>
      <c r="O13" s="24">
        <v>1</v>
      </c>
      <c r="P13" s="24">
        <f t="shared" si="3"/>
      </c>
      <c r="Q13" s="24">
        <f>VLOOKUP($B13,Points!$B$2:$C$34,2,FALSE())</f>
      </c>
      <c r="R13" s="25">
        <f t="shared" si="4"/>
      </c>
      <c r="S13" s="24">
        <f t="shared" si="5"/>
      </c>
      <c r="T13" s="2"/>
      <c r="U13" s="2"/>
      <c r="V13" s="2"/>
    </row>
    <row r="14" spans="1:22" ht="15.75" customHeight="1" x14ac:dyDescent="0.2">
      <c r="A14" s="2"/>
      <c r="B14" s="2" t="s">
        <v>22</v>
      </c>
      <c r="C14" s="24" t="s">
        <v>18</v>
      </c>
      <c r="D14" s="24" t="s">
        <v>18</v>
      </c>
      <c r="E14" s="24" t="s">
        <v>18</v>
      </c>
      <c r="F14" s="24" t="s">
        <v>18</v>
      </c>
      <c r="G14" s="24">
        <v>1</v>
      </c>
      <c r="H14" s="24" t="s">
        <v>18</v>
      </c>
      <c r="I14" s="24" t="s">
        <v>18</v>
      </c>
      <c r="J14" s="24">
        <v>1</v>
      </c>
      <c r="K14" s="24">
        <v>1</v>
      </c>
      <c r="L14" s="24">
        <v>1</v>
      </c>
      <c r="M14" s="24">
        <v>0</v>
      </c>
      <c r="N14" s="24">
        <v>0</v>
      </c>
      <c r="O14" s="24">
        <v>1</v>
      </c>
      <c r="P14" s="24">
        <f t="shared" si="3"/>
      </c>
      <c r="Q14" s="24">
        <f>VLOOKUP($B14,Points!$B$2:$C$34,2,FALSE())</f>
      </c>
      <c r="R14" s="25">
        <f t="shared" si="4"/>
      </c>
      <c r="S14" s="24">
        <f t="shared" si="5"/>
      </c>
      <c r="T14" s="2"/>
      <c r="U14" s="2"/>
      <c r="V14" s="2"/>
    </row>
    <row r="15" spans="1:22" ht="15.75" customHeight="1" x14ac:dyDescent="0.2">
      <c r="A15" s="2"/>
      <c r="B15" s="2" t="s">
        <v>28</v>
      </c>
      <c r="C15" s="24" t="s">
        <v>18</v>
      </c>
      <c r="D15" s="24" t="s">
        <v>18</v>
      </c>
      <c r="E15" s="24">
        <v>1</v>
      </c>
      <c r="F15" s="24">
        <v>0</v>
      </c>
      <c r="G15" s="24">
        <v>0</v>
      </c>
      <c r="H15" s="24">
        <v>1</v>
      </c>
      <c r="I15" s="24">
        <v>1</v>
      </c>
      <c r="J15" s="24" t="s">
        <v>18</v>
      </c>
      <c r="K15" s="24" t="s">
        <v>18</v>
      </c>
      <c r="L15" s="24">
        <v>0</v>
      </c>
      <c r="M15" s="24">
        <v>1</v>
      </c>
      <c r="N15" s="24" t="s">
        <v>18</v>
      </c>
      <c r="O15" s="24">
        <v>0</v>
      </c>
      <c r="P15" s="24">
        <f t="shared" si="3"/>
      </c>
      <c r="Q15" s="24">
        <f>VLOOKUP($B15,Points!$B$2:$C$34,2,FALSE())</f>
      </c>
      <c r="R15" s="25">
        <f t="shared" si="4"/>
      </c>
      <c r="S15" s="24">
        <f t="shared" si="5"/>
      </c>
      <c r="T15" s="2"/>
      <c r="U15" s="2"/>
      <c r="V15" s="2"/>
    </row>
    <row r="16" spans="1:22" ht="15.75" customHeight="1" x14ac:dyDescent="0.2">
      <c r="A16" s="2"/>
      <c r="B16" s="2" t="s">
        <v>24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  <c r="I16" s="24">
        <v>1</v>
      </c>
      <c r="J16" s="24">
        <v>1</v>
      </c>
      <c r="K16" s="24">
        <v>0</v>
      </c>
      <c r="L16" s="24">
        <v>1</v>
      </c>
      <c r="M16" s="24">
        <v>1</v>
      </c>
      <c r="N16" s="24">
        <v>0</v>
      </c>
      <c r="O16" s="24">
        <v>0</v>
      </c>
      <c r="P16" s="24">
        <f t="shared" si="3"/>
      </c>
      <c r="Q16" s="24">
        <f>VLOOKUP($B16,Points!$B$2:$C$34,2,FALSE())</f>
      </c>
      <c r="R16" s="25">
        <f t="shared" si="4"/>
      </c>
      <c r="S16" s="24">
        <f t="shared" si="5"/>
      </c>
      <c r="T16" s="2"/>
      <c r="U16" s="2"/>
      <c r="V16" s="2"/>
    </row>
    <row r="17" spans="1:22" ht="15.75" customHeight="1" x14ac:dyDescent="0.2">
      <c r="A17" s="2"/>
      <c r="B17" s="2" t="s">
        <v>36</v>
      </c>
      <c r="C17" s="24" t="s">
        <v>18</v>
      </c>
      <c r="D17" s="24" t="s">
        <v>18</v>
      </c>
      <c r="E17" s="24" t="s">
        <v>18</v>
      </c>
      <c r="F17" s="24" t="s">
        <v>18</v>
      </c>
      <c r="G17" s="24" t="s">
        <v>18</v>
      </c>
      <c r="H17" s="24" t="s">
        <v>18</v>
      </c>
      <c r="I17" s="24" t="s">
        <v>18</v>
      </c>
      <c r="J17" s="24">
        <v>1</v>
      </c>
      <c r="K17" s="24">
        <v>1</v>
      </c>
      <c r="L17" s="24">
        <v>1</v>
      </c>
      <c r="M17" s="24" t="s">
        <v>18</v>
      </c>
      <c r="N17" s="24">
        <v>1</v>
      </c>
      <c r="O17" s="24">
        <v>0</v>
      </c>
      <c r="P17" s="24">
        <f t="shared" si="3"/>
      </c>
      <c r="Q17" s="24">
        <f>VLOOKUP($B17,Points!$B$2:$C$34,2,FALSE())</f>
      </c>
      <c r="R17" s="25">
        <f t="shared" si="4"/>
      </c>
      <c r="S17" s="24">
        <f t="shared" si="5"/>
      </c>
      <c r="T17" s="2"/>
      <c r="U17" s="2"/>
      <c r="V17" s="2"/>
    </row>
    <row r="18" spans="1:22" ht="15.75" customHeight="1" x14ac:dyDescent="0.2">
      <c r="A18" s="2"/>
      <c r="B18" s="2" t="s">
        <v>27</v>
      </c>
      <c r="C18" s="24" t="s">
        <v>18</v>
      </c>
      <c r="D18" s="24">
        <v>1</v>
      </c>
      <c r="E18" s="24">
        <v>0</v>
      </c>
      <c r="F18" s="24">
        <v>0</v>
      </c>
      <c r="G18" s="24">
        <v>1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1</v>
      </c>
      <c r="N18" s="24">
        <v>1</v>
      </c>
      <c r="O18" s="24">
        <v>1</v>
      </c>
      <c r="P18" s="24">
        <f t="shared" si="3"/>
      </c>
      <c r="Q18" s="24">
        <f>VLOOKUP($B18,Points!$B$2:$C$34,2,FALSE())</f>
      </c>
      <c r="R18" s="25">
        <f t="shared" si="4"/>
      </c>
      <c r="S18" s="24">
        <f t="shared" si="5"/>
      </c>
      <c r="T18" s="2"/>
      <c r="U18" s="2"/>
      <c r="V18" s="2"/>
    </row>
    <row r="19" spans="1:22" ht="15.75" customHeight="1" x14ac:dyDescent="0.2">
      <c r="A19" s="2"/>
      <c r="B19" s="2" t="s">
        <v>66</v>
      </c>
      <c r="C19" s="24" t="s">
        <v>18</v>
      </c>
      <c r="D19" s="24">
        <v>0</v>
      </c>
      <c r="E19" s="24">
        <v>0</v>
      </c>
      <c r="F19" s="24">
        <v>1</v>
      </c>
      <c r="G19" s="24">
        <v>0</v>
      </c>
      <c r="H19" s="24">
        <v>1</v>
      </c>
      <c r="I19" s="24">
        <v>1</v>
      </c>
      <c r="J19" s="24" t="s">
        <v>18</v>
      </c>
      <c r="K19" s="24" t="s">
        <v>18</v>
      </c>
      <c r="L19" s="24" t="s">
        <v>18</v>
      </c>
      <c r="M19" s="24" t="s">
        <v>18</v>
      </c>
      <c r="N19" s="24" t="s">
        <v>18</v>
      </c>
      <c r="O19" s="24" t="inlineStr">
        <is>
          <t>X</t>
        </is>
      </c>
      <c r="P19" s="24">
        <f t="shared" si="3"/>
      </c>
      <c r="Q19" s="24">
        <v>6</v>
      </c>
      <c r="R19" s="25">
        <f t="shared" si="4"/>
      </c>
      <c r="S19" s="24">
        <f t="shared" si="5"/>
      </c>
      <c r="T19" s="2"/>
      <c r="U19" s="2"/>
      <c r="V19" s="2"/>
    </row>
    <row r="20" spans="1:22" ht="15.75" customHeight="1" x14ac:dyDescent="0.2">
      <c r="A20" s="2"/>
      <c r="B20" s="2" t="s">
        <v>31</v>
      </c>
      <c r="C20" s="24">
        <v>0</v>
      </c>
      <c r="D20" s="24">
        <v>1</v>
      </c>
      <c r="E20" s="24">
        <v>0</v>
      </c>
      <c r="F20" s="24">
        <v>0</v>
      </c>
      <c r="G20" s="24">
        <v>0</v>
      </c>
      <c r="H20" s="24">
        <v>1</v>
      </c>
      <c r="I20" s="24">
        <v>1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f t="shared" si="3"/>
      </c>
      <c r="Q20" s="24">
        <f>VLOOKUP($B20,Points!$B$2:$C$34,2,FALSE())</f>
      </c>
      <c r="R20" s="25">
        <f t="shared" si="4"/>
      </c>
      <c r="S20" s="24">
        <f t="shared" si="5"/>
      </c>
      <c r="T20" s="2"/>
      <c r="U20" s="2"/>
      <c r="V20" s="2"/>
    </row>
    <row r="21" spans="1:22" ht="15.75" customHeight="1" x14ac:dyDescent="0.2">
      <c r="A21" s="2"/>
      <c r="B21" s="2" t="s">
        <v>33</v>
      </c>
      <c r="C21" s="24">
        <v>0</v>
      </c>
      <c r="D21" s="24">
        <v>0</v>
      </c>
      <c r="E21" s="24">
        <v>0</v>
      </c>
      <c r="F21" s="24">
        <v>0</v>
      </c>
      <c r="G21" s="24">
        <v>1</v>
      </c>
      <c r="H21" s="24">
        <v>1</v>
      </c>
      <c r="I21" s="24">
        <v>0</v>
      </c>
      <c r="J21" s="24">
        <v>0</v>
      </c>
      <c r="K21" s="24" t="s">
        <v>18</v>
      </c>
      <c r="L21" s="24">
        <v>0</v>
      </c>
      <c r="M21" s="24">
        <v>0</v>
      </c>
      <c r="N21" s="24">
        <v>1</v>
      </c>
      <c r="O21" s="24">
        <v>0</v>
      </c>
      <c r="P21" s="24">
        <f t="shared" si="3"/>
      </c>
      <c r="Q21" s="24">
        <f>VLOOKUP($B21,Points!$B$2:$C$34,2,FALSE())</f>
      </c>
      <c r="R21" s="25">
        <f t="shared" si="4"/>
      </c>
      <c r="S21" s="24">
        <f t="shared" si="5"/>
      </c>
      <c r="T21" s="2"/>
      <c r="U21" s="2"/>
      <c r="V21" s="2"/>
    </row>
    <row r="22" spans="1:22" ht="15.75" customHeight="1" x14ac:dyDescent="0.2">
      <c r="A22" s="2"/>
      <c r="B22" s="2" t="s">
        <v>38</v>
      </c>
      <c r="C22" s="24">
        <v>1</v>
      </c>
      <c r="D22" s="24" t="s">
        <v>18</v>
      </c>
      <c r="E22" s="24" t="s">
        <v>18</v>
      </c>
      <c r="F22" s="24" t="s">
        <v>18</v>
      </c>
      <c r="G22" s="24">
        <v>0</v>
      </c>
      <c r="H22" s="24">
        <v>0</v>
      </c>
      <c r="I22" s="24">
        <v>0</v>
      </c>
      <c r="J22" s="24" t="s">
        <v>18</v>
      </c>
      <c r="K22" s="24">
        <v>0</v>
      </c>
      <c r="L22" s="24" t="s">
        <v>18</v>
      </c>
      <c r="M22" s="24">
        <v>1</v>
      </c>
      <c r="N22" s="24">
        <v>1</v>
      </c>
      <c r="O22" s="24">
        <v>1</v>
      </c>
      <c r="P22" s="24">
        <f t="shared" si="3"/>
      </c>
      <c r="Q22" s="24">
        <f>VLOOKUP($B22,Points!$B$2:$C$34,2,FALSE())</f>
      </c>
      <c r="R22" s="25">
        <f t="shared" si="4"/>
      </c>
      <c r="S22" s="24">
        <f t="shared" si="5"/>
      </c>
      <c r="T22" s="2"/>
      <c r="U22" s="2"/>
      <c r="V22" s="2"/>
    </row>
    <row r="23" spans="1:22" ht="15.75" customHeight="1" x14ac:dyDescent="0.2">
      <c r="A23" s="2"/>
      <c r="B23" s="2" t="s">
        <v>67</v>
      </c>
      <c r="C23" s="24">
        <v>0</v>
      </c>
      <c r="D23" s="24">
        <v>0</v>
      </c>
      <c r="E23" s="24">
        <v>1</v>
      </c>
      <c r="F23" s="24">
        <v>1</v>
      </c>
      <c r="G23" s="24" t="s">
        <v>18</v>
      </c>
      <c r="H23" s="24" t="s">
        <v>18</v>
      </c>
      <c r="I23" s="24" t="s">
        <v>18</v>
      </c>
      <c r="J23" s="24" t="s">
        <v>18</v>
      </c>
      <c r="K23" s="24" t="s">
        <v>18</v>
      </c>
      <c r="L23" s="24" t="s">
        <v>18</v>
      </c>
      <c r="M23" s="24" t="s">
        <v>18</v>
      </c>
      <c r="N23" s="24" t="s">
        <v>18</v>
      </c>
      <c r="O23" s="24" t="inlineStr">
        <is>
          <t>X</t>
        </is>
      </c>
      <c r="P23" s="24">
        <f t="shared" si="3"/>
      </c>
      <c r="Q23" s="24">
        <v>4</v>
      </c>
      <c r="R23" s="25">
        <f t="shared" si="4"/>
      </c>
      <c r="S23" s="24">
        <f t="shared" si="5"/>
      </c>
      <c r="T23" s="2"/>
      <c r="U23" s="2"/>
      <c r="V23" s="2"/>
    </row>
    <row r="24" spans="1:22" ht="15.75" customHeight="1" x14ac:dyDescent="0.2">
      <c r="A24" s="2"/>
      <c r="B24" s="2" t="s">
        <v>40</v>
      </c>
      <c r="C24" s="24" t="s">
        <v>18</v>
      </c>
      <c r="D24" s="24" t="s">
        <v>18</v>
      </c>
      <c r="E24" s="24" t="s">
        <v>18</v>
      </c>
      <c r="F24" s="24">
        <v>1</v>
      </c>
      <c r="G24" s="24">
        <v>0</v>
      </c>
      <c r="H24" s="24">
        <v>0</v>
      </c>
      <c r="I24" s="24">
        <v>0</v>
      </c>
      <c r="J24" s="24">
        <v>1</v>
      </c>
      <c r="K24" s="24">
        <v>0</v>
      </c>
      <c r="L24" s="24">
        <v>0</v>
      </c>
      <c r="M24" s="24">
        <v>0</v>
      </c>
      <c r="N24" s="24" t="s">
        <v>18</v>
      </c>
      <c r="O24" s="24">
        <v>0</v>
      </c>
      <c r="P24" s="24">
        <f t="shared" si="3"/>
      </c>
      <c r="Q24" s="24">
        <f>VLOOKUP($B24,Points!$B$2:$C$34,2,FALSE())</f>
      </c>
      <c r="R24" s="25">
        <f t="shared" si="4"/>
      </c>
      <c r="S24" s="24">
        <f t="shared" si="5"/>
      </c>
      <c r="T24" s="2"/>
      <c r="U24" s="2"/>
      <c r="V24" s="2"/>
    </row>
    <row r="25" spans="1:22" ht="15.75" customHeight="1" x14ac:dyDescent="0.2">
      <c r="A25" s="2"/>
      <c r="B25" s="2" t="s">
        <v>23</v>
      </c>
      <c r="C25" s="24" t="s">
        <v>18</v>
      </c>
      <c r="D25" s="24" t="s">
        <v>18</v>
      </c>
      <c r="E25" s="24" t="s">
        <v>18</v>
      </c>
      <c r="F25" s="24" t="s">
        <v>18</v>
      </c>
      <c r="G25" s="24" t="s">
        <v>18</v>
      </c>
      <c r="H25" s="24" t="s">
        <v>18</v>
      </c>
      <c r="I25" s="24" t="s">
        <v>18</v>
      </c>
      <c r="J25" s="24">
        <v>1</v>
      </c>
      <c r="K25" s="24">
        <v>0</v>
      </c>
      <c r="L25" s="24">
        <v>0</v>
      </c>
      <c r="M25" s="24">
        <v>1</v>
      </c>
      <c r="N25" s="24">
        <v>0</v>
      </c>
      <c r="O25" s="24">
        <v>1</v>
      </c>
      <c r="P25" s="24">
        <f t="shared" si="3"/>
      </c>
      <c r="Q25" s="24">
        <f>VLOOKUP($B25,Points!$B$2:$C$34,2,FALSE())</f>
      </c>
      <c r="R25" s="25">
        <f t="shared" si="4"/>
      </c>
      <c r="S25" s="24">
        <f t="shared" si="5"/>
      </c>
      <c r="T25" s="2"/>
      <c r="U25" s="2"/>
      <c r="V25" s="2"/>
    </row>
    <row r="26" spans="1:22" ht="15.75" customHeight="1" x14ac:dyDescent="0.2">
      <c r="A26" s="2"/>
      <c r="B26" s="2" t="s">
        <v>35</v>
      </c>
      <c r="C26" s="24" t="s">
        <v>18</v>
      </c>
      <c r="D26" s="24">
        <v>0</v>
      </c>
      <c r="E26" s="24">
        <v>0</v>
      </c>
      <c r="F26" s="24">
        <v>0</v>
      </c>
      <c r="G26" s="24">
        <v>1</v>
      </c>
      <c r="H26" s="24">
        <v>0</v>
      </c>
      <c r="I26" s="24">
        <v>0</v>
      </c>
      <c r="J26" s="24" t="s">
        <v>18</v>
      </c>
      <c r="K26" s="24" t="s">
        <v>18</v>
      </c>
      <c r="L26" s="24" t="s">
        <v>18</v>
      </c>
      <c r="M26" s="24">
        <v>1</v>
      </c>
      <c r="N26" s="24" t="s">
        <v>18</v>
      </c>
      <c r="O26" s="24">
        <v>1</v>
      </c>
      <c r="P26" s="24">
        <f t="shared" si="3"/>
      </c>
      <c r="Q26" s="24">
        <f>VLOOKUP($B26,Points!$B$2:$C$34,2,FALSE())</f>
      </c>
      <c r="R26" s="25">
        <f t="shared" si="4"/>
      </c>
      <c r="S26" s="24">
        <f t="shared" si="5"/>
      </c>
      <c r="T26" s="2"/>
      <c r="U26" s="2"/>
      <c r="V26" s="2"/>
    </row>
    <row r="27" spans="1:22" ht="15.75" customHeight="1" x14ac:dyDescent="0.2">
      <c r="A27" s="2"/>
      <c r="B27" s="2" t="s">
        <v>63</v>
      </c>
      <c r="C27" s="24" t="s">
        <v>18</v>
      </c>
      <c r="D27" s="24" t="s">
        <v>18</v>
      </c>
      <c r="E27" s="24" t="s">
        <v>18</v>
      </c>
      <c r="F27" s="24" t="s">
        <v>18</v>
      </c>
      <c r="G27" s="24" t="s">
        <v>18</v>
      </c>
      <c r="H27" s="24" t="s">
        <v>18</v>
      </c>
      <c r="I27" s="24" t="s">
        <v>18</v>
      </c>
      <c r="J27" s="24">
        <v>1</v>
      </c>
      <c r="K27" s="24">
        <v>0</v>
      </c>
      <c r="L27" s="24" t="s">
        <v>18</v>
      </c>
      <c r="M27" s="24" t="s">
        <v>18</v>
      </c>
      <c r="N27" s="24">
        <v>0</v>
      </c>
      <c r="O27" s="24">
        <v>0</v>
      </c>
      <c r="P27" s="24">
        <f t="shared" si="3"/>
      </c>
      <c r="Q27" s="24">
        <f>VLOOKUP($B27,Points!$B$2:$C$34,2,FALSE())</f>
      </c>
      <c r="R27" s="25">
        <f t="shared" si="4"/>
      </c>
      <c r="S27" s="24">
        <f t="shared" si="5"/>
      </c>
      <c r="T27" s="2"/>
      <c r="U27" s="2"/>
      <c r="V27" s="2"/>
    </row>
    <row r="28" spans="1:22" ht="15.75" customHeight="1" x14ac:dyDescent="0.2">
      <c r="A28" s="2"/>
      <c r="B28" s="2" t="s">
        <v>68</v>
      </c>
      <c r="C28" s="24">
        <v>1</v>
      </c>
      <c r="D28" s="24" t="s">
        <v>18</v>
      </c>
      <c r="E28" s="24" t="s">
        <v>18</v>
      </c>
      <c r="F28" s="24" t="s">
        <v>18</v>
      </c>
      <c r="G28" s="24" t="s">
        <v>18</v>
      </c>
      <c r="H28" s="24" t="s">
        <v>18</v>
      </c>
      <c r="I28" s="24" t="s">
        <v>18</v>
      </c>
      <c r="J28" s="24" t="s">
        <v>18</v>
      </c>
      <c r="K28" s="24" t="s">
        <v>18</v>
      </c>
      <c r="L28" s="24" t="s">
        <v>18</v>
      </c>
      <c r="M28" s="24" t="s">
        <v>18</v>
      </c>
      <c r="N28" s="24" t="s">
        <v>18</v>
      </c>
      <c r="O28" s="24" t="inlineStr">
        <is>
          <t>X</t>
        </is>
      </c>
      <c r="P28" s="24">
        <f t="shared" si="3"/>
      </c>
      <c r="Q28" s="24">
        <v>1</v>
      </c>
      <c r="R28" s="25">
        <f t="shared" si="4"/>
      </c>
      <c r="S28" s="24">
        <f t="shared" si="5"/>
      </c>
      <c r="T28" s="2"/>
      <c r="U28" s="2"/>
      <c r="V28" s="2"/>
    </row>
    <row r="29" spans="1:22" ht="15.75" customHeight="1" x14ac:dyDescent="0.2">
      <c r="A29" s="2"/>
      <c r="B29" s="2" t="s">
        <v>69</v>
      </c>
      <c r="C29" s="24" t="s">
        <v>18</v>
      </c>
      <c r="D29" s="24">
        <v>0</v>
      </c>
      <c r="E29" s="24">
        <v>1</v>
      </c>
      <c r="F29" s="24" t="s">
        <v>18</v>
      </c>
      <c r="G29" s="24" t="s">
        <v>18</v>
      </c>
      <c r="H29" s="24" t="s">
        <v>18</v>
      </c>
      <c r="I29" s="24" t="s">
        <v>18</v>
      </c>
      <c r="J29" s="24" t="s">
        <v>18</v>
      </c>
      <c r="K29" s="24" t="s">
        <v>18</v>
      </c>
      <c r="L29" s="24" t="s">
        <v>18</v>
      </c>
      <c r="M29" s="24" t="s">
        <v>18</v>
      </c>
      <c r="N29" s="24" t="s">
        <v>18</v>
      </c>
      <c r="O29" s="24" t="inlineStr">
        <is>
          <t>X</t>
        </is>
      </c>
      <c r="P29" s="24">
        <f t="shared" si="3"/>
      </c>
      <c r="Q29" s="24">
        <v>3</v>
      </c>
      <c r="R29" s="25">
        <f t="shared" si="4"/>
      </c>
      <c r="S29" s="24">
        <f t="shared" si="5"/>
      </c>
      <c r="T29" s="2"/>
      <c r="U29" s="2"/>
      <c r="V29" s="2"/>
    </row>
    <row r="30" spans="1:22" ht="15.75" customHeight="1" x14ac:dyDescent="0.2">
      <c r="A30" s="2"/>
      <c r="B30" s="2" t="s">
        <v>20</v>
      </c>
      <c r="C30" s="24" t="s">
        <v>18</v>
      </c>
      <c r="D30" s="24" t="s">
        <v>18</v>
      </c>
      <c r="E30" s="24" t="s">
        <v>18</v>
      </c>
      <c r="F30" s="24" t="s">
        <v>18</v>
      </c>
      <c r="G30" s="24" t="s">
        <v>18</v>
      </c>
      <c r="H30" s="24" t="s">
        <v>18</v>
      </c>
      <c r="I30" s="24" t="s">
        <v>18</v>
      </c>
      <c r="J30" s="24" t="s">
        <v>18</v>
      </c>
      <c r="K30" s="24" t="s">
        <v>18</v>
      </c>
      <c r="L30" s="24">
        <v>1</v>
      </c>
      <c r="M30" s="24" t="s">
        <v>18</v>
      </c>
      <c r="N30" s="24">
        <v>0</v>
      </c>
      <c r="O30" s="24">
        <v>1</v>
      </c>
      <c r="P30" s="24">
        <f t="shared" si="3"/>
      </c>
      <c r="Q30" s="24">
        <f>VLOOKUP($B30,Points!$B$2:$C$34,2,FALSE())</f>
      </c>
      <c r="R30" s="25">
        <f t="shared" si="4"/>
      </c>
      <c r="S30" s="24">
        <f t="shared" si="5"/>
      </c>
      <c r="T30" s="2"/>
      <c r="U30" s="2"/>
      <c r="V30" s="2"/>
    </row>
    <row r="31" spans="1:22" ht="15.75" customHeight="1" x14ac:dyDescent="0.2">
      <c r="A31" s="2"/>
      <c r="B31" s="2" t="s">
        <v>70</v>
      </c>
      <c r="C31" s="24" t="s">
        <v>18</v>
      </c>
      <c r="D31" s="24" t="s">
        <v>18</v>
      </c>
      <c r="E31" s="24" t="s">
        <v>18</v>
      </c>
      <c r="F31" s="24" t="s">
        <v>18</v>
      </c>
      <c r="G31" s="24" t="s">
        <v>18</v>
      </c>
      <c r="H31" s="24" t="s">
        <v>18</v>
      </c>
      <c r="I31" s="24" t="s">
        <v>18</v>
      </c>
      <c r="J31" s="24" t="s">
        <v>18</v>
      </c>
      <c r="K31" s="24" t="s">
        <v>18</v>
      </c>
      <c r="L31" s="24" t="s">
        <v>18</v>
      </c>
      <c r="M31" s="24" t="s">
        <v>18</v>
      </c>
      <c r="N31" s="24">
        <v>1</v>
      </c>
      <c r="O31" s="24" t="inlineStr">
        <is>
          <t>X</t>
        </is>
      </c>
      <c r="P31" s="24">
        <f t="shared" si="3"/>
      </c>
      <c r="Q31" s="24">
        <v>1</v>
      </c>
      <c r="R31" s="25">
        <f t="shared" si="4"/>
      </c>
      <c r="S31" s="24">
        <f t="shared" si="5"/>
      </c>
      <c r="T31" s="2"/>
      <c r="U31" s="2"/>
      <c r="V31" s="2"/>
    </row>
    <row r="32" spans="1:22" ht="15.75" customHeight="1" x14ac:dyDescent="0.2">
      <c r="A32" s="2"/>
      <c r="B32" s="2" t="s">
        <v>37</v>
      </c>
      <c r="C32" s="24" t="s">
        <v>18</v>
      </c>
      <c r="D32" s="24" t="s">
        <v>18</v>
      </c>
      <c r="E32" s="24" t="s">
        <v>18</v>
      </c>
      <c r="F32" s="24" t="s">
        <v>18</v>
      </c>
      <c r="G32" s="24" t="s">
        <v>18</v>
      </c>
      <c r="H32" s="24" t="s">
        <v>18</v>
      </c>
      <c r="I32" s="24" t="s">
        <v>18</v>
      </c>
      <c r="J32" s="24">
        <v>0</v>
      </c>
      <c r="K32" s="24" t="s">
        <v>18</v>
      </c>
      <c r="L32" s="24" t="s">
        <v>18</v>
      </c>
      <c r="M32" s="24" t="s">
        <v>18</v>
      </c>
      <c r="N32" s="24">
        <v>0</v>
      </c>
      <c r="O32" s="24">
        <v>0</v>
      </c>
      <c r="P32" s="24">
        <f t="shared" si="3"/>
      </c>
      <c r="Q32" s="24">
        <f>VLOOKUP($B32,Points!$B$2:$C$34,2,FALSE())</f>
      </c>
      <c r="R32" s="25">
        <f t="shared" si="4"/>
      </c>
      <c r="S32" s="24">
        <f t="shared" si="5"/>
      </c>
      <c r="T32" s="2"/>
      <c r="U32" s="2"/>
      <c r="V32" s="2"/>
    </row>
    <row r="33" spans="1:22" ht="15.75" customHeight="1" x14ac:dyDescent="0.2">
      <c r="A33" s="2"/>
      <c r="B33" s="2" t="s">
        <v>72</v>
      </c>
      <c r="C33" s="26" t="s">
        <v>18</v>
      </c>
      <c r="D33" s="26" t="s">
        <v>18</v>
      </c>
      <c r="E33" s="26" t="s">
        <v>18</v>
      </c>
      <c r="F33" s="26" t="s">
        <v>18</v>
      </c>
      <c r="G33" s="26" t="s">
        <v>18</v>
      </c>
      <c r="H33" s="26" t="s">
        <v>18</v>
      </c>
      <c r="I33" s="26" t="s">
        <v>18</v>
      </c>
      <c r="J33" s="26">
        <v>0</v>
      </c>
      <c r="K33" s="26" t="s">
        <v>18</v>
      </c>
      <c r="L33" s="26" t="s">
        <v>18</v>
      </c>
      <c r="M33" s="26" t="s">
        <v>18</v>
      </c>
      <c r="N33" s="26" t="s">
        <v>18</v>
      </c>
      <c r="O33" s="26" t="inlineStr">
        <is>
          <t>X</t>
        </is>
      </c>
      <c r="P33" s="26" t="s">
        <v>18</v>
      </c>
      <c r="Q33" s="2"/>
      <c r="R33" s="2"/>
      <c r="S33" s="2"/>
      <c r="T33" s="2"/>
      <c r="U33" s="2"/>
      <c r="V33" s="2"/>
    </row>
    <row r="34" spans="1:22" ht="15.75" customHeight="1" x14ac:dyDescent="0.2">
      <c r="A34" s="2"/>
      <c r="B34" s="2" t="s">
        <v>48</v>
      </c>
      <c r="C34" s="24">
        <f t="shared" ref="C34:K34" si="6">SUM(C3:C33)</f>
        <v>6</v>
      </c>
      <c r="D34" s="24">
        <f t="shared" si="6"/>
        <v>8</v>
      </c>
      <c r="E34" s="24">
        <f t="shared" si="6"/>
        <v>10</v>
      </c>
      <c r="F34" s="24">
        <f t="shared" si="6"/>
        <v>10</v>
      </c>
      <c r="G34" s="24">
        <f t="shared" si="6"/>
        <v>10</v>
      </c>
      <c r="H34" s="24">
        <f t="shared" si="6"/>
        <v>10</v>
      </c>
      <c r="I34" s="24">
        <f t="shared" si="6"/>
        <v>10</v>
      </c>
      <c r="J34" s="24">
        <f t="shared" si="6"/>
        <v>11</v>
      </c>
      <c r="K34" s="24">
        <f t="shared" si="6"/>
        <v>10</v>
      </c>
      <c r="L34" s="24">
        <f>SUM(L3:L33)</f>
        <v>10</v>
      </c>
      <c r="M34" s="24">
        <f>SUM(M3:M33)</f>
        <v>10</v>
      </c>
      <c r="N34" s="24">
        <f>SUM(N3:N33)</f>
        <v>11</v>
      </c>
      <c r="O34" s="24">
        <f>SUM(O3:O33)</f>
      </c>
      <c r="P34" s="24">
        <f>SUM(P3:P33)</f>
      </c>
      <c r="Q34" s="24">
        <f>SUM(Q3:Q33)</f>
      </c>
      <c r="R34" s="2"/>
      <c r="S34" s="2"/>
      <c r="T34" s="2"/>
      <c r="U34" s="2"/>
      <c r="V34" s="2"/>
    </row>
    <row r="35" spans="1:22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5.75" customHeight="1" x14ac:dyDescent="0.2">
      <c r="A40" s="8"/>
      <c r="B40" s="8"/>
      <c r="C40" s="8"/>
      <c r="D40" s="8"/>
      <c r="E40" s="8"/>
      <c r="F40" s="8"/>
    </row>
  </sheetData>
  <autoFilter ref="B3:S31" xr:uid="{00000000-0009-0000-0000-000002000000}">
    <sortState xmlns:xlrd2="http://schemas.microsoft.com/office/spreadsheetml/2017/richdata2" ref="B4:R31">
      <sortCondition descending="1" ref="C4:C31"/>
    </sortState>
  </autoFilter>
  <conditionalFormatting sqref="C3:O32">
    <cfRule type="cellIs" dxfId="3" priority="4" operator="equal">
      <formula>0</formula>
    </cfRule>
    <cfRule type="cellIs" dxfId="2" priority="5" operator="equal">
      <formula>1</formula>
    </cfRule>
  </conditionalFormatting>
  <conditionalFormatting sqref="J33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Handicaps</vt:lpstr>
      <vt:lpstr>Points</vt:lpstr>
      <vt:lpstr>Cups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Craig Hilts</cp:lastModifiedBy>
  <cp:revision>0</cp:revision>
  <dcterms:created xsi:type="dcterms:W3CDTF">2016-11-22T03:25:25Z</dcterms:created>
  <dcterms:modified xsi:type="dcterms:W3CDTF">2026-09-04T16:50:17Z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-1740060059</vt:i4>
  </property>
  <property fmtid="{D5CDD505-2E9C-101B-9397-08002B2CF9AE}" pid="3" name="_AuthorEmail">
    <vt:lpwstr>craig.hilts@sidley.com</vt:lpwstr>
  </property>
  <property fmtid="{D5CDD505-2E9C-101B-9397-08002B2CF9AE}" pid="4" name="_AuthorEmailDisplayName">
    <vt:lpwstr>Hilts, Craig R.</vt:lpwstr>
  </property>
  <property fmtid="{D5CDD505-2E9C-101B-9397-08002B2CF9AE}" pid="5" name="_EmailSubject">
    <vt:lpwstr>Personal File</vt:lpwstr>
  </property>
  <property fmtid="{D5CDD505-2E9C-101B-9397-08002B2CF9AE}" pid="6" name="_NewReviewCycle">
    <vt:lpwstr/>
  </property>
</Properties>
</file>