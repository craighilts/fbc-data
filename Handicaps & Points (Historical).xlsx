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7BC59D74-8E5F-E145-BC44-DE17FE665260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4" i="3" l="1"/>
  <c r="M34" i="3"/>
  <c r="L34" i="3"/>
  <c r="K34" i="3"/>
  <c r="J34" i="3"/>
  <c r="I34" i="3"/>
  <c r="H34" i="3"/>
  <c r="G34" i="3"/>
  <c r="F34" i="3"/>
  <c r="E34" i="3"/>
  <c r="D34" i="3"/>
  <c r="C34" i="3"/>
  <c r="R32" i="3"/>
  <c r="Q32" i="3"/>
  <c r="O32" i="3"/>
  <c r="O31" i="3"/>
  <c r="R31" i="3" s="1"/>
  <c r="R30" i="3"/>
  <c r="Q30" i="3"/>
  <c r="O30" i="3"/>
  <c r="O29" i="3"/>
  <c r="R29" i="3" s="1"/>
  <c r="O28" i="3"/>
  <c r="R28" i="3" s="1"/>
  <c r="R27" i="3"/>
  <c r="Q27" i="3"/>
  <c r="O27" i="3"/>
  <c r="O26" i="3"/>
  <c r="O25" i="3"/>
  <c r="O24" i="3"/>
  <c r="R23" i="3"/>
  <c r="Q23" i="3"/>
  <c r="O23" i="3"/>
  <c r="O22" i="3"/>
  <c r="O21" i="3"/>
  <c r="O20" i="3"/>
  <c r="R19" i="3"/>
  <c r="Q19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34" i="3" s="1"/>
  <c r="B2" i="3"/>
  <c r="M31" i="1"/>
  <c r="L31" i="1"/>
  <c r="K31" i="1"/>
  <c r="J31" i="1"/>
  <c r="I31" i="1"/>
  <c r="H31" i="1"/>
  <c r="G31" i="1"/>
  <c r="F31" i="1"/>
  <c r="E31" i="1"/>
  <c r="D31" i="1"/>
  <c r="C31" i="1"/>
  <c r="M30" i="1"/>
  <c r="L30" i="1"/>
  <c r="K30" i="1"/>
  <c r="J30" i="1"/>
  <c r="I30" i="1"/>
  <c r="H30" i="1"/>
  <c r="G30" i="1"/>
  <c r="F30" i="1"/>
  <c r="E30" i="1"/>
  <c r="D30" i="1"/>
  <c r="C30" i="1"/>
  <c r="M29" i="1"/>
  <c r="L29" i="1"/>
  <c r="K29" i="1"/>
  <c r="J29" i="1"/>
  <c r="I29" i="1"/>
  <c r="H29" i="1"/>
  <c r="G29" i="1"/>
  <c r="F29" i="1"/>
  <c r="E29" i="1"/>
  <c r="D29" i="1"/>
  <c r="C29" i="1"/>
  <c r="S27" i="1"/>
  <c r="R27" i="1"/>
  <c r="Q27" i="1"/>
  <c r="P27" i="1"/>
  <c r="O27" i="1"/>
  <c r="S26" i="1"/>
  <c r="R26" i="1"/>
  <c r="Q26" i="1"/>
  <c r="P26" i="1"/>
  <c r="O26" i="1"/>
  <c r="S25" i="1"/>
  <c r="R25" i="1"/>
  <c r="Q25" i="1"/>
  <c r="P25" i="1"/>
  <c r="O25" i="1"/>
  <c r="S24" i="1"/>
  <c r="R24" i="1"/>
  <c r="Q24" i="1"/>
  <c r="P24" i="1"/>
  <c r="O24" i="1"/>
  <c r="S23" i="1"/>
  <c r="R23" i="1"/>
  <c r="Q23" i="1"/>
  <c r="O23" i="1"/>
  <c r="S22" i="1"/>
  <c r="R22" i="1"/>
  <c r="Q22" i="1"/>
  <c r="P22" i="1"/>
  <c r="O22" i="1"/>
  <c r="R21" i="1"/>
  <c r="S21" i="1" s="1"/>
  <c r="Q21" i="1"/>
  <c r="P21" i="1"/>
  <c r="O21" i="1"/>
  <c r="S20" i="1"/>
  <c r="R20" i="1"/>
  <c r="Q20" i="1"/>
  <c r="P20" i="1"/>
  <c r="O20" i="1"/>
  <c r="R19" i="1"/>
  <c r="S19" i="1" s="1"/>
  <c r="Q19" i="1"/>
  <c r="P19" i="1"/>
  <c r="O19" i="1"/>
  <c r="S18" i="1"/>
  <c r="R18" i="1"/>
  <c r="Q18" i="1"/>
  <c r="P18" i="1"/>
  <c r="O18" i="1"/>
  <c r="R17" i="1"/>
  <c r="S17" i="1" s="1"/>
  <c r="Q17" i="1"/>
  <c r="P17" i="1"/>
  <c r="O17" i="1"/>
  <c r="S16" i="1"/>
  <c r="R16" i="1"/>
  <c r="Q16" i="1"/>
  <c r="P16" i="1"/>
  <c r="O16" i="1"/>
  <c r="R15" i="1"/>
  <c r="S15" i="1" s="1"/>
  <c r="Q15" i="1"/>
  <c r="P15" i="1"/>
  <c r="O15" i="1"/>
  <c r="S14" i="1"/>
  <c r="R14" i="1"/>
  <c r="Q14" i="1"/>
  <c r="P14" i="1"/>
  <c r="O14" i="1"/>
  <c r="R13" i="1"/>
  <c r="S13" i="1" s="1"/>
  <c r="Q13" i="1"/>
  <c r="P13" i="1"/>
  <c r="O13" i="1"/>
  <c r="S12" i="1"/>
  <c r="R12" i="1"/>
  <c r="Q12" i="1"/>
  <c r="P12" i="1"/>
  <c r="O12" i="1"/>
  <c r="R11" i="1"/>
  <c r="S11" i="1" s="1"/>
  <c r="Q11" i="1"/>
  <c r="P11" i="1"/>
  <c r="O11" i="1"/>
  <c r="S10" i="1"/>
  <c r="R10" i="1"/>
  <c r="Q10" i="1"/>
  <c r="P10" i="1"/>
  <c r="O10" i="1"/>
  <c r="R8" i="1"/>
  <c r="S8" i="1" s="1"/>
  <c r="Q8" i="1"/>
  <c r="P8" i="1"/>
  <c r="O8" i="1"/>
  <c r="S7" i="1"/>
  <c r="R7" i="1"/>
  <c r="Q7" i="1"/>
  <c r="P7" i="1"/>
  <c r="O7" i="1"/>
  <c r="O29" i="1" s="1"/>
  <c r="R6" i="1"/>
  <c r="S6" i="1" s="1"/>
  <c r="Q6" i="1"/>
  <c r="P6" i="1"/>
  <c r="O6" i="1"/>
  <c r="S5" i="1"/>
  <c r="R5" i="1"/>
  <c r="Q5" i="1"/>
  <c r="O5" i="1"/>
  <c r="S4" i="1"/>
  <c r="R4" i="1"/>
  <c r="Q4" i="1"/>
  <c r="P4" i="1"/>
  <c r="P30" i="1" s="1"/>
  <c r="O4" i="1"/>
  <c r="R3" i="1"/>
  <c r="S3" i="1" s="1"/>
  <c r="Q3" i="1"/>
  <c r="Q30" i="1" s="1"/>
  <c r="P3" i="1"/>
  <c r="O3" i="1"/>
  <c r="O30" i="1" s="1"/>
  <c r="T55" i="2"/>
  <c r="S55" i="2"/>
  <c r="R55" i="2"/>
  <c r="U55" i="2" s="1"/>
  <c r="Q55" i="2"/>
  <c r="T54" i="2"/>
  <c r="S54" i="2"/>
  <c r="R54" i="2"/>
  <c r="U54" i="2" s="1"/>
  <c r="Q54" i="2"/>
  <c r="U53" i="2"/>
  <c r="T53" i="2"/>
  <c r="S53" i="2"/>
  <c r="R53" i="2"/>
  <c r="Q53" i="2"/>
  <c r="B53" i="2"/>
  <c r="U52" i="2"/>
  <c r="T52" i="2"/>
  <c r="S52" i="2"/>
  <c r="R52" i="2"/>
  <c r="Q52" i="2"/>
  <c r="B52" i="2"/>
  <c r="U51" i="2"/>
  <c r="T51" i="2"/>
  <c r="S51" i="2"/>
  <c r="R51" i="2"/>
  <c r="Q51" i="2"/>
  <c r="T50" i="2"/>
  <c r="S50" i="2"/>
  <c r="R50" i="2"/>
  <c r="U50" i="2" s="1"/>
  <c r="Q50" i="2"/>
  <c r="U49" i="2"/>
  <c r="T49" i="2"/>
  <c r="S49" i="2"/>
  <c r="R49" i="2"/>
  <c r="Q49" i="2"/>
  <c r="B49" i="2"/>
  <c r="T48" i="2"/>
  <c r="S48" i="2"/>
  <c r="R48" i="2"/>
  <c r="U48" i="2" s="1"/>
  <c r="Q48" i="2"/>
  <c r="T47" i="2"/>
  <c r="S47" i="2"/>
  <c r="R47" i="2"/>
  <c r="U47" i="2" s="1"/>
  <c r="Q47" i="2"/>
  <c r="U46" i="2"/>
  <c r="T46" i="2"/>
  <c r="S46" i="2"/>
  <c r="R46" i="2"/>
  <c r="Q46" i="2"/>
  <c r="U45" i="2"/>
  <c r="T45" i="2"/>
  <c r="S45" i="2"/>
  <c r="R45" i="2"/>
  <c r="Q45" i="2"/>
  <c r="B45" i="2"/>
  <c r="U44" i="2"/>
  <c r="T44" i="2"/>
  <c r="S44" i="2"/>
  <c r="R44" i="2"/>
  <c r="Q44" i="2"/>
  <c r="B44" i="2"/>
  <c r="T43" i="2"/>
  <c r="S43" i="2"/>
  <c r="R43" i="2"/>
  <c r="U43" i="2" s="1"/>
  <c r="Q43" i="2"/>
  <c r="T42" i="2"/>
  <c r="S42" i="2"/>
  <c r="R42" i="2"/>
  <c r="U42" i="2" s="1"/>
  <c r="Q42" i="2"/>
  <c r="T41" i="2"/>
  <c r="S41" i="2"/>
  <c r="R41" i="2"/>
  <c r="U41" i="2" s="1"/>
  <c r="Q41" i="2"/>
  <c r="U40" i="2"/>
  <c r="T40" i="2"/>
  <c r="S40" i="2"/>
  <c r="R40" i="2"/>
  <c r="Q40" i="2"/>
  <c r="B40" i="2"/>
  <c r="U39" i="2"/>
  <c r="T39" i="2"/>
  <c r="S39" i="2"/>
  <c r="R39" i="2"/>
  <c r="Q39" i="2"/>
  <c r="B39" i="2"/>
  <c r="T38" i="2"/>
  <c r="S38" i="2"/>
  <c r="R38" i="2"/>
  <c r="U38" i="2" s="1"/>
  <c r="Q38" i="2"/>
  <c r="T37" i="2"/>
  <c r="S37" i="2"/>
  <c r="R37" i="2"/>
  <c r="U37" i="2" s="1"/>
  <c r="Q37" i="2"/>
  <c r="T36" i="2"/>
  <c r="S36" i="2"/>
  <c r="R36" i="2"/>
  <c r="U36" i="2" s="1"/>
  <c r="Q36" i="2"/>
  <c r="T35" i="2"/>
  <c r="S35" i="2"/>
  <c r="R35" i="2"/>
  <c r="U35" i="2" s="1"/>
  <c r="Q35" i="2"/>
  <c r="T34" i="2"/>
  <c r="S34" i="2"/>
  <c r="R34" i="2"/>
  <c r="U34" i="2" s="1"/>
  <c r="Q34" i="2"/>
  <c r="T33" i="2"/>
  <c r="S33" i="2"/>
  <c r="U33" i="2" s="1"/>
  <c r="R33" i="2"/>
  <c r="Q33" i="2"/>
  <c r="T32" i="2"/>
  <c r="S32" i="2"/>
  <c r="S57" i="2" s="1"/>
  <c r="R32" i="2"/>
  <c r="R58" i="2" s="1"/>
  <c r="Q32" i="2"/>
  <c r="U31" i="2"/>
  <c r="T31" i="2"/>
  <c r="T57" i="2" s="1"/>
  <c r="S31" i="2"/>
  <c r="R31" i="2"/>
  <c r="Q31" i="2"/>
  <c r="Q58" i="2" s="1"/>
  <c r="N29" i="2"/>
  <c r="M29" i="2"/>
  <c r="L29" i="2"/>
  <c r="K29" i="2"/>
  <c r="J29" i="2"/>
  <c r="I29" i="2"/>
  <c r="H29" i="2"/>
  <c r="G29" i="2"/>
  <c r="F29" i="2"/>
  <c r="E29" i="2"/>
  <c r="D29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B55" i="2" s="1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B54" i="2" s="1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B48" i="2" s="1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B47" i="2" s="1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B46" i="2" s="1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43" i="2" s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B42" i="2" s="1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41" i="2" s="1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B38" i="2" s="1"/>
  <c r="O9" i="2"/>
  <c r="N9" i="2"/>
  <c r="M9" i="2"/>
  <c r="L9" i="2"/>
  <c r="K9" i="2"/>
  <c r="J9" i="2"/>
  <c r="I9" i="2"/>
  <c r="H9" i="2"/>
  <c r="G9" i="2"/>
  <c r="F9" i="2"/>
  <c r="E9" i="2"/>
  <c r="D9" i="2"/>
  <c r="C9" i="2"/>
  <c r="O8" i="2"/>
  <c r="N8" i="2"/>
  <c r="M8" i="2"/>
  <c r="L8" i="2"/>
  <c r="K8" i="2"/>
  <c r="J8" i="2"/>
  <c r="I8" i="2"/>
  <c r="H8" i="2"/>
  <c r="G8" i="2"/>
  <c r="F8" i="2"/>
  <c r="E8" i="2"/>
  <c r="D8" i="2"/>
  <c r="C8" i="2"/>
  <c r="O7" i="2"/>
  <c r="N7" i="2"/>
  <c r="M7" i="2"/>
  <c r="L7" i="2"/>
  <c r="K7" i="2"/>
  <c r="J7" i="2"/>
  <c r="I7" i="2"/>
  <c r="H7" i="2"/>
  <c r="G7" i="2"/>
  <c r="F7" i="2"/>
  <c r="E7" i="2"/>
  <c r="D7" i="2"/>
  <c r="C7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B34" i="2" s="1"/>
  <c r="O5" i="2"/>
  <c r="N5" i="2"/>
  <c r="M5" i="2"/>
  <c r="L5" i="2"/>
  <c r="K5" i="2"/>
  <c r="J5" i="2"/>
  <c r="I5" i="2"/>
  <c r="H5" i="2"/>
  <c r="G5" i="2"/>
  <c r="F5" i="2"/>
  <c r="E5" i="2"/>
  <c r="D5" i="2"/>
  <c r="C5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B32" i="2" s="1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B31" i="2" s="1"/>
  <c r="B2" i="2"/>
  <c r="P14" i="3" s="1"/>
  <c r="R14" i="3" l="1"/>
  <c r="Q14" i="3"/>
  <c r="S29" i="1"/>
  <c r="S30" i="1"/>
  <c r="Q21" i="3"/>
  <c r="S58" i="2"/>
  <c r="R30" i="1"/>
  <c r="P22" i="3"/>
  <c r="U32" i="2"/>
  <c r="P7" i="3"/>
  <c r="R7" i="3" s="1"/>
  <c r="P12" i="3"/>
  <c r="R12" i="3" s="1"/>
  <c r="P17" i="3"/>
  <c r="R17" i="3" s="1"/>
  <c r="P25" i="3"/>
  <c r="R25" i="3" s="1"/>
  <c r="Q31" i="3"/>
  <c r="T58" i="2"/>
  <c r="P29" i="1"/>
  <c r="P20" i="3"/>
  <c r="R20" i="3" s="1"/>
  <c r="Q28" i="3"/>
  <c r="Q29" i="1"/>
  <c r="P5" i="3"/>
  <c r="P10" i="3"/>
  <c r="P15" i="3"/>
  <c r="Q57" i="2"/>
  <c r="R29" i="1"/>
  <c r="R57" i="2"/>
  <c r="P3" i="3"/>
  <c r="P8" i="3"/>
  <c r="P13" i="3"/>
  <c r="P18" i="3"/>
  <c r="P26" i="3"/>
  <c r="R26" i="3" s="1"/>
  <c r="Q29" i="3"/>
  <c r="P21" i="3"/>
  <c r="R21" i="3" s="1"/>
  <c r="P6" i="3"/>
  <c r="R6" i="3" s="1"/>
  <c r="P11" i="3"/>
  <c r="R11" i="3" s="1"/>
  <c r="P16" i="3"/>
  <c r="R16" i="3" s="1"/>
  <c r="P24" i="3"/>
  <c r="P4" i="3"/>
  <c r="P9" i="3"/>
  <c r="Q20" i="3" l="1"/>
  <c r="Q11" i="3"/>
  <c r="Q25" i="3"/>
  <c r="Q17" i="3"/>
  <c r="R10" i="3"/>
  <c r="Q10" i="3"/>
  <c r="R8" i="3"/>
  <c r="Q8" i="3"/>
  <c r="R18" i="3"/>
  <c r="Q18" i="3"/>
  <c r="R22" i="3"/>
  <c r="Q22" i="3"/>
  <c r="Q26" i="3"/>
  <c r="Q7" i="3"/>
  <c r="R5" i="3"/>
  <c r="Q5" i="3"/>
  <c r="R9" i="3"/>
  <c r="Q9" i="3"/>
  <c r="R13" i="3"/>
  <c r="Q13" i="3"/>
  <c r="R4" i="3"/>
  <c r="Q4" i="3"/>
  <c r="R24" i="3"/>
  <c r="Q24" i="3"/>
  <c r="Q16" i="3"/>
  <c r="Q12" i="3"/>
  <c r="P34" i="3"/>
  <c r="R3" i="3"/>
  <c r="Q3" i="3"/>
  <c r="R15" i="3"/>
  <c r="Q15" i="3"/>
  <c r="Q6" i="3"/>
</calcChain>
</file>

<file path=xl/sharedStrings.xml><?xml version="1.0" encoding="utf-8"?>
<sst xmlns="http://schemas.openxmlformats.org/spreadsheetml/2006/main" count="426" uniqueCount="71">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</sst>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3" width="9.5" customWidth="1"/>
    <col min="14" max="14" width="4.1640625" customWidth="1"/>
    <col min="17" max="17" width="11.1640625" customWidth="1"/>
    <col min="19" max="19" width="8.6640625" customWidth="1"/>
  </cols>
  <sheetData>
    <row r="1" spans="1:20" ht="15.75" customHeight="1" x14ac:dyDescent="0.2">
      <c r="B1" s="1"/>
      <c r="C1" s="1"/>
      <c r="D1" s="1"/>
      <c r="E1" s="1"/>
      <c r="F1" s="1"/>
      <c r="G1" s="26"/>
      <c r="H1" s="26"/>
      <c r="I1" s="26"/>
      <c r="J1" s="26"/>
      <c r="K1" s="26"/>
      <c r="L1" s="26"/>
      <c r="M1" s="26"/>
      <c r="N1" s="26"/>
      <c r="O1" s="2"/>
      <c r="P1" s="2"/>
      <c r="Q1" s="2"/>
      <c r="R1" s="2"/>
      <c r="S1" s="2"/>
    </row>
    <row r="2" spans="1:20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7"/>
      <c r="O2" s="5" t="s">
        <v>12</v>
      </c>
      <c r="P2" s="5" t="s">
        <v>13</v>
      </c>
      <c r="Q2" s="5" t="s">
        <v>14</v>
      </c>
      <c r="R2" s="5" t="s">
        <v>15</v>
      </c>
      <c r="S2" s="5" t="s">
        <v>16</v>
      </c>
      <c r="T2" s="8"/>
    </row>
    <row r="3" spans="1:20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1"/>
      <c r="O3" s="10">
        <f>AVERAGE(C3:L3)</f>
        <v>19.93</v>
      </c>
      <c r="P3" s="10">
        <f>STDEV(C3:L3)</f>
        <v>5.3580780136164625</v>
      </c>
      <c r="Q3" s="10">
        <f>MAX(C3:L3)</f>
        <v>32.4</v>
      </c>
      <c r="R3" s="10">
        <f>MIN(C3:L3)</f>
        <v>15.2</v>
      </c>
      <c r="S3" s="10">
        <f t="shared" ref="S3:S8" si="0">Q3-R3</f>
        <v>17.2</v>
      </c>
      <c r="T3" s="8"/>
    </row>
    <row r="4" spans="1:20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1"/>
      <c r="O4" s="10">
        <f>AVERAGE(C4:M4)</f>
        <v>10.163636363636364</v>
      </c>
      <c r="P4" s="10">
        <f>STDEV(C4:M4)</f>
        <v>1.1020641789594035</v>
      </c>
      <c r="Q4" s="10">
        <f>MAX(C4:M4)</f>
        <v>12.4</v>
      </c>
      <c r="R4" s="10">
        <f>MIN(C4:M4)</f>
        <v>8.3000000000000007</v>
      </c>
      <c r="S4" s="10">
        <f t="shared" si="0"/>
        <v>4.0999999999999996</v>
      </c>
      <c r="T4" s="8"/>
    </row>
    <row r="5" spans="1:20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1"/>
      <c r="O5" s="10">
        <f>AVERAGE(C5:L5)</f>
        <v>14.6</v>
      </c>
      <c r="P5" s="10" t="s">
        <v>18</v>
      </c>
      <c r="Q5" s="10">
        <f>MAX(C5:K5)</f>
        <v>14.6</v>
      </c>
      <c r="R5" s="10">
        <f>MIN(C5:K5)</f>
        <v>14.6</v>
      </c>
      <c r="S5" s="10">
        <f t="shared" si="0"/>
        <v>0</v>
      </c>
      <c r="T5" s="8"/>
    </row>
    <row r="6" spans="1:20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1"/>
      <c r="O6" s="10">
        <f>AVERAGE(C6:L6)</f>
        <v>16.96</v>
      </c>
      <c r="P6" s="10">
        <f>STDEV(C6:L6)</f>
        <v>1.1325487480310366</v>
      </c>
      <c r="Q6" s="10">
        <f>MAX(C6:L6)</f>
        <v>18.8</v>
      </c>
      <c r="R6" s="10">
        <f>MIN(C6:L6)</f>
        <v>15.4</v>
      </c>
      <c r="S6" s="10">
        <f t="shared" si="0"/>
        <v>3.4000000000000004</v>
      </c>
      <c r="T6" s="8"/>
    </row>
    <row r="7" spans="1:20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1"/>
      <c r="O7" s="10">
        <f>AVERAGE(C7:M7)</f>
        <v>11.6</v>
      </c>
      <c r="P7" s="10">
        <f>STDEV(C7:M7)</f>
        <v>1.5517731793016782</v>
      </c>
      <c r="Q7" s="10">
        <f>MAX(C7:J7)</f>
        <v>14.2</v>
      </c>
      <c r="R7" s="10">
        <f>MIN(C7:K7)</f>
        <v>10.7</v>
      </c>
      <c r="S7" s="10">
        <f t="shared" si="0"/>
        <v>3.5</v>
      </c>
      <c r="T7" s="8"/>
    </row>
    <row r="8" spans="1:20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1"/>
      <c r="O8" s="10">
        <f>AVERAGE(C8:M8)</f>
        <v>17.82</v>
      </c>
      <c r="P8" s="10">
        <f>STDEV(C8:M8)</f>
        <v>0.62609903369994113</v>
      </c>
      <c r="Q8" s="10">
        <f>MAX(C8:J8)</f>
        <v>18.5</v>
      </c>
      <c r="R8" s="10">
        <f>MIN(C8:K8)</f>
        <v>17.2</v>
      </c>
      <c r="S8" s="10">
        <f t="shared" si="0"/>
        <v>1.3000000000000007</v>
      </c>
      <c r="T8" s="8"/>
    </row>
    <row r="9" spans="1:20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/>
      <c r="J9" s="10"/>
      <c r="K9" s="10"/>
      <c r="L9" s="10" t="s">
        <v>18</v>
      </c>
      <c r="M9" s="10">
        <v>12.4</v>
      </c>
      <c r="N9" s="11"/>
      <c r="O9" s="10"/>
      <c r="P9" s="10"/>
      <c r="Q9" s="10"/>
      <c r="R9" s="10"/>
      <c r="S9" s="10"/>
      <c r="T9" s="8"/>
    </row>
    <row r="10" spans="1:20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1"/>
      <c r="O10" s="10">
        <f>AVERAGE(C10:M10)</f>
        <v>14.799999999999999</v>
      </c>
      <c r="P10" s="10">
        <f>STDEV(C10:M10)</f>
        <v>3.8170669367984784</v>
      </c>
      <c r="Q10" s="10">
        <f>MAX(C10:M10)</f>
        <v>22.3</v>
      </c>
      <c r="R10" s="10">
        <f>MIN(C10:M10)</f>
        <v>10</v>
      </c>
      <c r="S10" s="10">
        <f t="shared" ref="S10:S27" si="1">Q10-R10</f>
        <v>12.3</v>
      </c>
      <c r="T10" s="8"/>
    </row>
    <row r="11" spans="1:20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1"/>
      <c r="O11" s="10">
        <f>AVERAGE(C11:M11)</f>
        <v>7.3</v>
      </c>
      <c r="P11" s="10">
        <f>STDEV(C11:M11)</f>
        <v>4.1883170844624447</v>
      </c>
      <c r="Q11" s="10">
        <f>MAX(C11:M11)</f>
        <v>16.8</v>
      </c>
      <c r="R11" s="10">
        <f>MIN(C11:M11)</f>
        <v>3.3</v>
      </c>
      <c r="S11" s="10">
        <f t="shared" si="1"/>
        <v>13.5</v>
      </c>
      <c r="T11" s="8"/>
    </row>
    <row r="12" spans="1:20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1"/>
      <c r="O12" s="10">
        <f>AVERAGE(C12:M12)</f>
        <v>22.900000000000002</v>
      </c>
      <c r="P12" s="10">
        <f>STDEV(C12:M12)</f>
        <v>4.5237152872390327</v>
      </c>
      <c r="Q12" s="10">
        <f>MAX(C12:M12)</f>
        <v>31.4</v>
      </c>
      <c r="R12" s="10">
        <f>MIN(C12:M12)</f>
        <v>17.399999999999999</v>
      </c>
      <c r="S12" s="10">
        <f t="shared" si="1"/>
        <v>14</v>
      </c>
      <c r="T12" s="8"/>
    </row>
    <row r="13" spans="1:20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1"/>
      <c r="O13" s="10">
        <f>AVERAGE(C13:M13)</f>
        <v>17.554545454545455</v>
      </c>
      <c r="P13" s="10">
        <f>STDEV(C13:M13)</f>
        <v>6.0381062654384667</v>
      </c>
      <c r="Q13" s="10">
        <f>MAX(C13:M13)</f>
        <v>30</v>
      </c>
      <c r="R13" s="10">
        <f>MIN(C13:M13)</f>
        <v>10.9</v>
      </c>
      <c r="S13" s="10">
        <f t="shared" si="1"/>
        <v>19.100000000000001</v>
      </c>
      <c r="T13" s="8"/>
    </row>
    <row r="14" spans="1:20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1"/>
      <c r="O14" s="10">
        <f>AVERAGE(C14:L14)</f>
        <v>8.4285714285714288</v>
      </c>
      <c r="P14" s="10">
        <f>STDEV(C14:L14)</f>
        <v>1.4636874503735287</v>
      </c>
      <c r="Q14" s="10">
        <f>MAX(C14:L14)</f>
        <v>11</v>
      </c>
      <c r="R14" s="10">
        <f>MIN(C14:L14)</f>
        <v>6.8</v>
      </c>
      <c r="S14" s="10">
        <f t="shared" si="1"/>
        <v>4.2</v>
      </c>
      <c r="T14" s="8"/>
    </row>
    <row r="15" spans="1:20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1"/>
      <c r="O15" s="10">
        <f>AVERAGE(C15:M15)</f>
        <v>12.363636363636367</v>
      </c>
      <c r="P15" s="10">
        <f>STDEV(C15:M15)</f>
        <v>1.1534927197626581</v>
      </c>
      <c r="Q15" s="10">
        <f>MAX(C15:M15)</f>
        <v>14.7</v>
      </c>
      <c r="R15" s="10">
        <f>MIN(C15:M15)</f>
        <v>10.9</v>
      </c>
      <c r="S15" s="10">
        <f t="shared" si="1"/>
        <v>3.7999999999999989</v>
      </c>
      <c r="T15" s="8"/>
    </row>
    <row r="16" spans="1:20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1"/>
      <c r="O16" s="10">
        <f>AVERAGE(C16:M16)</f>
        <v>18.099999999999998</v>
      </c>
      <c r="P16" s="10">
        <f>STDEV(C16:M16)</f>
        <v>1.255211358917516</v>
      </c>
      <c r="Q16" s="10">
        <f>MAX(C16:M16)</f>
        <v>19.600000000000001</v>
      </c>
      <c r="R16" s="10">
        <f>MIN(C16:M16)</f>
        <v>16</v>
      </c>
      <c r="S16" s="10">
        <f t="shared" si="1"/>
        <v>3.6000000000000014</v>
      </c>
      <c r="T16" s="8"/>
    </row>
    <row r="17" spans="1:20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1"/>
      <c r="O17" s="10">
        <f>AVERAGE(C17:M17)</f>
        <v>10.681818181818182</v>
      </c>
      <c r="P17" s="10">
        <f>STDEV(C17:M17)</f>
        <v>2.0138610586722225</v>
      </c>
      <c r="Q17" s="10">
        <f>MAX(C17:M17)</f>
        <v>12.8</v>
      </c>
      <c r="R17" s="10">
        <f>MIN(C17:M17)</f>
        <v>7.4</v>
      </c>
      <c r="S17" s="10">
        <f t="shared" si="1"/>
        <v>5.4</v>
      </c>
      <c r="T17" s="8"/>
    </row>
    <row r="18" spans="1:20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1"/>
      <c r="O18" s="10">
        <f>AVERAGE(C18:M18)</f>
        <v>12.000000000000002</v>
      </c>
      <c r="P18" s="10">
        <f>STDEV(C18:M18)</f>
        <v>3.5751923025202363</v>
      </c>
      <c r="Q18" s="10">
        <f>MAX(C18:M18)</f>
        <v>18.8</v>
      </c>
      <c r="R18" s="10">
        <f>MIN(C18:M18)</f>
        <v>7.9</v>
      </c>
      <c r="S18" s="10">
        <f t="shared" si="1"/>
        <v>10.9</v>
      </c>
      <c r="T18" s="8"/>
    </row>
    <row r="19" spans="1:20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1"/>
      <c r="O19" s="10">
        <f>AVERAGE(C19:M19)</f>
        <v>15.3</v>
      </c>
      <c r="P19" s="10">
        <f>STDEV(C19:M19)</f>
        <v>0.85634883857767496</v>
      </c>
      <c r="Q19" s="10">
        <f>MAX(C19:M19)</f>
        <v>16.399999999999999</v>
      </c>
      <c r="R19" s="10">
        <f>MIN(C19:M19)</f>
        <v>14</v>
      </c>
      <c r="S19" s="10">
        <f t="shared" si="1"/>
        <v>2.3999999999999986</v>
      </c>
      <c r="T19" s="8"/>
    </row>
    <row r="20" spans="1:20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1"/>
      <c r="O20" s="10">
        <f>AVERAGE(C20:L20)</f>
        <v>7.2249999999999996</v>
      </c>
      <c r="P20" s="10">
        <f>STDEV(C20:K20)</f>
        <v>1.9144189719076636</v>
      </c>
      <c r="Q20" s="10">
        <f>MAX(C20:K20)</f>
        <v>9.5</v>
      </c>
      <c r="R20" s="10">
        <f t="shared" ref="R20:R25" si="2">MIN(C20:K20)</f>
        <v>4.2</v>
      </c>
      <c r="S20" s="10">
        <f t="shared" si="1"/>
        <v>5.3</v>
      </c>
      <c r="T20" s="8"/>
    </row>
    <row r="21" spans="1:20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1"/>
      <c r="O21" s="10">
        <f>AVERAGE(C21:L21)</f>
        <v>17.900000000000002</v>
      </c>
      <c r="P21" s="10">
        <f>STDEV(C21:K21)</f>
        <v>1.6300306745579973</v>
      </c>
      <c r="Q21" s="10">
        <f>MAX(C21:J21)</f>
        <v>18.899999999999999</v>
      </c>
      <c r="R21" s="10">
        <f t="shared" si="2"/>
        <v>15</v>
      </c>
      <c r="S21" s="10">
        <f t="shared" si="1"/>
        <v>3.8999999999999986</v>
      </c>
      <c r="T21" s="8"/>
    </row>
    <row r="22" spans="1:20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1"/>
      <c r="O22" s="10">
        <f>AVERAGE(C22:M22)</f>
        <v>7.95</v>
      </c>
      <c r="P22" s="10">
        <f>STDEV(C22:K22)</f>
        <v>1.5716233645501707</v>
      </c>
      <c r="Q22" s="10">
        <f>MAX(C22:J22)</f>
        <v>8.8000000000000007</v>
      </c>
      <c r="R22" s="10">
        <f t="shared" si="2"/>
        <v>5.7</v>
      </c>
      <c r="S22" s="10">
        <f t="shared" si="1"/>
        <v>3.1000000000000005</v>
      </c>
      <c r="T22" s="8"/>
    </row>
    <row r="23" spans="1:20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1"/>
      <c r="O23" s="10">
        <f>AVERAGE(C23:L23)</f>
        <v>10.1</v>
      </c>
      <c r="P23" s="10" t="s">
        <v>18</v>
      </c>
      <c r="Q23" s="10">
        <f>MAX(C23:J23)</f>
        <v>10.1</v>
      </c>
      <c r="R23" s="10">
        <f t="shared" si="2"/>
        <v>10.1</v>
      </c>
      <c r="S23" s="10">
        <f t="shared" si="1"/>
        <v>0</v>
      </c>
      <c r="T23" s="8"/>
    </row>
    <row r="24" spans="1:20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1"/>
      <c r="O24" s="10">
        <f>AVERAGE(C24:M24)</f>
        <v>6.5333333333333323</v>
      </c>
      <c r="P24" s="10">
        <f>STDEV(C24:M24)</f>
        <v>2.0451568806980753</v>
      </c>
      <c r="Q24" s="10">
        <f>MAX(C24:J24)</f>
        <v>9.5</v>
      </c>
      <c r="R24" s="10">
        <f t="shared" si="2"/>
        <v>4.5</v>
      </c>
      <c r="S24" s="10">
        <f t="shared" si="1"/>
        <v>5</v>
      </c>
      <c r="T24" s="8"/>
    </row>
    <row r="25" spans="1:20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1"/>
      <c r="O25" s="10">
        <f>AVERAGE(C25:M25)</f>
        <v>15.89</v>
      </c>
      <c r="P25" s="10">
        <f>STDEV(C25:M25)</f>
        <v>2.6685201891685106</v>
      </c>
      <c r="Q25" s="10">
        <f>MAX(C25:J25)</f>
        <v>21.8</v>
      </c>
      <c r="R25" s="10">
        <f t="shared" si="2"/>
        <v>14.4</v>
      </c>
      <c r="S25" s="10">
        <f t="shared" si="1"/>
        <v>7.4</v>
      </c>
      <c r="T25" s="8"/>
    </row>
    <row r="26" spans="1:20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1"/>
      <c r="O26" s="10">
        <f>AVERAGE(C26:L26)</f>
        <v>11.5875</v>
      </c>
      <c r="P26" s="10">
        <f>STDEV(C26:L26)</f>
        <v>2.3841365612852661</v>
      </c>
      <c r="Q26" s="10">
        <f>MAX(C26:L26)</f>
        <v>15</v>
      </c>
      <c r="R26" s="10">
        <f>MIN(C26:L26)</f>
        <v>9</v>
      </c>
      <c r="S26" s="10">
        <f t="shared" si="1"/>
        <v>6</v>
      </c>
      <c r="T26" s="8"/>
    </row>
    <row r="27" spans="1:20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1"/>
      <c r="O27" s="10">
        <f>AVERAGE(C27:M27)</f>
        <v>10.850000000000001</v>
      </c>
      <c r="P27" s="10">
        <f>STDEV(C27:M27)</f>
        <v>1.7796691327946843</v>
      </c>
      <c r="Q27" s="10">
        <f>MAX(C27:M27)</f>
        <v>14.3</v>
      </c>
      <c r="R27" s="10">
        <f>MIN(C27:M27)</f>
        <v>8.6</v>
      </c>
      <c r="S27" s="10">
        <f t="shared" si="1"/>
        <v>5.7000000000000011</v>
      </c>
      <c r="T27" s="8"/>
    </row>
    <row r="28" spans="1:20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N28" s="2"/>
      <c r="O28" s="2"/>
      <c r="P28" s="14"/>
      <c r="Q28" s="2"/>
      <c r="R28" s="2"/>
      <c r="S28" s="2"/>
      <c r="T28" s="8"/>
    </row>
    <row r="29" spans="1:20" ht="15.75" customHeight="1" x14ac:dyDescent="0.2">
      <c r="B29" s="15" t="s">
        <v>12</v>
      </c>
      <c r="C29" s="10">
        <f t="shared" ref="C29:M29" si="3">AVERAGE(C3:C27)</f>
        <v>20.438461538461539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13.920000000000002</v>
      </c>
      <c r="G29" s="10">
        <f t="shared" si="3"/>
        <v>13.799999999999999</v>
      </c>
      <c r="H29" s="10">
        <f t="shared" si="3"/>
        <v>13.257894736842108</v>
      </c>
      <c r="I29" s="10">
        <f t="shared" si="3"/>
        <v>11.994999999999997</v>
      </c>
      <c r="J29" s="10">
        <f t="shared" si="3"/>
        <v>11.768421052631581</v>
      </c>
      <c r="K29" s="10">
        <f t="shared" si="3"/>
        <v>12.145</v>
      </c>
      <c r="L29" s="10">
        <f t="shared" si="3"/>
        <v>12.164999999999999</v>
      </c>
      <c r="M29" s="10">
        <f t="shared" si="3"/>
        <v>11.184210526315789</v>
      </c>
      <c r="N29" s="2"/>
      <c r="O29" s="10">
        <f>AVERAGE(O3:O27)</f>
        <v>13.272418380230881</v>
      </c>
      <c r="P29" s="10">
        <f>AVERAGE(P3:P27)</f>
        <v>2.3931417377878703</v>
      </c>
      <c r="Q29" s="10">
        <f>AVERAGE(Q3:Q27)</f>
        <v>17.19166666666667</v>
      </c>
      <c r="R29" s="10">
        <f>AVERAGE(R3:R27)</f>
        <v>10.729166666666666</v>
      </c>
      <c r="S29" s="10">
        <f>AVERAGE(S3:S27)</f>
        <v>6.4624999999999995</v>
      </c>
    </row>
    <row r="30" spans="1:20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16.399999999999999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2"/>
      <c r="O30" s="10">
        <f>MEDIAN(O3:O27)</f>
        <v>12.181818181818183</v>
      </c>
      <c r="P30" s="10">
        <f>MEDIAN(P3:P27)</f>
        <v>1.847044052351174</v>
      </c>
      <c r="Q30" s="10">
        <f>MEDIAN(Q3:Q27)</f>
        <v>15.7</v>
      </c>
      <c r="R30" s="10">
        <f>MEDIAN(R3:R27)</f>
        <v>10.399999999999999</v>
      </c>
      <c r="S30" s="10">
        <f>MEDIAN(S3:S27)</f>
        <v>4.5999999999999996</v>
      </c>
    </row>
    <row r="31" spans="1:20" ht="15.75" customHeight="1" x14ac:dyDescent="0.2">
      <c r="B31" s="2" t="s">
        <v>13</v>
      </c>
      <c r="C31" s="10">
        <f t="shared" ref="C31:M31" si="5">STDEV(C3:C27)</f>
        <v>6.8819254163277224</v>
      </c>
      <c r="D31" s="10">
        <f t="shared" si="5"/>
        <v>5.0163336154183655</v>
      </c>
      <c r="E31" s="10">
        <f t="shared" si="5"/>
        <v>5.2589279829079034</v>
      </c>
      <c r="F31" s="10">
        <f t="shared" si="5"/>
        <v>5.0172963992467752</v>
      </c>
      <c r="G31" s="10">
        <f t="shared" si="5"/>
        <v>5.049092327669733</v>
      </c>
      <c r="H31" s="10">
        <f t="shared" si="5"/>
        <v>4.7262054064396741</v>
      </c>
      <c r="I31" s="10">
        <f t="shared" si="5"/>
        <v>4.6172987090311883</v>
      </c>
      <c r="J31" s="10">
        <f t="shared" si="5"/>
        <v>4.6436399314401413</v>
      </c>
      <c r="K31" s="10">
        <f t="shared" si="5"/>
        <v>4.2443119831754013</v>
      </c>
      <c r="L31" s="10">
        <f t="shared" si="5"/>
        <v>4.1207146799656238</v>
      </c>
      <c r="M31" s="10">
        <f t="shared" si="5"/>
        <v>3.5525050876333424</v>
      </c>
      <c r="N31" s="2"/>
      <c r="O31" s="2"/>
      <c r="P31" s="2"/>
      <c r="Q31" s="2"/>
      <c r="R31" s="2"/>
      <c r="S31" s="2"/>
    </row>
    <row r="32" spans="1:20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/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COUNT(D31:O31)</f>
        <v>10</v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/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  <v>12</v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/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  <v>2</v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/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  <v>10</v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/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  <v>6</v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/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  <v>5</v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/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  <v>3</v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/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  <v>12</v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/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  <v>12</v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/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  <v>11</v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/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  <v>11</v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/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  <v>7</v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/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  <v>12</v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/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  <v>11</v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/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  <v>12</v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/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  <v>12</v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/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  <v>11</v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/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  <v>8</v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/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  <v>6</v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/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  <v>4</v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/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  <v>2</v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/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  <v>7</v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/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  <v>11</v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/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  <v>8</v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/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  <v>10</v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/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/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/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/>
      <c r="Q31" s="20">
        <f t="shared" ref="Q31:Q55" si="2">SUM(D31:O31)</f>
        <v>30</v>
      </c>
      <c r="R31" s="20">
        <f t="shared" ref="R31:R55" si="3">MAX(D31:O31)</f>
        <v>4.5</v>
      </c>
      <c r="S31" s="20">
        <f t="shared" ref="S31:S55" si="4">MIN(D31:O31)</f>
        <v>0.5</v>
      </c>
      <c r="T31" s="21">
        <f t="shared" ref="T31:T55" si="5">AVERAGE(D31:O31)</f>
        <v>3</v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/>
      <c r="Q32" s="20">
        <f t="shared" si="2"/>
        <v>50.5</v>
      </c>
      <c r="R32" s="20">
        <f t="shared" si="3"/>
        <v>6.5</v>
      </c>
      <c r="S32" s="20">
        <f t="shared" si="4"/>
        <v>2</v>
      </c>
      <c r="T32" s="21">
        <f t="shared" si="5"/>
        <v>4.208333333333333</v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/>
      <c r="Q33" s="20">
        <f t="shared" si="2"/>
        <v>9</v>
      </c>
      <c r="R33" s="20">
        <f t="shared" si="3"/>
        <v>6</v>
      </c>
      <c r="S33" s="20">
        <f t="shared" si="4"/>
        <v>3</v>
      </c>
      <c r="T33" s="21">
        <f t="shared" si="5"/>
        <v>4.5</v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/>
      <c r="Q34" s="20">
        <f t="shared" si="2"/>
        <v>22</v>
      </c>
      <c r="R34" s="20">
        <f t="shared" si="3"/>
        <v>3.5</v>
      </c>
      <c r="S34" s="20">
        <f t="shared" si="4"/>
        <v>1</v>
      </c>
      <c r="T34" s="21">
        <f t="shared" si="5"/>
        <v>2.2000000000000002</v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/>
      <c r="Q35" s="20">
        <f t="shared" si="2"/>
        <v>18.5</v>
      </c>
      <c r="R35" s="20">
        <f t="shared" si="3"/>
        <v>4</v>
      </c>
      <c r="S35" s="20">
        <f t="shared" si="4"/>
        <v>2</v>
      </c>
      <c r="T35" s="21">
        <f t="shared" si="5"/>
        <v>3.0833333333333335</v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/>
      <c r="Q36" s="20">
        <f t="shared" si="2"/>
        <v>20.5</v>
      </c>
      <c r="R36" s="20">
        <f t="shared" si="3"/>
        <v>5</v>
      </c>
      <c r="S36" s="20">
        <f t="shared" si="4"/>
        <v>1.5</v>
      </c>
      <c r="T36" s="21">
        <f t="shared" si="5"/>
        <v>4.0999999999999996</v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/>
      <c r="Q37" s="20">
        <f t="shared" si="2"/>
        <v>7</v>
      </c>
      <c r="R37" s="20">
        <f t="shared" si="3"/>
        <v>3</v>
      </c>
      <c r="S37" s="20">
        <f t="shared" si="4"/>
        <v>1</v>
      </c>
      <c r="T37" s="21">
        <f t="shared" si="5"/>
        <v>2.3333333333333335</v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/>
      <c r="Q38" s="20">
        <f t="shared" si="2"/>
        <v>46</v>
      </c>
      <c r="R38" s="20">
        <f t="shared" si="3"/>
        <v>5.5</v>
      </c>
      <c r="S38" s="20">
        <f t="shared" si="4"/>
        <v>2.5</v>
      </c>
      <c r="T38" s="21">
        <f t="shared" si="5"/>
        <v>3.8333333333333335</v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/>
      <c r="Q39" s="20">
        <f t="shared" si="2"/>
        <v>36.5</v>
      </c>
      <c r="R39" s="20">
        <f t="shared" si="3"/>
        <v>6.5</v>
      </c>
      <c r="S39" s="20">
        <f t="shared" si="4"/>
        <v>0.5</v>
      </c>
      <c r="T39" s="21">
        <f t="shared" si="5"/>
        <v>3.0416666666666665</v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/>
      <c r="Q40" s="20">
        <f t="shared" si="2"/>
        <v>30</v>
      </c>
      <c r="R40" s="20">
        <f t="shared" si="3"/>
        <v>4.5</v>
      </c>
      <c r="S40" s="20">
        <f t="shared" si="4"/>
        <v>0.5</v>
      </c>
      <c r="T40" s="21">
        <f t="shared" si="5"/>
        <v>2.7272727272727271</v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/>
      <c r="Q41" s="20">
        <f t="shared" si="2"/>
        <v>42</v>
      </c>
      <c r="R41" s="20">
        <f t="shared" si="3"/>
        <v>5.5</v>
      </c>
      <c r="S41" s="20">
        <f t="shared" si="4"/>
        <v>0</v>
      </c>
      <c r="T41" s="21">
        <f t="shared" si="5"/>
        <v>3.8181818181818183</v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/>
      <c r="Q42" s="20">
        <f t="shared" si="2"/>
        <v>31</v>
      </c>
      <c r="R42" s="20">
        <f t="shared" si="3"/>
        <v>7</v>
      </c>
      <c r="S42" s="20">
        <f t="shared" si="4"/>
        <v>2.5</v>
      </c>
      <c r="T42" s="21">
        <f t="shared" si="5"/>
        <v>4.4285714285714288</v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/>
      <c r="Q43" s="20">
        <f t="shared" si="2"/>
        <v>43</v>
      </c>
      <c r="R43" s="20">
        <f t="shared" si="3"/>
        <v>6.5</v>
      </c>
      <c r="S43" s="20">
        <f t="shared" si="4"/>
        <v>0.5</v>
      </c>
      <c r="T43" s="21">
        <f t="shared" si="5"/>
        <v>3.5833333333333335</v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/>
      <c r="Q44" s="20">
        <f t="shared" si="2"/>
        <v>37</v>
      </c>
      <c r="R44" s="20">
        <f t="shared" si="3"/>
        <v>5.5</v>
      </c>
      <c r="S44" s="20">
        <f t="shared" si="4"/>
        <v>2</v>
      </c>
      <c r="T44" s="21">
        <f t="shared" si="5"/>
        <v>3.3636363636363638</v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/>
      <c r="Q45" s="20">
        <f t="shared" si="2"/>
        <v>46</v>
      </c>
      <c r="R45" s="20">
        <f t="shared" si="3"/>
        <v>6.5</v>
      </c>
      <c r="S45" s="20">
        <f t="shared" si="4"/>
        <v>1</v>
      </c>
      <c r="T45" s="21">
        <f t="shared" si="5"/>
        <v>3.8333333333333335</v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/>
      <c r="Q46" s="20">
        <f t="shared" si="2"/>
        <v>41</v>
      </c>
      <c r="R46" s="20">
        <f t="shared" si="3"/>
        <v>5.5</v>
      </c>
      <c r="S46" s="20">
        <f t="shared" si="4"/>
        <v>1.5</v>
      </c>
      <c r="T46" s="21">
        <f t="shared" si="5"/>
        <v>3.4166666666666665</v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/>
      <c r="Q47" s="20">
        <f t="shared" si="2"/>
        <v>28.5</v>
      </c>
      <c r="R47" s="20">
        <f t="shared" si="3"/>
        <v>5.5</v>
      </c>
      <c r="S47" s="20">
        <f t="shared" si="4"/>
        <v>0</v>
      </c>
      <c r="T47" s="21">
        <f t="shared" si="5"/>
        <v>2.5909090909090908</v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/>
      <c r="Q48" s="20">
        <f t="shared" si="2"/>
        <v>28</v>
      </c>
      <c r="R48" s="20">
        <f t="shared" si="3"/>
        <v>5.5</v>
      </c>
      <c r="S48" s="20">
        <f t="shared" si="4"/>
        <v>2.5</v>
      </c>
      <c r="T48" s="21">
        <f t="shared" si="5"/>
        <v>3.5</v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/>
      <c r="Q49" s="20">
        <f t="shared" si="2"/>
        <v>21</v>
      </c>
      <c r="R49" s="20">
        <f t="shared" si="3"/>
        <v>5.5</v>
      </c>
      <c r="S49" s="20">
        <f t="shared" si="4"/>
        <v>2</v>
      </c>
      <c r="T49" s="21">
        <f t="shared" si="5"/>
        <v>3.5</v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/>
      <c r="Q50" s="20">
        <f t="shared" si="2"/>
        <v>18.5</v>
      </c>
      <c r="R50" s="20">
        <f t="shared" si="3"/>
        <v>6</v>
      </c>
      <c r="S50" s="20">
        <f t="shared" si="4"/>
        <v>2</v>
      </c>
      <c r="T50" s="21">
        <f t="shared" si="5"/>
        <v>4.625</v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/>
      <c r="Q51" s="20">
        <f t="shared" si="2"/>
        <v>2.5</v>
      </c>
      <c r="R51" s="20">
        <f t="shared" si="3"/>
        <v>1.5</v>
      </c>
      <c r="S51" s="20">
        <f t="shared" si="4"/>
        <v>1</v>
      </c>
      <c r="T51" s="21">
        <f t="shared" si="5"/>
        <v>1.25</v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/>
      <c r="Q52" s="20">
        <f t="shared" si="2"/>
        <v>27</v>
      </c>
      <c r="R52" s="20">
        <f t="shared" si="3"/>
        <v>6</v>
      </c>
      <c r="S52" s="20">
        <f t="shared" si="4"/>
        <v>0</v>
      </c>
      <c r="T52" s="21">
        <f t="shared" si="5"/>
        <v>3.8571428571428572</v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/>
      <c r="Q53" s="20">
        <f t="shared" si="2"/>
        <v>27</v>
      </c>
      <c r="R53" s="20">
        <f t="shared" si="3"/>
        <v>5.5</v>
      </c>
      <c r="S53" s="20">
        <f t="shared" si="4"/>
        <v>0.5</v>
      </c>
      <c r="T53" s="21">
        <f t="shared" si="5"/>
        <v>2.4545454545454546</v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/>
      <c r="Q54" s="20">
        <f t="shared" si="2"/>
        <v>28.5</v>
      </c>
      <c r="R54" s="20">
        <f t="shared" si="3"/>
        <v>5.5</v>
      </c>
      <c r="S54" s="20">
        <f t="shared" si="4"/>
        <v>2</v>
      </c>
      <c r="T54" s="21">
        <f t="shared" si="5"/>
        <v>3.5625</v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/>
      <c r="Q55" s="20">
        <f t="shared" si="2"/>
        <v>32.5</v>
      </c>
      <c r="R55" s="20">
        <f t="shared" si="3"/>
        <v>6</v>
      </c>
      <c r="S55" s="20">
        <f t="shared" si="4"/>
        <v>1</v>
      </c>
      <c r="T55" s="21">
        <f t="shared" si="5"/>
        <v>3.25</v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3.3624437229437234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topLeftCell="A2" zoomScaleNormal="100" workbookViewId="0">
      <selection activeCell="O22" sqref="O22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4" width="8" customWidth="1"/>
    <col min="17" max="18" width="10" customWidth="1"/>
  </cols>
  <sheetData>
    <row r="1" spans="1:21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5" t="s">
        <v>48</v>
      </c>
      <c r="P2" s="7" t="s">
        <v>45</v>
      </c>
      <c r="Q2" s="7" t="s">
        <v>64</v>
      </c>
      <c r="R2" s="7" t="s">
        <v>65</v>
      </c>
      <c r="S2" s="2"/>
      <c r="T2" s="2"/>
      <c r="U2" s="2"/>
    </row>
    <row r="3" spans="1:21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f t="shared" ref="O3:O32" si="0">SUM(C3:N3)</f>
        <v>10</v>
      </c>
      <c r="P3" s="24">
        <f>VLOOKUP($B3,Points!$B$2:$C$34,2,FALSE())</f>
        <v>12</v>
      </c>
      <c r="Q3" s="25">
        <f t="shared" ref="Q3:Q32" si="1">O3/P3</f>
        <v>0.83333333333333337</v>
      </c>
      <c r="R3" s="24">
        <f t="shared" ref="R3:R32" si="2">P3-O3</f>
        <v>2</v>
      </c>
      <c r="S3" s="2"/>
      <c r="T3" s="2"/>
      <c r="U3" s="2"/>
    </row>
    <row r="4" spans="1:21" ht="15.75" customHeight="1" x14ac:dyDescent="0.2">
      <c r="A4" s="2"/>
      <c r="B4" s="2" t="s">
        <v>19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f t="shared" si="0"/>
        <v>9</v>
      </c>
      <c r="P4" s="24">
        <f>VLOOKUP($B4,Points!$B$2:$C$34,2,FALSE())</f>
        <v>12</v>
      </c>
      <c r="Q4" s="25">
        <f t="shared" si="1"/>
        <v>0.75</v>
      </c>
      <c r="R4" s="24">
        <f t="shared" si="2"/>
        <v>3</v>
      </c>
      <c r="S4" s="2"/>
      <c r="T4" s="2"/>
      <c r="U4" s="2"/>
    </row>
    <row r="5" spans="1:21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f t="shared" si="0"/>
        <v>8</v>
      </c>
      <c r="P5" s="24">
        <f>VLOOKUP($B5,Points!$B$2:$C$34,2,FALSE())</f>
        <v>12</v>
      </c>
      <c r="Q5" s="25">
        <f t="shared" si="1"/>
        <v>0.66666666666666663</v>
      </c>
      <c r="R5" s="24">
        <f t="shared" si="2"/>
        <v>4</v>
      </c>
      <c r="S5" s="2"/>
      <c r="T5" s="2"/>
      <c r="U5" s="2"/>
    </row>
    <row r="6" spans="1:21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f t="shared" si="0"/>
        <v>8</v>
      </c>
      <c r="P6" s="24">
        <f>VLOOKUP($B6,Points!$B$2:$C$34,2,FALSE())</f>
        <v>11</v>
      </c>
      <c r="Q6" s="25">
        <f t="shared" si="1"/>
        <v>0.72727272727272729</v>
      </c>
      <c r="R6" s="24">
        <f t="shared" si="2"/>
        <v>3</v>
      </c>
      <c r="S6" s="2"/>
      <c r="T6" s="2"/>
      <c r="U6" s="2"/>
    </row>
    <row r="7" spans="1:21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f t="shared" si="0"/>
        <v>7</v>
      </c>
      <c r="P7" s="24">
        <f>VLOOKUP($B7,Points!$B$2:$C$34,2,FALSE())</f>
        <v>11</v>
      </c>
      <c r="Q7" s="25">
        <f t="shared" si="1"/>
        <v>0.63636363636363635</v>
      </c>
      <c r="R7" s="24">
        <f t="shared" si="2"/>
        <v>4</v>
      </c>
      <c r="S7" s="2"/>
      <c r="T7" s="2"/>
      <c r="U7" s="2"/>
    </row>
    <row r="8" spans="1:21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f t="shared" si="0"/>
        <v>6</v>
      </c>
      <c r="P8" s="24">
        <f>VLOOKUP($B8,Points!$B$2:$C$34,2,FALSE())</f>
        <v>10</v>
      </c>
      <c r="Q8" s="25">
        <f t="shared" si="1"/>
        <v>0.6</v>
      </c>
      <c r="R8" s="24">
        <f t="shared" si="2"/>
        <v>4</v>
      </c>
      <c r="S8" s="2"/>
      <c r="T8" s="2"/>
      <c r="U8" s="2"/>
    </row>
    <row r="9" spans="1:21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f t="shared" si="0"/>
        <v>5</v>
      </c>
      <c r="P9" s="24">
        <f>VLOOKUP($B9,Points!$B$2:$C$34,2,FALSE())</f>
        <v>8</v>
      </c>
      <c r="Q9" s="25">
        <f t="shared" si="1"/>
        <v>0.625</v>
      </c>
      <c r="R9" s="24">
        <f t="shared" si="2"/>
        <v>3</v>
      </c>
      <c r="S9" s="2"/>
      <c r="T9" s="2"/>
      <c r="U9" s="2"/>
    </row>
    <row r="10" spans="1:21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f t="shared" si="0"/>
        <v>5</v>
      </c>
      <c r="P10" s="24">
        <f>VLOOKUP($B10,Points!$B$2:$C$34,2,FALSE())</f>
        <v>12</v>
      </c>
      <c r="Q10" s="25">
        <f t="shared" si="1"/>
        <v>0.41666666666666669</v>
      </c>
      <c r="R10" s="24">
        <f t="shared" si="2"/>
        <v>7</v>
      </c>
      <c r="S10" s="2"/>
      <c r="T10" s="2"/>
      <c r="U10" s="2"/>
    </row>
    <row r="11" spans="1:21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f t="shared" si="0"/>
        <v>5</v>
      </c>
      <c r="P11" s="24">
        <f>VLOOKUP($B11,Points!$B$2:$C$34,2,FALSE())</f>
        <v>11</v>
      </c>
      <c r="Q11" s="25">
        <f t="shared" si="1"/>
        <v>0.45454545454545453</v>
      </c>
      <c r="R11" s="24">
        <f t="shared" si="2"/>
        <v>6</v>
      </c>
      <c r="S11" s="2"/>
      <c r="T11" s="2"/>
      <c r="U11" s="2"/>
    </row>
    <row r="12" spans="1:21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>
        <f t="shared" si="0"/>
        <v>4</v>
      </c>
      <c r="P12" s="24">
        <f>VLOOKUP($B12,Points!$B$2:$C$34,2,FALSE())</f>
        <v>10</v>
      </c>
      <c r="Q12" s="25">
        <f t="shared" si="1"/>
        <v>0.4</v>
      </c>
      <c r="R12" s="24">
        <f t="shared" si="2"/>
        <v>6</v>
      </c>
      <c r="S12" s="2"/>
      <c r="T12" s="2"/>
      <c r="U12" s="2"/>
    </row>
    <row r="13" spans="1:21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f t="shared" si="0"/>
        <v>4</v>
      </c>
      <c r="P13" s="24">
        <f>VLOOKUP($B13,Points!$B$2:$C$34,2,FALSE())</f>
        <v>10</v>
      </c>
      <c r="Q13" s="25">
        <f t="shared" si="1"/>
        <v>0.4</v>
      </c>
      <c r="R13" s="24">
        <f t="shared" si="2"/>
        <v>6</v>
      </c>
      <c r="S13" s="2"/>
      <c r="T13" s="2"/>
      <c r="U13" s="2"/>
    </row>
    <row r="14" spans="1:21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f t="shared" si="0"/>
        <v>4</v>
      </c>
      <c r="P14" s="24">
        <f>VLOOKUP($B14,Points!$B$2:$C$34,2,FALSE())</f>
        <v>6</v>
      </c>
      <c r="Q14" s="25">
        <f t="shared" si="1"/>
        <v>0.66666666666666663</v>
      </c>
      <c r="R14" s="24">
        <f t="shared" si="2"/>
        <v>2</v>
      </c>
      <c r="S14" s="2"/>
      <c r="T14" s="2"/>
      <c r="U14" s="2"/>
    </row>
    <row r="15" spans="1:21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f t="shared" si="0"/>
        <v>4</v>
      </c>
      <c r="P15" s="24">
        <f>VLOOKUP($B15,Points!$B$2:$C$34,2,FALSE())</f>
        <v>7</v>
      </c>
      <c r="Q15" s="25">
        <f t="shared" si="1"/>
        <v>0.5714285714285714</v>
      </c>
      <c r="R15" s="24">
        <f t="shared" si="2"/>
        <v>3</v>
      </c>
      <c r="S15" s="2"/>
      <c r="T15" s="2"/>
      <c r="U15" s="2"/>
    </row>
    <row r="16" spans="1:21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f t="shared" si="0"/>
        <v>4</v>
      </c>
      <c r="P16" s="24">
        <f>VLOOKUP($B16,Points!$B$2:$C$34,2,FALSE())</f>
        <v>12</v>
      </c>
      <c r="Q16" s="25">
        <f t="shared" si="1"/>
        <v>0.33333333333333331</v>
      </c>
      <c r="R16" s="24">
        <f t="shared" si="2"/>
        <v>8</v>
      </c>
      <c r="S16" s="2"/>
      <c r="T16" s="2"/>
      <c r="U16" s="2"/>
    </row>
    <row r="17" spans="1:21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f t="shared" si="0"/>
        <v>4</v>
      </c>
      <c r="P17" s="24">
        <f>VLOOKUP($B17,Points!$B$2:$C$34,2,FALSE())</f>
        <v>4</v>
      </c>
      <c r="Q17" s="25">
        <f t="shared" si="1"/>
        <v>1</v>
      </c>
      <c r="R17" s="24">
        <f t="shared" si="2"/>
        <v>0</v>
      </c>
      <c r="S17" s="2"/>
      <c r="T17" s="2"/>
      <c r="U17" s="2"/>
    </row>
    <row r="18" spans="1:21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f t="shared" si="0"/>
        <v>4</v>
      </c>
      <c r="P18" s="24">
        <f>VLOOKUP($B18,Points!$B$2:$C$34,2,FALSE())</f>
        <v>11</v>
      </c>
      <c r="Q18" s="25">
        <f t="shared" si="1"/>
        <v>0.36363636363636365</v>
      </c>
      <c r="R18" s="24">
        <f t="shared" si="2"/>
        <v>7</v>
      </c>
      <c r="S18" s="2"/>
      <c r="T18" s="2"/>
      <c r="U18" s="2"/>
    </row>
    <row r="19" spans="1:21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>
        <f t="shared" si="0"/>
        <v>3</v>
      </c>
      <c r="P19" s="24">
        <v>6</v>
      </c>
      <c r="Q19" s="25">
        <f t="shared" si="1"/>
        <v>0.5</v>
      </c>
      <c r="R19" s="24">
        <f t="shared" si="2"/>
        <v>3</v>
      </c>
      <c r="S19" s="2"/>
      <c r="T19" s="2"/>
      <c r="U19" s="2"/>
    </row>
    <row r="20" spans="1:21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f t="shared" si="0"/>
        <v>3</v>
      </c>
      <c r="P20" s="24">
        <f>VLOOKUP($B20,Points!$B$2:$C$34,2,FALSE())</f>
        <v>12</v>
      </c>
      <c r="Q20" s="25">
        <f t="shared" si="1"/>
        <v>0.25</v>
      </c>
      <c r="R20" s="24">
        <f t="shared" si="2"/>
        <v>9</v>
      </c>
      <c r="S20" s="2"/>
      <c r="T20" s="2"/>
      <c r="U20" s="2"/>
    </row>
    <row r="21" spans="1:21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f t="shared" si="0"/>
        <v>3</v>
      </c>
      <c r="P21" s="24">
        <f>VLOOKUP($B21,Points!$B$2:$C$34,2,FALSE())</f>
        <v>11</v>
      </c>
      <c r="Q21" s="25">
        <f t="shared" si="1"/>
        <v>0.27272727272727271</v>
      </c>
      <c r="R21" s="24">
        <f t="shared" si="2"/>
        <v>8</v>
      </c>
      <c r="S21" s="2"/>
      <c r="T21" s="2"/>
      <c r="U21" s="2"/>
    </row>
    <row r="22" spans="1:21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f t="shared" si="0"/>
        <v>3</v>
      </c>
      <c r="P22" s="24">
        <f>VLOOKUP($B22,Points!$B$2:$C$34,2,FALSE())</f>
        <v>7</v>
      </c>
      <c r="Q22" s="25">
        <f t="shared" si="1"/>
        <v>0.42857142857142855</v>
      </c>
      <c r="R22" s="24">
        <f t="shared" si="2"/>
        <v>4</v>
      </c>
      <c r="S22" s="2"/>
      <c r="T22" s="2"/>
      <c r="U22" s="2"/>
    </row>
    <row r="23" spans="1:21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>
        <f t="shared" si="0"/>
        <v>2</v>
      </c>
      <c r="P23" s="24">
        <v>4</v>
      </c>
      <c r="Q23" s="25">
        <f t="shared" si="1"/>
        <v>0.5</v>
      </c>
      <c r="R23" s="24">
        <f t="shared" si="2"/>
        <v>2</v>
      </c>
      <c r="S23" s="2"/>
      <c r="T23" s="2"/>
      <c r="U23" s="2"/>
    </row>
    <row r="24" spans="1:21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f t="shared" si="0"/>
        <v>2</v>
      </c>
      <c r="P24" s="24">
        <f>VLOOKUP($B24,Points!$B$2:$C$34,2,FALSE())</f>
        <v>8</v>
      </c>
      <c r="Q24" s="25">
        <f t="shared" si="1"/>
        <v>0.25</v>
      </c>
      <c r="R24" s="24">
        <f t="shared" si="2"/>
        <v>6</v>
      </c>
      <c r="S24" s="2"/>
      <c r="T24" s="2"/>
      <c r="U24" s="2"/>
    </row>
    <row r="25" spans="1:21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f t="shared" si="0"/>
        <v>2</v>
      </c>
      <c r="P25" s="24">
        <f>VLOOKUP($B25,Points!$B$2:$C$34,2,FALSE())</f>
        <v>5</v>
      </c>
      <c r="Q25" s="25">
        <f t="shared" si="1"/>
        <v>0.4</v>
      </c>
      <c r="R25" s="24">
        <f t="shared" si="2"/>
        <v>3</v>
      </c>
      <c r="S25" s="2"/>
      <c r="T25" s="2"/>
      <c r="U25" s="2"/>
    </row>
    <row r="26" spans="1:21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f t="shared" si="0"/>
        <v>2</v>
      </c>
      <c r="P26" s="24">
        <f>VLOOKUP($B26,Points!$B$2:$C$34,2,FALSE())</f>
        <v>6</v>
      </c>
      <c r="Q26" s="25">
        <f t="shared" si="1"/>
        <v>0.33333333333333331</v>
      </c>
      <c r="R26" s="24">
        <f t="shared" si="2"/>
        <v>4</v>
      </c>
      <c r="S26" s="2"/>
      <c r="T26" s="2"/>
      <c r="U26" s="2"/>
    </row>
    <row r="27" spans="1:21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f t="shared" si="0"/>
        <v>1</v>
      </c>
      <c r="P27" s="24">
        <v>2</v>
      </c>
      <c r="Q27" s="25">
        <f t="shared" si="1"/>
        <v>0.5</v>
      </c>
      <c r="R27" s="24">
        <f t="shared" si="2"/>
        <v>1</v>
      </c>
      <c r="S27" s="2"/>
      <c r="T27" s="2"/>
      <c r="U27" s="2"/>
    </row>
    <row r="28" spans="1:21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>
        <f t="shared" si="0"/>
        <v>1</v>
      </c>
      <c r="P28" s="24">
        <v>1</v>
      </c>
      <c r="Q28" s="25">
        <f t="shared" si="1"/>
        <v>1</v>
      </c>
      <c r="R28" s="24">
        <f t="shared" si="2"/>
        <v>0</v>
      </c>
      <c r="S28" s="2"/>
      <c r="T28" s="2"/>
      <c r="U28" s="2"/>
    </row>
    <row r="29" spans="1:21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>
        <f t="shared" si="0"/>
        <v>1</v>
      </c>
      <c r="P29" s="24">
        <v>3</v>
      </c>
      <c r="Q29" s="25">
        <f t="shared" si="1"/>
        <v>0.33333333333333331</v>
      </c>
      <c r="R29" s="24">
        <f t="shared" si="2"/>
        <v>2</v>
      </c>
      <c r="S29" s="2"/>
      <c r="T29" s="2"/>
      <c r="U29" s="2"/>
    </row>
    <row r="30" spans="1:21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f t="shared" si="0"/>
        <v>1</v>
      </c>
      <c r="P30" s="24">
        <v>1</v>
      </c>
      <c r="Q30" s="25">
        <f t="shared" si="1"/>
        <v>1</v>
      </c>
      <c r="R30" s="24">
        <f t="shared" si="2"/>
        <v>0</v>
      </c>
      <c r="S30" s="2"/>
      <c r="T30" s="2"/>
      <c r="U30" s="2"/>
    </row>
    <row r="31" spans="1:21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>
        <f t="shared" si="0"/>
        <v>1</v>
      </c>
      <c r="P31" s="24">
        <v>1</v>
      </c>
      <c r="Q31" s="25">
        <f t="shared" si="1"/>
        <v>1</v>
      </c>
      <c r="R31" s="24">
        <f t="shared" si="2"/>
        <v>0</v>
      </c>
      <c r="S31" s="2"/>
      <c r="T31" s="2"/>
      <c r="U31" s="2"/>
    </row>
    <row r="32" spans="1:21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f t="shared" si="0"/>
        <v>0</v>
      </c>
      <c r="P32" s="24">
        <v>1</v>
      </c>
      <c r="Q32" s="25">
        <f t="shared" si="1"/>
        <v>0</v>
      </c>
      <c r="R32" s="24">
        <f t="shared" si="2"/>
        <v>1</v>
      </c>
      <c r="S32" s="2"/>
      <c r="T32" s="2"/>
      <c r="U32" s="2"/>
    </row>
    <row r="33" spans="1:21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ht="15.75" customHeight="1" x14ac:dyDescent="0.2">
      <c r="A34" s="2"/>
      <c r="B34" s="2" t="s">
        <v>48</v>
      </c>
      <c r="C34" s="24">
        <f t="shared" ref="C34:K34" si="3">SUM(C3:C30)</f>
        <v>6</v>
      </c>
      <c r="D34" s="24">
        <f t="shared" si="3"/>
        <v>8</v>
      </c>
      <c r="E34" s="24">
        <f t="shared" si="3"/>
        <v>10</v>
      </c>
      <c r="F34" s="24">
        <f t="shared" si="3"/>
        <v>10</v>
      </c>
      <c r="G34" s="24">
        <f t="shared" si="3"/>
        <v>10</v>
      </c>
      <c r="H34" s="24">
        <f t="shared" si="3"/>
        <v>10</v>
      </c>
      <c r="I34" s="24">
        <f t="shared" si="3"/>
        <v>10</v>
      </c>
      <c r="J34" s="24">
        <f t="shared" si="3"/>
        <v>11</v>
      </c>
      <c r="K34" s="24">
        <f t="shared" si="3"/>
        <v>10</v>
      </c>
      <c r="L34" s="24">
        <f>SUM(L3:L31)</f>
        <v>10</v>
      </c>
      <c r="M34" s="24">
        <f>SUM(M3:M31)</f>
        <v>10</v>
      </c>
      <c r="N34" s="24">
        <f>SUM(N3:N31)</f>
        <v>11</v>
      </c>
      <c r="O34" s="24">
        <f>SUM(O3:O30)</f>
        <v>115</v>
      </c>
      <c r="P34" s="24">
        <f>SUM(P3:P31)</f>
        <v>226</v>
      </c>
      <c r="Q34" s="2"/>
      <c r="R34" s="2"/>
      <c r="S34" s="2"/>
      <c r="T34" s="2"/>
      <c r="U34" s="2"/>
    </row>
    <row r="35" spans="1:2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ht="15.75" customHeight="1" x14ac:dyDescent="0.2">
      <c r="A40" s="8"/>
      <c r="B40" s="8"/>
      <c r="C40" s="8"/>
      <c r="D40" s="8"/>
      <c r="E40" s="8"/>
      <c r="F40" s="8"/>
    </row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2026-09-02T10:48:53Z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