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E98AA9E4-503F-B545-B25F-FE3AA334D642}" xr6:coauthVersionLast="47" xr6:coauthVersionMax="47" xr10:uidLastSave="{00000000-0000-0000-0000-000000000000}"/>
  <bookViews>
    <workbookView xWindow="0" yWindow="600" windowWidth="38600" windowHeight="21080" tabRatio="500" activeTab="1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Cups!$B$3:$R$31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x:ext xmlns:x="http://schemas.openxmlformats.org/spreadsheetml/2006/main" xmlns:mx="http://schemas.microsoft.com/office/mac/excel/2008/main" uri="{7523E5D3-25F3-A5E0-1632-64F254C22452}">
      <mx:ArchID Flags="2"/>
    </x:ext>
  </extLst>
</workbook>
</file>

<file path=xl/calcChain.xml><?xml version="1.0" encoding="utf-8"?>
<calcChain xmlns="http://schemas.openxmlformats.org/spreadsheetml/2006/main">
  <c r="K16" i="2" l="1"/>
  <c r="Q37" i="2"/>
  <c r="R37" i="2"/>
  <c r="S37" i="2"/>
  <c r="T37" i="2"/>
  <c r="B2" i="2"/>
  <c r="B3" i="2"/>
  <c r="F3" i="2"/>
  <c r="G3" i="2" s="1"/>
  <c r="H3" i="2" s="1"/>
  <c r="I3" i="2" s="1"/>
  <c r="J3" i="2" s="1"/>
  <c r="K3" i="2" s="1"/>
  <c r="L3" i="2" s="1"/>
  <c r="M3" i="2" s="1"/>
  <c r="N3" i="2" s="1"/>
  <c r="B4" i="2"/>
  <c r="E4" i="2"/>
  <c r="F4" i="2" s="1"/>
  <c r="G4" i="2" s="1"/>
  <c r="H4" i="2" s="1"/>
  <c r="I4" i="2" s="1"/>
  <c r="J4" i="2" s="1"/>
  <c r="K4" i="2" s="1"/>
  <c r="L4" i="2" s="1"/>
  <c r="M4" i="2" s="1"/>
  <c r="N4" i="2" s="1"/>
  <c r="B6" i="2"/>
  <c r="F6" i="2"/>
  <c r="G6" i="2" s="1"/>
  <c r="H6" i="2" s="1"/>
  <c r="I6" i="2" s="1"/>
  <c r="J6" i="2" s="1"/>
  <c r="K6" i="2" s="1"/>
  <c r="L6" i="2" s="1"/>
  <c r="M6" i="2" s="1"/>
  <c r="N6" i="2" s="1"/>
  <c r="L7" i="2"/>
  <c r="M7" i="2" s="1"/>
  <c r="N7" i="2" s="1"/>
  <c r="L8" i="2"/>
  <c r="M8" i="2" s="1"/>
  <c r="N8" i="2" s="1"/>
  <c r="B10" i="2"/>
  <c r="E10" i="2"/>
  <c r="F10" i="2"/>
  <c r="G10" i="2" s="1"/>
  <c r="H10" i="2" s="1"/>
  <c r="I10" i="2" s="1"/>
  <c r="J10" i="2" s="1"/>
  <c r="K10" i="2" s="1"/>
  <c r="L10" i="2" s="1"/>
  <c r="M10" i="2" s="1"/>
  <c r="N10" i="2" s="1"/>
  <c r="B11" i="2"/>
  <c r="E11" i="2"/>
  <c r="F11" i="2"/>
  <c r="G11" i="2"/>
  <c r="H11" i="2" s="1"/>
  <c r="I11" i="2" s="1"/>
  <c r="J11" i="2" s="1"/>
  <c r="K11" i="2" s="1"/>
  <c r="L11" i="2" s="1"/>
  <c r="M11" i="2" s="1"/>
  <c r="N11" i="2" s="1"/>
  <c r="B12" i="2"/>
  <c r="F12" i="2"/>
  <c r="G12" i="2"/>
  <c r="H12" i="2" s="1"/>
  <c r="I12" i="2" s="1"/>
  <c r="J12" i="2" s="1"/>
  <c r="K12" i="2" s="1"/>
  <c r="L12" i="2" s="1"/>
  <c r="M12" i="2" s="1"/>
  <c r="N12" i="2" s="1"/>
  <c r="B13" i="2"/>
  <c r="F13" i="2"/>
  <c r="G13" i="2" s="1"/>
  <c r="H13" i="2" s="1"/>
  <c r="I13" i="2" s="1"/>
  <c r="J13" i="2" s="1"/>
  <c r="K13" i="2" s="1"/>
  <c r="L13" i="2" s="1"/>
  <c r="M13" i="2" s="1"/>
  <c r="N13" i="2" s="1"/>
  <c r="B14" i="2"/>
  <c r="M14" i="2"/>
  <c r="N14" i="2" s="1"/>
  <c r="B15" i="2"/>
  <c r="E15" i="2"/>
  <c r="F15" i="2"/>
  <c r="G15" i="2" s="1"/>
  <c r="H15" i="2" s="1"/>
  <c r="I15" i="2" s="1"/>
  <c r="J15" i="2" s="1"/>
  <c r="K15" i="2" s="1"/>
  <c r="L15" i="2" s="1"/>
  <c r="M15" i="2" s="1"/>
  <c r="N15" i="2" s="1"/>
  <c r="O15" i="2"/>
  <c r="B16" i="2"/>
  <c r="L16" i="2"/>
  <c r="M16" i="2" s="1"/>
  <c r="N16" i="2" s="1"/>
  <c r="B17" i="2"/>
  <c r="E17" i="2"/>
  <c r="F17" i="2" s="1"/>
  <c r="G17" i="2" s="1"/>
  <c r="H17" i="2" s="1"/>
  <c r="I17" i="2" s="1"/>
  <c r="J17" i="2" s="1"/>
  <c r="K17" i="2" s="1"/>
  <c r="L17" i="2" s="1"/>
  <c r="M17" i="2" s="1"/>
  <c r="N17" i="2" s="1"/>
  <c r="B18" i="2"/>
  <c r="E18" i="2"/>
  <c r="F18" i="2" s="1"/>
  <c r="G18" i="2" s="1"/>
  <c r="H18" i="2" s="1"/>
  <c r="I18" i="2" s="1"/>
  <c r="J18" i="2" s="1"/>
  <c r="K18" i="2" s="1"/>
  <c r="L18" i="2" s="1"/>
  <c r="M18" i="2" s="1"/>
  <c r="N18" i="2" s="1"/>
  <c r="B19" i="2"/>
  <c r="M19" i="2"/>
  <c r="N19" i="2" s="1"/>
  <c r="B20" i="2"/>
  <c r="L20" i="2"/>
  <c r="M20" i="2" s="1"/>
  <c r="B21" i="2"/>
  <c r="N21" i="2"/>
  <c r="O21" i="2"/>
  <c r="L22" i="2"/>
  <c r="M22" i="2"/>
  <c r="B24" i="2"/>
  <c r="L24" i="2"/>
  <c r="N24" i="2"/>
  <c r="B25" i="2"/>
  <c r="E25" i="2"/>
  <c r="F25" i="2"/>
  <c r="G25" i="2"/>
  <c r="H25" i="2"/>
  <c r="I25" i="2" s="1"/>
  <c r="J25" i="2" s="1"/>
  <c r="K25" i="2" s="1"/>
  <c r="L25" i="2" s="1"/>
  <c r="N25" i="2"/>
  <c r="B26" i="2"/>
  <c r="H26" i="2"/>
  <c r="I26" i="2" s="1"/>
  <c r="J26" i="2" s="1"/>
  <c r="K26" i="2" s="1"/>
  <c r="L26" i="2" s="1"/>
  <c r="M26" i="2" s="1"/>
  <c r="N26" i="2" s="1"/>
  <c r="B27" i="2"/>
  <c r="G27" i="2"/>
  <c r="H27" i="2"/>
  <c r="I27" i="2" s="1"/>
  <c r="J27" i="2" s="1"/>
  <c r="K27" i="2" s="1"/>
  <c r="L27" i="2" s="1"/>
  <c r="M27" i="2" s="1"/>
  <c r="N27" i="2" s="1"/>
  <c r="R32" i="2"/>
  <c r="S32" i="2"/>
  <c r="U32" i="2" s="1"/>
  <c r="T32" i="2"/>
  <c r="R33" i="2"/>
  <c r="S33" i="2"/>
  <c r="T33" i="2"/>
  <c r="R35" i="2"/>
  <c r="S35" i="2"/>
  <c r="T35" i="2"/>
  <c r="R36" i="2"/>
  <c r="U36" i="2" s="1"/>
  <c r="S36" i="2"/>
  <c r="T36" i="2"/>
  <c r="R38" i="2"/>
  <c r="S38" i="2"/>
  <c r="T38" i="2"/>
  <c r="U38" i="2"/>
  <c r="R39" i="2"/>
  <c r="S39" i="2"/>
  <c r="T39" i="2"/>
  <c r="R43" i="2"/>
  <c r="S43" i="2"/>
  <c r="T43" i="2"/>
  <c r="R44" i="2"/>
  <c r="S44" i="2"/>
  <c r="T44" i="2"/>
  <c r="R45" i="2"/>
  <c r="S45" i="2"/>
  <c r="T45" i="2"/>
  <c r="R46" i="2"/>
  <c r="S46" i="2"/>
  <c r="T46" i="2"/>
  <c r="U46" i="2"/>
  <c r="R47" i="2"/>
  <c r="S47" i="2"/>
  <c r="T47" i="2"/>
  <c r="R48" i="2"/>
  <c r="S48" i="2"/>
  <c r="T48" i="2"/>
  <c r="R49" i="2"/>
  <c r="S49" i="2"/>
  <c r="T49" i="2"/>
  <c r="U49" i="2"/>
  <c r="R50" i="2"/>
  <c r="S50" i="2"/>
  <c r="T50" i="2"/>
  <c r="R51" i="2"/>
  <c r="S51" i="2"/>
  <c r="T51" i="2"/>
  <c r="R53" i="2"/>
  <c r="S53" i="2"/>
  <c r="T53" i="2"/>
  <c r="R54" i="2"/>
  <c r="S54" i="2"/>
  <c r="T54" i="2"/>
  <c r="R55" i="2"/>
  <c r="S55" i="2"/>
  <c r="T55" i="2"/>
  <c r="U55" i="2"/>
  <c r="Q32" i="2"/>
  <c r="O5" i="2" s="1"/>
  <c r="Q33" i="2"/>
  <c r="O6" i="2" s="1"/>
  <c r="Q35" i="2"/>
  <c r="O8" i="2" s="1"/>
  <c r="Q36" i="2"/>
  <c r="O9" i="2" s="1"/>
  <c r="Q38" i="2"/>
  <c r="O10" i="2" s="1"/>
  <c r="Q39" i="2"/>
  <c r="O11" i="2" s="1"/>
  <c r="Q43" i="2"/>
  <c r="Q44" i="2"/>
  <c r="O16" i="2" s="1"/>
  <c r="Q45" i="2"/>
  <c r="O17" i="2" s="1"/>
  <c r="Q46" i="2"/>
  <c r="O18" i="2" s="1"/>
  <c r="Q47" i="2"/>
  <c r="O19" i="2" s="1"/>
  <c r="Q48" i="2"/>
  <c r="O20" i="2" s="1"/>
  <c r="Q49" i="2"/>
  <c r="Q50" i="2"/>
  <c r="O22" i="2" s="1"/>
  <c r="Q51" i="2"/>
  <c r="O23" i="2" s="1"/>
  <c r="Q53" i="2"/>
  <c r="O25" i="2" s="1"/>
  <c r="Q54" i="2"/>
  <c r="O26" i="2" s="1"/>
  <c r="Q55" i="2"/>
  <c r="O27" i="2" s="1"/>
  <c r="M34" i="3"/>
  <c r="N34" i="3"/>
  <c r="O4" i="3"/>
  <c r="O5" i="3"/>
  <c r="O6" i="3"/>
  <c r="O7" i="3"/>
  <c r="O8" i="3"/>
  <c r="O9" i="3"/>
  <c r="O12" i="3"/>
  <c r="O13" i="3"/>
  <c r="O14" i="3"/>
  <c r="O10" i="3"/>
  <c r="O11" i="3"/>
  <c r="O15" i="3"/>
  <c r="O16" i="3"/>
  <c r="O19" i="3"/>
  <c r="O20" i="3"/>
  <c r="O17" i="3"/>
  <c r="O18" i="3"/>
  <c r="O23" i="3"/>
  <c r="O21" i="3"/>
  <c r="O24" i="3"/>
  <c r="O25" i="3"/>
  <c r="O22" i="3"/>
  <c r="O27" i="3"/>
  <c r="O28" i="3"/>
  <c r="O26" i="3"/>
  <c r="O29" i="3"/>
  <c r="O30" i="3"/>
  <c r="O32" i="3"/>
  <c r="O31" i="3"/>
  <c r="Q31" i="3" s="1"/>
  <c r="O3" i="3"/>
  <c r="M29" i="1"/>
  <c r="M30" i="1"/>
  <c r="M31" i="1"/>
  <c r="O27" i="1"/>
  <c r="P27" i="1"/>
  <c r="Q27" i="1"/>
  <c r="R27" i="1"/>
  <c r="O25" i="1"/>
  <c r="P25" i="1"/>
  <c r="O24" i="1"/>
  <c r="P24" i="1"/>
  <c r="O22" i="1"/>
  <c r="O19" i="1"/>
  <c r="P19" i="1"/>
  <c r="Q19" i="1"/>
  <c r="R19" i="1"/>
  <c r="O18" i="1"/>
  <c r="P18" i="1"/>
  <c r="Q18" i="1"/>
  <c r="R18" i="1"/>
  <c r="O17" i="1"/>
  <c r="P17" i="1"/>
  <c r="Q17" i="1"/>
  <c r="R17" i="1"/>
  <c r="O16" i="1"/>
  <c r="P16" i="1"/>
  <c r="Q16" i="1"/>
  <c r="R16" i="1"/>
  <c r="O15" i="1"/>
  <c r="P15" i="1"/>
  <c r="Q15" i="1"/>
  <c r="R15" i="1"/>
  <c r="O13" i="1"/>
  <c r="P13" i="1"/>
  <c r="Q13" i="1"/>
  <c r="R13" i="1"/>
  <c r="O12" i="1"/>
  <c r="P12" i="1"/>
  <c r="Q12" i="1"/>
  <c r="R12" i="1"/>
  <c r="O11" i="1"/>
  <c r="P11" i="1"/>
  <c r="Q11" i="1"/>
  <c r="R11" i="1"/>
  <c r="O10" i="1"/>
  <c r="P10" i="1"/>
  <c r="Q10" i="1"/>
  <c r="R10" i="1"/>
  <c r="O8" i="1"/>
  <c r="P8" i="1"/>
  <c r="O7" i="1"/>
  <c r="P7" i="1"/>
  <c r="O4" i="1"/>
  <c r="P4" i="1"/>
  <c r="Q4" i="1"/>
  <c r="R4" i="1"/>
  <c r="U37" i="2" l="1"/>
  <c r="U45" i="2"/>
  <c r="U33" i="2"/>
  <c r="U54" i="2"/>
  <c r="U53" i="2"/>
  <c r="U39" i="2"/>
  <c r="U44" i="2"/>
  <c r="U43" i="2"/>
  <c r="U47" i="2"/>
  <c r="U51" i="2"/>
  <c r="U48" i="2"/>
  <c r="U35" i="2"/>
  <c r="U50" i="2"/>
  <c r="R31" i="3"/>
  <c r="O5" i="1"/>
  <c r="O6" i="1"/>
  <c r="O14" i="1"/>
  <c r="O20" i="1"/>
  <c r="O21" i="1"/>
  <c r="O23" i="1"/>
  <c r="O26" i="1"/>
  <c r="L29" i="1"/>
  <c r="L30" i="1"/>
  <c r="L31" i="1"/>
  <c r="P26" i="1"/>
  <c r="Q26" i="1"/>
  <c r="R26" i="1"/>
  <c r="P14" i="1"/>
  <c r="Q14" i="1"/>
  <c r="R14" i="1"/>
  <c r="P6" i="1"/>
  <c r="Q6" i="1"/>
  <c r="R6" i="1"/>
  <c r="O3" i="1"/>
  <c r="P3" i="1"/>
  <c r="Q3" i="1"/>
  <c r="R3" i="1"/>
  <c r="Q23" i="1"/>
  <c r="R23" i="1"/>
  <c r="N29" i="2"/>
  <c r="S23" i="1" l="1"/>
  <c r="L34" i="3"/>
  <c r="M29" i="2"/>
  <c r="K29" i="1"/>
  <c r="K30" i="1"/>
  <c r="K31" i="1"/>
  <c r="R5" i="1"/>
  <c r="S5" i="1" s="1"/>
  <c r="R7" i="1"/>
  <c r="R8" i="1"/>
  <c r="R20" i="1"/>
  <c r="R21" i="1"/>
  <c r="R22" i="1"/>
  <c r="R24" i="1"/>
  <c r="R25" i="1"/>
  <c r="P21" i="1"/>
  <c r="P22" i="1"/>
  <c r="Q5" i="1"/>
  <c r="P20" i="1"/>
  <c r="Q20" i="1"/>
  <c r="E29" i="2"/>
  <c r="F29" i="2"/>
  <c r="G29" i="2"/>
  <c r="H29" i="2"/>
  <c r="Q30" i="3" l="1"/>
  <c r="R30" i="3"/>
  <c r="C34" i="3"/>
  <c r="D34" i="3"/>
  <c r="E34" i="3"/>
  <c r="F34" i="3"/>
  <c r="G34" i="3"/>
  <c r="H34" i="3"/>
  <c r="I34" i="3"/>
  <c r="J34" i="3"/>
  <c r="K34" i="3"/>
  <c r="R32" i="3" l="1"/>
  <c r="Q32" i="3"/>
  <c r="O34" i="3"/>
  <c r="R27" i="3"/>
  <c r="Q27" i="3"/>
  <c r="R19" i="3"/>
  <c r="Q19" i="3"/>
  <c r="R23" i="3"/>
  <c r="Q23" i="3"/>
  <c r="R28" i="3"/>
  <c r="Q28" i="3"/>
  <c r="R29" i="3"/>
  <c r="Q29" i="3"/>
  <c r="B2" i="3"/>
  <c r="L29" i="2"/>
  <c r="Q7" i="1"/>
  <c r="Q30" i="1" s="1"/>
  <c r="Q8" i="1"/>
  <c r="Q21" i="1"/>
  <c r="Q22" i="1"/>
  <c r="Q24" i="1"/>
  <c r="Q25" i="1"/>
  <c r="J29" i="1"/>
  <c r="J30" i="1"/>
  <c r="J31" i="1"/>
  <c r="O30" i="1"/>
  <c r="R30" i="1"/>
  <c r="S7" i="1" l="1"/>
  <c r="S22" i="1" l="1"/>
  <c r="S8" i="1" l="1"/>
  <c r="P30" i="1"/>
  <c r="I29" i="1"/>
  <c r="I30" i="1"/>
  <c r="I31" i="1"/>
  <c r="K29" i="2" l="1"/>
  <c r="J29" i="2" l="1"/>
  <c r="I29" i="2"/>
  <c r="D30" i="1" l="1"/>
  <c r="E30" i="1"/>
  <c r="F30" i="1"/>
  <c r="G30" i="1"/>
  <c r="H30" i="1"/>
  <c r="C30" i="1"/>
  <c r="H29" i="1" l="1"/>
  <c r="H31" i="1"/>
  <c r="S11" i="1"/>
  <c r="S13" i="1"/>
  <c r="S16" i="1"/>
  <c r="S18" i="1"/>
  <c r="S19" i="1"/>
  <c r="S14" i="1" l="1"/>
  <c r="S25" i="1"/>
  <c r="S24" i="1"/>
  <c r="S4" i="1"/>
  <c r="R29" i="1"/>
  <c r="S15" i="1"/>
  <c r="O29" i="1"/>
  <c r="S27" i="1"/>
  <c r="S21" i="1"/>
  <c r="S3" i="1"/>
  <c r="Q29" i="1"/>
  <c r="P29" i="1"/>
  <c r="S26" i="1"/>
  <c r="S20" i="1"/>
  <c r="S17" i="1"/>
  <c r="S12" i="1"/>
  <c r="S10" i="1"/>
  <c r="S6" i="1"/>
  <c r="S30" i="1" l="1"/>
  <c r="D31" i="2"/>
  <c r="D34" i="2"/>
  <c r="D40" i="2"/>
  <c r="D41" i="2"/>
  <c r="D42" i="2"/>
  <c r="D29" i="2"/>
  <c r="I52" i="2"/>
  <c r="P3" i="3"/>
  <c r="D31" i="1"/>
  <c r="E31" i="1"/>
  <c r="F31" i="1"/>
  <c r="G31" i="1"/>
  <c r="C31" i="1"/>
  <c r="S29" i="1"/>
  <c r="D29" i="1"/>
  <c r="E29" i="1"/>
  <c r="F29" i="1"/>
  <c r="G29" i="1"/>
  <c r="C29" i="1"/>
  <c r="R52" i="2" l="1"/>
  <c r="S52" i="2"/>
  <c r="T52" i="2"/>
  <c r="Q52" i="2"/>
  <c r="O24" i="2" s="1"/>
  <c r="Q42" i="2"/>
  <c r="O14" i="2" s="1"/>
  <c r="T42" i="2"/>
  <c r="R42" i="2"/>
  <c r="S42" i="2"/>
  <c r="Q41" i="2"/>
  <c r="O13" i="2" s="1"/>
  <c r="R41" i="2"/>
  <c r="S41" i="2"/>
  <c r="T41" i="2"/>
  <c r="T40" i="2"/>
  <c r="Q40" i="2"/>
  <c r="O12" i="2" s="1"/>
  <c r="R40" i="2"/>
  <c r="S40" i="2"/>
  <c r="R34" i="2"/>
  <c r="S34" i="2"/>
  <c r="T34" i="2"/>
  <c r="Q34" i="2"/>
  <c r="O7" i="2" s="1"/>
  <c r="Q31" i="2"/>
  <c r="T31" i="2"/>
  <c r="S31" i="2"/>
  <c r="R31" i="2"/>
  <c r="U31" i="2"/>
  <c r="P5" i="3"/>
  <c r="P6" i="3"/>
  <c r="P9" i="3"/>
  <c r="P7" i="3"/>
  <c r="P8" i="3"/>
  <c r="P12" i="3"/>
  <c r="P13" i="3"/>
  <c r="P14" i="3"/>
  <c r="P10" i="3"/>
  <c r="P11" i="3"/>
  <c r="P15" i="3"/>
  <c r="P20" i="3"/>
  <c r="P16" i="3"/>
  <c r="P18" i="3"/>
  <c r="P21" i="3"/>
  <c r="P17" i="3"/>
  <c r="P24" i="3"/>
  <c r="P25" i="3"/>
  <c r="P26" i="3"/>
  <c r="P22" i="3"/>
  <c r="B55" i="2"/>
  <c r="B52" i="2"/>
  <c r="B44" i="2"/>
  <c r="B38" i="2"/>
  <c r="B49" i="2"/>
  <c r="B34" i="2"/>
  <c r="B48" i="2"/>
  <c r="B47" i="2"/>
  <c r="B41" i="2"/>
  <c r="B31" i="2"/>
  <c r="B43" i="2"/>
  <c r="B32" i="2"/>
  <c r="B46" i="2"/>
  <c r="B42" i="2"/>
  <c r="B54" i="2"/>
  <c r="B40" i="2"/>
  <c r="B53" i="2"/>
  <c r="B45" i="2"/>
  <c r="B39" i="2"/>
  <c r="Q58" i="2" l="1"/>
  <c r="O4" i="2"/>
  <c r="O3" i="2"/>
  <c r="Q57" i="2"/>
  <c r="U40" i="2"/>
  <c r="U52" i="2"/>
  <c r="U41" i="2"/>
  <c r="U42" i="2"/>
  <c r="U34" i="2"/>
  <c r="P4" i="3"/>
  <c r="P34" i="3" s="1"/>
  <c r="Q3" i="3"/>
  <c r="R3" i="3"/>
  <c r="Q22" i="3"/>
  <c r="R22" i="3"/>
  <c r="Q26" i="3"/>
  <c r="R26" i="3"/>
  <c r="Q25" i="3"/>
  <c r="R25" i="3"/>
  <c r="Q24" i="3"/>
  <c r="R24" i="3"/>
  <c r="Q17" i="3"/>
  <c r="R17" i="3"/>
  <c r="Q21" i="3"/>
  <c r="R21" i="3"/>
  <c r="Q18" i="3"/>
  <c r="R18" i="3"/>
  <c r="Q16" i="3"/>
  <c r="R16" i="3"/>
  <c r="Q20" i="3"/>
  <c r="R20" i="3"/>
  <c r="Q15" i="3"/>
  <c r="R15" i="3"/>
  <c r="Q11" i="3"/>
  <c r="R11" i="3"/>
  <c r="Q10" i="3"/>
  <c r="R10" i="3"/>
  <c r="Q14" i="3"/>
  <c r="R14" i="3"/>
  <c r="Q13" i="3"/>
  <c r="R13" i="3"/>
  <c r="Q12" i="3"/>
  <c r="R12" i="3"/>
  <c r="Q8" i="3"/>
  <c r="R8" i="3"/>
  <c r="Q7" i="3"/>
  <c r="R7" i="3"/>
  <c r="Q9" i="3"/>
  <c r="R9" i="3"/>
  <c r="Q6" i="3"/>
  <c r="R6" i="3"/>
  <c r="Q5" i="3"/>
  <c r="R5" i="3"/>
  <c r="S57" i="2"/>
  <c r="S58" i="2"/>
  <c r="R57" i="2"/>
  <c r="R58" i="2"/>
  <c r="Q4" i="3" l="1"/>
  <c r="R4" i="3"/>
  <c r="T57" i="2"/>
  <c r="T58" i="2"/>
</calcChain>
</file>

<file path=xl/sharedStrings.xml><?xml version="1.0" encoding="utf-8"?>
<sst xmlns="http://schemas.openxmlformats.org/spreadsheetml/2006/main" count="458" uniqueCount="72">
  <si>
    <t>Hilts</t>
  </si>
  <si>
    <t>Jackson</t>
  </si>
  <si>
    <t>Shively</t>
  </si>
  <si>
    <t>Forster</t>
  </si>
  <si>
    <t>Grise</t>
  </si>
  <si>
    <t>Gray</t>
  </si>
  <si>
    <t>Fogan</t>
  </si>
  <si>
    <t>Cole</t>
  </si>
  <si>
    <t>Ferrin</t>
  </si>
  <si>
    <t>Flanders</t>
  </si>
  <si>
    <t>Poirier</t>
  </si>
  <si>
    <t>Connors</t>
  </si>
  <si>
    <t>Lynch</t>
  </si>
  <si>
    <t>Zimmer</t>
  </si>
  <si>
    <t>Norat</t>
  </si>
  <si>
    <t>Mangold</t>
  </si>
  <si>
    <t>Player</t>
  </si>
  <si>
    <t>McInerney</t>
  </si>
  <si>
    <t>Average</t>
  </si>
  <si>
    <t>Welker</t>
  </si>
  <si>
    <t>X</t>
  </si>
  <si>
    <t>SD</t>
  </si>
  <si>
    <t>High</t>
  </si>
  <si>
    <t>Low</t>
  </si>
  <si>
    <t>Delta</t>
  </si>
  <si>
    <t>Played</t>
  </si>
  <si>
    <t>Aggregate</t>
  </si>
  <si>
    <t>Per Cup</t>
  </si>
  <si>
    <t>Points</t>
  </si>
  <si>
    <t>Best Cup</t>
  </si>
  <si>
    <t>Median</t>
  </si>
  <si>
    <t>FBC 7</t>
  </si>
  <si>
    <t>FBC 6</t>
  </si>
  <si>
    <t>FBC 5</t>
  </si>
  <si>
    <t>FBC 4</t>
  </si>
  <si>
    <t>FBC 3</t>
  </si>
  <si>
    <t>FBC 2</t>
  </si>
  <si>
    <t>FBC 1</t>
  </si>
  <si>
    <t>FBC 8</t>
  </si>
  <si>
    <t>Delneky</t>
  </si>
  <si>
    <t>Worst Cup</t>
  </si>
  <si>
    <t>Delaney</t>
  </si>
  <si>
    <t>FBC 9</t>
  </si>
  <si>
    <t>Perkins</t>
  </si>
  <si>
    <t>Piegari</t>
  </si>
  <si>
    <t>Total</t>
  </si>
  <si>
    <t>DeOteris</t>
  </si>
  <si>
    <t>Bussiculo</t>
  </si>
  <si>
    <t>Hickerson</t>
  </si>
  <si>
    <t>Weisberger</t>
  </si>
  <si>
    <t>Macklin</t>
  </si>
  <si>
    <t>%</t>
  </si>
  <si>
    <t>Lost</t>
  </si>
  <si>
    <t>FBC 10</t>
  </si>
  <si>
    <t>Connolly, B</t>
  </si>
  <si>
    <t>Connolly, R</t>
  </si>
  <si>
    <t>FBC 11</t>
  </si>
  <si>
    <t>Saratoga</t>
  </si>
  <si>
    <t>Turning Stone</t>
  </si>
  <si>
    <t>French Lick</t>
  </si>
  <si>
    <t>Hilton Head</t>
  </si>
  <si>
    <t>Arcadia Blufs</t>
  </si>
  <si>
    <t>Pebble Beach</t>
  </si>
  <si>
    <t>Sea Island II</t>
  </si>
  <si>
    <t>Sea Island I</t>
  </si>
  <si>
    <t>Dublin</t>
  </si>
  <si>
    <t>Pinehurst</t>
  </si>
  <si>
    <t>FBC 12</t>
  </si>
  <si>
    <t>Deoteris</t>
  </si>
  <si>
    <t>Snyder</t>
  </si>
  <si>
    <t>Killarney</t>
  </si>
  <si>
    <t>Sand Valley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</si>
</sst>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23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</cellStyleXfs>
  <cellXfs count="50">
    <xf numFmtId="0" fontId="0" fillId="0" borderId="0" xfId="0"/>
    <xf numFmtId="0" fontId="16" fillId="0" borderId="0" xfId="0" applyFont="1"/>
    <xf numFmtId="0" fontId="17" fillId="0" borderId="0" xfId="0" applyFont="1"/>
    <xf numFmtId="0" fontId="16" fillId="0" borderId="0" xfId="0" applyFont="1" applyAlignment="1">
      <alignment horizontal="center"/>
    </xf>
    <xf numFmtId="0" fontId="13" fillId="0" borderId="0" xfId="0" applyFont="1"/>
    <xf numFmtId="0" fontId="15" fillId="0" borderId="0" xfId="0" applyFont="1"/>
    <xf numFmtId="0" fontId="12" fillId="0" borderId="0" xfId="0" applyFont="1"/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4" fontId="12" fillId="0" borderId="0" xfId="0" applyNumberFormat="1" applyFont="1" applyAlignment="1">
      <alignment horizontal="center"/>
    </xf>
    <xf numFmtId="0" fontId="11" fillId="0" borderId="0" xfId="0" applyFont="1"/>
    <xf numFmtId="164" fontId="12" fillId="0" borderId="0" xfId="0" applyNumberFormat="1" applyFont="1"/>
    <xf numFmtId="0" fontId="0" fillId="0" borderId="0" xfId="0" applyAlignment="1">
      <alignment horizontal="center"/>
    </xf>
    <xf numFmtId="0" fontId="18" fillId="0" borderId="0" xfId="0" applyFont="1"/>
    <xf numFmtId="0" fontId="10" fillId="0" borderId="0" xfId="0" applyFont="1"/>
    <xf numFmtId="166" fontId="10" fillId="0" borderId="0" xfId="2" applyNumberFormat="1" applyFont="1"/>
    <xf numFmtId="0" fontId="19" fillId="0" borderId="0" xfId="0" applyFont="1" applyAlignment="1">
      <alignment horizontal="right"/>
    </xf>
    <xf numFmtId="0" fontId="19" fillId="0" borderId="0" xfId="0" applyFont="1"/>
    <xf numFmtId="0" fontId="20" fillId="0" borderId="0" xfId="0" applyFont="1"/>
    <xf numFmtId="0" fontId="20" fillId="0" borderId="0" xfId="0" applyFont="1" applyAlignment="1">
      <alignment horizontal="center"/>
    </xf>
    <xf numFmtId="15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165" fontId="19" fillId="0" borderId="0" xfId="1" applyNumberFormat="1" applyFont="1" applyAlignment="1">
      <alignment horizontal="center"/>
    </xf>
    <xf numFmtId="165" fontId="19" fillId="0" borderId="0" xfId="0" applyNumberFormat="1" applyFont="1"/>
    <xf numFmtId="0" fontId="19" fillId="0" borderId="0" xfId="0" applyFont="1" applyAlignment="1">
      <alignment horizontal="left"/>
    </xf>
    <xf numFmtId="164" fontId="19" fillId="0" borderId="0" xfId="0" applyNumberFormat="1" applyFont="1"/>
    <xf numFmtId="0" fontId="22" fillId="0" borderId="0" xfId="0" applyFont="1"/>
    <xf numFmtId="2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9" fillId="0" borderId="0" xfId="0" applyFont="1"/>
    <xf numFmtId="164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9" fontId="19" fillId="0" borderId="0" xfId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/>
    <xf numFmtId="14" fontId="20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276225</xdr:colOff>
      <xdr:row>0</xdr:row>
      <xdr:rowOff>0</xdr:rowOff>
    </xdr:from>
    <xdr:to>
      <xdr:col>19</xdr:col>
      <xdr:colOff>438150</xdr:colOff>
      <xdr:row>21</xdr:row>
      <xdr:rowOff>9525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4581525" y="0"/>
          <a:ext cx="4200525" cy="421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47625</xdr:colOff>
      <xdr:row>9</xdr:row>
      <xdr:rowOff>190500</xdr:rowOff>
    </xdr:from>
    <xdr:to>
      <xdr:col>22</xdr:col>
      <xdr:colOff>197093</xdr:colOff>
      <xdr:row>37</xdr:row>
      <xdr:rowOff>0</xdr:rowOff>
    </xdr:to>
    <xdr:sp macro="" textlink="">
      <xdr:nvSpPr>
        <xdr:cNvPr id="1035" name="AutoShape 11">
          <a:extLst>
            <a:ext uri="{FF2B5EF4-FFF2-40B4-BE49-F238E27FC236}">
              <a16:creationId xmlns:a16="http://schemas.microsoft.com/office/drawing/2014/main" id="{00000000-0008-0000-00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5191125" y="2990850"/>
          <a:ext cx="5864468" cy="5410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T52"/>
  <sheetViews>
    <sheetView topLeftCell="A14" zoomScaleNormal="100" zoomScalePageLayoutView="160" workbookViewId="0">
      <selection activeCell="K11" sqref="K11"/>
    </sheetView>
  </sheetViews>
  <sheetFormatPr baseColWidth="10" defaultColWidth="11" defaultRowHeight="16" x14ac:dyDescent="0.2"/>
  <cols>
    <col min="1" max="1" width="5" style="1" customWidth="1"/>
    <col min="2" max="2" width="11" style="1"/>
    <col min="3" max="5" width="9.6640625" style="1" customWidth="1"/>
    <col min="6" max="6" width="8.6640625" style="1" customWidth="1"/>
    <col min="7" max="7" width="8.5" style="1" customWidth="1"/>
    <col min="8" max="13" width="9.5" style="1" customWidth="1"/>
    <col min="14" max="14" width="4.1640625" style="1" customWidth="1"/>
    <col min="15" max="15" width="11" style="1" customWidth="1"/>
    <col min="16" max="16" width="11" style="1"/>
    <col min="17" max="17" width="11.1640625" style="1" customWidth="1"/>
    <col min="18" max="18" width="11" style="1"/>
    <col min="19" max="19" width="8.6640625" style="1" customWidth="1"/>
    <col min="20" max="16384" width="11" style="1"/>
  </cols>
  <sheetData>
    <row r="1" spans="1:20" x14ac:dyDescent="0.2">
      <c r="B1" s="16"/>
      <c r="C1" s="16"/>
      <c r="D1" s="16"/>
      <c r="E1" s="16"/>
      <c r="F1" s="16"/>
      <c r="G1" s="49"/>
      <c r="H1" s="49"/>
      <c r="I1" s="49"/>
      <c r="J1" s="49"/>
      <c r="K1" s="49"/>
      <c r="L1" s="49"/>
      <c r="M1" s="49"/>
      <c r="N1" s="49"/>
      <c r="O1" s="17"/>
      <c r="P1" s="17"/>
      <c r="Q1" s="17"/>
      <c r="R1" s="17"/>
      <c r="S1" s="17"/>
    </row>
    <row r="2" spans="1:20" x14ac:dyDescent="0.2">
      <c r="A2" s="2"/>
      <c r="B2" s="18" t="s">
        <v>16</v>
      </c>
      <c r="C2" s="19" t="s">
        <v>36</v>
      </c>
      <c r="D2" s="19" t="s">
        <v>35</v>
      </c>
      <c r="E2" s="20" t="s">
        <v>34</v>
      </c>
      <c r="F2" s="19" t="s">
        <v>33</v>
      </c>
      <c r="G2" s="19" t="s">
        <v>32</v>
      </c>
      <c r="H2" s="19" t="s">
        <v>31</v>
      </c>
      <c r="I2" s="19" t="s">
        <v>38</v>
      </c>
      <c r="J2" s="19" t="s">
        <v>42</v>
      </c>
      <c r="K2" s="19" t="s">
        <v>53</v>
      </c>
      <c r="L2" s="19" t="s">
        <v>56</v>
      </c>
      <c r="M2" s="19" t="s">
        <v>67</v>
      </c>
      <c r="N2" s="21"/>
      <c r="O2" s="19" t="s">
        <v>18</v>
      </c>
      <c r="P2" s="19" t="s">
        <v>21</v>
      </c>
      <c r="Q2" s="19" t="s">
        <v>22</v>
      </c>
      <c r="R2" s="19" t="s">
        <v>23</v>
      </c>
      <c r="S2" s="19" t="s">
        <v>24</v>
      </c>
      <c r="T2" s="4"/>
    </row>
    <row r="3" spans="1:20" x14ac:dyDescent="0.2">
      <c r="A3" s="3"/>
      <c r="B3" s="17" t="s">
        <v>7</v>
      </c>
      <c r="C3" s="22">
        <v>32.4</v>
      </c>
      <c r="D3" s="22">
        <v>24.8</v>
      </c>
      <c r="E3" s="22">
        <v>22</v>
      </c>
      <c r="F3" s="22">
        <v>18.899999999999999</v>
      </c>
      <c r="G3" s="22">
        <v>20.2</v>
      </c>
      <c r="H3" s="22">
        <v>17.8</v>
      </c>
      <c r="I3" s="22">
        <v>15.5</v>
      </c>
      <c r="J3" s="22">
        <v>15.2</v>
      </c>
      <c r="K3" s="22">
        <v>16</v>
      </c>
      <c r="L3" s="22">
        <v>16.5</v>
      </c>
      <c r="M3" s="22" t="s">
        <v>20</v>
      </c>
      <c r="N3" s="23"/>
      <c r="O3" s="22">
        <f>AVERAGE(C3:L3)</f>
        <v>19.93</v>
      </c>
      <c r="P3" s="22">
        <f>STDEV(C3:L3)</f>
        <v>5.3580780136164625</v>
      </c>
      <c r="Q3" s="22">
        <f>MAX(C3:L3)</f>
        <v>32.4</v>
      </c>
      <c r="R3" s="22">
        <f>MIN(C3:L3)</f>
        <v>15.2</v>
      </c>
      <c r="S3" s="22">
        <f t="shared" ref="S3:S27" si="0">Q3-R3</f>
        <v>17.2</v>
      </c>
      <c r="T3" s="4"/>
    </row>
    <row r="4" spans="1:20" x14ac:dyDescent="0.2">
      <c r="A4" s="3"/>
      <c r="B4" s="17" t="s">
        <v>54</v>
      </c>
      <c r="C4" s="22">
        <v>12.4</v>
      </c>
      <c r="D4" s="22">
        <v>9.1</v>
      </c>
      <c r="E4" s="22">
        <v>10.1</v>
      </c>
      <c r="F4" s="22">
        <v>11.1</v>
      </c>
      <c r="G4" s="22">
        <v>10.5</v>
      </c>
      <c r="H4" s="22">
        <v>10.5</v>
      </c>
      <c r="I4" s="22">
        <v>10.8</v>
      </c>
      <c r="J4" s="22">
        <v>8.3000000000000007</v>
      </c>
      <c r="K4" s="22">
        <v>10.1</v>
      </c>
      <c r="L4" s="22">
        <v>9.5</v>
      </c>
      <c r="M4" s="22">
        <v>9.4</v>
      </c>
      <c r="N4" s="23"/>
      <c r="O4" s="22">
        <f>AVERAGE(C4:M4)</f>
        <v>10.163636363636364</v>
      </c>
      <c r="P4" s="22">
        <f>STDEV(C4:M4)</f>
        <v>1.1020641789594035</v>
      </c>
      <c r="Q4" s="22">
        <f>MAX(C4:M4)</f>
        <v>12.4</v>
      </c>
      <c r="R4" s="22">
        <f>MIN(C4:M4)</f>
        <v>8.3000000000000007</v>
      </c>
      <c r="S4" s="22">
        <f t="shared" si="0"/>
        <v>4.0999999999999996</v>
      </c>
      <c r="T4" s="4"/>
    </row>
    <row r="5" spans="1:20" x14ac:dyDescent="0.2">
      <c r="A5" s="3"/>
      <c r="B5" s="17" t="s">
        <v>55</v>
      </c>
      <c r="C5" s="22" t="s">
        <v>20</v>
      </c>
      <c r="D5" s="22" t="s">
        <v>20</v>
      </c>
      <c r="E5" s="22" t="s">
        <v>20</v>
      </c>
      <c r="F5" s="22" t="s">
        <v>20</v>
      </c>
      <c r="G5" s="22" t="s">
        <v>20</v>
      </c>
      <c r="H5" s="22" t="s">
        <v>20</v>
      </c>
      <c r="I5" s="22" t="s">
        <v>20</v>
      </c>
      <c r="J5" s="22" t="s">
        <v>20</v>
      </c>
      <c r="K5" s="22">
        <v>14.6</v>
      </c>
      <c r="L5" s="22" t="s">
        <v>20</v>
      </c>
      <c r="M5" s="22">
        <v>12.1</v>
      </c>
      <c r="N5" s="23"/>
      <c r="O5" s="22">
        <f>AVERAGE(C5:L5)</f>
        <v>14.6</v>
      </c>
      <c r="P5" s="22" t="s">
        <v>20</v>
      </c>
      <c r="Q5" s="22">
        <f>MAX(C5:K5)</f>
        <v>14.6</v>
      </c>
      <c r="R5" s="22">
        <f>MIN(C5:K5)</f>
        <v>14.6</v>
      </c>
      <c r="S5" s="22">
        <f t="shared" ref="S5" si="1">Q5-R5</f>
        <v>0</v>
      </c>
      <c r="T5" s="4"/>
    </row>
    <row r="6" spans="1:20" x14ac:dyDescent="0.2">
      <c r="A6" s="3"/>
      <c r="B6" s="17" t="s">
        <v>11</v>
      </c>
      <c r="C6" s="22">
        <v>18.8</v>
      </c>
      <c r="D6" s="22">
        <v>16.7</v>
      </c>
      <c r="E6" s="22">
        <v>16.2</v>
      </c>
      <c r="F6" s="22">
        <v>15.5</v>
      </c>
      <c r="G6" s="22">
        <v>15.4</v>
      </c>
      <c r="H6" s="22">
        <v>16.399999999999999</v>
      </c>
      <c r="I6" s="22">
        <v>17.100000000000001</v>
      </c>
      <c r="J6" s="22">
        <v>18.3</v>
      </c>
      <c r="K6" s="22">
        <v>17.600000000000001</v>
      </c>
      <c r="L6" s="22">
        <v>17.600000000000001</v>
      </c>
      <c r="M6" s="22" t="s">
        <v>20</v>
      </c>
      <c r="N6" s="23"/>
      <c r="O6" s="22">
        <f>AVERAGE(C6:L6)</f>
        <v>16.96</v>
      </c>
      <c r="P6" s="22">
        <f>STDEV(C6:L6)</f>
        <v>1.1325487480310366</v>
      </c>
      <c r="Q6" s="22">
        <f>MAX(C6:L6)</f>
        <v>18.8</v>
      </c>
      <c r="R6" s="22">
        <f>MIN(C6:L6)</f>
        <v>15.4</v>
      </c>
      <c r="S6" s="22">
        <f t="shared" si="0"/>
        <v>3.4000000000000004</v>
      </c>
      <c r="T6" s="4"/>
    </row>
    <row r="7" spans="1:20" x14ac:dyDescent="0.2">
      <c r="A7" s="3"/>
      <c r="B7" s="17" t="s">
        <v>41</v>
      </c>
      <c r="C7" s="22" t="s">
        <v>20</v>
      </c>
      <c r="D7" s="22" t="s">
        <v>20</v>
      </c>
      <c r="E7" s="22" t="s">
        <v>20</v>
      </c>
      <c r="F7" s="22">
        <v>14.2</v>
      </c>
      <c r="G7" s="22" t="s">
        <v>20</v>
      </c>
      <c r="H7" s="22" t="s">
        <v>20</v>
      </c>
      <c r="I7" s="22">
        <v>11.7</v>
      </c>
      <c r="J7" s="22">
        <v>10.7</v>
      </c>
      <c r="K7" s="22">
        <v>11.7</v>
      </c>
      <c r="L7" s="22">
        <v>9.5</v>
      </c>
      <c r="M7" s="22">
        <v>11.8</v>
      </c>
      <c r="N7" s="23"/>
      <c r="O7" s="22">
        <f>AVERAGE(C7:M7)</f>
        <v>11.6</v>
      </c>
      <c r="P7" s="22">
        <f>STDEV(C7:M7)</f>
        <v>1.5517731793016782</v>
      </c>
      <c r="Q7" s="22">
        <f>MAX(C7:J7)</f>
        <v>14.2</v>
      </c>
      <c r="R7" s="22">
        <f>MIN(C7:K7)</f>
        <v>10.7</v>
      </c>
      <c r="S7" s="22">
        <f t="shared" ref="S7" si="2">Q7-R7</f>
        <v>3.5</v>
      </c>
      <c r="T7" s="4"/>
    </row>
    <row r="8" spans="1:20" x14ac:dyDescent="0.2">
      <c r="A8" s="3"/>
      <c r="B8" s="17" t="s">
        <v>39</v>
      </c>
      <c r="C8" s="22" t="s">
        <v>20</v>
      </c>
      <c r="D8" s="22" t="s">
        <v>20</v>
      </c>
      <c r="E8" s="22" t="s">
        <v>20</v>
      </c>
      <c r="F8" s="22" t="s">
        <v>20</v>
      </c>
      <c r="G8" s="22" t="s">
        <v>20</v>
      </c>
      <c r="H8" s="22" t="s">
        <v>20</v>
      </c>
      <c r="I8" s="22">
        <v>17.2</v>
      </c>
      <c r="J8" s="22">
        <v>18.5</v>
      </c>
      <c r="K8" s="22">
        <v>18.399999999999999</v>
      </c>
      <c r="L8" s="22">
        <v>17.2</v>
      </c>
      <c r="M8" s="22">
        <v>17.8</v>
      </c>
      <c r="N8" s="23"/>
      <c r="O8" s="22">
        <f>AVERAGE(C8:M8)</f>
        <v>17.82</v>
      </c>
      <c r="P8" s="22">
        <f>STDEV(C8:M8)</f>
        <v>0.62609903369994113</v>
      </c>
      <c r="Q8" s="22">
        <f>MAX(C8:J8)</f>
        <v>18.5</v>
      </c>
      <c r="R8" s="22">
        <f>MIN(C8:K8)</f>
        <v>17.2</v>
      </c>
      <c r="S8" s="22">
        <f t="shared" ref="S8" si="3">Q8-R8</f>
        <v>1.3000000000000007</v>
      </c>
      <c r="T8" s="4"/>
    </row>
    <row r="9" spans="1:20" x14ac:dyDescent="0.2">
      <c r="A9" s="3"/>
      <c r="B9" s="17" t="s">
        <v>68</v>
      </c>
      <c r="C9" s="22" t="s">
        <v>20</v>
      </c>
      <c r="D9" s="22" t="s">
        <v>20</v>
      </c>
      <c r="E9" s="22" t="s">
        <v>20</v>
      </c>
      <c r="F9" s="22" t="s">
        <v>20</v>
      </c>
      <c r="G9" s="22" t="s">
        <v>20</v>
      </c>
      <c r="H9" s="22" t="s">
        <v>20</v>
      </c>
      <c r="I9" s="22"/>
      <c r="J9" s="22"/>
      <c r="K9" s="22"/>
      <c r="L9" s="22" t="s">
        <v>20</v>
      </c>
      <c r="M9" s="22">
        <v>12.4</v>
      </c>
      <c r="N9" s="23"/>
      <c r="O9" s="22"/>
      <c r="P9" s="22"/>
      <c r="Q9" s="22"/>
      <c r="R9" s="22"/>
      <c r="S9" s="22"/>
      <c r="T9" s="4"/>
    </row>
    <row r="10" spans="1:20" x14ac:dyDescent="0.2">
      <c r="A10" s="3"/>
      <c r="B10" s="17" t="s">
        <v>8</v>
      </c>
      <c r="C10" s="22">
        <v>22.3</v>
      </c>
      <c r="D10" s="22">
        <v>19.899999999999999</v>
      </c>
      <c r="E10" s="22">
        <v>17.3</v>
      </c>
      <c r="F10" s="22">
        <v>15.2</v>
      </c>
      <c r="G10" s="22">
        <v>14.6</v>
      </c>
      <c r="H10" s="22">
        <v>14.8</v>
      </c>
      <c r="I10" s="22">
        <v>12.4</v>
      </c>
      <c r="J10" s="22">
        <v>13.5</v>
      </c>
      <c r="K10" s="22">
        <v>12.7</v>
      </c>
      <c r="L10" s="22">
        <v>10</v>
      </c>
      <c r="M10" s="22">
        <v>10.1</v>
      </c>
      <c r="N10" s="23"/>
      <c r="O10" s="22">
        <f>AVERAGE(C10:M10)</f>
        <v>14.799999999999999</v>
      </c>
      <c r="P10" s="22">
        <f>STDEV(C10:M10)</f>
        <v>3.8170669367984784</v>
      </c>
      <c r="Q10" s="22">
        <f>MAX(C10:M10)</f>
        <v>22.3</v>
      </c>
      <c r="R10" s="22">
        <f>MIN(C10:M10)</f>
        <v>10</v>
      </c>
      <c r="S10" s="22">
        <f t="shared" si="0"/>
        <v>12.3</v>
      </c>
      <c r="T10" s="4"/>
    </row>
    <row r="11" spans="1:20" x14ac:dyDescent="0.2">
      <c r="A11" s="3"/>
      <c r="B11" s="17" t="s">
        <v>9</v>
      </c>
      <c r="C11" s="22">
        <v>16.8</v>
      </c>
      <c r="D11" s="22">
        <v>13.4</v>
      </c>
      <c r="E11" s="22">
        <v>7.8</v>
      </c>
      <c r="F11" s="22">
        <v>4.5999999999999996</v>
      </c>
      <c r="G11" s="22">
        <v>3.9</v>
      </c>
      <c r="H11" s="22">
        <v>4</v>
      </c>
      <c r="I11" s="22">
        <v>3.3</v>
      </c>
      <c r="J11" s="22">
        <v>6.3</v>
      </c>
      <c r="K11" s="22">
        <v>6.7</v>
      </c>
      <c r="L11" s="22">
        <v>6.8</v>
      </c>
      <c r="M11" s="22">
        <v>6.7</v>
      </c>
      <c r="N11" s="23"/>
      <c r="O11" s="22">
        <f>AVERAGE(C11:M11)</f>
        <v>7.3</v>
      </c>
      <c r="P11" s="22">
        <f>STDEV(C11:M11)</f>
        <v>4.1883170844624447</v>
      </c>
      <c r="Q11" s="22">
        <f>MAX(C11:M11)</f>
        <v>16.8</v>
      </c>
      <c r="R11" s="22">
        <f>MIN(C11:M11)</f>
        <v>3.3</v>
      </c>
      <c r="S11" s="22">
        <f t="shared" si="0"/>
        <v>13.5</v>
      </c>
      <c r="T11" s="4"/>
    </row>
    <row r="12" spans="1:20" x14ac:dyDescent="0.2">
      <c r="A12" s="3"/>
      <c r="B12" s="17" t="s">
        <v>6</v>
      </c>
      <c r="C12" s="22">
        <v>31.4</v>
      </c>
      <c r="D12" s="22">
        <v>25</v>
      </c>
      <c r="E12" s="22">
        <v>27.2</v>
      </c>
      <c r="F12" s="22">
        <v>26.2</v>
      </c>
      <c r="G12" s="22">
        <v>25.2</v>
      </c>
      <c r="H12" s="22">
        <v>23.5</v>
      </c>
      <c r="I12" s="22">
        <v>18.899999999999999</v>
      </c>
      <c r="J12" s="22">
        <v>19.2</v>
      </c>
      <c r="K12" s="22">
        <v>19.899999999999999</v>
      </c>
      <c r="L12" s="22">
        <v>18</v>
      </c>
      <c r="M12" s="22">
        <v>17.399999999999999</v>
      </c>
      <c r="N12" s="23"/>
      <c r="O12" s="22">
        <f>AVERAGE(C12:M12)</f>
        <v>22.900000000000002</v>
      </c>
      <c r="P12" s="22">
        <f>STDEV(C12:M12)</f>
        <v>4.5237152872390327</v>
      </c>
      <c r="Q12" s="22">
        <f>MAX(C12:M12)</f>
        <v>31.4</v>
      </c>
      <c r="R12" s="22">
        <f>MIN(C12:M12)</f>
        <v>17.399999999999999</v>
      </c>
      <c r="S12" s="22">
        <f t="shared" si="0"/>
        <v>14</v>
      </c>
      <c r="T12" s="4"/>
    </row>
    <row r="13" spans="1:20" x14ac:dyDescent="0.2">
      <c r="A13" s="3"/>
      <c r="B13" s="17" t="s">
        <v>3</v>
      </c>
      <c r="C13" s="22">
        <v>30</v>
      </c>
      <c r="D13" s="22">
        <v>25</v>
      </c>
      <c r="E13" s="22">
        <v>22.4</v>
      </c>
      <c r="F13" s="22">
        <v>19.2</v>
      </c>
      <c r="G13" s="22">
        <v>15.8</v>
      </c>
      <c r="H13" s="22">
        <v>16.899999999999999</v>
      </c>
      <c r="I13" s="22">
        <v>15.1</v>
      </c>
      <c r="J13" s="22">
        <v>12</v>
      </c>
      <c r="K13" s="22">
        <v>12.7</v>
      </c>
      <c r="L13" s="22">
        <v>13.1</v>
      </c>
      <c r="M13" s="22">
        <v>10.9</v>
      </c>
      <c r="N13" s="23"/>
      <c r="O13" s="22">
        <f>AVERAGE(C13:M13)</f>
        <v>17.554545454545455</v>
      </c>
      <c r="P13" s="22">
        <f>STDEV(C13:M13)</f>
        <v>6.0381062654384667</v>
      </c>
      <c r="Q13" s="22">
        <f>MAX(C13:M13)</f>
        <v>30</v>
      </c>
      <c r="R13" s="22">
        <f>MIN(C13:M13)</f>
        <v>10.9</v>
      </c>
      <c r="S13" s="22">
        <f t="shared" si="0"/>
        <v>19.100000000000001</v>
      </c>
      <c r="T13" s="4"/>
    </row>
    <row r="14" spans="1:20" x14ac:dyDescent="0.2">
      <c r="A14" s="3"/>
      <c r="B14" s="17" t="s">
        <v>5</v>
      </c>
      <c r="C14" s="22" t="s">
        <v>20</v>
      </c>
      <c r="D14" s="22">
        <v>11</v>
      </c>
      <c r="E14" s="22">
        <v>9.4</v>
      </c>
      <c r="F14" s="22">
        <v>6.8</v>
      </c>
      <c r="G14" s="22">
        <v>7.5</v>
      </c>
      <c r="H14" s="22">
        <v>7.3</v>
      </c>
      <c r="I14" s="22" t="s">
        <v>20</v>
      </c>
      <c r="J14" s="22" t="s">
        <v>20</v>
      </c>
      <c r="K14" s="22">
        <v>9</v>
      </c>
      <c r="L14" s="22">
        <v>8</v>
      </c>
      <c r="M14" s="22" t="s">
        <v>20</v>
      </c>
      <c r="N14" s="23"/>
      <c r="O14" s="22">
        <f>AVERAGE(C14:L14)</f>
        <v>8.4285714285714288</v>
      </c>
      <c r="P14" s="22">
        <f>STDEV(C14:L14)</f>
        <v>1.4636874503735287</v>
      </c>
      <c r="Q14" s="22">
        <f>MAX(C14:L14)</f>
        <v>11</v>
      </c>
      <c r="R14" s="22">
        <f>MIN(C14:L14)</f>
        <v>6.8</v>
      </c>
      <c r="S14" s="22">
        <f t="shared" si="0"/>
        <v>4.2</v>
      </c>
      <c r="T14" s="4"/>
    </row>
    <row r="15" spans="1:20" x14ac:dyDescent="0.2">
      <c r="A15" s="3"/>
      <c r="B15" s="17" t="s">
        <v>4</v>
      </c>
      <c r="C15" s="22">
        <v>14.1</v>
      </c>
      <c r="D15" s="22">
        <v>14.7</v>
      </c>
      <c r="E15" s="22">
        <v>13.1</v>
      </c>
      <c r="F15" s="22">
        <v>11.8</v>
      </c>
      <c r="G15" s="22">
        <v>12.5</v>
      </c>
      <c r="H15" s="22">
        <v>11.9</v>
      </c>
      <c r="I15" s="22">
        <v>12</v>
      </c>
      <c r="J15" s="22">
        <v>11.7</v>
      </c>
      <c r="K15" s="22">
        <v>11.7</v>
      </c>
      <c r="L15" s="22">
        <v>10.9</v>
      </c>
      <c r="M15" s="22">
        <v>11.6</v>
      </c>
      <c r="N15" s="23"/>
      <c r="O15" s="22">
        <f>AVERAGE(C15:M15)</f>
        <v>12.363636363636367</v>
      </c>
      <c r="P15" s="22">
        <f>STDEV(C15:M15)</f>
        <v>1.1534927197626581</v>
      </c>
      <c r="Q15" s="22">
        <f>MAX(C15:M15)</f>
        <v>14.7</v>
      </c>
      <c r="R15" s="22">
        <f>MIN(C15:M15)</f>
        <v>10.9</v>
      </c>
      <c r="S15" s="22">
        <f t="shared" si="0"/>
        <v>3.7999999999999989</v>
      </c>
      <c r="T15" s="4"/>
    </row>
    <row r="16" spans="1:20" x14ac:dyDescent="0.2">
      <c r="A16" s="3"/>
      <c r="B16" s="17" t="s">
        <v>0</v>
      </c>
      <c r="C16" s="22">
        <v>18.399999999999999</v>
      </c>
      <c r="D16" s="22">
        <v>17.899999999999999</v>
      </c>
      <c r="E16" s="22" t="s">
        <v>20</v>
      </c>
      <c r="F16" s="22">
        <v>18.5</v>
      </c>
      <c r="G16" s="22">
        <v>18.399999999999999</v>
      </c>
      <c r="H16" s="22">
        <v>19.600000000000001</v>
      </c>
      <c r="I16" s="22">
        <v>19.600000000000001</v>
      </c>
      <c r="J16" s="22">
        <v>19.100000000000001</v>
      </c>
      <c r="K16" s="22">
        <v>17.100000000000001</v>
      </c>
      <c r="L16" s="22">
        <v>16.399999999999999</v>
      </c>
      <c r="M16" s="22">
        <v>16</v>
      </c>
      <c r="N16" s="23"/>
      <c r="O16" s="22">
        <f>AVERAGE(C16:M16)</f>
        <v>18.099999999999998</v>
      </c>
      <c r="P16" s="22">
        <f>STDEV(C16:M16)</f>
        <v>1.255211358917516</v>
      </c>
      <c r="Q16" s="22">
        <f>MAX(C16:M16)</f>
        <v>19.600000000000001</v>
      </c>
      <c r="R16" s="22">
        <f>MIN(C16:M16)</f>
        <v>16</v>
      </c>
      <c r="S16" s="22">
        <f t="shared" si="0"/>
        <v>3.6000000000000014</v>
      </c>
      <c r="T16" s="4"/>
    </row>
    <row r="17" spans="1:20" x14ac:dyDescent="0.2">
      <c r="A17" s="3"/>
      <c r="B17" s="17" t="s">
        <v>1</v>
      </c>
      <c r="C17" s="22">
        <v>12.8</v>
      </c>
      <c r="D17" s="22">
        <v>12.3</v>
      </c>
      <c r="E17" s="22">
        <v>12.5</v>
      </c>
      <c r="F17" s="22">
        <v>12.7</v>
      </c>
      <c r="G17" s="22">
        <v>12.5</v>
      </c>
      <c r="H17" s="22">
        <v>11.3</v>
      </c>
      <c r="I17" s="22">
        <v>9.1</v>
      </c>
      <c r="J17" s="22">
        <v>8.8000000000000007</v>
      </c>
      <c r="K17" s="22">
        <v>8.6999999999999993</v>
      </c>
      <c r="L17" s="22">
        <v>9.4</v>
      </c>
      <c r="M17" s="22">
        <v>7.4</v>
      </c>
      <c r="N17" s="23"/>
      <c r="O17" s="22">
        <f>AVERAGE(C17:M17)</f>
        <v>10.681818181818182</v>
      </c>
      <c r="P17" s="22">
        <f>STDEV(C17:M17)</f>
        <v>2.0138610586722225</v>
      </c>
      <c r="Q17" s="22">
        <f>MAX(C17:M17)</f>
        <v>12.8</v>
      </c>
      <c r="R17" s="22">
        <f>MIN(C17:M17)</f>
        <v>7.4</v>
      </c>
      <c r="S17" s="22">
        <f t="shared" si="0"/>
        <v>5.4</v>
      </c>
      <c r="T17" s="4"/>
    </row>
    <row r="18" spans="1:20" x14ac:dyDescent="0.2">
      <c r="A18" s="3"/>
      <c r="B18" s="17" t="s">
        <v>12</v>
      </c>
      <c r="C18" s="22">
        <v>18.8</v>
      </c>
      <c r="D18" s="22">
        <v>16</v>
      </c>
      <c r="E18" s="22">
        <v>13.9</v>
      </c>
      <c r="F18" s="22">
        <v>11.8</v>
      </c>
      <c r="G18" s="22">
        <v>14.4</v>
      </c>
      <c r="H18" s="22">
        <v>13.4</v>
      </c>
      <c r="I18" s="22">
        <v>8.9</v>
      </c>
      <c r="J18" s="22">
        <v>9.3000000000000007</v>
      </c>
      <c r="K18" s="22">
        <v>8.6999999999999993</v>
      </c>
      <c r="L18" s="22">
        <v>7.9</v>
      </c>
      <c r="M18" s="22">
        <v>8.9</v>
      </c>
      <c r="N18" s="23"/>
      <c r="O18" s="22">
        <f>AVERAGE(C18:M18)</f>
        <v>12.000000000000002</v>
      </c>
      <c r="P18" s="22">
        <f>STDEV(C18:M18)</f>
        <v>3.5751923025202363</v>
      </c>
      <c r="Q18" s="22">
        <f>MAX(C18:M18)</f>
        <v>18.8</v>
      </c>
      <c r="R18" s="22">
        <f>MIN(C18:M18)</f>
        <v>7.9</v>
      </c>
      <c r="S18" s="22">
        <f t="shared" si="0"/>
        <v>10.9</v>
      </c>
      <c r="T18" s="4"/>
    </row>
    <row r="19" spans="1:20" x14ac:dyDescent="0.2">
      <c r="A19" s="3"/>
      <c r="B19" s="17" t="s">
        <v>15</v>
      </c>
      <c r="C19" s="22">
        <v>15.7</v>
      </c>
      <c r="D19" s="22">
        <v>16.399999999999999</v>
      </c>
      <c r="E19" s="22">
        <v>15.9</v>
      </c>
      <c r="F19" s="22">
        <v>14.3</v>
      </c>
      <c r="G19" s="22">
        <v>14</v>
      </c>
      <c r="H19" s="22">
        <v>15.4</v>
      </c>
      <c r="I19" s="22">
        <v>14.5</v>
      </c>
      <c r="J19" s="22" t="s">
        <v>20</v>
      </c>
      <c r="K19" s="22">
        <v>15.9</v>
      </c>
      <c r="L19" s="22">
        <v>16.2</v>
      </c>
      <c r="M19" s="22">
        <v>14.7</v>
      </c>
      <c r="N19" s="23"/>
      <c r="O19" s="22">
        <f>AVERAGE(C19:M19)</f>
        <v>15.3</v>
      </c>
      <c r="P19" s="22">
        <f>STDEV(C19:M19)</f>
        <v>0.85634883857767496</v>
      </c>
      <c r="Q19" s="22">
        <f>MAX(C19:M19)</f>
        <v>16.399999999999999</v>
      </c>
      <c r="R19" s="22">
        <f>MIN(C19:M19)</f>
        <v>14</v>
      </c>
      <c r="S19" s="22">
        <f t="shared" si="0"/>
        <v>2.3999999999999986</v>
      </c>
      <c r="T19" s="4"/>
    </row>
    <row r="20" spans="1:20" x14ac:dyDescent="0.2">
      <c r="A20" s="3"/>
      <c r="B20" s="17" t="s">
        <v>17</v>
      </c>
      <c r="C20" s="22" t="s">
        <v>20</v>
      </c>
      <c r="D20" s="22">
        <v>9.5</v>
      </c>
      <c r="E20" s="22">
        <v>8.6999999999999993</v>
      </c>
      <c r="F20" s="22">
        <v>7.5</v>
      </c>
      <c r="G20" s="22">
        <v>8.6</v>
      </c>
      <c r="H20" s="22">
        <v>8.3000000000000007</v>
      </c>
      <c r="I20" s="22">
        <v>4.2</v>
      </c>
      <c r="J20" s="22">
        <v>5.3</v>
      </c>
      <c r="K20" s="22">
        <v>5.7</v>
      </c>
      <c r="L20" s="22" t="s">
        <v>20</v>
      </c>
      <c r="M20" s="22" t="s">
        <v>20</v>
      </c>
      <c r="N20" s="23"/>
      <c r="O20" s="22">
        <f>AVERAGE(C20:L20)</f>
        <v>7.2249999999999996</v>
      </c>
      <c r="P20" s="22">
        <f>STDEV(C20:K20)</f>
        <v>1.9144189719076636</v>
      </c>
      <c r="Q20" s="22">
        <f>MAX(C20:K20)</f>
        <v>9.5</v>
      </c>
      <c r="R20" s="22">
        <f t="shared" ref="R20:R25" si="4">MIN(C20:K20)</f>
        <v>4.2</v>
      </c>
      <c r="S20" s="22">
        <f t="shared" si="0"/>
        <v>5.3</v>
      </c>
      <c r="T20" s="4"/>
    </row>
    <row r="21" spans="1:20" x14ac:dyDescent="0.2">
      <c r="A21" s="3"/>
      <c r="B21" s="17" t="s">
        <v>14</v>
      </c>
      <c r="C21" s="22" t="s">
        <v>20</v>
      </c>
      <c r="D21" s="22">
        <v>18.7</v>
      </c>
      <c r="E21" s="22">
        <v>18.2</v>
      </c>
      <c r="F21" s="22">
        <v>18.600000000000001</v>
      </c>
      <c r="G21" s="22">
        <v>18.899999999999999</v>
      </c>
      <c r="H21" s="22">
        <v>15</v>
      </c>
      <c r="I21" s="22" t="s">
        <v>20</v>
      </c>
      <c r="J21" s="22" t="s">
        <v>20</v>
      </c>
      <c r="K21" s="22" t="s">
        <v>20</v>
      </c>
      <c r="L21" s="22">
        <v>18</v>
      </c>
      <c r="M21" s="22" t="s">
        <v>20</v>
      </c>
      <c r="N21" s="23"/>
      <c r="O21" s="22">
        <f>AVERAGE(C21:L21)</f>
        <v>17.900000000000002</v>
      </c>
      <c r="P21" s="22">
        <f>STDEV(C21:K21)</f>
        <v>1.6300306745579973</v>
      </c>
      <c r="Q21" s="22">
        <f>MAX(C21:J21)</f>
        <v>18.899999999999999</v>
      </c>
      <c r="R21" s="22">
        <f t="shared" si="4"/>
        <v>15</v>
      </c>
      <c r="S21" s="22">
        <f t="shared" si="0"/>
        <v>3.8999999999999986</v>
      </c>
      <c r="T21" s="4"/>
    </row>
    <row r="22" spans="1:20" x14ac:dyDescent="0.2">
      <c r="A22" s="3"/>
      <c r="B22" s="17" t="s">
        <v>43</v>
      </c>
      <c r="C22" s="22" t="s">
        <v>20</v>
      </c>
      <c r="D22" s="22" t="s">
        <v>20</v>
      </c>
      <c r="E22" s="22" t="s">
        <v>20</v>
      </c>
      <c r="F22" s="22" t="s">
        <v>20</v>
      </c>
      <c r="G22" s="22" t="s">
        <v>20</v>
      </c>
      <c r="H22" s="22" t="s">
        <v>20</v>
      </c>
      <c r="I22" s="22">
        <v>5.7</v>
      </c>
      <c r="J22" s="22">
        <v>8.8000000000000007</v>
      </c>
      <c r="K22" s="22">
        <v>6.8</v>
      </c>
      <c r="L22" s="22" t="s">
        <v>20</v>
      </c>
      <c r="M22" s="22">
        <v>10.5</v>
      </c>
      <c r="N22" s="23"/>
      <c r="O22" s="22">
        <f>AVERAGE(C22:M22)</f>
        <v>7.95</v>
      </c>
      <c r="P22" s="22">
        <f>STDEV(C22:K22)</f>
        <v>1.5716233645501707</v>
      </c>
      <c r="Q22" s="22">
        <f>MAX(C22:J22)</f>
        <v>8.8000000000000007</v>
      </c>
      <c r="R22" s="22">
        <f t="shared" si="4"/>
        <v>5.7</v>
      </c>
      <c r="S22" s="22">
        <f t="shared" ref="S22:S23" si="5">Q22-R22</f>
        <v>3.1000000000000005</v>
      </c>
      <c r="T22" s="4"/>
    </row>
    <row r="23" spans="1:20" x14ac:dyDescent="0.2">
      <c r="A23" s="3"/>
      <c r="B23" s="17" t="s">
        <v>44</v>
      </c>
      <c r="C23" s="22" t="s">
        <v>20</v>
      </c>
      <c r="D23" s="22" t="s">
        <v>20</v>
      </c>
      <c r="E23" s="22" t="s">
        <v>20</v>
      </c>
      <c r="F23" s="22" t="s">
        <v>20</v>
      </c>
      <c r="G23" s="22" t="s">
        <v>20</v>
      </c>
      <c r="H23" s="22" t="s">
        <v>20</v>
      </c>
      <c r="I23" s="22">
        <v>10.1</v>
      </c>
      <c r="J23" s="22" t="s">
        <v>20</v>
      </c>
      <c r="K23" s="22" t="s">
        <v>20</v>
      </c>
      <c r="L23" s="22" t="s">
        <v>20</v>
      </c>
      <c r="M23" s="22">
        <v>9</v>
      </c>
      <c r="N23" s="23"/>
      <c r="O23" s="22">
        <f>AVERAGE(C23:L23)</f>
        <v>10.1</v>
      </c>
      <c r="P23" s="22" t="s">
        <v>20</v>
      </c>
      <c r="Q23" s="22">
        <f>MAX(C23:J23)</f>
        <v>10.1</v>
      </c>
      <c r="R23" s="22">
        <f t="shared" si="4"/>
        <v>10.1</v>
      </c>
      <c r="S23" s="22">
        <f t="shared" si="5"/>
        <v>0</v>
      </c>
      <c r="T23" s="4"/>
    </row>
    <row r="24" spans="1:20" x14ac:dyDescent="0.2">
      <c r="A24" s="3"/>
      <c r="B24" s="17" t="s">
        <v>10</v>
      </c>
      <c r="C24" s="22" t="s">
        <v>20</v>
      </c>
      <c r="D24" s="22" t="s">
        <v>20</v>
      </c>
      <c r="E24" s="22" t="s">
        <v>20</v>
      </c>
      <c r="F24" s="22">
        <v>9.5</v>
      </c>
      <c r="G24" s="22">
        <v>7.5</v>
      </c>
      <c r="H24" s="22">
        <v>7.7</v>
      </c>
      <c r="I24" s="22" t="s">
        <v>20</v>
      </c>
      <c r="J24" s="22">
        <v>4.5</v>
      </c>
      <c r="K24" s="22" t="s">
        <v>20</v>
      </c>
      <c r="L24" s="22">
        <v>5.7</v>
      </c>
      <c r="M24" s="22">
        <v>4.3</v>
      </c>
      <c r="N24" s="23"/>
      <c r="O24" s="22">
        <f>AVERAGE(C24:M24)</f>
        <v>6.5333333333333323</v>
      </c>
      <c r="P24" s="22">
        <f>STDEV(C24:M24)</f>
        <v>2.0451568806980753</v>
      </c>
      <c r="Q24" s="22">
        <f>MAX(C24:J24)</f>
        <v>9.5</v>
      </c>
      <c r="R24" s="22">
        <f t="shared" si="4"/>
        <v>4.5</v>
      </c>
      <c r="S24" s="22">
        <f t="shared" si="0"/>
        <v>5</v>
      </c>
      <c r="T24" s="4"/>
    </row>
    <row r="25" spans="1:20" x14ac:dyDescent="0.2">
      <c r="A25" s="3"/>
      <c r="B25" s="17" t="s">
        <v>2</v>
      </c>
      <c r="C25" s="22">
        <v>21.8</v>
      </c>
      <c r="D25" s="22">
        <v>17.7</v>
      </c>
      <c r="E25" s="22">
        <v>17.3</v>
      </c>
      <c r="F25" s="22">
        <v>16.5</v>
      </c>
      <c r="G25" s="22">
        <v>16.2</v>
      </c>
      <c r="H25" s="22">
        <v>14.6</v>
      </c>
      <c r="I25" s="22">
        <v>14.6</v>
      </c>
      <c r="J25" s="22">
        <v>14.4</v>
      </c>
      <c r="K25" s="22" t="s">
        <v>20</v>
      </c>
      <c r="L25" s="22">
        <v>12.9</v>
      </c>
      <c r="M25" s="22">
        <v>12.9</v>
      </c>
      <c r="N25" s="23"/>
      <c r="O25" s="22">
        <f>AVERAGE(C25:M25)</f>
        <v>15.89</v>
      </c>
      <c r="P25" s="22">
        <f>STDEV(C25:M25)</f>
        <v>2.6685201891685106</v>
      </c>
      <c r="Q25" s="22">
        <f>MAX(C25:J25)</f>
        <v>21.8</v>
      </c>
      <c r="R25" s="22">
        <f t="shared" si="4"/>
        <v>14.4</v>
      </c>
      <c r="S25" s="22">
        <f t="shared" si="0"/>
        <v>7.4</v>
      </c>
      <c r="T25" s="4"/>
    </row>
    <row r="26" spans="1:20" x14ac:dyDescent="0.2">
      <c r="A26" s="3"/>
      <c r="B26" s="17" t="s">
        <v>19</v>
      </c>
      <c r="C26" s="22" t="s">
        <v>20</v>
      </c>
      <c r="D26" s="22" t="s">
        <v>20</v>
      </c>
      <c r="E26" s="22">
        <v>12.7</v>
      </c>
      <c r="F26" s="22">
        <v>13.6</v>
      </c>
      <c r="G26" s="22">
        <v>15</v>
      </c>
      <c r="H26" s="22">
        <v>13.6</v>
      </c>
      <c r="I26" s="22">
        <v>9</v>
      </c>
      <c r="J26" s="22">
        <v>9.3000000000000007</v>
      </c>
      <c r="K26" s="22">
        <v>10</v>
      </c>
      <c r="L26" s="22">
        <v>9.5</v>
      </c>
      <c r="M26" s="22" t="s">
        <v>20</v>
      </c>
      <c r="N26" s="23"/>
      <c r="O26" s="22">
        <f>AVERAGE(C26:L26)</f>
        <v>11.5875</v>
      </c>
      <c r="P26" s="22">
        <f>STDEV(C26:L26)</f>
        <v>2.3841365612852661</v>
      </c>
      <c r="Q26" s="22">
        <f>MAX(C26:L26)</f>
        <v>15</v>
      </c>
      <c r="R26" s="22">
        <f>MIN(C26:L26)</f>
        <v>9</v>
      </c>
      <c r="S26" s="22">
        <f t="shared" si="0"/>
        <v>6</v>
      </c>
      <c r="T26" s="4"/>
    </row>
    <row r="27" spans="1:20" x14ac:dyDescent="0.2">
      <c r="A27" s="3"/>
      <c r="B27" s="17" t="s">
        <v>13</v>
      </c>
      <c r="C27" s="22" t="s">
        <v>20</v>
      </c>
      <c r="D27" s="22">
        <v>14.3</v>
      </c>
      <c r="E27" s="22">
        <v>13</v>
      </c>
      <c r="F27" s="22">
        <v>11.9</v>
      </c>
      <c r="G27" s="22">
        <v>11.1</v>
      </c>
      <c r="H27" s="22">
        <v>9.9</v>
      </c>
      <c r="I27" s="22">
        <v>10.199999999999999</v>
      </c>
      <c r="J27" s="22">
        <v>10.4</v>
      </c>
      <c r="K27" s="22">
        <v>8.9</v>
      </c>
      <c r="L27" s="22">
        <v>10.199999999999999</v>
      </c>
      <c r="M27" s="22">
        <v>8.6</v>
      </c>
      <c r="N27" s="23"/>
      <c r="O27" s="22">
        <f>AVERAGE(C27:M27)</f>
        <v>10.850000000000001</v>
      </c>
      <c r="P27" s="22">
        <f>STDEV(C27:M27)</f>
        <v>1.7796691327946843</v>
      </c>
      <c r="Q27" s="22">
        <f>MAX(C27:M27)</f>
        <v>14.3</v>
      </c>
      <c r="R27" s="22">
        <f>MIN(C27:M27)</f>
        <v>8.6</v>
      </c>
      <c r="S27" s="22">
        <f t="shared" si="0"/>
        <v>5.7000000000000011</v>
      </c>
      <c r="T27" s="4"/>
    </row>
    <row r="28" spans="1:20" x14ac:dyDescent="0.2">
      <c r="B28" s="17"/>
      <c r="C28" s="17"/>
      <c r="D28" s="17"/>
      <c r="E28" s="24"/>
      <c r="F28" s="25"/>
      <c r="G28" s="26"/>
      <c r="H28" s="26"/>
      <c r="I28" s="26"/>
      <c r="J28" s="26"/>
      <c r="K28" s="26"/>
      <c r="L28" s="26"/>
      <c r="M28" s="26"/>
      <c r="N28" s="17"/>
      <c r="O28" s="17"/>
      <c r="P28" s="26"/>
      <c r="Q28" s="17"/>
      <c r="R28" s="17"/>
      <c r="S28" s="17"/>
      <c r="T28" s="4"/>
    </row>
    <row r="29" spans="1:20" x14ac:dyDescent="0.2">
      <c r="B29" s="27" t="s">
        <v>18</v>
      </c>
      <c r="C29" s="22">
        <f t="shared" ref="C29:K29" si="6">AVERAGE(C3:C27)</f>
        <v>20.438461538461539</v>
      </c>
      <c r="D29" s="22">
        <f t="shared" si="6"/>
        <v>16.611764705882354</v>
      </c>
      <c r="E29" s="22">
        <f t="shared" si="6"/>
        <v>15.158823529411764</v>
      </c>
      <c r="F29" s="22">
        <f t="shared" si="6"/>
        <v>13.920000000000002</v>
      </c>
      <c r="G29" s="22">
        <f t="shared" si="6"/>
        <v>13.799999999999999</v>
      </c>
      <c r="H29" s="22">
        <f t="shared" si="6"/>
        <v>13.257894736842108</v>
      </c>
      <c r="I29" s="22">
        <f t="shared" si="6"/>
        <v>11.994999999999997</v>
      </c>
      <c r="J29" s="22">
        <f t="shared" si="6"/>
        <v>11.768421052631581</v>
      </c>
      <c r="K29" s="22">
        <f t="shared" si="6"/>
        <v>12.145</v>
      </c>
      <c r="L29" s="22">
        <f t="shared" ref="L29:M29" si="7">AVERAGE(L3:L27)</f>
        <v>12.164999999999999</v>
      </c>
      <c r="M29" s="22">
        <f t="shared" si="7"/>
        <v>11.184210526315789</v>
      </c>
      <c r="N29" s="17"/>
      <c r="O29" s="22">
        <f>AVERAGE(O3:O27)</f>
        <v>13.272418380230881</v>
      </c>
      <c r="P29" s="22">
        <f>AVERAGE(P3:P27)</f>
        <v>2.3931417377878703</v>
      </c>
      <c r="Q29" s="22">
        <f>AVERAGE(Q3:Q27)</f>
        <v>17.19166666666667</v>
      </c>
      <c r="R29" s="22">
        <f>AVERAGE(R3:R27)</f>
        <v>10.729166666666666</v>
      </c>
      <c r="S29" s="22">
        <f>AVERAGE(S3:S27)</f>
        <v>6.4624999999999995</v>
      </c>
    </row>
    <row r="30" spans="1:20" x14ac:dyDescent="0.2">
      <c r="B30" s="27" t="s">
        <v>30</v>
      </c>
      <c r="C30" s="22">
        <f t="shared" ref="C30:K30" si="8">MEDIAN(C3:C27)</f>
        <v>18.8</v>
      </c>
      <c r="D30" s="22">
        <f t="shared" si="8"/>
        <v>16.399999999999999</v>
      </c>
      <c r="E30" s="22">
        <f t="shared" si="8"/>
        <v>13.9</v>
      </c>
      <c r="F30" s="22">
        <f t="shared" si="8"/>
        <v>13.899999999999999</v>
      </c>
      <c r="G30" s="22">
        <f t="shared" si="8"/>
        <v>14.4</v>
      </c>
      <c r="H30" s="22">
        <f t="shared" si="8"/>
        <v>13.6</v>
      </c>
      <c r="I30" s="22">
        <f t="shared" si="8"/>
        <v>11.85</v>
      </c>
      <c r="J30" s="22">
        <f t="shared" si="8"/>
        <v>10.7</v>
      </c>
      <c r="K30" s="22">
        <f t="shared" si="8"/>
        <v>11.7</v>
      </c>
      <c r="L30" s="22">
        <f t="shared" ref="L30:M30" si="9">MEDIAN(L3:L27)</f>
        <v>10.55</v>
      </c>
      <c r="M30" s="22">
        <f t="shared" si="9"/>
        <v>10.9</v>
      </c>
      <c r="N30" s="17"/>
      <c r="O30" s="22">
        <f>MEDIAN(O3:O27)</f>
        <v>12.181818181818183</v>
      </c>
      <c r="P30" s="22">
        <f>MEDIAN(P3:P27)</f>
        <v>1.847044052351174</v>
      </c>
      <c r="Q30" s="22">
        <f>MEDIAN(Q3:Q27)</f>
        <v>15.7</v>
      </c>
      <c r="R30" s="22">
        <f>MEDIAN(R3:R27)</f>
        <v>10.399999999999999</v>
      </c>
      <c r="S30" s="22">
        <f>MEDIAN(S3:S27)</f>
        <v>4.5999999999999996</v>
      </c>
    </row>
    <row r="31" spans="1:20" x14ac:dyDescent="0.2">
      <c r="B31" s="17" t="s">
        <v>21</v>
      </c>
      <c r="C31" s="22">
        <f t="shared" ref="C31:I31" si="10">STDEV(C3:C27)</f>
        <v>6.8819254163277224</v>
      </c>
      <c r="D31" s="22">
        <f t="shared" si="10"/>
        <v>5.0163336154183655</v>
      </c>
      <c r="E31" s="22">
        <f t="shared" si="10"/>
        <v>5.2589279829079034</v>
      </c>
      <c r="F31" s="22">
        <f t="shared" si="10"/>
        <v>5.0172963992467752</v>
      </c>
      <c r="G31" s="22">
        <f t="shared" si="10"/>
        <v>5.049092327669733</v>
      </c>
      <c r="H31" s="22">
        <f t="shared" si="10"/>
        <v>4.7262054064396741</v>
      </c>
      <c r="I31" s="22">
        <f t="shared" si="10"/>
        <v>4.6172987090311883</v>
      </c>
      <c r="J31" s="22">
        <f t="shared" ref="J31:K31" si="11">STDEV(J3:J27)</f>
        <v>4.6436399314401413</v>
      </c>
      <c r="K31" s="22">
        <f t="shared" si="11"/>
        <v>4.2443119831754013</v>
      </c>
      <c r="L31" s="22">
        <f t="shared" ref="L31:M31" si="12">STDEV(L3:L27)</f>
        <v>4.1207146799656238</v>
      </c>
      <c r="M31" s="22">
        <f t="shared" si="12"/>
        <v>3.5525050876333424</v>
      </c>
      <c r="N31" s="17"/>
      <c r="O31" s="17"/>
      <c r="P31" s="17"/>
      <c r="Q31" s="17"/>
      <c r="R31" s="17"/>
      <c r="S31" s="17"/>
    </row>
    <row r="32" spans="1:20" x14ac:dyDescent="0.2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</row>
    <row r="33" spans="2:16" x14ac:dyDescent="0.2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2:16" x14ac:dyDescent="0.2">
      <c r="B34" s="14"/>
      <c r="C34" s="14"/>
      <c r="D34" s="15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</row>
    <row r="35" spans="2:16" x14ac:dyDescent="0.2">
      <c r="B35" s="14"/>
      <c r="C35" s="14"/>
      <c r="D35" s="15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spans="2:16" x14ac:dyDescent="0.2">
      <c r="B36" s="14"/>
      <c r="C36" s="14"/>
      <c r="D36" s="15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</row>
    <row r="37" spans="2:16" x14ac:dyDescent="0.2">
      <c r="B37" s="14"/>
      <c r="C37" s="14"/>
      <c r="D37" s="15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 spans="2:16" x14ac:dyDescent="0.2">
      <c r="B38" s="14"/>
      <c r="C38" s="14"/>
      <c r="D38" s="15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2:16" x14ac:dyDescent="0.2">
      <c r="B39" s="14"/>
      <c r="C39" s="14"/>
      <c r="D39" s="15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 spans="2:16" x14ac:dyDescent="0.2">
      <c r="B40" s="14"/>
      <c r="C40" s="14"/>
      <c r="D40" s="15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</row>
    <row r="41" spans="2:16" x14ac:dyDescent="0.2">
      <c r="B41" s="14"/>
      <c r="C41" s="14"/>
      <c r="D41" s="15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</row>
    <row r="42" spans="2:16" x14ac:dyDescent="0.2">
      <c r="B42" s="14"/>
      <c r="C42" s="14"/>
      <c r="D42" s="15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</row>
    <row r="43" spans="2:16" x14ac:dyDescent="0.2">
      <c r="B43" s="14"/>
      <c r="C43" s="14"/>
      <c r="D43" s="15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</row>
    <row r="44" spans="2:16" x14ac:dyDescent="0.2">
      <c r="B44" s="14"/>
      <c r="C44" s="14"/>
      <c r="D44" s="15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</row>
    <row r="45" spans="2:16" x14ac:dyDescent="0.2">
      <c r="B45" s="14"/>
      <c r="C45" s="14"/>
      <c r="D45" s="15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</row>
    <row r="46" spans="2:16" x14ac:dyDescent="0.2">
      <c r="B46" s="14"/>
      <c r="C46" s="14"/>
      <c r="D46" s="15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</row>
    <row r="47" spans="2:16" x14ac:dyDescent="0.2">
      <c r="C47" s="14"/>
      <c r="D47" s="15"/>
    </row>
    <row r="48" spans="2:16" x14ac:dyDescent="0.2">
      <c r="C48" s="14"/>
      <c r="D48" s="15"/>
    </row>
    <row r="49" spans="3:4" x14ac:dyDescent="0.2">
      <c r="C49" s="14"/>
      <c r="D49" s="15"/>
    </row>
    <row r="50" spans="3:4" x14ac:dyDescent="0.2">
      <c r="C50" s="14"/>
      <c r="D50" s="15"/>
    </row>
    <row r="51" spans="3:4" x14ac:dyDescent="0.2">
      <c r="C51" s="14"/>
      <c r="D51" s="15"/>
    </row>
    <row r="52" spans="3:4" x14ac:dyDescent="0.2">
      <c r="C52" s="14"/>
      <c r="D52" s="15"/>
    </row>
  </sheetData>
  <mergeCells count="1">
    <mergeCell ref="G1:N1"/>
  </mergeCells>
  <pageMargins left="0.7" right="0.7" top="0.75" bottom="0.75" header="0.3" footer="0.3"/>
  <pageSetup orientation="portrait" verticalDpi="598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A425A-A2FE-490C-B623-D421BFE1E758}">
  <dimension ref="A1:AS70"/>
  <sheetViews>
    <sheetView tabSelected="1" topLeftCell="A16" zoomScaleNormal="100" workbookViewId="0">
      <selection activeCell="B28" sqref="B28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bestFit="1" customWidth="1"/>
  </cols>
  <sheetData>
    <row r="1" spans="1:30" x14ac:dyDescent="0.2">
      <c r="A1" s="8" t="s">
        <v>28</v>
      </c>
      <c r="B1" s="10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30" x14ac:dyDescent="0.2">
      <c r="A2" s="8" t="s">
        <v>26</v>
      </c>
      <c r="B2" s="5" t="str">
        <f>Handicaps!B2</f>
        <v>Player</v>
      </c>
      <c r="C2" s="7" t="s">
        <v>25</v>
      </c>
      <c r="D2" s="29" t="s">
        <v>37</v>
      </c>
      <c r="E2" s="19" t="s">
        <v>36</v>
      </c>
      <c r="F2" s="19" t="s">
        <v>35</v>
      </c>
      <c r="G2" s="20" t="s">
        <v>34</v>
      </c>
      <c r="H2" s="19" t="s">
        <v>33</v>
      </c>
      <c r="I2" s="19" t="s">
        <v>32</v>
      </c>
      <c r="J2" s="19" t="s">
        <v>31</v>
      </c>
      <c r="K2" s="19" t="s">
        <v>38</v>
      </c>
      <c r="L2" s="19" t="s">
        <v>42</v>
      </c>
      <c r="M2" s="19" t="s">
        <v>53</v>
      </c>
      <c r="N2" s="19" t="s">
        <v>56</v>
      </c>
      <c r="O2" s="19" t="s">
        <v>67</v>
      </c>
      <c r="P2" s="19"/>
      <c r="Q2" s="19"/>
      <c r="R2" s="29"/>
      <c r="S2" s="6"/>
      <c r="T2" s="6"/>
      <c r="U2" s="6"/>
      <c r="V2" s="7"/>
      <c r="W2" s="7"/>
      <c r="X2" s="7"/>
      <c r="Y2" s="7"/>
      <c r="Z2" s="12"/>
      <c r="AA2" s="12"/>
      <c r="AB2" s="12"/>
      <c r="AC2" s="12"/>
    </row>
    <row r="3" spans="1:30" x14ac:dyDescent="0.2">
      <c r="A3" s="6"/>
      <c r="B3" s="6" t="str">
        <f>Handicaps!B3</f>
        <v>Cole</v>
      </c>
      <c r="C3" s="7">
        <v>10</v>
      </c>
      <c r="D3" s="9" t="s">
        <v>20</v>
      </c>
      <c r="E3" s="9">
        <v>0.5</v>
      </c>
      <c r="F3" s="9">
        <f t="shared" ref="F3:N3" si="0">E3+F31</f>
        <v>4</v>
      </c>
      <c r="G3" s="9">
        <f t="shared" si="0"/>
        <v>6.5</v>
      </c>
      <c r="H3" s="9">
        <f t="shared" si="0"/>
        <v>7.5</v>
      </c>
      <c r="I3" s="9">
        <f t="shared" si="0"/>
        <v>11.5</v>
      </c>
      <c r="J3" s="9">
        <f t="shared" si="0"/>
        <v>16</v>
      </c>
      <c r="K3" s="9">
        <f t="shared" si="0"/>
        <v>19.5</v>
      </c>
      <c r="L3" s="9">
        <f t="shared" si="0"/>
        <v>22</v>
      </c>
      <c r="M3" s="9">
        <f t="shared" si="0"/>
        <v>26.5</v>
      </c>
      <c r="N3" s="9">
        <f t="shared" si="0"/>
        <v>30</v>
      </c>
      <c r="O3" s="9">
        <f>Q31</f>
        <v>30</v>
      </c>
      <c r="P3" s="9"/>
      <c r="Q3" s="17"/>
      <c r="R3" s="28"/>
      <c r="S3" s="6"/>
      <c r="T3" s="6"/>
      <c r="U3" s="6"/>
      <c r="V3" s="7"/>
      <c r="W3" s="7"/>
      <c r="X3" s="7"/>
      <c r="Y3" s="7"/>
      <c r="Z3" s="7"/>
      <c r="AA3" s="7"/>
      <c r="AB3" s="7"/>
      <c r="AC3" s="9"/>
      <c r="AD3" s="6"/>
    </row>
    <row r="4" spans="1:30" x14ac:dyDescent="0.2">
      <c r="A4" s="6"/>
      <c r="B4" s="6" t="str">
        <f>Handicaps!B4</f>
        <v>Connolly, B</v>
      </c>
      <c r="C4" s="7">
        <v>12</v>
      </c>
      <c r="D4" s="9">
        <v>6</v>
      </c>
      <c r="E4" s="9">
        <f>D4+E32</f>
        <v>9.5</v>
      </c>
      <c r="F4" s="9">
        <f t="shared" ref="F4:M4" si="1">E4+F32</f>
        <v>14</v>
      </c>
      <c r="G4" s="9">
        <f t="shared" si="1"/>
        <v>17.5</v>
      </c>
      <c r="H4" s="9">
        <f t="shared" si="1"/>
        <v>21.5</v>
      </c>
      <c r="I4" s="9">
        <f t="shared" si="1"/>
        <v>23.5</v>
      </c>
      <c r="J4" s="9">
        <f t="shared" si="1"/>
        <v>25.5</v>
      </c>
      <c r="K4" s="9">
        <f t="shared" si="1"/>
        <v>29.5</v>
      </c>
      <c r="L4" s="9">
        <f t="shared" si="1"/>
        <v>33</v>
      </c>
      <c r="M4" s="9">
        <f t="shared" si="1"/>
        <v>39</v>
      </c>
      <c r="N4" s="9">
        <f t="shared" ref="N4" si="2">M4+N32</f>
        <v>44</v>
      </c>
      <c r="O4" s="9">
        <f t="shared" ref="O4:O9" si="3">Q31</f>
        <v>30</v>
      </c>
      <c r="P4" s="9"/>
      <c r="Q4" s="17"/>
      <c r="R4" s="28"/>
      <c r="S4" s="6"/>
      <c r="T4" s="6"/>
      <c r="U4" s="6"/>
      <c r="V4" s="7"/>
      <c r="W4" s="7"/>
      <c r="X4" s="7"/>
      <c r="Y4" s="7"/>
      <c r="Z4" s="7"/>
      <c r="AA4" s="7"/>
      <c r="AB4" s="7"/>
      <c r="AC4" s="9"/>
      <c r="AD4" s="6"/>
    </row>
    <row r="5" spans="1:30" x14ac:dyDescent="0.2">
      <c r="A5" s="6"/>
      <c r="B5" s="44" t="s">
        <v>55</v>
      </c>
      <c r="C5" s="7">
        <v>2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>
        <f t="shared" si="3"/>
        <v>50.5</v>
      </c>
      <c r="P5" s="9"/>
      <c r="Q5" s="17"/>
      <c r="R5" s="28"/>
      <c r="S5" s="6"/>
      <c r="T5" s="6"/>
      <c r="U5" s="6"/>
      <c r="V5" s="7"/>
      <c r="W5" s="7"/>
      <c r="X5" s="7"/>
      <c r="Y5" s="7"/>
      <c r="Z5" s="7"/>
      <c r="AA5" s="7"/>
      <c r="AB5" s="7"/>
      <c r="AC5" s="9"/>
      <c r="AD5" s="6"/>
    </row>
    <row r="6" spans="1:30" x14ac:dyDescent="0.2">
      <c r="A6" s="6"/>
      <c r="B6" s="6" t="str">
        <f>Handicaps!B6</f>
        <v>Connors</v>
      </c>
      <c r="C6" s="7">
        <v>10</v>
      </c>
      <c r="D6" s="9" t="s">
        <v>20</v>
      </c>
      <c r="E6" s="9">
        <v>2.5</v>
      </c>
      <c r="F6" s="9">
        <f t="shared" ref="F6:M6" si="4">E6+F34</f>
        <v>4.5</v>
      </c>
      <c r="G6" s="9">
        <f t="shared" si="4"/>
        <v>8</v>
      </c>
      <c r="H6" s="9">
        <f t="shared" si="4"/>
        <v>9</v>
      </c>
      <c r="I6" s="9">
        <f t="shared" si="4"/>
        <v>11.5</v>
      </c>
      <c r="J6" s="9">
        <f t="shared" si="4"/>
        <v>13</v>
      </c>
      <c r="K6" s="9">
        <f t="shared" si="4"/>
        <v>15.5</v>
      </c>
      <c r="L6" s="9">
        <f t="shared" si="4"/>
        <v>16.5</v>
      </c>
      <c r="M6" s="9">
        <f t="shared" si="4"/>
        <v>19.5</v>
      </c>
      <c r="N6" s="9">
        <f>M6+N34</f>
        <v>22</v>
      </c>
      <c r="O6" s="9">
        <f t="shared" si="3"/>
        <v>9</v>
      </c>
      <c r="P6" s="9"/>
      <c r="Q6" s="17"/>
      <c r="R6" s="28"/>
      <c r="S6" s="6"/>
      <c r="T6" s="6"/>
      <c r="U6" s="6"/>
      <c r="V6" s="7"/>
      <c r="W6" s="7"/>
      <c r="X6" s="7"/>
      <c r="Y6" s="7"/>
      <c r="Z6" s="7"/>
      <c r="AA6" s="7"/>
      <c r="AB6" s="7"/>
      <c r="AC6" s="9"/>
      <c r="AD6" s="6"/>
    </row>
    <row r="7" spans="1:30" x14ac:dyDescent="0.2">
      <c r="A7" s="6"/>
      <c r="B7" s="32" t="s">
        <v>41</v>
      </c>
      <c r="C7" s="7">
        <v>6</v>
      </c>
      <c r="D7" s="33" t="s">
        <v>20</v>
      </c>
      <c r="E7" s="33" t="s">
        <v>20</v>
      </c>
      <c r="F7" s="33" t="s">
        <v>20</v>
      </c>
      <c r="G7" s="33" t="s">
        <v>20</v>
      </c>
      <c r="H7" s="9">
        <v>3.5</v>
      </c>
      <c r="I7" s="33">
        <v>3.5</v>
      </c>
      <c r="J7" s="33">
        <v>3.5</v>
      </c>
      <c r="K7" s="9">
        <v>7</v>
      </c>
      <c r="L7" s="9">
        <f>K7+L35</f>
        <v>10</v>
      </c>
      <c r="M7" s="9">
        <f>L7+M35</f>
        <v>12</v>
      </c>
      <c r="N7" s="9">
        <f>M7+N35</f>
        <v>14.5</v>
      </c>
      <c r="O7" s="9">
        <f t="shared" si="3"/>
        <v>22</v>
      </c>
      <c r="P7" s="9"/>
      <c r="Q7" s="17"/>
      <c r="R7" s="28"/>
      <c r="S7" s="6"/>
      <c r="T7" s="6"/>
      <c r="U7" s="6"/>
      <c r="V7" s="7"/>
      <c r="W7" s="7"/>
      <c r="X7" s="7"/>
      <c r="Y7" s="7"/>
      <c r="Z7" s="7"/>
      <c r="AA7" s="7"/>
      <c r="AB7" s="7"/>
      <c r="AC7" s="9"/>
      <c r="AD7" s="6"/>
    </row>
    <row r="8" spans="1:30" x14ac:dyDescent="0.2">
      <c r="A8" s="6"/>
      <c r="B8" s="30" t="s">
        <v>39</v>
      </c>
      <c r="C8" s="7">
        <v>5</v>
      </c>
      <c r="D8" s="31" t="s">
        <v>20</v>
      </c>
      <c r="E8" s="31" t="s">
        <v>20</v>
      </c>
      <c r="F8" s="31" t="s">
        <v>20</v>
      </c>
      <c r="G8" s="31" t="s">
        <v>20</v>
      </c>
      <c r="H8" s="31" t="s">
        <v>20</v>
      </c>
      <c r="I8" s="31" t="s">
        <v>20</v>
      </c>
      <c r="J8" s="31" t="s">
        <v>20</v>
      </c>
      <c r="K8" s="9">
        <v>1.5</v>
      </c>
      <c r="L8" s="9">
        <f>K8+L36</f>
        <v>6</v>
      </c>
      <c r="M8" s="9">
        <f>L8+M36</f>
        <v>11</v>
      </c>
      <c r="N8" s="9">
        <f>M8+N36</f>
        <v>15.5</v>
      </c>
      <c r="O8" s="9">
        <f t="shared" si="3"/>
        <v>18.5</v>
      </c>
      <c r="P8" s="9"/>
      <c r="Q8" s="17"/>
      <c r="R8" s="28"/>
      <c r="S8" s="6"/>
      <c r="T8" s="6"/>
      <c r="U8" s="6"/>
      <c r="V8" s="7"/>
      <c r="W8" s="7"/>
      <c r="X8" s="7"/>
      <c r="Y8" s="7"/>
      <c r="Z8" s="7"/>
      <c r="AA8" s="7"/>
      <c r="AB8" s="7"/>
      <c r="AC8" s="9"/>
      <c r="AD8" s="6"/>
    </row>
    <row r="9" spans="1:30" x14ac:dyDescent="0.2">
      <c r="A9" s="6"/>
      <c r="B9" s="44" t="s">
        <v>68</v>
      </c>
      <c r="C9" s="7"/>
      <c r="D9" s="31"/>
      <c r="E9" s="31"/>
      <c r="F9" s="31"/>
      <c r="G9" s="31"/>
      <c r="H9" s="31"/>
      <c r="I9" s="31"/>
      <c r="J9" s="31"/>
      <c r="K9" s="9"/>
      <c r="L9" s="9"/>
      <c r="M9" s="9"/>
      <c r="N9" s="9"/>
      <c r="O9" s="9">
        <f t="shared" si="3"/>
        <v>20.5</v>
      </c>
      <c r="P9" s="9"/>
      <c r="Q9" s="17"/>
      <c r="R9" s="28"/>
      <c r="S9" s="6"/>
      <c r="T9" s="6"/>
      <c r="U9" s="6"/>
      <c r="V9" s="7"/>
      <c r="W9" s="7"/>
      <c r="X9" s="7"/>
      <c r="Y9" s="7"/>
      <c r="Z9" s="7"/>
      <c r="AA9" s="7"/>
      <c r="AB9" s="7"/>
      <c r="AC9" s="9"/>
      <c r="AD9" s="6"/>
    </row>
    <row r="10" spans="1:30" x14ac:dyDescent="0.2">
      <c r="A10" s="6"/>
      <c r="B10" s="6" t="str">
        <f>Handicaps!B10</f>
        <v>Ferrin</v>
      </c>
      <c r="C10" s="46">
        <v>12</v>
      </c>
      <c r="D10" s="9">
        <v>5.5</v>
      </c>
      <c r="E10" s="9">
        <f t="shared" ref="E10:N10" si="5">D10+E38</f>
        <v>8</v>
      </c>
      <c r="F10" s="9">
        <f t="shared" si="5"/>
        <v>13</v>
      </c>
      <c r="G10" s="9">
        <f t="shared" si="5"/>
        <v>15.5</v>
      </c>
      <c r="H10" s="9">
        <f t="shared" si="5"/>
        <v>20</v>
      </c>
      <c r="I10" s="9">
        <f t="shared" si="5"/>
        <v>23</v>
      </c>
      <c r="J10" s="9">
        <f t="shared" si="5"/>
        <v>27.5</v>
      </c>
      <c r="K10" s="9">
        <f t="shared" si="5"/>
        <v>31</v>
      </c>
      <c r="L10" s="9">
        <f t="shared" si="5"/>
        <v>33.5</v>
      </c>
      <c r="M10" s="9">
        <f t="shared" si="5"/>
        <v>37.5</v>
      </c>
      <c r="N10" s="9">
        <f t="shared" si="5"/>
        <v>42.5</v>
      </c>
      <c r="O10" s="9">
        <f t="shared" ref="O10:O16" si="6">Q38</f>
        <v>46</v>
      </c>
      <c r="P10" s="9"/>
      <c r="Q10" s="17"/>
      <c r="R10" s="28"/>
      <c r="S10" s="6"/>
      <c r="T10" s="6"/>
      <c r="U10" s="6"/>
      <c r="V10" s="7"/>
      <c r="W10" s="7"/>
      <c r="X10" s="7"/>
      <c r="Y10" s="7"/>
      <c r="Z10" s="7"/>
      <c r="AA10" s="7"/>
      <c r="AB10" s="7"/>
      <c r="AC10" s="9"/>
      <c r="AD10" s="6"/>
    </row>
    <row r="11" spans="1:30" x14ac:dyDescent="0.2">
      <c r="A11" s="6"/>
      <c r="B11" s="6" t="str">
        <f>Handicaps!B11</f>
        <v>Flanders</v>
      </c>
      <c r="C11" s="7">
        <v>12</v>
      </c>
      <c r="D11" s="9">
        <v>2</v>
      </c>
      <c r="E11" s="9">
        <f t="shared" ref="E11:N11" si="7">D11+E39</f>
        <v>3.5</v>
      </c>
      <c r="F11" s="9">
        <f t="shared" si="7"/>
        <v>4</v>
      </c>
      <c r="G11" s="9">
        <f t="shared" si="7"/>
        <v>9.5</v>
      </c>
      <c r="H11" s="9">
        <f t="shared" si="7"/>
        <v>12.5</v>
      </c>
      <c r="I11" s="9">
        <f t="shared" si="7"/>
        <v>15.5</v>
      </c>
      <c r="J11" s="9">
        <f t="shared" si="7"/>
        <v>19.5</v>
      </c>
      <c r="K11" s="9">
        <f t="shared" si="7"/>
        <v>22.5</v>
      </c>
      <c r="L11" s="9">
        <f t="shared" si="7"/>
        <v>24.5</v>
      </c>
      <c r="M11" s="9">
        <f t="shared" si="7"/>
        <v>28.5</v>
      </c>
      <c r="N11" s="9">
        <f t="shared" si="7"/>
        <v>30</v>
      </c>
      <c r="O11" s="9">
        <f t="shared" si="6"/>
        <v>36.5</v>
      </c>
      <c r="P11" s="9"/>
      <c r="Q11" s="17"/>
      <c r="R11" s="28"/>
      <c r="S11" s="6"/>
      <c r="T11" s="6"/>
      <c r="U11" s="6"/>
      <c r="V11" s="7"/>
      <c r="W11" s="7"/>
      <c r="X11" s="7"/>
      <c r="Y11" s="7"/>
      <c r="Z11" s="7"/>
      <c r="AA11" s="7"/>
      <c r="AB11" s="7"/>
      <c r="AC11" s="9"/>
      <c r="AD11" s="6"/>
    </row>
    <row r="12" spans="1:30" x14ac:dyDescent="0.2">
      <c r="A12" s="6"/>
      <c r="B12" s="6" t="str">
        <f>Handicaps!B12</f>
        <v>Fogan</v>
      </c>
      <c r="C12" s="7">
        <v>11</v>
      </c>
      <c r="D12" s="9" t="s">
        <v>20</v>
      </c>
      <c r="E12" s="9">
        <v>2</v>
      </c>
      <c r="F12" s="9">
        <f t="shared" ref="F12:N12" si="8">E12+F40</f>
        <v>5</v>
      </c>
      <c r="G12" s="9">
        <f t="shared" si="8"/>
        <v>8</v>
      </c>
      <c r="H12" s="9">
        <f t="shared" si="8"/>
        <v>9</v>
      </c>
      <c r="I12" s="9">
        <f t="shared" si="8"/>
        <v>9.5</v>
      </c>
      <c r="J12" s="9">
        <f t="shared" si="8"/>
        <v>12.5</v>
      </c>
      <c r="K12" s="9">
        <f t="shared" si="8"/>
        <v>15.5</v>
      </c>
      <c r="L12" s="9">
        <f t="shared" si="8"/>
        <v>20</v>
      </c>
      <c r="M12" s="9">
        <f t="shared" si="8"/>
        <v>21.5</v>
      </c>
      <c r="N12" s="9">
        <f t="shared" si="8"/>
        <v>26</v>
      </c>
      <c r="O12" s="9">
        <f t="shared" si="6"/>
        <v>30</v>
      </c>
      <c r="P12" s="9"/>
      <c r="Q12" s="17"/>
      <c r="R12" s="28"/>
      <c r="S12" s="6"/>
      <c r="T12" s="6"/>
      <c r="U12" s="6"/>
      <c r="V12" s="7"/>
      <c r="W12" s="7"/>
      <c r="X12" s="7"/>
      <c r="Y12" s="7"/>
      <c r="Z12" s="7"/>
      <c r="AA12" s="7"/>
      <c r="AB12" s="7"/>
      <c r="AC12" s="9"/>
      <c r="AD12" s="6"/>
    </row>
    <row r="13" spans="1:30" x14ac:dyDescent="0.2">
      <c r="A13" s="6"/>
      <c r="B13" s="6" t="str">
        <f>Handicaps!B13</f>
        <v>Forster</v>
      </c>
      <c r="C13" s="7">
        <v>11</v>
      </c>
      <c r="D13" s="9" t="s">
        <v>20</v>
      </c>
      <c r="E13" s="9">
        <v>5.5</v>
      </c>
      <c r="F13" s="9">
        <f t="shared" ref="F13:N13" si="9">E13+F41</f>
        <v>9</v>
      </c>
      <c r="G13" s="9">
        <f t="shared" si="9"/>
        <v>14.5</v>
      </c>
      <c r="H13" s="9">
        <f t="shared" si="9"/>
        <v>19.5</v>
      </c>
      <c r="I13" s="9">
        <f t="shared" si="9"/>
        <v>24.5</v>
      </c>
      <c r="J13" s="9">
        <f t="shared" si="9"/>
        <v>29</v>
      </c>
      <c r="K13" s="9">
        <f t="shared" si="9"/>
        <v>30</v>
      </c>
      <c r="L13" s="9">
        <f t="shared" si="9"/>
        <v>34.5</v>
      </c>
      <c r="M13" s="9">
        <f t="shared" si="9"/>
        <v>34.5</v>
      </c>
      <c r="N13" s="9">
        <f t="shared" si="9"/>
        <v>38</v>
      </c>
      <c r="O13" s="9">
        <f t="shared" si="6"/>
        <v>42</v>
      </c>
      <c r="P13" s="9"/>
      <c r="Q13" s="17"/>
      <c r="R13" s="28"/>
      <c r="S13" s="6"/>
      <c r="T13" s="6"/>
      <c r="U13" s="6"/>
      <c r="V13" s="7"/>
      <c r="W13" s="7"/>
      <c r="X13" s="7"/>
      <c r="Y13" s="7"/>
      <c r="Z13" s="7"/>
      <c r="AA13" s="7"/>
      <c r="AB13" s="7"/>
      <c r="AC13" s="9"/>
      <c r="AD13" s="6"/>
    </row>
    <row r="14" spans="1:30" x14ac:dyDescent="0.2">
      <c r="A14" s="6"/>
      <c r="B14" s="6" t="str">
        <f>Handicaps!B14</f>
        <v>Gray</v>
      </c>
      <c r="C14" s="7">
        <v>7</v>
      </c>
      <c r="D14" s="9" t="s">
        <v>20</v>
      </c>
      <c r="E14" s="9" t="s">
        <v>20</v>
      </c>
      <c r="F14" s="9">
        <v>4</v>
      </c>
      <c r="G14" s="9">
        <v>8</v>
      </c>
      <c r="H14" s="9">
        <v>11.5</v>
      </c>
      <c r="I14" s="9">
        <v>16</v>
      </c>
      <c r="J14" s="9">
        <v>23</v>
      </c>
      <c r="K14" s="9">
        <v>23</v>
      </c>
      <c r="L14" s="9">
        <v>23</v>
      </c>
      <c r="M14" s="9">
        <f t="shared" ref="M14:N19" si="10">L14+M42</f>
        <v>28.5</v>
      </c>
      <c r="N14" s="9">
        <f t="shared" si="10"/>
        <v>31</v>
      </c>
      <c r="O14" s="9">
        <f t="shared" si="6"/>
        <v>31</v>
      </c>
      <c r="P14" s="9"/>
      <c r="Q14" s="17"/>
      <c r="R14" s="28"/>
      <c r="S14" s="6"/>
      <c r="T14" s="6"/>
      <c r="U14" s="6"/>
      <c r="V14" s="7"/>
      <c r="W14" s="7"/>
      <c r="X14" s="7"/>
      <c r="Y14" s="7"/>
      <c r="Z14" s="7"/>
      <c r="AA14" s="7"/>
      <c r="AB14" s="7"/>
      <c r="AC14" s="9"/>
      <c r="AD14" s="6"/>
    </row>
    <row r="15" spans="1:30" x14ac:dyDescent="0.2">
      <c r="A15" s="6"/>
      <c r="B15" s="6" t="str">
        <f>Handicaps!B15</f>
        <v>Grise</v>
      </c>
      <c r="C15" s="7">
        <v>12</v>
      </c>
      <c r="D15" s="9">
        <v>2.5</v>
      </c>
      <c r="E15" s="9">
        <f t="shared" ref="E15:L16" si="11">D15+E43</f>
        <v>7.5</v>
      </c>
      <c r="F15" s="9">
        <f t="shared" si="11"/>
        <v>8.5</v>
      </c>
      <c r="G15" s="9">
        <f t="shared" si="11"/>
        <v>13.5</v>
      </c>
      <c r="H15" s="9">
        <f t="shared" si="11"/>
        <v>16</v>
      </c>
      <c r="I15" s="9">
        <f t="shared" si="11"/>
        <v>20.5</v>
      </c>
      <c r="J15" s="9">
        <f t="shared" si="11"/>
        <v>27</v>
      </c>
      <c r="K15" s="9">
        <f t="shared" si="11"/>
        <v>31.5</v>
      </c>
      <c r="L15" s="9">
        <f t="shared" si="11"/>
        <v>33.5</v>
      </c>
      <c r="M15" s="9">
        <f t="shared" si="10"/>
        <v>38.5</v>
      </c>
      <c r="N15" s="9">
        <f t="shared" si="10"/>
        <v>39</v>
      </c>
      <c r="O15" s="9">
        <f t="shared" si="6"/>
        <v>43</v>
      </c>
      <c r="P15" s="9"/>
      <c r="Q15" s="17"/>
      <c r="R15" s="28"/>
      <c r="S15" s="6"/>
      <c r="T15" s="6"/>
      <c r="U15" s="6"/>
      <c r="V15" s="7"/>
      <c r="W15" s="7"/>
      <c r="X15" s="7"/>
      <c r="Y15" s="7"/>
      <c r="Z15" s="7"/>
      <c r="AA15" s="7"/>
      <c r="AB15" s="7"/>
      <c r="AC15" s="9"/>
      <c r="AD15" s="6"/>
    </row>
    <row r="16" spans="1:30" x14ac:dyDescent="0.2">
      <c r="A16" s="6"/>
      <c r="B16" s="6" t="str">
        <f>Handicaps!B16</f>
        <v>Hilts</v>
      </c>
      <c r="C16" s="7">
        <v>11</v>
      </c>
      <c r="D16" s="9">
        <v>2.5</v>
      </c>
      <c r="E16" s="9">
        <v>4.5</v>
      </c>
      <c r="F16" s="9">
        <v>7</v>
      </c>
      <c r="G16" s="9" t="s">
        <v>20</v>
      </c>
      <c r="H16" s="9">
        <v>10</v>
      </c>
      <c r="I16" s="9">
        <v>13.5</v>
      </c>
      <c r="J16" s="9">
        <v>15.5</v>
      </c>
      <c r="K16" s="9">
        <f t="shared" si="11"/>
        <v>20.5</v>
      </c>
      <c r="L16" s="9">
        <f>K16+L44</f>
        <v>24</v>
      </c>
      <c r="M16" s="9">
        <f t="shared" si="10"/>
        <v>27</v>
      </c>
      <c r="N16" s="9">
        <f t="shared" si="10"/>
        <v>32.5</v>
      </c>
      <c r="O16" s="9">
        <f t="shared" si="6"/>
        <v>37</v>
      </c>
      <c r="P16" s="9"/>
      <c r="Q16" s="17"/>
      <c r="R16" s="28"/>
      <c r="S16" s="6"/>
      <c r="T16" s="13"/>
      <c r="U16" s="7"/>
      <c r="V16" s="7"/>
      <c r="W16" s="7"/>
      <c r="X16" s="7"/>
      <c r="Y16" s="7"/>
      <c r="Z16" s="7"/>
      <c r="AA16" s="7"/>
      <c r="AB16" s="7"/>
      <c r="AC16" s="9"/>
      <c r="AD16" s="6"/>
    </row>
    <row r="17" spans="1:30" x14ac:dyDescent="0.2">
      <c r="A17" s="6"/>
      <c r="B17" s="6" t="str">
        <f>Handicaps!B17</f>
        <v>Jackson</v>
      </c>
      <c r="C17" s="7">
        <v>12</v>
      </c>
      <c r="D17" s="9">
        <v>3.5</v>
      </c>
      <c r="E17" s="9">
        <f t="shared" ref="E17:K18" si="12">D17+E45</f>
        <v>9.5</v>
      </c>
      <c r="F17" s="9">
        <f t="shared" si="12"/>
        <v>14.5</v>
      </c>
      <c r="G17" s="9">
        <f t="shared" si="12"/>
        <v>17</v>
      </c>
      <c r="H17" s="9">
        <f t="shared" si="12"/>
        <v>20.5</v>
      </c>
      <c r="I17" s="9">
        <f t="shared" si="12"/>
        <v>27</v>
      </c>
      <c r="J17" s="9">
        <f t="shared" si="12"/>
        <v>31</v>
      </c>
      <c r="K17" s="9">
        <f t="shared" si="12"/>
        <v>33.5</v>
      </c>
      <c r="L17" s="9">
        <f>K17+L45</f>
        <v>34.5</v>
      </c>
      <c r="M17" s="9">
        <f t="shared" si="10"/>
        <v>40</v>
      </c>
      <c r="N17" s="9">
        <f t="shared" si="10"/>
        <v>42.5</v>
      </c>
      <c r="O17" s="9">
        <f t="shared" ref="O17:O27" si="13">Q45</f>
        <v>46</v>
      </c>
      <c r="P17" s="9"/>
      <c r="Q17" s="17"/>
      <c r="R17" s="28"/>
      <c r="S17" s="6"/>
      <c r="T17" s="6"/>
      <c r="U17" s="6"/>
      <c r="V17" s="7"/>
      <c r="W17" s="7"/>
      <c r="X17" s="7"/>
      <c r="Y17" s="7"/>
      <c r="Z17" s="7"/>
      <c r="AA17" s="7"/>
      <c r="AB17" s="7"/>
      <c r="AC17" s="9"/>
      <c r="AD17" s="6"/>
    </row>
    <row r="18" spans="1:30" x14ac:dyDescent="0.2">
      <c r="A18" s="6"/>
      <c r="B18" s="6" t="str">
        <f>Handicaps!B18</f>
        <v>Lynch</v>
      </c>
      <c r="C18" s="7">
        <v>12</v>
      </c>
      <c r="D18" s="9">
        <v>1.5</v>
      </c>
      <c r="E18" s="9">
        <f t="shared" si="12"/>
        <v>5.5</v>
      </c>
      <c r="F18" s="9">
        <f t="shared" si="12"/>
        <v>9.5</v>
      </c>
      <c r="G18" s="9">
        <f t="shared" si="12"/>
        <v>13.5</v>
      </c>
      <c r="H18" s="9">
        <f t="shared" si="12"/>
        <v>17</v>
      </c>
      <c r="I18" s="9">
        <f t="shared" si="12"/>
        <v>18.5</v>
      </c>
      <c r="J18" s="9">
        <f t="shared" si="12"/>
        <v>23</v>
      </c>
      <c r="K18" s="9">
        <f t="shared" si="12"/>
        <v>27</v>
      </c>
      <c r="L18" s="9">
        <f>K18+L46</f>
        <v>32.5</v>
      </c>
      <c r="M18" s="9">
        <f t="shared" si="10"/>
        <v>36</v>
      </c>
      <c r="N18" s="9">
        <f t="shared" si="10"/>
        <v>38</v>
      </c>
      <c r="O18" s="9">
        <f t="shared" si="13"/>
        <v>41</v>
      </c>
      <c r="P18" s="9"/>
      <c r="Q18" s="17"/>
      <c r="R18" s="28"/>
      <c r="S18" s="6"/>
      <c r="T18" s="6"/>
      <c r="U18" s="6"/>
      <c r="V18" s="7"/>
      <c r="W18" s="7"/>
      <c r="X18" s="7"/>
      <c r="Y18" s="7"/>
      <c r="Z18" s="7"/>
      <c r="AA18" s="7"/>
      <c r="AB18" s="7"/>
      <c r="AC18" s="9"/>
      <c r="AD18" s="6"/>
    </row>
    <row r="19" spans="1:30" x14ac:dyDescent="0.2">
      <c r="A19" s="6"/>
      <c r="B19" s="6" t="str">
        <f>Handicaps!B19</f>
        <v>Mangold</v>
      </c>
      <c r="C19" s="7">
        <v>11</v>
      </c>
      <c r="D19" s="9">
        <v>0</v>
      </c>
      <c r="E19" s="9">
        <v>3.5</v>
      </c>
      <c r="F19" s="9">
        <v>6.5</v>
      </c>
      <c r="G19" s="9">
        <v>8.5</v>
      </c>
      <c r="H19" s="9">
        <v>13.5</v>
      </c>
      <c r="I19" s="9">
        <v>14.5</v>
      </c>
      <c r="J19" s="9">
        <v>17</v>
      </c>
      <c r="K19" s="9">
        <v>18</v>
      </c>
      <c r="L19" s="9">
        <v>18</v>
      </c>
      <c r="M19" s="9">
        <f t="shared" si="10"/>
        <v>21.5</v>
      </c>
      <c r="N19" s="9">
        <f t="shared" si="10"/>
        <v>23</v>
      </c>
      <c r="O19" s="9">
        <f t="shared" si="13"/>
        <v>28.5</v>
      </c>
      <c r="P19" s="9"/>
      <c r="Q19" s="17"/>
      <c r="R19" s="28"/>
      <c r="S19" s="6"/>
      <c r="T19" s="6"/>
      <c r="U19" s="7"/>
      <c r="V19" s="7"/>
      <c r="W19" s="7"/>
      <c r="X19" s="7"/>
      <c r="Y19" s="7"/>
      <c r="Z19" s="7"/>
      <c r="AA19" s="7"/>
      <c r="AB19" s="7"/>
      <c r="AC19" s="9"/>
      <c r="AD19" s="6"/>
    </row>
    <row r="20" spans="1:30" x14ac:dyDescent="0.2">
      <c r="A20" s="6"/>
      <c r="B20" s="6" t="str">
        <f>Handicaps!B20</f>
        <v>McInerney</v>
      </c>
      <c r="C20" s="7">
        <v>8</v>
      </c>
      <c r="D20" s="9" t="s">
        <v>20</v>
      </c>
      <c r="E20" s="9" t="s">
        <v>20</v>
      </c>
      <c r="F20" s="9">
        <v>2.5</v>
      </c>
      <c r="G20" s="9">
        <v>6</v>
      </c>
      <c r="H20" s="9">
        <v>9.5</v>
      </c>
      <c r="I20" s="9">
        <v>15</v>
      </c>
      <c r="J20" s="9">
        <v>18</v>
      </c>
      <c r="K20" s="9">
        <v>21</v>
      </c>
      <c r="L20" s="9">
        <f>K20+L48</f>
        <v>25</v>
      </c>
      <c r="M20" s="9">
        <f>L20+M48</f>
        <v>28</v>
      </c>
      <c r="N20" s="9">
        <v>28</v>
      </c>
      <c r="O20" s="9">
        <f t="shared" si="13"/>
        <v>28</v>
      </c>
      <c r="P20" s="9"/>
      <c r="Q20" s="17"/>
      <c r="R20" s="28"/>
      <c r="S20" s="6"/>
      <c r="T20" s="6"/>
      <c r="U20" s="7"/>
      <c r="V20" s="7"/>
      <c r="W20" s="7"/>
      <c r="X20" s="7"/>
      <c r="Y20" s="7"/>
      <c r="Z20" s="7"/>
      <c r="AA20" s="7"/>
      <c r="AB20" s="7"/>
      <c r="AC20" s="9"/>
      <c r="AD20" s="6"/>
    </row>
    <row r="21" spans="1:30" x14ac:dyDescent="0.2">
      <c r="A21" s="6"/>
      <c r="B21" s="6" t="str">
        <f>Handicaps!B21</f>
        <v>Norat</v>
      </c>
      <c r="C21" s="7">
        <v>6</v>
      </c>
      <c r="D21" s="9" t="s">
        <v>20</v>
      </c>
      <c r="E21" s="9" t="s">
        <v>20</v>
      </c>
      <c r="F21" s="9">
        <v>2.5</v>
      </c>
      <c r="G21" s="9">
        <v>4.5</v>
      </c>
      <c r="H21" s="9">
        <v>10</v>
      </c>
      <c r="I21" s="9">
        <v>14</v>
      </c>
      <c r="J21" s="9">
        <v>16</v>
      </c>
      <c r="K21" s="9">
        <v>16</v>
      </c>
      <c r="L21" s="9">
        <v>16</v>
      </c>
      <c r="M21" s="9">
        <v>16</v>
      </c>
      <c r="N21" s="9">
        <f>M21+N49</f>
        <v>21</v>
      </c>
      <c r="O21" s="9">
        <f t="shared" si="13"/>
        <v>21</v>
      </c>
      <c r="P21" s="9"/>
      <c r="Q21" s="17"/>
      <c r="R21" s="28"/>
      <c r="S21" s="6"/>
      <c r="T21" s="6"/>
      <c r="U21" s="7"/>
      <c r="V21" s="7"/>
      <c r="W21" s="7"/>
      <c r="X21" s="7"/>
      <c r="Y21" s="7"/>
      <c r="Z21" s="7"/>
      <c r="AA21" s="7"/>
      <c r="AB21" s="7"/>
      <c r="AC21" s="9"/>
      <c r="AD21" s="6"/>
    </row>
    <row r="22" spans="1:30" x14ac:dyDescent="0.2">
      <c r="A22" s="6"/>
      <c r="B22" s="35" t="s">
        <v>43</v>
      </c>
      <c r="C22" s="7">
        <v>4</v>
      </c>
      <c r="D22" s="34" t="s">
        <v>20</v>
      </c>
      <c r="E22" s="34" t="s">
        <v>20</v>
      </c>
      <c r="F22" s="34" t="s">
        <v>20</v>
      </c>
      <c r="G22" s="34" t="s">
        <v>20</v>
      </c>
      <c r="H22" s="34" t="s">
        <v>20</v>
      </c>
      <c r="I22" s="34" t="s">
        <v>20</v>
      </c>
      <c r="J22" s="34" t="s">
        <v>20</v>
      </c>
      <c r="K22" s="9">
        <v>5.5</v>
      </c>
      <c r="L22" s="9">
        <f>K22+L50</f>
        <v>11.5</v>
      </c>
      <c r="M22" s="9">
        <f>L22+M50</f>
        <v>13.5</v>
      </c>
      <c r="N22" s="9">
        <v>13.5</v>
      </c>
      <c r="O22" s="9">
        <f t="shared" si="13"/>
        <v>18.5</v>
      </c>
      <c r="P22" s="9"/>
      <c r="Q22" s="17"/>
      <c r="R22" s="28"/>
      <c r="S22" s="6"/>
      <c r="T22" s="6"/>
      <c r="U22" s="7"/>
      <c r="V22" s="7"/>
      <c r="W22" s="7"/>
      <c r="X22" s="7"/>
      <c r="Y22" s="7"/>
      <c r="Z22" s="7"/>
      <c r="AA22" s="7"/>
      <c r="AB22" s="7"/>
      <c r="AC22" s="9"/>
      <c r="AD22" s="6"/>
    </row>
    <row r="23" spans="1:30" x14ac:dyDescent="0.2">
      <c r="A23" s="6"/>
      <c r="B23" s="44" t="s">
        <v>44</v>
      </c>
      <c r="C23" s="7">
        <v>2</v>
      </c>
      <c r="D23" s="34"/>
      <c r="E23" s="34"/>
      <c r="F23" s="34"/>
      <c r="G23" s="34"/>
      <c r="H23" s="34"/>
      <c r="I23" s="34"/>
      <c r="J23" s="34"/>
      <c r="K23" s="9"/>
      <c r="L23" s="9"/>
      <c r="M23" s="9"/>
      <c r="N23" s="9"/>
      <c r="O23" s="9">
        <f t="shared" si="13"/>
        <v>2.5</v>
      </c>
      <c r="P23" s="9"/>
      <c r="Q23" s="17"/>
      <c r="R23" s="28"/>
      <c r="S23" s="6"/>
      <c r="T23" s="6"/>
      <c r="U23" s="7"/>
      <c r="V23" s="7"/>
      <c r="W23" s="7"/>
      <c r="X23" s="7"/>
      <c r="Y23" s="7"/>
      <c r="Z23" s="7"/>
      <c r="AA23" s="7"/>
      <c r="AB23" s="7"/>
      <c r="AC23" s="9"/>
      <c r="AD23" s="6"/>
    </row>
    <row r="24" spans="1:30" x14ac:dyDescent="0.2">
      <c r="A24" s="6"/>
      <c r="B24" s="6" t="str">
        <f>Handicaps!B24</f>
        <v>Poirier</v>
      </c>
      <c r="C24" s="7">
        <v>7</v>
      </c>
      <c r="D24" s="9">
        <v>3.5</v>
      </c>
      <c r="E24" s="9" t="s">
        <v>20</v>
      </c>
      <c r="F24" s="9" t="s">
        <v>20</v>
      </c>
      <c r="G24" s="9" t="s">
        <v>20</v>
      </c>
      <c r="H24" s="9">
        <v>7</v>
      </c>
      <c r="I24" s="9">
        <v>7</v>
      </c>
      <c r="J24" s="9">
        <v>11.5</v>
      </c>
      <c r="K24" s="9">
        <v>11.5</v>
      </c>
      <c r="L24" s="9">
        <f>K24+L52</f>
        <v>16</v>
      </c>
      <c r="M24" s="41">
        <v>16</v>
      </c>
      <c r="N24" s="9">
        <f>M24+N52</f>
        <v>21</v>
      </c>
      <c r="O24" s="9">
        <f t="shared" si="13"/>
        <v>27</v>
      </c>
      <c r="P24" s="9"/>
      <c r="Q24" s="17"/>
      <c r="R24" s="28"/>
      <c r="S24" s="6"/>
      <c r="T24" s="6"/>
      <c r="U24" s="7"/>
      <c r="V24" s="7"/>
      <c r="W24" s="7"/>
      <c r="X24" s="7"/>
      <c r="Y24" s="7"/>
      <c r="Z24" s="7"/>
      <c r="AA24" s="7"/>
      <c r="AB24" s="7"/>
      <c r="AC24" s="9"/>
      <c r="AD24" s="6"/>
    </row>
    <row r="25" spans="1:30" x14ac:dyDescent="0.2">
      <c r="A25" s="6"/>
      <c r="B25" s="6" t="str">
        <f>Handicaps!B25</f>
        <v>Shively</v>
      </c>
      <c r="C25" s="7">
        <v>11</v>
      </c>
      <c r="D25" s="9">
        <v>4</v>
      </c>
      <c r="E25" s="9">
        <f>D25+E53</f>
        <v>7</v>
      </c>
      <c r="F25" s="9">
        <f t="shared" ref="F25:L25" si="14">E25+F53</f>
        <v>8.5</v>
      </c>
      <c r="G25" s="9">
        <f t="shared" si="14"/>
        <v>11</v>
      </c>
      <c r="H25" s="9">
        <f t="shared" si="14"/>
        <v>11.5</v>
      </c>
      <c r="I25" s="9">
        <f t="shared" si="14"/>
        <v>17</v>
      </c>
      <c r="J25" s="9">
        <f t="shared" si="14"/>
        <v>20.5</v>
      </c>
      <c r="K25" s="9">
        <f t="shared" si="14"/>
        <v>23</v>
      </c>
      <c r="L25" s="9">
        <f t="shared" si="14"/>
        <v>24</v>
      </c>
      <c r="M25" s="41">
        <v>24</v>
      </c>
      <c r="N25" s="9">
        <f>M25+N53</f>
        <v>25.5</v>
      </c>
      <c r="O25" s="9">
        <f t="shared" si="13"/>
        <v>27</v>
      </c>
      <c r="P25" s="9"/>
      <c r="Q25" s="17"/>
      <c r="R25" s="28"/>
      <c r="S25" s="6"/>
      <c r="T25" s="6"/>
      <c r="U25" s="7"/>
      <c r="V25" s="7"/>
      <c r="W25" s="7"/>
      <c r="X25" s="7"/>
      <c r="Y25" s="7"/>
      <c r="Z25" s="7"/>
      <c r="AA25" s="7"/>
      <c r="AB25" s="7"/>
      <c r="AC25" s="9"/>
      <c r="AD25" s="6"/>
    </row>
    <row r="26" spans="1:30" x14ac:dyDescent="0.2">
      <c r="A26" s="6"/>
      <c r="B26" s="6" t="str">
        <f>Handicaps!B26</f>
        <v>Welker</v>
      </c>
      <c r="C26" s="7">
        <v>8</v>
      </c>
      <c r="D26" s="9" t="s">
        <v>20</v>
      </c>
      <c r="E26" s="9" t="s">
        <v>20</v>
      </c>
      <c r="F26" s="9" t="s">
        <v>20</v>
      </c>
      <c r="G26" s="9">
        <v>2</v>
      </c>
      <c r="H26" s="9">
        <f>G26+H54</f>
        <v>5</v>
      </c>
      <c r="I26" s="9">
        <f t="shared" ref="I26:M26" si="15">H26+I54</f>
        <v>10.5</v>
      </c>
      <c r="J26" s="9">
        <f t="shared" si="15"/>
        <v>13.5</v>
      </c>
      <c r="K26" s="9">
        <f t="shared" si="15"/>
        <v>16.5</v>
      </c>
      <c r="L26" s="9">
        <f t="shared" si="15"/>
        <v>19.5</v>
      </c>
      <c r="M26" s="9">
        <f t="shared" si="15"/>
        <v>24.5</v>
      </c>
      <c r="N26" s="9">
        <f>M26+N54</f>
        <v>28.5</v>
      </c>
      <c r="O26" s="9">
        <f t="shared" si="13"/>
        <v>28.5</v>
      </c>
      <c r="P26" s="9"/>
      <c r="Q26" s="17"/>
      <c r="R26" s="28"/>
      <c r="S26" s="6"/>
      <c r="T26" s="6"/>
      <c r="U26" s="7"/>
      <c r="V26" s="7"/>
      <c r="W26" s="7"/>
      <c r="X26" s="7"/>
      <c r="Y26" s="7"/>
      <c r="Z26" s="7"/>
      <c r="AA26" s="7"/>
      <c r="AB26" s="7"/>
      <c r="AC26" s="9"/>
      <c r="AD26" s="6"/>
    </row>
    <row r="27" spans="1:30" x14ac:dyDescent="0.2">
      <c r="A27" s="6"/>
      <c r="B27" s="6" t="str">
        <f>Handicaps!B27</f>
        <v>Zimmer</v>
      </c>
      <c r="C27" s="7">
        <v>10</v>
      </c>
      <c r="D27" s="9" t="s">
        <v>20</v>
      </c>
      <c r="E27" s="9" t="s">
        <v>20</v>
      </c>
      <c r="F27" s="9">
        <v>4</v>
      </c>
      <c r="G27" s="9">
        <f>F27+G55</f>
        <v>8</v>
      </c>
      <c r="H27" s="9">
        <f t="shared" ref="H27:M27" si="16">G27+H55</f>
        <v>12.5</v>
      </c>
      <c r="I27" s="9">
        <f t="shared" si="16"/>
        <v>13.5</v>
      </c>
      <c r="J27" s="9">
        <f t="shared" si="16"/>
        <v>19.5</v>
      </c>
      <c r="K27" s="9">
        <f t="shared" si="16"/>
        <v>24</v>
      </c>
      <c r="L27" s="9">
        <f t="shared" si="16"/>
        <v>27.5</v>
      </c>
      <c r="M27" s="9">
        <f t="shared" si="16"/>
        <v>28.5</v>
      </c>
      <c r="N27" s="9">
        <f>M27+N55</f>
        <v>31</v>
      </c>
      <c r="O27" s="9">
        <f t="shared" si="13"/>
        <v>32.5</v>
      </c>
      <c r="P27" s="9"/>
      <c r="Q27" s="17"/>
      <c r="R27" s="28"/>
      <c r="S27" s="6"/>
      <c r="T27" s="6"/>
      <c r="U27" s="7"/>
      <c r="V27" s="7"/>
      <c r="W27" s="7"/>
      <c r="X27" s="7"/>
      <c r="Y27" s="7"/>
      <c r="Z27" s="7"/>
      <c r="AA27" s="7"/>
      <c r="AB27" s="7"/>
      <c r="AC27" s="9"/>
      <c r="AD27" s="6"/>
    </row>
    <row r="28" spans="1:30" x14ac:dyDescent="0.2">
      <c r="A28" s="6"/>
      <c r="B28" s="6"/>
      <c r="C28" s="7"/>
      <c r="D28" s="7"/>
      <c r="E28" s="7"/>
      <c r="F28" s="7"/>
      <c r="G28" s="9"/>
      <c r="H28" s="9"/>
      <c r="I28" s="9"/>
      <c r="J28" s="9"/>
      <c r="K28" s="9"/>
      <c r="L28" s="9"/>
      <c r="M28" s="9"/>
      <c r="N28" s="9"/>
      <c r="O28" s="9"/>
      <c r="P28" s="9"/>
      <c r="Q28" s="6"/>
      <c r="R28" s="6"/>
      <c r="S28" s="6"/>
      <c r="T28" s="6"/>
      <c r="U28" s="7"/>
      <c r="V28" s="7"/>
      <c r="W28" s="7"/>
      <c r="X28" s="7"/>
      <c r="Y28" s="7"/>
      <c r="Z28" s="7"/>
      <c r="AA28" s="7"/>
      <c r="AB28" s="7"/>
      <c r="AC28" s="9"/>
      <c r="AD28" s="6"/>
    </row>
    <row r="29" spans="1:30" x14ac:dyDescent="0.2">
      <c r="A29" s="8" t="s">
        <v>27</v>
      </c>
      <c r="B29" s="5" t="s">
        <v>16</v>
      </c>
      <c r="C29" s="6"/>
      <c r="D29" s="29" t="str">
        <f t="shared" ref="D29:N29" si="17">D2</f>
        <v>FBC 1</v>
      </c>
      <c r="E29" s="29" t="str">
        <f t="shared" si="17"/>
        <v>FBC 2</v>
      </c>
      <c r="F29" s="29" t="str">
        <f t="shared" si="17"/>
        <v>FBC 3</v>
      </c>
      <c r="G29" s="29" t="str">
        <f t="shared" si="17"/>
        <v>FBC 4</v>
      </c>
      <c r="H29" s="29" t="str">
        <f t="shared" si="17"/>
        <v>FBC 5</v>
      </c>
      <c r="I29" s="29" t="str">
        <f t="shared" si="17"/>
        <v>FBC 6</v>
      </c>
      <c r="J29" s="29" t="str">
        <f t="shared" si="17"/>
        <v>FBC 7</v>
      </c>
      <c r="K29" s="29" t="str">
        <f t="shared" si="17"/>
        <v>FBC 8</v>
      </c>
      <c r="L29" s="29" t="str">
        <f t="shared" si="17"/>
        <v>FBC 9</v>
      </c>
      <c r="M29" s="29" t="str">
        <f t="shared" si="17"/>
        <v>FBC 10</v>
      </c>
      <c r="N29" s="29" t="str">
        <f t="shared" si="17"/>
        <v>FBC 11</v>
      </c>
      <c r="O29" s="29" t="s">
        <v>67</v>
      </c>
      <c r="P29" s="29"/>
      <c r="Q29" s="8" t="s">
        <v>45</v>
      </c>
      <c r="R29" s="29" t="s">
        <v>29</v>
      </c>
      <c r="S29" s="29" t="s">
        <v>40</v>
      </c>
      <c r="T29" s="29" t="s">
        <v>18</v>
      </c>
      <c r="U29" s="29" t="s">
        <v>24</v>
      </c>
      <c r="V29" s="7"/>
      <c r="W29" s="7"/>
      <c r="X29" s="7"/>
      <c r="Y29" s="7"/>
      <c r="Z29" s="7"/>
      <c r="AA29" s="7"/>
      <c r="AB29" s="7"/>
      <c r="AC29" s="9"/>
    </row>
    <row r="30" spans="1:30" x14ac:dyDescent="0.2">
      <c r="A30" s="8"/>
      <c r="B30" s="5"/>
      <c r="C30" s="6"/>
      <c r="D30" s="29" t="s">
        <v>57</v>
      </c>
      <c r="E30" s="29" t="s">
        <v>58</v>
      </c>
      <c r="F30" s="29" t="s">
        <v>64</v>
      </c>
      <c r="G30" s="29" t="s">
        <v>59</v>
      </c>
      <c r="H30" s="29" t="s">
        <v>60</v>
      </c>
      <c r="I30" s="29" t="s">
        <v>61</v>
      </c>
      <c r="J30" s="29" t="s">
        <v>62</v>
      </c>
      <c r="K30" s="29" t="s">
        <v>71</v>
      </c>
      <c r="L30" s="29" t="s">
        <v>63</v>
      </c>
      <c r="M30" s="29" t="s">
        <v>65</v>
      </c>
      <c r="N30" s="29" t="s">
        <v>66</v>
      </c>
      <c r="O30" s="29" t="s">
        <v>70</v>
      </c>
      <c r="P30" s="29"/>
      <c r="Q30" s="8"/>
      <c r="R30" s="29"/>
      <c r="S30" s="29"/>
      <c r="T30" s="29"/>
      <c r="U30" s="29"/>
      <c r="V30" s="7"/>
      <c r="W30" s="7"/>
      <c r="X30" s="7"/>
      <c r="Y30" s="7"/>
      <c r="Z30" s="7"/>
      <c r="AA30" s="7"/>
      <c r="AB30" s="7"/>
      <c r="AC30" s="9"/>
    </row>
    <row r="31" spans="1:30" x14ac:dyDescent="0.2">
      <c r="A31" s="6"/>
      <c r="B31" s="6" t="str">
        <f>B3</f>
        <v>Cole</v>
      </c>
      <c r="C31" s="7"/>
      <c r="D31" s="9" t="str">
        <f>D3</f>
        <v>X</v>
      </c>
      <c r="E31" s="9">
        <v>0.5</v>
      </c>
      <c r="F31" s="9">
        <v>3.5</v>
      </c>
      <c r="G31" s="9">
        <v>2.5</v>
      </c>
      <c r="H31" s="9">
        <v>1</v>
      </c>
      <c r="I31" s="9">
        <v>4</v>
      </c>
      <c r="J31" s="9">
        <v>4.5</v>
      </c>
      <c r="K31" s="9">
        <v>3.5</v>
      </c>
      <c r="L31" s="9">
        <v>2.5</v>
      </c>
      <c r="M31" s="9">
        <v>4.5</v>
      </c>
      <c r="N31" s="9">
        <v>3.5</v>
      </c>
      <c r="O31" s="45" t="s">
        <v>20</v>
      </c>
      <c r="P31" s="9"/>
      <c r="Q31" s="9">
        <f>SUM(D31:O31)</f>
        <v>30</v>
      </c>
      <c r="R31" s="9">
        <f>MAX(D31:O31)</f>
        <v>4.5</v>
      </c>
      <c r="S31" s="9">
        <f>MIN(D31:O31)</f>
        <v>0.5</v>
      </c>
      <c r="T31" s="37">
        <f>AVERAGE(D31:O31)</f>
        <v>3</v>
      </c>
      <c r="U31" s="9">
        <f>R31-S31</f>
        <v>4</v>
      </c>
      <c r="V31" s="7"/>
      <c r="W31" s="7"/>
      <c r="X31" s="7"/>
      <c r="Y31" s="7"/>
      <c r="Z31" s="7"/>
      <c r="AA31" s="7"/>
      <c r="AB31" s="7"/>
      <c r="AC31" s="9"/>
    </row>
    <row r="32" spans="1:30" x14ac:dyDescent="0.2">
      <c r="A32" s="6"/>
      <c r="B32" s="6" t="str">
        <f>B4</f>
        <v>Connolly, B</v>
      </c>
      <c r="C32" s="7"/>
      <c r="D32" s="9">
        <v>6</v>
      </c>
      <c r="E32" s="9">
        <v>3.5</v>
      </c>
      <c r="F32" s="9">
        <v>4.5</v>
      </c>
      <c r="G32" s="9">
        <v>3.5</v>
      </c>
      <c r="H32" s="9">
        <v>4</v>
      </c>
      <c r="I32" s="9">
        <v>2</v>
      </c>
      <c r="J32" s="9">
        <v>2</v>
      </c>
      <c r="K32" s="9">
        <v>4</v>
      </c>
      <c r="L32" s="9">
        <v>3.5</v>
      </c>
      <c r="M32" s="9">
        <v>6</v>
      </c>
      <c r="N32" s="9">
        <v>5</v>
      </c>
      <c r="O32" s="9">
        <v>6.5</v>
      </c>
      <c r="P32" s="9"/>
      <c r="Q32" s="9">
        <f t="shared" ref="Q32:Q55" si="18">SUM(D32:O32)</f>
        <v>50.5</v>
      </c>
      <c r="R32" s="9">
        <f t="shared" ref="R32:R55" si="19">MAX(D32:O32)</f>
        <v>6.5</v>
      </c>
      <c r="S32" s="9">
        <f t="shared" ref="S32:S55" si="20">MIN(D32:O32)</f>
        <v>2</v>
      </c>
      <c r="T32" s="37">
        <f t="shared" ref="T32:T55" si="21">AVERAGE(D32:O32)</f>
        <v>4.208333333333333</v>
      </c>
      <c r="U32" s="9">
        <f t="shared" ref="U32:U55" si="22">R32-S32</f>
        <v>4.5</v>
      </c>
      <c r="V32" s="11"/>
      <c r="W32" s="11"/>
      <c r="X32" s="11"/>
      <c r="Y32" s="11"/>
    </row>
    <row r="33" spans="1:45" x14ac:dyDescent="0.2">
      <c r="A33" s="6"/>
      <c r="B33" s="44" t="s">
        <v>55</v>
      </c>
      <c r="C33" s="7"/>
      <c r="D33" s="42" t="s">
        <v>20</v>
      </c>
      <c r="E33" s="42" t="s">
        <v>20</v>
      </c>
      <c r="F33" s="42" t="s">
        <v>20</v>
      </c>
      <c r="G33" s="42" t="s">
        <v>20</v>
      </c>
      <c r="H33" s="42" t="s">
        <v>20</v>
      </c>
      <c r="I33" s="34" t="s">
        <v>20</v>
      </c>
      <c r="J33" s="34" t="s">
        <v>20</v>
      </c>
      <c r="K33" s="45" t="s">
        <v>20</v>
      </c>
      <c r="L33" s="45" t="s">
        <v>20</v>
      </c>
      <c r="M33" s="9">
        <v>3</v>
      </c>
      <c r="N33" s="45" t="s">
        <v>20</v>
      </c>
      <c r="O33" s="9">
        <v>6</v>
      </c>
      <c r="P33" s="9"/>
      <c r="Q33" s="9">
        <f t="shared" si="18"/>
        <v>9</v>
      </c>
      <c r="R33" s="9">
        <f t="shared" si="19"/>
        <v>6</v>
      </c>
      <c r="S33" s="9">
        <f t="shared" si="20"/>
        <v>3</v>
      </c>
      <c r="T33" s="37">
        <f t="shared" si="21"/>
        <v>4.5</v>
      </c>
      <c r="U33" s="9">
        <f t="shared" si="22"/>
        <v>3</v>
      </c>
      <c r="V33" s="11"/>
      <c r="W33" s="11"/>
      <c r="X33" s="11"/>
      <c r="Y33" s="11"/>
    </row>
    <row r="34" spans="1:45" x14ac:dyDescent="0.2">
      <c r="A34" s="6"/>
      <c r="B34" s="6" t="str">
        <f>B6</f>
        <v>Connors</v>
      </c>
      <c r="C34" s="7"/>
      <c r="D34" s="9" t="str">
        <f>D6</f>
        <v>X</v>
      </c>
      <c r="E34" s="9">
        <v>2.5</v>
      </c>
      <c r="F34" s="9">
        <v>2</v>
      </c>
      <c r="G34" s="9">
        <v>3.5</v>
      </c>
      <c r="H34" s="9">
        <v>1</v>
      </c>
      <c r="I34" s="9">
        <v>2.5</v>
      </c>
      <c r="J34" s="9">
        <v>1.5</v>
      </c>
      <c r="K34" s="9">
        <v>2.5</v>
      </c>
      <c r="L34" s="9">
        <v>1</v>
      </c>
      <c r="M34" s="9">
        <v>3</v>
      </c>
      <c r="N34" s="9">
        <v>2.5</v>
      </c>
      <c r="O34" s="45" t="s">
        <v>20</v>
      </c>
      <c r="P34" s="9"/>
      <c r="Q34" s="9">
        <f t="shared" si="18"/>
        <v>22</v>
      </c>
      <c r="R34" s="9">
        <f t="shared" si="19"/>
        <v>3.5</v>
      </c>
      <c r="S34" s="9">
        <f t="shared" si="20"/>
        <v>1</v>
      </c>
      <c r="T34" s="37">
        <f t="shared" si="21"/>
        <v>2.2000000000000002</v>
      </c>
      <c r="U34" s="9">
        <f t="shared" si="22"/>
        <v>2.5</v>
      </c>
      <c r="V34" s="11"/>
      <c r="W34" s="11"/>
      <c r="X34" s="11"/>
      <c r="Y34" s="11"/>
    </row>
    <row r="35" spans="1:45" x14ac:dyDescent="0.2">
      <c r="A35" s="6"/>
      <c r="B35" s="32" t="s">
        <v>41</v>
      </c>
      <c r="C35" s="7"/>
      <c r="D35" s="33" t="s">
        <v>20</v>
      </c>
      <c r="E35" s="33" t="s">
        <v>20</v>
      </c>
      <c r="F35" s="33" t="s">
        <v>20</v>
      </c>
      <c r="G35" s="33" t="s">
        <v>20</v>
      </c>
      <c r="H35" s="9">
        <v>4</v>
      </c>
      <c r="I35" s="33" t="s">
        <v>20</v>
      </c>
      <c r="J35" s="33" t="s">
        <v>20</v>
      </c>
      <c r="K35" s="9">
        <v>3</v>
      </c>
      <c r="L35" s="9">
        <v>3</v>
      </c>
      <c r="M35" s="9">
        <v>2</v>
      </c>
      <c r="N35" s="9">
        <v>2.5</v>
      </c>
      <c r="O35" s="9">
        <v>4</v>
      </c>
      <c r="P35" s="9"/>
      <c r="Q35" s="9">
        <f t="shared" si="18"/>
        <v>18.5</v>
      </c>
      <c r="R35" s="9">
        <f t="shared" si="19"/>
        <v>4</v>
      </c>
      <c r="S35" s="9">
        <f t="shared" si="20"/>
        <v>2</v>
      </c>
      <c r="T35" s="37">
        <f t="shared" si="21"/>
        <v>3.0833333333333335</v>
      </c>
      <c r="U35" s="9">
        <f t="shared" si="22"/>
        <v>2</v>
      </c>
      <c r="V35" s="11"/>
      <c r="W35" s="11"/>
      <c r="X35" s="11"/>
      <c r="Y35" s="11"/>
    </row>
    <row r="36" spans="1:45" x14ac:dyDescent="0.2">
      <c r="A36" s="6"/>
      <c r="B36" s="30" t="s">
        <v>39</v>
      </c>
      <c r="C36" s="7"/>
      <c r="D36" s="31" t="s">
        <v>20</v>
      </c>
      <c r="E36" s="31" t="s">
        <v>20</v>
      </c>
      <c r="F36" s="31" t="s">
        <v>20</v>
      </c>
      <c r="G36" s="31" t="s">
        <v>20</v>
      </c>
      <c r="H36" s="31" t="s">
        <v>20</v>
      </c>
      <c r="I36" s="31" t="s">
        <v>20</v>
      </c>
      <c r="J36" s="31" t="s">
        <v>20</v>
      </c>
      <c r="K36" s="9">
        <v>1.5</v>
      </c>
      <c r="L36" s="9">
        <v>4.5</v>
      </c>
      <c r="M36" s="9">
        <v>5</v>
      </c>
      <c r="N36" s="9">
        <v>4.5</v>
      </c>
      <c r="O36" s="9">
        <v>5</v>
      </c>
      <c r="P36" s="9"/>
      <c r="Q36" s="9">
        <f t="shared" si="18"/>
        <v>20.5</v>
      </c>
      <c r="R36" s="9">
        <f t="shared" si="19"/>
        <v>5</v>
      </c>
      <c r="S36" s="9">
        <f t="shared" si="20"/>
        <v>1.5</v>
      </c>
      <c r="T36" s="37">
        <f t="shared" si="21"/>
        <v>4.0999999999999996</v>
      </c>
      <c r="U36" s="9">
        <f t="shared" si="22"/>
        <v>3.5</v>
      </c>
      <c r="V36" s="11"/>
      <c r="W36" s="11"/>
      <c r="X36" s="11"/>
      <c r="Y36" s="11"/>
    </row>
    <row r="37" spans="1:45" x14ac:dyDescent="0.2">
      <c r="A37" s="6"/>
      <c r="B37" s="48" t="s">
        <v>46</v>
      </c>
      <c r="C37" s="7"/>
      <c r="D37" s="47" t="s">
        <v>20</v>
      </c>
      <c r="E37" s="47" t="s">
        <v>20</v>
      </c>
      <c r="F37" s="47" t="s">
        <v>20</v>
      </c>
      <c r="G37" s="47" t="s">
        <v>20</v>
      </c>
      <c r="H37" s="47" t="s">
        <v>20</v>
      </c>
      <c r="I37" s="47" t="s">
        <v>20</v>
      </c>
      <c r="J37" s="47" t="s">
        <v>20</v>
      </c>
      <c r="K37" s="47">
        <v>3</v>
      </c>
      <c r="L37" s="47">
        <v>3</v>
      </c>
      <c r="M37" s="47" t="s">
        <v>20</v>
      </c>
      <c r="N37" s="47" t="s">
        <v>20</v>
      </c>
      <c r="O37" s="9">
        <v>1</v>
      </c>
      <c r="P37" s="9"/>
      <c r="Q37" s="9">
        <f t="shared" ref="Q37" si="23">SUM(D37:O37)</f>
        <v>7</v>
      </c>
      <c r="R37" s="9">
        <f t="shared" ref="R37" si="24">MAX(D37:O37)</f>
        <v>3</v>
      </c>
      <c r="S37" s="9">
        <f t="shared" ref="S37" si="25">MIN(D37:O37)</f>
        <v>1</v>
      </c>
      <c r="T37" s="37">
        <f t="shared" ref="T37" si="26">AVERAGE(D37:O37)</f>
        <v>2.3333333333333335</v>
      </c>
      <c r="U37" s="9">
        <f t="shared" ref="U37" si="27">R37-S37</f>
        <v>2</v>
      </c>
      <c r="V37" s="11"/>
      <c r="W37" s="11"/>
      <c r="X37" s="11"/>
      <c r="Y37" s="11"/>
    </row>
    <row r="38" spans="1:45" x14ac:dyDescent="0.2">
      <c r="A38" s="6"/>
      <c r="B38" s="6" t="str">
        <f t="shared" ref="B38:B49" si="28">B10</f>
        <v>Ferrin</v>
      </c>
      <c r="C38" s="7"/>
      <c r="D38" s="9">
        <v>5.5</v>
      </c>
      <c r="E38" s="9">
        <v>2.5</v>
      </c>
      <c r="F38" s="9">
        <v>5</v>
      </c>
      <c r="G38" s="9">
        <v>2.5</v>
      </c>
      <c r="H38" s="9">
        <v>4.5</v>
      </c>
      <c r="I38" s="9">
        <v>3</v>
      </c>
      <c r="J38" s="9">
        <v>4.5</v>
      </c>
      <c r="K38" s="9">
        <v>3.5</v>
      </c>
      <c r="L38" s="9">
        <v>2.5</v>
      </c>
      <c r="M38" s="9">
        <v>4</v>
      </c>
      <c r="N38" s="9">
        <v>5</v>
      </c>
      <c r="O38" s="9">
        <v>3.5</v>
      </c>
      <c r="P38" s="9"/>
      <c r="Q38" s="9">
        <f t="shared" si="18"/>
        <v>46</v>
      </c>
      <c r="R38" s="9">
        <f t="shared" si="19"/>
        <v>5.5</v>
      </c>
      <c r="S38" s="9">
        <f t="shared" si="20"/>
        <v>2.5</v>
      </c>
      <c r="T38" s="37">
        <f t="shared" si="21"/>
        <v>3.8333333333333335</v>
      </c>
      <c r="U38" s="9">
        <f t="shared" si="22"/>
        <v>3</v>
      </c>
      <c r="V38" s="11"/>
      <c r="W38" s="11"/>
      <c r="X38" s="11"/>
      <c r="Y38" s="11"/>
    </row>
    <row r="39" spans="1:45" x14ac:dyDescent="0.2">
      <c r="A39" s="6"/>
      <c r="B39" s="6" t="str">
        <f t="shared" si="28"/>
        <v>Flanders</v>
      </c>
      <c r="C39" s="7"/>
      <c r="D39" s="9">
        <v>2</v>
      </c>
      <c r="E39" s="9">
        <v>1.5</v>
      </c>
      <c r="F39" s="9">
        <v>0.5</v>
      </c>
      <c r="G39" s="9">
        <v>5.5</v>
      </c>
      <c r="H39" s="9">
        <v>3</v>
      </c>
      <c r="I39" s="9">
        <v>3</v>
      </c>
      <c r="J39" s="9">
        <v>4</v>
      </c>
      <c r="K39" s="9">
        <v>3</v>
      </c>
      <c r="L39" s="9">
        <v>2</v>
      </c>
      <c r="M39" s="9">
        <v>4</v>
      </c>
      <c r="N39" s="9">
        <v>1.5</v>
      </c>
      <c r="O39" s="47">
        <v>6.5</v>
      </c>
      <c r="P39" s="9"/>
      <c r="Q39" s="9">
        <f t="shared" si="18"/>
        <v>36.5</v>
      </c>
      <c r="R39" s="9">
        <f t="shared" si="19"/>
        <v>6.5</v>
      </c>
      <c r="S39" s="9">
        <f t="shared" si="20"/>
        <v>0.5</v>
      </c>
      <c r="T39" s="37">
        <f t="shared" si="21"/>
        <v>3.0416666666666665</v>
      </c>
      <c r="U39" s="9">
        <f t="shared" si="22"/>
        <v>6</v>
      </c>
      <c r="V39" s="11"/>
      <c r="W39" s="11"/>
      <c r="X39" s="11"/>
      <c r="Y39" s="11"/>
    </row>
    <row r="40" spans="1:45" x14ac:dyDescent="0.2">
      <c r="A40" s="6"/>
      <c r="B40" s="6" t="str">
        <f t="shared" si="28"/>
        <v>Fogan</v>
      </c>
      <c r="C40" s="7"/>
      <c r="D40" s="9" t="str">
        <f>D12</f>
        <v>X</v>
      </c>
      <c r="E40" s="9">
        <v>2</v>
      </c>
      <c r="F40" s="9">
        <v>3</v>
      </c>
      <c r="G40" s="9">
        <v>3</v>
      </c>
      <c r="H40" s="9">
        <v>1</v>
      </c>
      <c r="I40" s="9">
        <v>0.5</v>
      </c>
      <c r="J40" s="9">
        <v>3</v>
      </c>
      <c r="K40" s="9">
        <v>3</v>
      </c>
      <c r="L40" s="9">
        <v>4.5</v>
      </c>
      <c r="M40" s="9">
        <v>1.5</v>
      </c>
      <c r="N40" s="9">
        <v>4.5</v>
      </c>
      <c r="O40" s="9">
        <v>4</v>
      </c>
      <c r="P40" s="9"/>
      <c r="Q40" s="9">
        <f t="shared" si="18"/>
        <v>30</v>
      </c>
      <c r="R40" s="9">
        <f t="shared" si="19"/>
        <v>4.5</v>
      </c>
      <c r="S40" s="9">
        <f t="shared" si="20"/>
        <v>0.5</v>
      </c>
      <c r="T40" s="37">
        <f t="shared" si="21"/>
        <v>2.7272727272727271</v>
      </c>
      <c r="U40" s="9">
        <f t="shared" si="22"/>
        <v>4</v>
      </c>
      <c r="V40" s="11"/>
      <c r="W40" s="11"/>
      <c r="X40" s="11"/>
      <c r="Y40" s="11"/>
    </row>
    <row r="41" spans="1:45" x14ac:dyDescent="0.2">
      <c r="A41" s="6"/>
      <c r="B41" s="6" t="str">
        <f t="shared" si="28"/>
        <v>Forster</v>
      </c>
      <c r="C41" s="7"/>
      <c r="D41" s="9" t="str">
        <f>D13</f>
        <v>X</v>
      </c>
      <c r="E41" s="9">
        <v>5.5</v>
      </c>
      <c r="F41" s="9">
        <v>3.5</v>
      </c>
      <c r="G41" s="9">
        <v>5.5</v>
      </c>
      <c r="H41" s="9">
        <v>5</v>
      </c>
      <c r="I41" s="9">
        <v>5</v>
      </c>
      <c r="J41" s="9">
        <v>4.5</v>
      </c>
      <c r="K41" s="9">
        <v>1</v>
      </c>
      <c r="L41" s="9">
        <v>4.5</v>
      </c>
      <c r="M41" s="9">
        <v>0</v>
      </c>
      <c r="N41" s="9">
        <v>3.5</v>
      </c>
      <c r="O41" s="9">
        <v>4</v>
      </c>
      <c r="P41" s="9"/>
      <c r="Q41" s="9">
        <f t="shared" si="18"/>
        <v>42</v>
      </c>
      <c r="R41" s="9">
        <f t="shared" si="19"/>
        <v>5.5</v>
      </c>
      <c r="S41" s="9">
        <f t="shared" si="20"/>
        <v>0</v>
      </c>
      <c r="T41" s="37">
        <f t="shared" si="21"/>
        <v>3.8181818181818183</v>
      </c>
      <c r="U41" s="9">
        <f t="shared" si="22"/>
        <v>5.5</v>
      </c>
      <c r="V41" s="11"/>
      <c r="W41" s="11"/>
      <c r="X41" s="11"/>
      <c r="Y41" s="11"/>
      <c r="Z41" s="5"/>
      <c r="AA41" s="6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8"/>
      <c r="AP41" s="29"/>
      <c r="AQ41" s="29"/>
      <c r="AR41" s="29"/>
      <c r="AS41" s="29"/>
    </row>
    <row r="42" spans="1:45" x14ac:dyDescent="0.2">
      <c r="A42" s="6"/>
      <c r="B42" s="6" t="str">
        <f t="shared" si="28"/>
        <v>Gray</v>
      </c>
      <c r="C42" s="7"/>
      <c r="D42" s="9" t="str">
        <f>D14</f>
        <v>X</v>
      </c>
      <c r="E42" s="9" t="s">
        <v>20</v>
      </c>
      <c r="F42" s="9">
        <v>4</v>
      </c>
      <c r="G42" s="9">
        <v>4</v>
      </c>
      <c r="H42" s="9">
        <v>3.5</v>
      </c>
      <c r="I42" s="9">
        <v>4.5</v>
      </c>
      <c r="J42" s="9">
        <v>7</v>
      </c>
      <c r="K42" s="34" t="s">
        <v>20</v>
      </c>
      <c r="L42" s="34" t="s">
        <v>20</v>
      </c>
      <c r="M42" s="34">
        <v>5.5</v>
      </c>
      <c r="N42" s="34">
        <v>2.5</v>
      </c>
      <c r="O42" s="45" t="s">
        <v>20</v>
      </c>
      <c r="P42" s="34"/>
      <c r="Q42" s="9">
        <f t="shared" si="18"/>
        <v>31</v>
      </c>
      <c r="R42" s="9">
        <f t="shared" si="19"/>
        <v>7</v>
      </c>
      <c r="S42" s="9">
        <f t="shared" si="20"/>
        <v>2.5</v>
      </c>
      <c r="T42" s="37">
        <f t="shared" si="21"/>
        <v>4.4285714285714288</v>
      </c>
      <c r="U42" s="9">
        <f t="shared" si="22"/>
        <v>4.5</v>
      </c>
      <c r="V42" s="36"/>
      <c r="W42" s="36"/>
      <c r="X42" s="11"/>
      <c r="Y42" s="11"/>
      <c r="Z42" s="5"/>
      <c r="AA42" s="6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8"/>
      <c r="AP42" s="29"/>
      <c r="AQ42" s="29"/>
      <c r="AR42" s="29"/>
      <c r="AS42" s="29"/>
    </row>
    <row r="43" spans="1:45" x14ac:dyDescent="0.2">
      <c r="A43" s="6"/>
      <c r="B43" s="6" t="str">
        <f t="shared" si="28"/>
        <v>Grise</v>
      </c>
      <c r="C43" s="7"/>
      <c r="D43" s="9">
        <v>2.5</v>
      </c>
      <c r="E43" s="9">
        <v>5</v>
      </c>
      <c r="F43" s="9">
        <v>1</v>
      </c>
      <c r="G43" s="9">
        <v>5</v>
      </c>
      <c r="H43" s="9">
        <v>2.5</v>
      </c>
      <c r="I43" s="9">
        <v>4.5</v>
      </c>
      <c r="J43" s="9">
        <v>6.5</v>
      </c>
      <c r="K43" s="34">
        <v>4.5</v>
      </c>
      <c r="L43" s="34">
        <v>2</v>
      </c>
      <c r="M43" s="34">
        <v>5</v>
      </c>
      <c r="N43" s="34">
        <v>0.5</v>
      </c>
      <c r="O43" s="34">
        <v>4</v>
      </c>
      <c r="P43" s="34"/>
      <c r="Q43" s="9">
        <f t="shared" si="18"/>
        <v>43</v>
      </c>
      <c r="R43" s="9">
        <f t="shared" si="19"/>
        <v>6.5</v>
      </c>
      <c r="S43" s="9">
        <f t="shared" si="20"/>
        <v>0.5</v>
      </c>
      <c r="T43" s="37">
        <f t="shared" si="21"/>
        <v>3.5833333333333335</v>
      </c>
      <c r="U43" s="9">
        <f t="shared" si="22"/>
        <v>6</v>
      </c>
      <c r="V43" s="36"/>
      <c r="W43" s="36"/>
      <c r="X43" s="11"/>
      <c r="Y43" s="11"/>
      <c r="Z43" s="6"/>
      <c r="AA43" s="7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45"/>
      <c r="AN43" s="9"/>
      <c r="AO43" s="9"/>
      <c r="AP43" s="9"/>
      <c r="AQ43" s="9"/>
      <c r="AR43" s="37"/>
      <c r="AS43" s="9"/>
    </row>
    <row r="44" spans="1:45" x14ac:dyDescent="0.2">
      <c r="A44" s="6"/>
      <c r="B44" s="6" t="str">
        <f t="shared" si="28"/>
        <v>Hilts</v>
      </c>
      <c r="C44" s="7"/>
      <c r="D44" s="9">
        <v>2.5</v>
      </c>
      <c r="E44" s="9">
        <v>2</v>
      </c>
      <c r="F44" s="9">
        <v>2.5</v>
      </c>
      <c r="G44" s="9" t="s">
        <v>20</v>
      </c>
      <c r="H44" s="9">
        <v>3</v>
      </c>
      <c r="I44" s="9">
        <v>3.5</v>
      </c>
      <c r="J44" s="9">
        <v>2</v>
      </c>
      <c r="K44" s="34">
        <v>5</v>
      </c>
      <c r="L44" s="34">
        <v>3.5</v>
      </c>
      <c r="M44" s="34">
        <v>3</v>
      </c>
      <c r="N44" s="34">
        <v>5.5</v>
      </c>
      <c r="O44" s="34">
        <v>4.5</v>
      </c>
      <c r="P44" s="34"/>
      <c r="Q44" s="9">
        <f t="shared" si="18"/>
        <v>37</v>
      </c>
      <c r="R44" s="9">
        <f t="shared" si="19"/>
        <v>5.5</v>
      </c>
      <c r="S44" s="9">
        <f t="shared" si="20"/>
        <v>2</v>
      </c>
      <c r="T44" s="37">
        <f t="shared" si="21"/>
        <v>3.3636363636363638</v>
      </c>
      <c r="U44" s="9">
        <f t="shared" si="22"/>
        <v>3.5</v>
      </c>
      <c r="V44" s="36"/>
      <c r="W44" s="36"/>
      <c r="X44" s="11"/>
      <c r="Y44" s="11"/>
      <c r="Z44" s="6"/>
      <c r="AA44" s="7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37"/>
      <c r="AS44" s="9"/>
    </row>
    <row r="45" spans="1:45" x14ac:dyDescent="0.2">
      <c r="A45" s="6"/>
      <c r="B45" s="6" t="str">
        <f t="shared" si="28"/>
        <v>Jackson</v>
      </c>
      <c r="C45" s="7"/>
      <c r="D45" s="9">
        <v>3.5</v>
      </c>
      <c r="E45" s="9">
        <v>6</v>
      </c>
      <c r="F45" s="9">
        <v>5</v>
      </c>
      <c r="G45" s="9">
        <v>2.5</v>
      </c>
      <c r="H45" s="9">
        <v>3.5</v>
      </c>
      <c r="I45" s="9">
        <v>6.5</v>
      </c>
      <c r="J45" s="9">
        <v>4</v>
      </c>
      <c r="K45" s="34">
        <v>2.5</v>
      </c>
      <c r="L45" s="34">
        <v>1</v>
      </c>
      <c r="M45" s="34">
        <v>5.5</v>
      </c>
      <c r="N45" s="34">
        <v>2.5</v>
      </c>
      <c r="O45" s="34">
        <v>3.5</v>
      </c>
      <c r="P45" s="34"/>
      <c r="Q45" s="9">
        <f t="shared" si="18"/>
        <v>46</v>
      </c>
      <c r="R45" s="9">
        <f t="shared" si="19"/>
        <v>6.5</v>
      </c>
      <c r="S45" s="9">
        <f t="shared" si="20"/>
        <v>1</v>
      </c>
      <c r="T45" s="37">
        <f t="shared" si="21"/>
        <v>3.8333333333333335</v>
      </c>
      <c r="U45" s="9">
        <f t="shared" si="22"/>
        <v>5.5</v>
      </c>
      <c r="V45" s="36"/>
      <c r="W45" s="36"/>
      <c r="X45" s="11"/>
      <c r="Y45" s="11"/>
      <c r="Z45" s="44"/>
      <c r="AA45" s="7"/>
      <c r="AB45" s="42"/>
      <c r="AC45" s="42"/>
      <c r="AD45" s="42"/>
      <c r="AE45" s="42"/>
      <c r="AF45" s="42"/>
      <c r="AG45" s="34"/>
      <c r="AH45" s="34"/>
      <c r="AI45" s="45"/>
      <c r="AJ45" s="45"/>
      <c r="AK45" s="9"/>
      <c r="AL45" s="45"/>
      <c r="AM45" s="9"/>
      <c r="AN45" s="9"/>
      <c r="AO45" s="9"/>
      <c r="AP45" s="9"/>
      <c r="AQ45" s="9"/>
      <c r="AR45" s="37"/>
      <c r="AS45" s="9"/>
    </row>
    <row r="46" spans="1:45" x14ac:dyDescent="0.2">
      <c r="A46" s="6"/>
      <c r="B46" s="6" t="str">
        <f t="shared" si="28"/>
        <v>Lynch</v>
      </c>
      <c r="C46" s="7"/>
      <c r="D46" s="9">
        <v>1.5</v>
      </c>
      <c r="E46" s="9">
        <v>4</v>
      </c>
      <c r="F46" s="9">
        <v>4</v>
      </c>
      <c r="G46" s="9">
        <v>4</v>
      </c>
      <c r="H46" s="9">
        <v>3.5</v>
      </c>
      <c r="I46" s="9">
        <v>1.5</v>
      </c>
      <c r="J46" s="9">
        <v>4.5</v>
      </c>
      <c r="K46" s="34">
        <v>4</v>
      </c>
      <c r="L46" s="34">
        <v>5.5</v>
      </c>
      <c r="M46" s="34">
        <v>3.5</v>
      </c>
      <c r="N46" s="34">
        <v>2</v>
      </c>
      <c r="O46" s="34">
        <v>3</v>
      </c>
      <c r="P46" s="34"/>
      <c r="Q46" s="9">
        <f t="shared" si="18"/>
        <v>41</v>
      </c>
      <c r="R46" s="9">
        <f t="shared" si="19"/>
        <v>5.5</v>
      </c>
      <c r="S46" s="9">
        <f t="shared" si="20"/>
        <v>1.5</v>
      </c>
      <c r="T46" s="37">
        <f t="shared" si="21"/>
        <v>3.4166666666666665</v>
      </c>
      <c r="U46" s="9">
        <f t="shared" si="22"/>
        <v>4</v>
      </c>
      <c r="V46" s="36"/>
      <c r="W46" s="36"/>
      <c r="X46" s="11"/>
      <c r="Y46" s="11"/>
      <c r="Z46" s="6"/>
      <c r="AA46" s="7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45"/>
      <c r="AN46" s="9"/>
      <c r="AO46" s="9"/>
      <c r="AP46" s="9"/>
      <c r="AQ46" s="9"/>
      <c r="AR46" s="37"/>
      <c r="AS46" s="9"/>
    </row>
    <row r="47" spans="1:45" x14ac:dyDescent="0.2">
      <c r="B47" s="6" t="str">
        <f t="shared" si="28"/>
        <v>Mangold</v>
      </c>
      <c r="C47" s="7"/>
      <c r="D47" s="9">
        <v>0</v>
      </c>
      <c r="E47" s="9">
        <v>3.5</v>
      </c>
      <c r="F47" s="9">
        <v>3</v>
      </c>
      <c r="G47" s="9">
        <v>2</v>
      </c>
      <c r="H47" s="9">
        <v>5</v>
      </c>
      <c r="I47" s="9">
        <v>1</v>
      </c>
      <c r="J47" s="9">
        <v>2.5</v>
      </c>
      <c r="K47" s="34">
        <v>1</v>
      </c>
      <c r="L47" s="34" t="s">
        <v>20</v>
      </c>
      <c r="M47" s="34">
        <v>3.5</v>
      </c>
      <c r="N47" s="34">
        <v>1.5</v>
      </c>
      <c r="O47" s="34">
        <v>5.5</v>
      </c>
      <c r="P47" s="34"/>
      <c r="Q47" s="9">
        <f t="shared" si="18"/>
        <v>28.5</v>
      </c>
      <c r="R47" s="9">
        <f t="shared" si="19"/>
        <v>5.5</v>
      </c>
      <c r="S47" s="9">
        <f t="shared" si="20"/>
        <v>0</v>
      </c>
      <c r="T47" s="37">
        <f t="shared" si="21"/>
        <v>2.5909090909090908</v>
      </c>
      <c r="U47" s="9">
        <f t="shared" si="22"/>
        <v>5.5</v>
      </c>
      <c r="V47" s="36"/>
      <c r="W47" s="36"/>
      <c r="X47" s="11"/>
      <c r="Y47" s="11"/>
      <c r="Z47" s="32"/>
      <c r="AA47" s="7"/>
      <c r="AB47" s="33"/>
      <c r="AC47" s="33"/>
      <c r="AD47" s="33"/>
      <c r="AE47" s="33"/>
      <c r="AF47" s="9"/>
      <c r="AG47" s="33"/>
      <c r="AH47" s="33"/>
      <c r="AI47" s="9"/>
      <c r="AJ47" s="9"/>
      <c r="AK47" s="9"/>
      <c r="AL47" s="9"/>
      <c r="AM47" s="9"/>
      <c r="AN47" s="9"/>
      <c r="AO47" s="9"/>
      <c r="AP47" s="9"/>
      <c r="AQ47" s="9"/>
      <c r="AR47" s="37"/>
      <c r="AS47" s="9"/>
    </row>
    <row r="48" spans="1:45" x14ac:dyDescent="0.2">
      <c r="B48" s="6" t="str">
        <f t="shared" si="28"/>
        <v>McInerney</v>
      </c>
      <c r="C48" s="7"/>
      <c r="D48" s="42" t="s">
        <v>20</v>
      </c>
      <c r="E48" s="9" t="s">
        <v>20</v>
      </c>
      <c r="F48" s="9">
        <v>2.5</v>
      </c>
      <c r="G48" s="9">
        <v>3.5</v>
      </c>
      <c r="H48" s="9">
        <v>3.5</v>
      </c>
      <c r="I48" s="9">
        <v>5.5</v>
      </c>
      <c r="J48" s="9">
        <v>3</v>
      </c>
      <c r="K48" s="34">
        <v>3</v>
      </c>
      <c r="L48" s="34">
        <v>4</v>
      </c>
      <c r="M48" s="34">
        <v>3</v>
      </c>
      <c r="N48" s="43" t="s">
        <v>20</v>
      </c>
      <c r="O48" s="45" t="s">
        <v>20</v>
      </c>
      <c r="P48" s="43"/>
      <c r="Q48" s="9">
        <f t="shared" si="18"/>
        <v>28</v>
      </c>
      <c r="R48" s="9">
        <f t="shared" si="19"/>
        <v>5.5</v>
      </c>
      <c r="S48" s="9">
        <f t="shared" si="20"/>
        <v>2.5</v>
      </c>
      <c r="T48" s="37">
        <f t="shared" si="21"/>
        <v>3.5</v>
      </c>
      <c r="U48" s="9">
        <f t="shared" si="22"/>
        <v>3</v>
      </c>
      <c r="V48" s="36"/>
      <c r="W48" s="36"/>
      <c r="X48" s="11"/>
      <c r="Y48" s="11"/>
      <c r="Z48" s="30"/>
      <c r="AA48" s="7"/>
      <c r="AB48" s="31"/>
      <c r="AC48" s="31"/>
      <c r="AD48" s="31"/>
      <c r="AE48" s="31"/>
      <c r="AF48" s="31"/>
      <c r="AG48" s="31"/>
      <c r="AH48" s="31"/>
      <c r="AI48" s="9"/>
      <c r="AJ48" s="9"/>
      <c r="AK48" s="9"/>
      <c r="AL48" s="9"/>
      <c r="AM48" s="9"/>
      <c r="AN48" s="9"/>
      <c r="AO48" s="9"/>
      <c r="AP48" s="9"/>
      <c r="AQ48" s="9"/>
      <c r="AR48" s="37"/>
      <c r="AS48" s="9"/>
    </row>
    <row r="49" spans="2:45" x14ac:dyDescent="0.2">
      <c r="B49" s="6" t="str">
        <f t="shared" si="28"/>
        <v>Norat</v>
      </c>
      <c r="C49" s="7"/>
      <c r="D49" s="42" t="s">
        <v>20</v>
      </c>
      <c r="E49" s="9" t="s">
        <v>20</v>
      </c>
      <c r="F49" s="9">
        <v>2.5</v>
      </c>
      <c r="G49" s="9">
        <v>2</v>
      </c>
      <c r="H49" s="9">
        <v>5.5</v>
      </c>
      <c r="I49" s="9">
        <v>4</v>
      </c>
      <c r="J49" s="9">
        <v>2</v>
      </c>
      <c r="K49" s="34" t="s">
        <v>20</v>
      </c>
      <c r="L49" s="34" t="s">
        <v>20</v>
      </c>
      <c r="M49" s="41" t="s">
        <v>20</v>
      </c>
      <c r="N49" s="41">
        <v>5</v>
      </c>
      <c r="O49" s="45" t="s">
        <v>20</v>
      </c>
      <c r="P49" s="41"/>
      <c r="Q49" s="9">
        <f t="shared" si="18"/>
        <v>21</v>
      </c>
      <c r="R49" s="9">
        <f t="shared" si="19"/>
        <v>5.5</v>
      </c>
      <c r="S49" s="9">
        <f t="shared" si="20"/>
        <v>2</v>
      </c>
      <c r="T49" s="37">
        <f t="shared" si="21"/>
        <v>3.5</v>
      </c>
      <c r="U49" s="9">
        <f t="shared" si="22"/>
        <v>3.5</v>
      </c>
      <c r="V49" s="36"/>
      <c r="W49" s="36"/>
      <c r="X49" s="11"/>
      <c r="Y49" s="11"/>
      <c r="Z49" s="48"/>
      <c r="AA49" s="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9"/>
      <c r="AN49" s="9"/>
      <c r="AO49" s="9"/>
      <c r="AP49" s="9"/>
      <c r="AQ49" s="9"/>
      <c r="AR49" s="37"/>
      <c r="AS49" s="9"/>
    </row>
    <row r="50" spans="2:45" x14ac:dyDescent="0.2">
      <c r="B50" s="35" t="s">
        <v>43</v>
      </c>
      <c r="C50" s="7"/>
      <c r="D50" s="42" t="s">
        <v>20</v>
      </c>
      <c r="E50" s="42" t="s">
        <v>20</v>
      </c>
      <c r="F50" s="42" t="s">
        <v>20</v>
      </c>
      <c r="G50" s="42" t="s">
        <v>20</v>
      </c>
      <c r="H50" s="42" t="s">
        <v>20</v>
      </c>
      <c r="I50" s="34" t="s">
        <v>20</v>
      </c>
      <c r="J50" s="34" t="s">
        <v>20</v>
      </c>
      <c r="K50" s="34">
        <v>5.5</v>
      </c>
      <c r="L50" s="34">
        <v>6</v>
      </c>
      <c r="M50" s="34">
        <v>2</v>
      </c>
      <c r="N50" s="43" t="s">
        <v>20</v>
      </c>
      <c r="O50" s="43">
        <v>5</v>
      </c>
      <c r="P50" s="43"/>
      <c r="Q50" s="9">
        <f t="shared" si="18"/>
        <v>18.5</v>
      </c>
      <c r="R50" s="9">
        <f t="shared" si="19"/>
        <v>6</v>
      </c>
      <c r="S50" s="9">
        <f t="shared" si="20"/>
        <v>2</v>
      </c>
      <c r="T50" s="37">
        <f t="shared" si="21"/>
        <v>4.625</v>
      </c>
      <c r="U50" s="9">
        <f t="shared" si="22"/>
        <v>4</v>
      </c>
      <c r="V50" s="36"/>
      <c r="W50" s="36"/>
      <c r="X50" s="11"/>
      <c r="Y50" s="11"/>
      <c r="Z50" s="6"/>
      <c r="AA50" s="7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37"/>
      <c r="AS50" s="9"/>
    </row>
    <row r="51" spans="2:45" x14ac:dyDescent="0.2">
      <c r="B51" s="44" t="s">
        <v>44</v>
      </c>
      <c r="C51" s="7"/>
      <c r="D51" s="42" t="s">
        <v>20</v>
      </c>
      <c r="E51" s="42" t="s">
        <v>20</v>
      </c>
      <c r="F51" s="42" t="s">
        <v>20</v>
      </c>
      <c r="G51" s="42" t="s">
        <v>20</v>
      </c>
      <c r="H51" s="42" t="s">
        <v>20</v>
      </c>
      <c r="I51" s="34" t="s">
        <v>20</v>
      </c>
      <c r="J51" s="34" t="s">
        <v>20</v>
      </c>
      <c r="K51" s="34">
        <v>1.5</v>
      </c>
      <c r="L51" s="45" t="s">
        <v>20</v>
      </c>
      <c r="M51" s="45" t="s">
        <v>20</v>
      </c>
      <c r="N51" s="45" t="s">
        <v>20</v>
      </c>
      <c r="O51" s="43">
        <v>1</v>
      </c>
      <c r="P51" s="43"/>
      <c r="Q51" s="9">
        <f t="shared" si="18"/>
        <v>2.5</v>
      </c>
      <c r="R51" s="9">
        <f t="shared" si="19"/>
        <v>1.5</v>
      </c>
      <c r="S51" s="9">
        <f t="shared" si="20"/>
        <v>1</v>
      </c>
      <c r="T51" s="37">
        <f t="shared" si="21"/>
        <v>1.25</v>
      </c>
      <c r="U51" s="9">
        <f t="shared" si="22"/>
        <v>0.5</v>
      </c>
      <c r="V51" s="36"/>
      <c r="W51" s="36"/>
      <c r="X51" s="11"/>
      <c r="Y51" s="11"/>
      <c r="Z51" s="6"/>
      <c r="AA51" s="7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47"/>
      <c r="AN51" s="9"/>
      <c r="AO51" s="9"/>
      <c r="AP51" s="9"/>
      <c r="AQ51" s="9"/>
      <c r="AR51" s="37"/>
      <c r="AS51" s="9"/>
    </row>
    <row r="52" spans="2:45" x14ac:dyDescent="0.2">
      <c r="B52" s="6" t="str">
        <f>B24</f>
        <v>Poirier</v>
      </c>
      <c r="C52" s="7"/>
      <c r="D52" s="9">
        <v>3.5</v>
      </c>
      <c r="E52" s="9" t="s">
        <v>20</v>
      </c>
      <c r="F52" s="9" t="s">
        <v>20</v>
      </c>
      <c r="G52" s="9" t="s">
        <v>20</v>
      </c>
      <c r="H52" s="9">
        <v>3.5</v>
      </c>
      <c r="I52" s="9">
        <f>I24-H24</f>
        <v>0</v>
      </c>
      <c r="J52" s="9">
        <v>4.5</v>
      </c>
      <c r="K52" s="34" t="s">
        <v>20</v>
      </c>
      <c r="L52" s="34">
        <v>4.5</v>
      </c>
      <c r="M52" s="41" t="s">
        <v>20</v>
      </c>
      <c r="N52" s="41">
        <v>5</v>
      </c>
      <c r="O52" s="41">
        <v>6</v>
      </c>
      <c r="P52" s="41"/>
      <c r="Q52" s="9">
        <f t="shared" si="18"/>
        <v>27</v>
      </c>
      <c r="R52" s="9">
        <f t="shared" si="19"/>
        <v>6</v>
      </c>
      <c r="S52" s="9">
        <f t="shared" si="20"/>
        <v>0</v>
      </c>
      <c r="T52" s="37">
        <f t="shared" si="21"/>
        <v>3.8571428571428572</v>
      </c>
      <c r="U52" s="9">
        <f t="shared" si="22"/>
        <v>6</v>
      </c>
      <c r="V52" s="36"/>
      <c r="W52" s="36"/>
      <c r="X52" s="11"/>
      <c r="Y52" s="11"/>
      <c r="Z52" s="6"/>
      <c r="AA52" s="7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37"/>
      <c r="AS52" s="9"/>
    </row>
    <row r="53" spans="2:45" x14ac:dyDescent="0.2">
      <c r="B53" s="6" t="str">
        <f>B25</f>
        <v>Shively</v>
      </c>
      <c r="C53" s="7"/>
      <c r="D53" s="9">
        <v>4</v>
      </c>
      <c r="E53" s="9">
        <v>3</v>
      </c>
      <c r="F53" s="9">
        <v>1.5</v>
      </c>
      <c r="G53" s="9">
        <v>2.5</v>
      </c>
      <c r="H53" s="9">
        <v>0.5</v>
      </c>
      <c r="I53" s="9">
        <v>5.5</v>
      </c>
      <c r="J53" s="9">
        <v>3.5</v>
      </c>
      <c r="K53" s="34">
        <v>2.5</v>
      </c>
      <c r="L53" s="34">
        <v>1</v>
      </c>
      <c r="M53" s="41" t="s">
        <v>20</v>
      </c>
      <c r="N53" s="41">
        <v>1.5</v>
      </c>
      <c r="O53" s="41">
        <v>1.5</v>
      </c>
      <c r="P53" s="41"/>
      <c r="Q53" s="9">
        <f t="shared" si="18"/>
        <v>27</v>
      </c>
      <c r="R53" s="9">
        <f t="shared" si="19"/>
        <v>5.5</v>
      </c>
      <c r="S53" s="9">
        <f t="shared" si="20"/>
        <v>0.5</v>
      </c>
      <c r="T53" s="37">
        <f t="shared" si="21"/>
        <v>2.4545454545454546</v>
      </c>
      <c r="U53" s="9">
        <f t="shared" si="22"/>
        <v>5</v>
      </c>
      <c r="V53" s="36"/>
      <c r="W53" s="36"/>
      <c r="X53" s="11"/>
      <c r="Y53" s="11"/>
      <c r="Z53" s="6"/>
      <c r="AA53" s="7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37"/>
      <c r="AS53" s="9"/>
    </row>
    <row r="54" spans="2:45" x14ac:dyDescent="0.2">
      <c r="B54" s="6" t="str">
        <f>B26</f>
        <v>Welker</v>
      </c>
      <c r="C54" s="7"/>
      <c r="D54" s="42" t="s">
        <v>20</v>
      </c>
      <c r="E54" s="42" t="s">
        <v>20</v>
      </c>
      <c r="F54" s="9" t="s">
        <v>20</v>
      </c>
      <c r="G54" s="9">
        <v>2</v>
      </c>
      <c r="H54" s="9">
        <v>3</v>
      </c>
      <c r="I54" s="9">
        <v>5.5</v>
      </c>
      <c r="J54" s="9">
        <v>3</v>
      </c>
      <c r="K54" s="34">
        <v>3</v>
      </c>
      <c r="L54" s="34">
        <v>3</v>
      </c>
      <c r="M54" s="34">
        <v>5</v>
      </c>
      <c r="N54" s="34">
        <v>4</v>
      </c>
      <c r="O54" s="45" t="s">
        <v>20</v>
      </c>
      <c r="P54" s="34"/>
      <c r="Q54" s="9">
        <f t="shared" si="18"/>
        <v>28.5</v>
      </c>
      <c r="R54" s="9">
        <f t="shared" si="19"/>
        <v>5.5</v>
      </c>
      <c r="S54" s="9">
        <f t="shared" si="20"/>
        <v>2</v>
      </c>
      <c r="T54" s="37">
        <f t="shared" si="21"/>
        <v>3.5625</v>
      </c>
      <c r="U54" s="9">
        <f t="shared" si="22"/>
        <v>3.5</v>
      </c>
      <c r="V54" s="36"/>
      <c r="W54" s="36"/>
      <c r="X54" s="11"/>
      <c r="Y54" s="11"/>
      <c r="Z54" s="6"/>
      <c r="AA54" s="7"/>
      <c r="AB54" s="9"/>
      <c r="AC54" s="9"/>
      <c r="AD54" s="9"/>
      <c r="AE54" s="9"/>
      <c r="AF54" s="9"/>
      <c r="AG54" s="9"/>
      <c r="AH54" s="9"/>
      <c r="AI54" s="34"/>
      <c r="AJ54" s="34"/>
      <c r="AK54" s="34"/>
      <c r="AL54" s="34"/>
      <c r="AM54" s="45"/>
      <c r="AN54" s="34"/>
      <c r="AO54" s="9"/>
      <c r="AP54" s="9"/>
      <c r="AQ54" s="9"/>
      <c r="AR54" s="37"/>
      <c r="AS54" s="9"/>
    </row>
    <row r="55" spans="2:45" x14ac:dyDescent="0.2">
      <c r="B55" s="6" t="str">
        <f>B27</f>
        <v>Zimmer</v>
      </c>
      <c r="C55" s="7"/>
      <c r="D55" s="42" t="s">
        <v>20</v>
      </c>
      <c r="E55" s="42" t="s">
        <v>20</v>
      </c>
      <c r="F55" s="9">
        <v>4</v>
      </c>
      <c r="G55" s="9">
        <v>4</v>
      </c>
      <c r="H55" s="9">
        <v>4.5</v>
      </c>
      <c r="I55" s="9">
        <v>1</v>
      </c>
      <c r="J55" s="9">
        <v>6</v>
      </c>
      <c r="K55" s="34">
        <v>4.5</v>
      </c>
      <c r="L55" s="34">
        <v>3.5</v>
      </c>
      <c r="M55" s="34">
        <v>1</v>
      </c>
      <c r="N55" s="34">
        <v>2.5</v>
      </c>
      <c r="O55" s="34">
        <v>1.5</v>
      </c>
      <c r="P55" s="34"/>
      <c r="Q55" s="9">
        <f t="shared" si="18"/>
        <v>32.5</v>
      </c>
      <c r="R55" s="9">
        <f t="shared" si="19"/>
        <v>6</v>
      </c>
      <c r="S55" s="9">
        <f t="shared" si="20"/>
        <v>1</v>
      </c>
      <c r="T55" s="37">
        <f t="shared" si="21"/>
        <v>3.25</v>
      </c>
      <c r="U55" s="9">
        <f t="shared" si="22"/>
        <v>5</v>
      </c>
      <c r="V55" s="36"/>
      <c r="W55" s="36"/>
      <c r="X55" s="11"/>
      <c r="Y55" s="11"/>
      <c r="Z55" s="6"/>
      <c r="AA55" s="7"/>
      <c r="AB55" s="9"/>
      <c r="AC55" s="9"/>
      <c r="AD55" s="9"/>
      <c r="AE55" s="9"/>
      <c r="AF55" s="9"/>
      <c r="AG55" s="9"/>
      <c r="AH55" s="9"/>
      <c r="AI55" s="34"/>
      <c r="AJ55" s="34"/>
      <c r="AK55" s="34"/>
      <c r="AL55" s="34"/>
      <c r="AM55" s="34"/>
      <c r="AN55" s="34"/>
      <c r="AO55" s="9"/>
      <c r="AP55" s="9"/>
      <c r="AQ55" s="9"/>
      <c r="AR55" s="37"/>
      <c r="AS55" s="9"/>
    </row>
    <row r="56" spans="2:45" x14ac:dyDescent="0.2">
      <c r="B56" s="6"/>
      <c r="K56" s="35"/>
      <c r="L56" s="35"/>
      <c r="M56" s="35"/>
      <c r="N56" s="35"/>
      <c r="O56" s="35"/>
      <c r="P56" s="35"/>
      <c r="Q56" s="35"/>
      <c r="R56" s="35"/>
      <c r="S56" s="35"/>
      <c r="T56" s="36"/>
      <c r="U56" s="36"/>
      <c r="V56" s="36"/>
      <c r="W56" s="36"/>
      <c r="X56" s="11"/>
      <c r="Y56" s="11"/>
      <c r="Z56" s="6"/>
      <c r="AA56" s="7"/>
      <c r="AB56" s="9"/>
      <c r="AC56" s="9"/>
      <c r="AD56" s="9"/>
      <c r="AE56" s="9"/>
      <c r="AF56" s="9"/>
      <c r="AG56" s="9"/>
      <c r="AH56" s="9"/>
      <c r="AI56" s="34"/>
      <c r="AJ56" s="34"/>
      <c r="AK56" s="34"/>
      <c r="AL56" s="34"/>
      <c r="AM56" s="34"/>
      <c r="AN56" s="34"/>
      <c r="AO56" s="9"/>
      <c r="AP56" s="9"/>
      <c r="AQ56" s="9"/>
      <c r="AR56" s="37"/>
      <c r="AS56" s="9"/>
    </row>
    <row r="57" spans="2:45" x14ac:dyDescent="0.2">
      <c r="K57" s="35"/>
      <c r="L57" s="35"/>
      <c r="M57" s="35"/>
      <c r="N57" s="35"/>
      <c r="O57" s="35"/>
      <c r="P57" s="35" t="s">
        <v>18</v>
      </c>
      <c r="Q57" s="34">
        <f>AVERAGE(Q31:Q55)</f>
        <v>28.94</v>
      </c>
      <c r="R57" s="34">
        <f>AVERAGE(R31:R55)</f>
        <v>5.3</v>
      </c>
      <c r="S57" s="34">
        <f t="shared" ref="S57:T57" si="29">AVERAGE(S31:S55)</f>
        <v>1.32</v>
      </c>
      <c r="T57" s="34">
        <f t="shared" si="29"/>
        <v>3.3624437229437234</v>
      </c>
      <c r="U57" s="36"/>
      <c r="V57" s="36"/>
      <c r="W57" s="36"/>
      <c r="X57" s="11"/>
      <c r="Y57" s="11"/>
      <c r="Z57" s="6"/>
      <c r="AA57" s="7"/>
      <c r="AB57" s="9"/>
      <c r="AC57" s="9"/>
      <c r="AD57" s="9"/>
      <c r="AE57" s="9"/>
      <c r="AF57" s="9"/>
      <c r="AG57" s="9"/>
      <c r="AH57" s="9"/>
      <c r="AI57" s="34"/>
      <c r="AJ57" s="34"/>
      <c r="AK57" s="34"/>
      <c r="AL57" s="34"/>
      <c r="AM57" s="34"/>
      <c r="AN57" s="34"/>
      <c r="AO57" s="9"/>
      <c r="AP57" s="9"/>
      <c r="AQ57" s="9"/>
      <c r="AR57" s="37"/>
      <c r="AS57" s="9"/>
    </row>
    <row r="58" spans="2:45" x14ac:dyDescent="0.2">
      <c r="K58" s="35"/>
      <c r="L58" s="35"/>
      <c r="M58" s="35"/>
      <c r="N58" s="35"/>
      <c r="O58" s="35"/>
      <c r="P58" s="35" t="s">
        <v>30</v>
      </c>
      <c r="Q58" s="34">
        <f>MEDIAN(Q31:Q55)</f>
        <v>28.5</v>
      </c>
      <c r="R58" s="34">
        <f>MEDIAN(R31:R55)</f>
        <v>5.5</v>
      </c>
      <c r="S58" s="34">
        <f t="shared" ref="S58:T58" si="30">MEDIAN(S31:S55)</f>
        <v>1</v>
      </c>
      <c r="T58" s="34">
        <f t="shared" si="30"/>
        <v>3.5</v>
      </c>
      <c r="U58" s="35"/>
      <c r="V58" s="35"/>
      <c r="W58" s="35"/>
      <c r="Z58" s="6"/>
      <c r="AA58" s="7"/>
      <c r="AB58" s="9"/>
      <c r="AC58" s="9"/>
      <c r="AD58" s="9"/>
      <c r="AE58" s="9"/>
      <c r="AF58" s="9"/>
      <c r="AG58" s="9"/>
      <c r="AH58" s="9"/>
      <c r="AI58" s="34"/>
      <c r="AJ58" s="34"/>
      <c r="AK58" s="34"/>
      <c r="AL58" s="34"/>
      <c r="AM58" s="34"/>
      <c r="AN58" s="34"/>
      <c r="AO58" s="9"/>
      <c r="AP58" s="9"/>
      <c r="AQ58" s="9"/>
      <c r="AR58" s="37"/>
      <c r="AS58" s="9"/>
    </row>
    <row r="59" spans="2:45" x14ac:dyDescent="0.2"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Z59" s="6"/>
      <c r="AA59" s="7"/>
      <c r="AB59" s="9"/>
      <c r="AC59" s="9"/>
      <c r="AD59" s="9"/>
      <c r="AE59" s="9"/>
      <c r="AF59" s="9"/>
      <c r="AG59" s="9"/>
      <c r="AH59" s="9"/>
      <c r="AI59" s="34"/>
      <c r="AJ59" s="34"/>
      <c r="AK59" s="34"/>
      <c r="AL59" s="34"/>
      <c r="AM59" s="34"/>
      <c r="AN59" s="34"/>
      <c r="AO59" s="9"/>
      <c r="AP59" s="9"/>
      <c r="AQ59" s="9"/>
      <c r="AR59" s="37"/>
      <c r="AS59" s="9"/>
    </row>
    <row r="60" spans="2:45" x14ac:dyDescent="0.2"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Z60" s="6"/>
      <c r="AA60" s="7"/>
      <c r="AB60" s="42"/>
      <c r="AC60" s="9"/>
      <c r="AD60" s="9"/>
      <c r="AE60" s="9"/>
      <c r="AF60" s="9"/>
      <c r="AG60" s="9"/>
      <c r="AH60" s="9"/>
      <c r="AI60" s="34"/>
      <c r="AJ60" s="34"/>
      <c r="AK60" s="34"/>
      <c r="AL60" s="43"/>
      <c r="AM60" s="45"/>
      <c r="AN60" s="43"/>
      <c r="AO60" s="9"/>
      <c r="AP60" s="9"/>
      <c r="AQ60" s="9"/>
      <c r="AR60" s="37"/>
      <c r="AS60" s="9"/>
    </row>
    <row r="61" spans="2:45" x14ac:dyDescent="0.2"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Z61" s="6"/>
      <c r="AA61" s="7"/>
      <c r="AB61" s="42"/>
      <c r="AC61" s="9"/>
      <c r="AD61" s="9"/>
      <c r="AE61" s="9"/>
      <c r="AF61" s="9"/>
      <c r="AG61" s="9"/>
      <c r="AH61" s="9"/>
      <c r="AI61" s="34"/>
      <c r="AJ61" s="34"/>
      <c r="AK61" s="41"/>
      <c r="AL61" s="41"/>
      <c r="AM61" s="45"/>
      <c r="AN61" s="41"/>
      <c r="AO61" s="9"/>
      <c r="AP61" s="9"/>
      <c r="AQ61" s="9"/>
      <c r="AR61" s="37"/>
      <c r="AS61" s="9"/>
    </row>
    <row r="62" spans="2:45" x14ac:dyDescent="0.2">
      <c r="Z62" s="35"/>
      <c r="AA62" s="7"/>
      <c r="AB62" s="42"/>
      <c r="AC62" s="42"/>
      <c r="AD62" s="42"/>
      <c r="AE62" s="42"/>
      <c r="AF62" s="42"/>
      <c r="AG62" s="34"/>
      <c r="AH62" s="34"/>
      <c r="AI62" s="34"/>
      <c r="AJ62" s="34"/>
      <c r="AK62" s="34"/>
      <c r="AL62" s="43"/>
      <c r="AM62" s="43"/>
      <c r="AN62" s="43"/>
      <c r="AO62" s="9"/>
      <c r="AP62" s="9"/>
      <c r="AQ62" s="9"/>
      <c r="AR62" s="37"/>
      <c r="AS62" s="9"/>
    </row>
    <row r="63" spans="2:45" x14ac:dyDescent="0.2">
      <c r="Z63" s="44"/>
      <c r="AA63" s="7"/>
      <c r="AB63" s="42"/>
      <c r="AC63" s="42"/>
      <c r="AD63" s="42"/>
      <c r="AE63" s="42"/>
      <c r="AF63" s="42"/>
      <c r="AG63" s="34"/>
      <c r="AH63" s="34"/>
      <c r="AI63" s="34"/>
      <c r="AJ63" s="45"/>
      <c r="AK63" s="45"/>
      <c r="AL63" s="45"/>
      <c r="AM63" s="43"/>
      <c r="AN63" s="43"/>
      <c r="AO63" s="9"/>
      <c r="AP63" s="9"/>
      <c r="AQ63" s="9"/>
      <c r="AR63" s="37"/>
      <c r="AS63" s="9"/>
    </row>
    <row r="64" spans="2:45" x14ac:dyDescent="0.2">
      <c r="Z64" s="6"/>
      <c r="AA64" s="7"/>
      <c r="AB64" s="9"/>
      <c r="AC64" s="9"/>
      <c r="AD64" s="9"/>
      <c r="AE64" s="9"/>
      <c r="AF64" s="9"/>
      <c r="AG64" s="9"/>
      <c r="AH64" s="9"/>
      <c r="AI64" s="34"/>
      <c r="AJ64" s="34"/>
      <c r="AK64" s="41"/>
      <c r="AL64" s="41"/>
      <c r="AM64" s="41"/>
      <c r="AN64" s="41"/>
      <c r="AO64" s="9"/>
      <c r="AP64" s="9"/>
      <c r="AQ64" s="9"/>
      <c r="AR64" s="37"/>
      <c r="AS64" s="9"/>
    </row>
    <row r="65" spans="26:45" x14ac:dyDescent="0.2">
      <c r="Z65" s="6"/>
      <c r="AA65" s="7"/>
      <c r="AB65" s="9"/>
      <c r="AC65" s="9"/>
      <c r="AD65" s="9"/>
      <c r="AE65" s="9"/>
      <c r="AF65" s="9"/>
      <c r="AG65" s="9"/>
      <c r="AH65" s="9"/>
      <c r="AI65" s="34"/>
      <c r="AJ65" s="34"/>
      <c r="AK65" s="41"/>
      <c r="AL65" s="41"/>
      <c r="AM65" s="41"/>
      <c r="AN65" s="41"/>
      <c r="AO65" s="9"/>
      <c r="AP65" s="9"/>
      <c r="AQ65" s="9"/>
      <c r="AR65" s="37"/>
      <c r="AS65" s="9"/>
    </row>
    <row r="66" spans="26:45" x14ac:dyDescent="0.2">
      <c r="Z66" s="6"/>
      <c r="AA66" s="7"/>
      <c r="AB66" s="42"/>
      <c r="AC66" s="42"/>
      <c r="AD66" s="9"/>
      <c r="AE66" s="9"/>
      <c r="AF66" s="9"/>
      <c r="AG66" s="9"/>
      <c r="AH66" s="9"/>
      <c r="AI66" s="34"/>
      <c r="AJ66" s="34"/>
      <c r="AK66" s="34"/>
      <c r="AL66" s="34"/>
      <c r="AM66" s="45"/>
      <c r="AN66" s="34"/>
      <c r="AO66" s="9"/>
      <c r="AP66" s="9"/>
      <c r="AQ66" s="9"/>
      <c r="AR66" s="37"/>
      <c r="AS66" s="9"/>
    </row>
    <row r="67" spans="26:45" x14ac:dyDescent="0.2">
      <c r="Z67" s="6"/>
      <c r="AA67" s="7"/>
      <c r="AB67" s="42"/>
      <c r="AC67" s="42"/>
      <c r="AD67" s="9"/>
      <c r="AE67" s="9"/>
      <c r="AF67" s="9"/>
      <c r="AG67" s="9"/>
      <c r="AH67" s="9"/>
      <c r="AI67" s="34"/>
      <c r="AJ67" s="34"/>
      <c r="AK67" s="34"/>
      <c r="AL67" s="34"/>
      <c r="AM67" s="34"/>
      <c r="AN67" s="34"/>
      <c r="AO67" s="9"/>
      <c r="AP67" s="9"/>
      <c r="AQ67" s="9"/>
      <c r="AR67" s="37"/>
      <c r="AS67" s="9"/>
    </row>
    <row r="68" spans="26:45" x14ac:dyDescent="0.2">
      <c r="Z68" s="6"/>
      <c r="AI68" s="35"/>
      <c r="AJ68" s="35"/>
      <c r="AK68" s="35"/>
      <c r="AL68" s="35"/>
      <c r="AM68" s="35"/>
      <c r="AN68" s="35"/>
      <c r="AO68" s="35"/>
      <c r="AP68" s="35"/>
      <c r="AQ68" s="35"/>
      <c r="AR68" s="36"/>
      <c r="AS68" s="36"/>
    </row>
    <row r="69" spans="26:45" x14ac:dyDescent="0.2">
      <c r="AI69" s="35"/>
      <c r="AJ69" s="35"/>
      <c r="AK69" s="35"/>
      <c r="AL69" s="35"/>
      <c r="AM69" s="35"/>
      <c r="AN69" s="35"/>
      <c r="AO69" s="34"/>
      <c r="AP69" s="34"/>
      <c r="AQ69" s="34"/>
      <c r="AR69" s="34"/>
      <c r="AS69" s="36"/>
    </row>
    <row r="70" spans="26:45" x14ac:dyDescent="0.2">
      <c r="AI70" s="35"/>
      <c r="AJ70" s="35"/>
      <c r="AK70" s="35"/>
      <c r="AL70" s="35"/>
      <c r="AM70" s="35"/>
      <c r="AN70" s="35"/>
      <c r="AO70" s="34"/>
      <c r="AP70" s="34"/>
      <c r="AQ70" s="34"/>
      <c r="AR70" s="34"/>
      <c r="AS70" s="3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F7CF5-2135-4C3D-B9E4-FE8B02CC3C30}">
  <dimension ref="A1:U40"/>
  <sheetViews>
    <sheetView topLeftCell="A21" workbookViewId="0">
      <selection activeCell="O22" sqref="O22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4" width="8" customWidth="1"/>
    <col min="17" max="18" width="10" customWidth="1"/>
  </cols>
  <sheetData>
    <row r="1" spans="1:2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x14ac:dyDescent="0.2">
      <c r="A2" s="17"/>
      <c r="B2" s="27" t="str">
        <f>Handicaps!B2</f>
        <v>Player</v>
      </c>
      <c r="C2" s="21" t="s">
        <v>37</v>
      </c>
      <c r="D2" s="21" t="s">
        <v>36</v>
      </c>
      <c r="E2" s="21" t="s">
        <v>35</v>
      </c>
      <c r="F2" s="21" t="s">
        <v>34</v>
      </c>
      <c r="G2" s="21" t="s">
        <v>33</v>
      </c>
      <c r="H2" s="21" t="s">
        <v>32</v>
      </c>
      <c r="I2" s="21" t="s">
        <v>31</v>
      </c>
      <c r="J2" s="21" t="s">
        <v>38</v>
      </c>
      <c r="K2" s="21" t="s">
        <v>42</v>
      </c>
      <c r="L2" s="21" t="s">
        <v>53</v>
      </c>
      <c r="M2" s="21" t="s">
        <v>56</v>
      </c>
      <c r="N2" s="21" t="s">
        <v>67</v>
      </c>
      <c r="O2" s="19" t="s">
        <v>45</v>
      </c>
      <c r="P2" s="21" t="s">
        <v>25</v>
      </c>
      <c r="Q2" s="21" t="s">
        <v>51</v>
      </c>
      <c r="R2" s="21" t="s">
        <v>52</v>
      </c>
      <c r="S2" s="17"/>
      <c r="T2" s="17"/>
      <c r="U2" s="17"/>
    </row>
    <row r="3" spans="1:21" x14ac:dyDescent="0.2">
      <c r="A3" s="17"/>
      <c r="B3" s="17" t="s">
        <v>12</v>
      </c>
      <c r="C3" s="39">
        <v>1</v>
      </c>
      <c r="D3" s="39">
        <v>1</v>
      </c>
      <c r="E3" s="39">
        <v>1</v>
      </c>
      <c r="F3" s="39">
        <v>1</v>
      </c>
      <c r="G3" s="39">
        <v>1</v>
      </c>
      <c r="H3" s="39">
        <v>1</v>
      </c>
      <c r="I3" s="39">
        <v>1</v>
      </c>
      <c r="J3" s="39">
        <v>0</v>
      </c>
      <c r="K3" s="39">
        <v>1</v>
      </c>
      <c r="L3" s="39">
        <v>1</v>
      </c>
      <c r="M3" s="39">
        <v>0</v>
      </c>
      <c r="N3" s="39">
        <v>1</v>
      </c>
      <c r="O3" s="39">
        <f t="shared" ref="O3:O32" si="0">SUM(C3:N3)</f>
        <v>10</v>
      </c>
      <c r="P3" s="39">
        <f>VLOOKUP($B3,Points!$B$2:'Points'!$C$34,2,FALSE)</f>
        <v>12</v>
      </c>
      <c r="Q3" s="40">
        <f t="shared" ref="Q3" si="1">O3/P3</f>
        <v>0.83333333333333337</v>
      </c>
      <c r="R3" s="39">
        <f t="shared" ref="R3" si="2">P3-O3</f>
        <v>2</v>
      </c>
      <c r="S3" s="17"/>
      <c r="T3" s="17"/>
      <c r="U3" s="17"/>
    </row>
    <row r="4" spans="1:21" x14ac:dyDescent="0.2">
      <c r="A4" s="17"/>
      <c r="B4" s="17" t="s">
        <v>54</v>
      </c>
      <c r="C4" s="39">
        <v>1</v>
      </c>
      <c r="D4" s="39">
        <v>1</v>
      </c>
      <c r="E4" s="39">
        <v>1</v>
      </c>
      <c r="F4" s="39">
        <v>1</v>
      </c>
      <c r="G4" s="39">
        <v>1</v>
      </c>
      <c r="H4" s="39">
        <v>0</v>
      </c>
      <c r="I4" s="39">
        <v>0</v>
      </c>
      <c r="J4" s="39">
        <v>1</v>
      </c>
      <c r="K4" s="39">
        <v>1</v>
      </c>
      <c r="L4" s="39">
        <v>1</v>
      </c>
      <c r="M4" s="39">
        <v>1</v>
      </c>
      <c r="N4" s="39">
        <v>0</v>
      </c>
      <c r="O4" s="39">
        <f t="shared" si="0"/>
        <v>9</v>
      </c>
      <c r="P4" s="39">
        <f>VLOOKUP($B4,Points!$B$2:'Points'!$C$34,2,FALSE)</f>
        <v>12</v>
      </c>
      <c r="Q4" s="40">
        <f t="shared" ref="Q4:Q32" si="3">O4/P4</f>
        <v>0.75</v>
      </c>
      <c r="R4" s="39">
        <f t="shared" ref="R4:R32" si="4">P4-O4</f>
        <v>3</v>
      </c>
      <c r="S4" s="17"/>
      <c r="T4" s="17"/>
      <c r="U4" s="17"/>
    </row>
    <row r="5" spans="1:21" x14ac:dyDescent="0.2">
      <c r="A5" s="17"/>
      <c r="B5" s="17" t="s">
        <v>4</v>
      </c>
      <c r="C5" s="39">
        <v>0</v>
      </c>
      <c r="D5" s="39">
        <v>1</v>
      </c>
      <c r="E5" s="39">
        <v>0</v>
      </c>
      <c r="F5" s="39">
        <v>1</v>
      </c>
      <c r="G5" s="39">
        <v>1</v>
      </c>
      <c r="H5" s="39">
        <v>1</v>
      </c>
      <c r="I5" s="39">
        <v>1</v>
      </c>
      <c r="J5" s="39">
        <v>1</v>
      </c>
      <c r="K5" s="39">
        <v>0</v>
      </c>
      <c r="L5" s="39">
        <v>1</v>
      </c>
      <c r="M5" s="39">
        <v>0</v>
      </c>
      <c r="N5" s="39">
        <v>1</v>
      </c>
      <c r="O5" s="39">
        <f t="shared" si="0"/>
        <v>8</v>
      </c>
      <c r="P5" s="39">
        <f>VLOOKUP($B5,Points!$B$2:'Points'!$C$34,2,FALSE)</f>
        <v>12</v>
      </c>
      <c r="Q5" s="40">
        <f t="shared" si="3"/>
        <v>0.66666666666666663</v>
      </c>
      <c r="R5" s="39">
        <f t="shared" si="4"/>
        <v>4</v>
      </c>
      <c r="S5" s="17"/>
      <c r="T5" s="17"/>
      <c r="U5" s="17"/>
    </row>
    <row r="6" spans="1:21" x14ac:dyDescent="0.2">
      <c r="A6" s="17"/>
      <c r="B6" s="17" t="s">
        <v>0</v>
      </c>
      <c r="C6" s="39">
        <v>1</v>
      </c>
      <c r="D6" s="39">
        <v>1</v>
      </c>
      <c r="E6" s="39">
        <v>1</v>
      </c>
      <c r="F6" s="39" t="s">
        <v>20</v>
      </c>
      <c r="G6" s="39">
        <v>0</v>
      </c>
      <c r="H6" s="39">
        <v>1</v>
      </c>
      <c r="I6" s="39">
        <v>0</v>
      </c>
      <c r="J6" s="39">
        <v>1</v>
      </c>
      <c r="K6" s="39">
        <v>1</v>
      </c>
      <c r="L6" s="39">
        <v>1</v>
      </c>
      <c r="M6" s="39">
        <v>0</v>
      </c>
      <c r="N6" s="39">
        <v>1</v>
      </c>
      <c r="O6" s="39">
        <f t="shared" si="0"/>
        <v>8</v>
      </c>
      <c r="P6" s="39">
        <f>VLOOKUP($B6,Points!$B$2:'Points'!$C$34,2,FALSE)</f>
        <v>11</v>
      </c>
      <c r="Q6" s="40">
        <f t="shared" si="3"/>
        <v>0.72727272727272729</v>
      </c>
      <c r="R6" s="39">
        <f t="shared" si="4"/>
        <v>3</v>
      </c>
      <c r="S6" s="17"/>
      <c r="T6" s="17"/>
      <c r="U6" s="17"/>
    </row>
    <row r="7" spans="1:21" x14ac:dyDescent="0.2">
      <c r="A7" s="17"/>
      <c r="B7" s="17" t="s">
        <v>2</v>
      </c>
      <c r="C7" s="39">
        <v>1</v>
      </c>
      <c r="D7" s="39">
        <v>0</v>
      </c>
      <c r="E7" s="39">
        <v>0</v>
      </c>
      <c r="F7" s="39">
        <v>1</v>
      </c>
      <c r="G7" s="39">
        <v>1</v>
      </c>
      <c r="H7" s="39">
        <v>1</v>
      </c>
      <c r="I7" s="39">
        <v>0</v>
      </c>
      <c r="J7" s="39">
        <v>0</v>
      </c>
      <c r="K7" s="39">
        <v>1</v>
      </c>
      <c r="L7" s="39" t="s">
        <v>20</v>
      </c>
      <c r="M7" s="39">
        <v>1</v>
      </c>
      <c r="N7" s="39">
        <v>1</v>
      </c>
      <c r="O7" s="39">
        <f t="shared" si="0"/>
        <v>7</v>
      </c>
      <c r="P7" s="39">
        <f>VLOOKUP($B7,Points!$B$2:'Points'!$C$34,2,FALSE)</f>
        <v>11</v>
      </c>
      <c r="Q7" s="40">
        <f t="shared" si="3"/>
        <v>0.63636363636363635</v>
      </c>
      <c r="R7" s="39">
        <f t="shared" si="4"/>
        <v>4</v>
      </c>
      <c r="S7" s="17"/>
      <c r="T7" s="17"/>
      <c r="U7" s="17"/>
    </row>
    <row r="8" spans="1:21" x14ac:dyDescent="0.2">
      <c r="A8" s="17"/>
      <c r="B8" s="17" t="s">
        <v>13</v>
      </c>
      <c r="C8" s="39" t="s">
        <v>20</v>
      </c>
      <c r="D8" s="39" t="s">
        <v>20</v>
      </c>
      <c r="E8" s="39">
        <v>1</v>
      </c>
      <c r="F8" s="39">
        <v>1</v>
      </c>
      <c r="G8" s="39">
        <v>1</v>
      </c>
      <c r="H8" s="39">
        <v>0</v>
      </c>
      <c r="I8" s="39">
        <v>1</v>
      </c>
      <c r="J8" s="39">
        <v>1</v>
      </c>
      <c r="K8" s="39">
        <v>0</v>
      </c>
      <c r="L8" s="39">
        <v>0</v>
      </c>
      <c r="M8" s="39">
        <v>1</v>
      </c>
      <c r="N8" s="39">
        <v>0</v>
      </c>
      <c r="O8" s="39">
        <f t="shared" si="0"/>
        <v>6</v>
      </c>
      <c r="P8" s="39">
        <f>VLOOKUP($B8,Points!$B$2:'Points'!$C$34,2,FALSE)</f>
        <v>10</v>
      </c>
      <c r="Q8" s="40">
        <f t="shared" si="3"/>
        <v>0.6</v>
      </c>
      <c r="R8" s="39">
        <f t="shared" si="4"/>
        <v>4</v>
      </c>
      <c r="S8" s="17"/>
      <c r="T8" s="17"/>
      <c r="U8" s="17"/>
    </row>
    <row r="9" spans="1:21" x14ac:dyDescent="0.2">
      <c r="A9" s="17"/>
      <c r="B9" s="17" t="s">
        <v>17</v>
      </c>
      <c r="C9" s="39" t="s">
        <v>20</v>
      </c>
      <c r="D9" s="39" t="s">
        <v>20</v>
      </c>
      <c r="E9" s="39">
        <v>1</v>
      </c>
      <c r="F9" s="39">
        <v>1</v>
      </c>
      <c r="G9" s="39">
        <v>1</v>
      </c>
      <c r="H9" s="39">
        <v>1</v>
      </c>
      <c r="I9" s="39">
        <v>0</v>
      </c>
      <c r="J9" s="39">
        <v>0</v>
      </c>
      <c r="K9" s="39">
        <v>1</v>
      </c>
      <c r="L9" s="39">
        <v>0</v>
      </c>
      <c r="M9" s="39" t="s">
        <v>20</v>
      </c>
      <c r="N9" s="39" t="s">
        <v>20</v>
      </c>
      <c r="O9" s="39">
        <f t="shared" si="0"/>
        <v>5</v>
      </c>
      <c r="P9" s="39">
        <f>VLOOKUP($B9,Points!$B$2:'Points'!$C$34,2,FALSE)</f>
        <v>8</v>
      </c>
      <c r="Q9" s="40">
        <f t="shared" si="3"/>
        <v>0.625</v>
      </c>
      <c r="R9" s="39">
        <f t="shared" si="4"/>
        <v>3</v>
      </c>
      <c r="S9" s="17"/>
      <c r="T9" s="17"/>
      <c r="U9" s="17"/>
    </row>
    <row r="10" spans="1:21" x14ac:dyDescent="0.2">
      <c r="A10" s="17"/>
      <c r="B10" s="17" t="s">
        <v>9</v>
      </c>
      <c r="C10" s="39">
        <v>0</v>
      </c>
      <c r="D10" s="39">
        <v>1</v>
      </c>
      <c r="E10" s="39">
        <v>0</v>
      </c>
      <c r="F10" s="39">
        <v>0</v>
      </c>
      <c r="G10" s="39">
        <v>0</v>
      </c>
      <c r="H10" s="39">
        <v>0</v>
      </c>
      <c r="I10" s="39">
        <v>1</v>
      </c>
      <c r="J10" s="39">
        <v>0</v>
      </c>
      <c r="K10" s="39">
        <v>1</v>
      </c>
      <c r="L10" s="39">
        <v>1</v>
      </c>
      <c r="M10" s="39">
        <v>0</v>
      </c>
      <c r="N10" s="39">
        <v>1</v>
      </c>
      <c r="O10" s="39">
        <f t="shared" si="0"/>
        <v>5</v>
      </c>
      <c r="P10" s="39">
        <f>VLOOKUP($B10,Points!$B$2:'Points'!$C$34,2,FALSE)</f>
        <v>12</v>
      </c>
      <c r="Q10" s="40">
        <f t="shared" si="3"/>
        <v>0.41666666666666669</v>
      </c>
      <c r="R10" s="39">
        <f t="shared" si="4"/>
        <v>7</v>
      </c>
      <c r="S10" s="17"/>
      <c r="T10" s="17"/>
      <c r="U10" s="17"/>
    </row>
    <row r="11" spans="1:21" x14ac:dyDescent="0.2">
      <c r="A11" s="17"/>
      <c r="B11" s="17" t="s">
        <v>6</v>
      </c>
      <c r="C11" s="39" t="s">
        <v>20</v>
      </c>
      <c r="D11" s="39">
        <v>0</v>
      </c>
      <c r="E11" s="39">
        <v>1</v>
      </c>
      <c r="F11" s="39">
        <v>1</v>
      </c>
      <c r="G11" s="39">
        <v>0</v>
      </c>
      <c r="H11" s="39">
        <v>1</v>
      </c>
      <c r="I11" s="39">
        <v>0</v>
      </c>
      <c r="J11" s="39">
        <v>0</v>
      </c>
      <c r="K11" s="39">
        <v>0</v>
      </c>
      <c r="L11" s="39">
        <v>0</v>
      </c>
      <c r="M11" s="39">
        <v>1</v>
      </c>
      <c r="N11" s="39">
        <v>1</v>
      </c>
      <c r="O11" s="39">
        <f t="shared" si="0"/>
        <v>5</v>
      </c>
      <c r="P11" s="39">
        <f>VLOOKUP($B11,Points!$B$2:'Points'!$C$34,2,FALSE)</f>
        <v>11</v>
      </c>
      <c r="Q11" s="40">
        <f t="shared" si="3"/>
        <v>0.45454545454545453</v>
      </c>
      <c r="R11" s="39">
        <f t="shared" si="4"/>
        <v>6</v>
      </c>
      <c r="S11" s="17"/>
      <c r="T11" s="17"/>
      <c r="U11" s="17"/>
    </row>
    <row r="12" spans="1:21" x14ac:dyDescent="0.2">
      <c r="A12" s="17"/>
      <c r="B12" s="17" t="s">
        <v>11</v>
      </c>
      <c r="C12" s="39" t="s">
        <v>20</v>
      </c>
      <c r="D12" s="39">
        <v>1</v>
      </c>
      <c r="E12" s="39">
        <v>0</v>
      </c>
      <c r="F12" s="39">
        <v>0</v>
      </c>
      <c r="G12" s="39">
        <v>0</v>
      </c>
      <c r="H12" s="39">
        <v>0</v>
      </c>
      <c r="I12" s="39">
        <v>1</v>
      </c>
      <c r="J12" s="39">
        <v>1</v>
      </c>
      <c r="K12" s="39">
        <v>1</v>
      </c>
      <c r="L12" s="39">
        <v>0</v>
      </c>
      <c r="M12" s="39">
        <v>0</v>
      </c>
      <c r="N12" s="39" t="s">
        <v>20</v>
      </c>
      <c r="O12" s="39">
        <f t="shared" si="0"/>
        <v>4</v>
      </c>
      <c r="P12" s="39">
        <f>VLOOKUP($B12,Points!$B$2:'Points'!$C$34,2,FALSE)</f>
        <v>10</v>
      </c>
      <c r="Q12" s="40">
        <f t="shared" si="3"/>
        <v>0.4</v>
      </c>
      <c r="R12" s="39">
        <f t="shared" si="4"/>
        <v>6</v>
      </c>
      <c r="S12" s="17"/>
      <c r="T12" s="17"/>
      <c r="U12" s="17"/>
    </row>
    <row r="13" spans="1:21" x14ac:dyDescent="0.2">
      <c r="A13" s="17"/>
      <c r="B13" s="17" t="s">
        <v>7</v>
      </c>
      <c r="C13" s="39" t="s">
        <v>20</v>
      </c>
      <c r="D13" s="39">
        <v>0</v>
      </c>
      <c r="E13" s="39">
        <v>1</v>
      </c>
      <c r="F13" s="39">
        <v>0</v>
      </c>
      <c r="G13" s="39">
        <v>0</v>
      </c>
      <c r="H13" s="39">
        <v>0</v>
      </c>
      <c r="I13" s="39">
        <v>1</v>
      </c>
      <c r="J13" s="39">
        <v>0</v>
      </c>
      <c r="K13" s="39">
        <v>1</v>
      </c>
      <c r="L13" s="39">
        <v>1</v>
      </c>
      <c r="M13" s="39">
        <v>0</v>
      </c>
      <c r="N13" s="39" t="s">
        <v>20</v>
      </c>
      <c r="O13" s="39">
        <f t="shared" si="0"/>
        <v>4</v>
      </c>
      <c r="P13" s="39">
        <f>VLOOKUP($B13,Points!$B$2:'Points'!$C$34,2,FALSE)</f>
        <v>10</v>
      </c>
      <c r="Q13" s="40">
        <f t="shared" si="3"/>
        <v>0.4</v>
      </c>
      <c r="R13" s="39">
        <f t="shared" si="4"/>
        <v>6</v>
      </c>
      <c r="S13" s="17"/>
      <c r="T13" s="17"/>
      <c r="U13" s="17"/>
    </row>
    <row r="14" spans="1:21" x14ac:dyDescent="0.2">
      <c r="A14" s="17"/>
      <c r="B14" s="17" t="s">
        <v>41</v>
      </c>
      <c r="C14" s="39" t="s">
        <v>20</v>
      </c>
      <c r="D14" s="39" t="s">
        <v>20</v>
      </c>
      <c r="E14" s="39" t="s">
        <v>20</v>
      </c>
      <c r="F14" s="39" t="s">
        <v>20</v>
      </c>
      <c r="G14" s="39">
        <v>1</v>
      </c>
      <c r="H14" s="39" t="s">
        <v>20</v>
      </c>
      <c r="I14" s="39" t="s">
        <v>20</v>
      </c>
      <c r="J14" s="39">
        <v>1</v>
      </c>
      <c r="K14" s="39">
        <v>1</v>
      </c>
      <c r="L14" s="39">
        <v>1</v>
      </c>
      <c r="M14" s="39">
        <v>0</v>
      </c>
      <c r="N14" s="39">
        <v>0</v>
      </c>
      <c r="O14" s="39">
        <f t="shared" si="0"/>
        <v>4</v>
      </c>
      <c r="P14" s="39">
        <f>VLOOKUP($B14,Points!$B$2:'Points'!$C$34,2,FALSE)</f>
        <v>6</v>
      </c>
      <c r="Q14" s="40">
        <f t="shared" si="3"/>
        <v>0.66666666666666663</v>
      </c>
      <c r="R14" s="39">
        <f t="shared" si="4"/>
        <v>2</v>
      </c>
      <c r="S14" s="17"/>
      <c r="T14" s="17"/>
      <c r="U14" s="17"/>
    </row>
    <row r="15" spans="1:21" x14ac:dyDescent="0.2">
      <c r="A15" s="17"/>
      <c r="B15" s="17" t="s">
        <v>5</v>
      </c>
      <c r="C15" s="39" t="s">
        <v>20</v>
      </c>
      <c r="D15" s="39" t="s">
        <v>20</v>
      </c>
      <c r="E15" s="39">
        <v>1</v>
      </c>
      <c r="F15" s="39">
        <v>0</v>
      </c>
      <c r="G15" s="39">
        <v>0</v>
      </c>
      <c r="H15" s="39">
        <v>1</v>
      </c>
      <c r="I15" s="39">
        <v>1</v>
      </c>
      <c r="J15" s="39" t="s">
        <v>20</v>
      </c>
      <c r="K15" s="39" t="s">
        <v>20</v>
      </c>
      <c r="L15" s="39">
        <v>0</v>
      </c>
      <c r="M15" s="39">
        <v>1</v>
      </c>
      <c r="N15" s="39" t="s">
        <v>20</v>
      </c>
      <c r="O15" s="39">
        <f t="shared" si="0"/>
        <v>4</v>
      </c>
      <c r="P15" s="39">
        <f>VLOOKUP($B15,Points!$B$2:'Points'!$C$34,2,FALSE)</f>
        <v>7</v>
      </c>
      <c r="Q15" s="40">
        <f t="shared" si="3"/>
        <v>0.5714285714285714</v>
      </c>
      <c r="R15" s="39">
        <f t="shared" si="4"/>
        <v>3</v>
      </c>
      <c r="S15" s="17"/>
      <c r="T15" s="17"/>
      <c r="U15" s="17"/>
    </row>
    <row r="16" spans="1:21" x14ac:dyDescent="0.2">
      <c r="A16" s="17"/>
      <c r="B16" s="17" t="s">
        <v>8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1</v>
      </c>
      <c r="J16" s="39">
        <v>1</v>
      </c>
      <c r="K16" s="39">
        <v>0</v>
      </c>
      <c r="L16" s="39">
        <v>1</v>
      </c>
      <c r="M16" s="39">
        <v>1</v>
      </c>
      <c r="N16" s="39">
        <v>0</v>
      </c>
      <c r="O16" s="39">
        <f t="shared" si="0"/>
        <v>4</v>
      </c>
      <c r="P16" s="39">
        <f>VLOOKUP($B16,Points!$B$2:'Points'!$C$34,2,FALSE)</f>
        <v>12</v>
      </c>
      <c r="Q16" s="40">
        <f t="shared" si="3"/>
        <v>0.33333333333333331</v>
      </c>
      <c r="R16" s="39">
        <f t="shared" si="4"/>
        <v>8</v>
      </c>
      <c r="S16" s="17"/>
      <c r="T16" s="17"/>
      <c r="U16" s="17"/>
    </row>
    <row r="17" spans="1:21" x14ac:dyDescent="0.2">
      <c r="A17" s="17"/>
      <c r="B17" s="17" t="s">
        <v>43</v>
      </c>
      <c r="C17" s="39" t="s">
        <v>20</v>
      </c>
      <c r="D17" s="39" t="s">
        <v>20</v>
      </c>
      <c r="E17" s="39" t="s">
        <v>20</v>
      </c>
      <c r="F17" s="39" t="s">
        <v>20</v>
      </c>
      <c r="G17" s="39" t="s">
        <v>20</v>
      </c>
      <c r="H17" s="39" t="s">
        <v>20</v>
      </c>
      <c r="I17" s="39" t="s">
        <v>20</v>
      </c>
      <c r="J17" s="39">
        <v>1</v>
      </c>
      <c r="K17" s="39">
        <v>1</v>
      </c>
      <c r="L17" s="39">
        <v>1</v>
      </c>
      <c r="M17" s="39" t="s">
        <v>20</v>
      </c>
      <c r="N17" s="39">
        <v>1</v>
      </c>
      <c r="O17" s="39">
        <f t="shared" si="0"/>
        <v>4</v>
      </c>
      <c r="P17" s="39">
        <f>VLOOKUP($B17,Points!$B$2:'Points'!$C$34,2,FALSE)</f>
        <v>4</v>
      </c>
      <c r="Q17" s="40">
        <f t="shared" si="3"/>
        <v>1</v>
      </c>
      <c r="R17" s="39">
        <f t="shared" si="4"/>
        <v>0</v>
      </c>
      <c r="S17" s="17"/>
      <c r="T17" s="17"/>
      <c r="U17" s="17"/>
    </row>
    <row r="18" spans="1:21" x14ac:dyDescent="0.2">
      <c r="A18" s="17"/>
      <c r="B18" s="17" t="s">
        <v>3</v>
      </c>
      <c r="C18" s="39" t="s">
        <v>20</v>
      </c>
      <c r="D18" s="39">
        <v>1</v>
      </c>
      <c r="E18" s="39">
        <v>0</v>
      </c>
      <c r="F18" s="39">
        <v>0</v>
      </c>
      <c r="G18" s="39">
        <v>1</v>
      </c>
      <c r="H18" s="39">
        <v>0</v>
      </c>
      <c r="I18" s="39">
        <v>0</v>
      </c>
      <c r="J18" s="39">
        <v>0</v>
      </c>
      <c r="K18" s="39">
        <v>0</v>
      </c>
      <c r="L18" s="39">
        <v>0</v>
      </c>
      <c r="M18" s="39">
        <v>1</v>
      </c>
      <c r="N18" s="39">
        <v>1</v>
      </c>
      <c r="O18" s="39">
        <f t="shared" si="0"/>
        <v>4</v>
      </c>
      <c r="P18" s="39">
        <f>VLOOKUP($B18,Points!$B$2:'Points'!$C$34,2,FALSE)</f>
        <v>11</v>
      </c>
      <c r="Q18" s="40">
        <f t="shared" si="3"/>
        <v>0.36363636363636365</v>
      </c>
      <c r="R18" s="39">
        <f t="shared" si="4"/>
        <v>7</v>
      </c>
      <c r="S18" s="17"/>
      <c r="T18" s="17"/>
      <c r="U18" s="17"/>
    </row>
    <row r="19" spans="1:21" x14ac:dyDescent="0.2">
      <c r="A19" s="17"/>
      <c r="B19" s="17" t="s">
        <v>47</v>
      </c>
      <c r="C19" s="39" t="s">
        <v>20</v>
      </c>
      <c r="D19" s="39">
        <v>0</v>
      </c>
      <c r="E19" s="39">
        <v>0</v>
      </c>
      <c r="F19" s="39">
        <v>1</v>
      </c>
      <c r="G19" s="39">
        <v>0</v>
      </c>
      <c r="H19" s="39">
        <v>1</v>
      </c>
      <c r="I19" s="39">
        <v>1</v>
      </c>
      <c r="J19" s="39" t="s">
        <v>20</v>
      </c>
      <c r="K19" s="39" t="s">
        <v>20</v>
      </c>
      <c r="L19" s="39" t="s">
        <v>20</v>
      </c>
      <c r="M19" s="39">
        <v>0</v>
      </c>
      <c r="N19" s="39" t="s">
        <v>20</v>
      </c>
      <c r="O19" s="39">
        <f t="shared" si="0"/>
        <v>3</v>
      </c>
      <c r="P19" s="39">
        <v>6</v>
      </c>
      <c r="Q19" s="40">
        <f t="shared" si="3"/>
        <v>0.5</v>
      </c>
      <c r="R19" s="39">
        <f t="shared" si="4"/>
        <v>3</v>
      </c>
      <c r="S19" s="17"/>
      <c r="T19" s="17"/>
      <c r="U19" s="17"/>
    </row>
    <row r="20" spans="1:21" x14ac:dyDescent="0.2">
      <c r="A20" s="17"/>
      <c r="B20" s="17" t="s">
        <v>1</v>
      </c>
      <c r="C20" s="39">
        <v>0</v>
      </c>
      <c r="D20" s="39">
        <v>1</v>
      </c>
      <c r="E20" s="39">
        <v>0</v>
      </c>
      <c r="F20" s="39">
        <v>0</v>
      </c>
      <c r="G20" s="39">
        <v>0</v>
      </c>
      <c r="H20" s="39">
        <v>1</v>
      </c>
      <c r="I20" s="39">
        <v>1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f t="shared" si="0"/>
        <v>3</v>
      </c>
      <c r="P20" s="39">
        <f>VLOOKUP($B20,Points!$B$2:'Points'!$C$34,2,FALSE)</f>
        <v>12</v>
      </c>
      <c r="Q20" s="40">
        <f t="shared" si="3"/>
        <v>0.25</v>
      </c>
      <c r="R20" s="39">
        <f t="shared" si="4"/>
        <v>9</v>
      </c>
      <c r="S20" s="17"/>
      <c r="T20" s="17"/>
      <c r="U20" s="17"/>
    </row>
    <row r="21" spans="1:21" x14ac:dyDescent="0.2">
      <c r="A21" s="17"/>
      <c r="B21" s="17" t="s">
        <v>15</v>
      </c>
      <c r="C21" s="39">
        <v>0</v>
      </c>
      <c r="D21" s="39">
        <v>0</v>
      </c>
      <c r="E21" s="39">
        <v>0</v>
      </c>
      <c r="F21" s="39">
        <v>0</v>
      </c>
      <c r="G21" s="39">
        <v>1</v>
      </c>
      <c r="H21" s="39">
        <v>1</v>
      </c>
      <c r="I21" s="39">
        <v>0</v>
      </c>
      <c r="J21" s="39">
        <v>0</v>
      </c>
      <c r="K21" s="39" t="s">
        <v>20</v>
      </c>
      <c r="L21" s="39">
        <v>0</v>
      </c>
      <c r="M21" s="39">
        <v>0</v>
      </c>
      <c r="N21" s="39">
        <v>1</v>
      </c>
      <c r="O21" s="39">
        <f t="shared" si="0"/>
        <v>3</v>
      </c>
      <c r="P21" s="39">
        <f>VLOOKUP($B21,Points!$B$2:'Points'!$C$34,2,FALSE)</f>
        <v>11</v>
      </c>
      <c r="Q21" s="40">
        <f t="shared" si="3"/>
        <v>0.27272727272727271</v>
      </c>
      <c r="R21" s="39">
        <f t="shared" si="4"/>
        <v>8</v>
      </c>
      <c r="S21" s="17"/>
      <c r="T21" s="17"/>
      <c r="U21" s="17"/>
    </row>
    <row r="22" spans="1:21" x14ac:dyDescent="0.2">
      <c r="A22" s="17"/>
      <c r="B22" s="17" t="s">
        <v>10</v>
      </c>
      <c r="C22" s="39">
        <v>1</v>
      </c>
      <c r="D22" s="39" t="s">
        <v>20</v>
      </c>
      <c r="E22" s="39" t="s">
        <v>20</v>
      </c>
      <c r="F22" s="39" t="s">
        <v>20</v>
      </c>
      <c r="G22" s="39">
        <v>0</v>
      </c>
      <c r="H22" s="39">
        <v>0</v>
      </c>
      <c r="I22" s="39">
        <v>0</v>
      </c>
      <c r="J22" s="39" t="s">
        <v>20</v>
      </c>
      <c r="K22" s="39">
        <v>0</v>
      </c>
      <c r="L22" s="39" t="s">
        <v>20</v>
      </c>
      <c r="M22" s="39">
        <v>1</v>
      </c>
      <c r="N22" s="39">
        <v>1</v>
      </c>
      <c r="O22" s="39">
        <f t="shared" si="0"/>
        <v>3</v>
      </c>
      <c r="P22" s="39">
        <f>VLOOKUP($B22,Points!$B$2:'Points'!$C$34,2,FALSE)</f>
        <v>7</v>
      </c>
      <c r="Q22" s="40">
        <f t="shared" si="3"/>
        <v>0.42857142857142855</v>
      </c>
      <c r="R22" s="39">
        <f t="shared" si="4"/>
        <v>4</v>
      </c>
      <c r="S22" s="17"/>
      <c r="T22" s="17"/>
      <c r="U22" s="17"/>
    </row>
    <row r="23" spans="1:21" x14ac:dyDescent="0.2">
      <c r="A23" s="17"/>
      <c r="B23" s="17" t="s">
        <v>48</v>
      </c>
      <c r="C23" s="39">
        <v>0</v>
      </c>
      <c r="D23" s="39">
        <v>0</v>
      </c>
      <c r="E23" s="39">
        <v>1</v>
      </c>
      <c r="F23" s="39">
        <v>1</v>
      </c>
      <c r="G23" s="39" t="s">
        <v>20</v>
      </c>
      <c r="H23" s="39" t="s">
        <v>20</v>
      </c>
      <c r="I23" s="39" t="s">
        <v>20</v>
      </c>
      <c r="J23" s="39" t="s">
        <v>20</v>
      </c>
      <c r="K23" s="39" t="s">
        <v>20</v>
      </c>
      <c r="L23" s="39" t="s">
        <v>20</v>
      </c>
      <c r="M23" s="39" t="s">
        <v>20</v>
      </c>
      <c r="N23" s="39" t="s">
        <v>20</v>
      </c>
      <c r="O23" s="39">
        <f t="shared" si="0"/>
        <v>2</v>
      </c>
      <c r="P23" s="39">
        <v>4</v>
      </c>
      <c r="Q23" s="40">
        <f t="shared" si="3"/>
        <v>0.5</v>
      </c>
      <c r="R23" s="39">
        <f t="shared" si="4"/>
        <v>2</v>
      </c>
      <c r="S23" s="17"/>
      <c r="T23" s="17"/>
      <c r="U23" s="17"/>
    </row>
    <row r="24" spans="1:21" x14ac:dyDescent="0.2">
      <c r="A24" s="17"/>
      <c r="B24" s="17" t="s">
        <v>19</v>
      </c>
      <c r="C24" s="39" t="s">
        <v>20</v>
      </c>
      <c r="D24" s="39" t="s">
        <v>20</v>
      </c>
      <c r="E24" s="39" t="s">
        <v>20</v>
      </c>
      <c r="F24" s="39">
        <v>1</v>
      </c>
      <c r="G24" s="39">
        <v>0</v>
      </c>
      <c r="H24" s="39">
        <v>0</v>
      </c>
      <c r="I24" s="39">
        <v>0</v>
      </c>
      <c r="J24" s="39">
        <v>1</v>
      </c>
      <c r="K24" s="39">
        <v>0</v>
      </c>
      <c r="L24" s="39">
        <v>0</v>
      </c>
      <c r="M24" s="39">
        <v>0</v>
      </c>
      <c r="N24" s="39" t="s">
        <v>20</v>
      </c>
      <c r="O24" s="39">
        <f t="shared" si="0"/>
        <v>2</v>
      </c>
      <c r="P24" s="39">
        <f>VLOOKUP($B24,Points!$B$2:'Points'!$C$34,2,FALSE)</f>
        <v>8</v>
      </c>
      <c r="Q24" s="40">
        <f t="shared" si="3"/>
        <v>0.25</v>
      </c>
      <c r="R24" s="39">
        <f t="shared" si="4"/>
        <v>6</v>
      </c>
      <c r="S24" s="17"/>
      <c r="T24" s="17"/>
      <c r="U24" s="17"/>
    </row>
    <row r="25" spans="1:21" x14ac:dyDescent="0.2">
      <c r="A25" s="17"/>
      <c r="B25" s="17" t="s">
        <v>39</v>
      </c>
      <c r="C25" s="39" t="s">
        <v>20</v>
      </c>
      <c r="D25" s="39" t="s">
        <v>20</v>
      </c>
      <c r="E25" s="39" t="s">
        <v>20</v>
      </c>
      <c r="F25" s="39" t="s">
        <v>20</v>
      </c>
      <c r="G25" s="39" t="s">
        <v>20</v>
      </c>
      <c r="H25" s="39" t="s">
        <v>20</v>
      </c>
      <c r="I25" s="39" t="s">
        <v>20</v>
      </c>
      <c r="J25" s="39">
        <v>1</v>
      </c>
      <c r="K25" s="39">
        <v>0</v>
      </c>
      <c r="L25" s="39">
        <v>0</v>
      </c>
      <c r="M25" s="39">
        <v>1</v>
      </c>
      <c r="N25" s="39">
        <v>0</v>
      </c>
      <c r="O25" s="39">
        <f t="shared" si="0"/>
        <v>2</v>
      </c>
      <c r="P25" s="39">
        <f>VLOOKUP($B25,Points!$B$2:'Points'!$C$34,2,FALSE)</f>
        <v>5</v>
      </c>
      <c r="Q25" s="40">
        <f t="shared" si="3"/>
        <v>0.4</v>
      </c>
      <c r="R25" s="39">
        <f t="shared" si="4"/>
        <v>3</v>
      </c>
      <c r="S25" s="17"/>
      <c r="T25" s="17"/>
      <c r="U25" s="17"/>
    </row>
    <row r="26" spans="1:21" x14ac:dyDescent="0.2">
      <c r="A26" s="17"/>
      <c r="B26" s="17" t="s">
        <v>14</v>
      </c>
      <c r="C26" s="39" t="s">
        <v>20</v>
      </c>
      <c r="D26" s="39">
        <v>0</v>
      </c>
      <c r="E26" s="39">
        <v>0</v>
      </c>
      <c r="F26" s="39">
        <v>0</v>
      </c>
      <c r="G26" s="39">
        <v>1</v>
      </c>
      <c r="H26" s="39">
        <v>0</v>
      </c>
      <c r="I26" s="39">
        <v>0</v>
      </c>
      <c r="J26" s="39" t="s">
        <v>20</v>
      </c>
      <c r="K26" s="39" t="s">
        <v>20</v>
      </c>
      <c r="L26" s="39" t="s">
        <v>20</v>
      </c>
      <c r="M26" s="39">
        <v>1</v>
      </c>
      <c r="N26" s="39" t="s">
        <v>20</v>
      </c>
      <c r="O26" s="39">
        <f t="shared" si="0"/>
        <v>2</v>
      </c>
      <c r="P26" s="39">
        <f>VLOOKUP($B26,Points!$B$2:'Points'!$C$34,2,FALSE)</f>
        <v>6</v>
      </c>
      <c r="Q26" s="40">
        <f t="shared" si="3"/>
        <v>0.33333333333333331</v>
      </c>
      <c r="R26" s="39">
        <f t="shared" si="4"/>
        <v>4</v>
      </c>
      <c r="S26" s="17"/>
      <c r="T26" s="17"/>
      <c r="U26" s="17"/>
    </row>
    <row r="27" spans="1:21" x14ac:dyDescent="0.2">
      <c r="A27" s="17"/>
      <c r="B27" s="17" t="s">
        <v>46</v>
      </c>
      <c r="C27" s="39" t="s">
        <v>20</v>
      </c>
      <c r="D27" s="39" t="s">
        <v>20</v>
      </c>
      <c r="E27" s="39" t="s">
        <v>20</v>
      </c>
      <c r="F27" s="39" t="s">
        <v>20</v>
      </c>
      <c r="G27" s="39" t="s">
        <v>20</v>
      </c>
      <c r="H27" s="39" t="s">
        <v>20</v>
      </c>
      <c r="I27" s="39" t="s">
        <v>20</v>
      </c>
      <c r="J27" s="39">
        <v>1</v>
      </c>
      <c r="K27" s="39">
        <v>0</v>
      </c>
      <c r="L27" s="39" t="s">
        <v>20</v>
      </c>
      <c r="M27" s="39" t="s">
        <v>20</v>
      </c>
      <c r="N27" s="39">
        <v>0</v>
      </c>
      <c r="O27" s="39">
        <f t="shared" si="0"/>
        <v>1</v>
      </c>
      <c r="P27" s="39">
        <v>2</v>
      </c>
      <c r="Q27" s="40">
        <f t="shared" si="3"/>
        <v>0.5</v>
      </c>
      <c r="R27" s="39">
        <f t="shared" si="4"/>
        <v>1</v>
      </c>
      <c r="S27" s="17"/>
      <c r="T27" s="17"/>
      <c r="U27" s="17"/>
    </row>
    <row r="28" spans="1:21" x14ac:dyDescent="0.2">
      <c r="A28" s="17"/>
      <c r="B28" s="17" t="s">
        <v>50</v>
      </c>
      <c r="C28" s="39">
        <v>1</v>
      </c>
      <c r="D28" s="39" t="s">
        <v>20</v>
      </c>
      <c r="E28" s="39" t="s">
        <v>20</v>
      </c>
      <c r="F28" s="39" t="s">
        <v>20</v>
      </c>
      <c r="G28" s="39" t="s">
        <v>20</v>
      </c>
      <c r="H28" s="39" t="s">
        <v>20</v>
      </c>
      <c r="I28" s="39" t="s">
        <v>20</v>
      </c>
      <c r="J28" s="39" t="s">
        <v>20</v>
      </c>
      <c r="K28" s="39" t="s">
        <v>20</v>
      </c>
      <c r="L28" s="39" t="s">
        <v>20</v>
      </c>
      <c r="M28" s="39" t="s">
        <v>20</v>
      </c>
      <c r="N28" s="39" t="s">
        <v>20</v>
      </c>
      <c r="O28" s="39">
        <f t="shared" si="0"/>
        <v>1</v>
      </c>
      <c r="P28" s="39">
        <v>1</v>
      </c>
      <c r="Q28" s="40">
        <f t="shared" si="3"/>
        <v>1</v>
      </c>
      <c r="R28" s="39">
        <f t="shared" si="4"/>
        <v>0</v>
      </c>
      <c r="S28" s="17"/>
      <c r="T28" s="17"/>
      <c r="U28" s="17"/>
    </row>
    <row r="29" spans="1:21" x14ac:dyDescent="0.2">
      <c r="A29" s="17"/>
      <c r="B29" s="17" t="s">
        <v>49</v>
      </c>
      <c r="C29" s="39" t="s">
        <v>20</v>
      </c>
      <c r="D29" s="39">
        <v>0</v>
      </c>
      <c r="E29" s="39">
        <v>1</v>
      </c>
      <c r="F29" s="39" t="s">
        <v>20</v>
      </c>
      <c r="G29" s="39" t="s">
        <v>20</v>
      </c>
      <c r="H29" s="39" t="s">
        <v>20</v>
      </c>
      <c r="I29" s="39" t="s">
        <v>20</v>
      </c>
      <c r="J29" s="39" t="s">
        <v>20</v>
      </c>
      <c r="K29" s="39" t="s">
        <v>20</v>
      </c>
      <c r="L29" s="39" t="s">
        <v>20</v>
      </c>
      <c r="M29" s="39" t="s">
        <v>20</v>
      </c>
      <c r="N29" s="39" t="s">
        <v>20</v>
      </c>
      <c r="O29" s="39">
        <f t="shared" si="0"/>
        <v>1</v>
      </c>
      <c r="P29" s="39">
        <v>3</v>
      </c>
      <c r="Q29" s="40">
        <f t="shared" si="3"/>
        <v>0.33333333333333331</v>
      </c>
      <c r="R29" s="39">
        <f t="shared" si="4"/>
        <v>2</v>
      </c>
      <c r="S29" s="17"/>
      <c r="T29" s="17"/>
      <c r="U29" s="17"/>
    </row>
    <row r="30" spans="1:21" x14ac:dyDescent="0.2">
      <c r="A30" s="17"/>
      <c r="B30" s="17" t="s">
        <v>55</v>
      </c>
      <c r="C30" s="39" t="s">
        <v>20</v>
      </c>
      <c r="D30" s="39" t="s">
        <v>20</v>
      </c>
      <c r="E30" s="39" t="s">
        <v>20</v>
      </c>
      <c r="F30" s="39" t="s">
        <v>20</v>
      </c>
      <c r="G30" s="39" t="s">
        <v>20</v>
      </c>
      <c r="H30" s="39" t="s">
        <v>20</v>
      </c>
      <c r="I30" s="39" t="s">
        <v>20</v>
      </c>
      <c r="J30" s="39" t="s">
        <v>20</v>
      </c>
      <c r="K30" s="39" t="s">
        <v>20</v>
      </c>
      <c r="L30" s="39">
        <v>1</v>
      </c>
      <c r="M30" s="39" t="s">
        <v>20</v>
      </c>
      <c r="N30" s="39">
        <v>0</v>
      </c>
      <c r="O30" s="39">
        <f t="shared" si="0"/>
        <v>1</v>
      </c>
      <c r="P30" s="39">
        <v>1</v>
      </c>
      <c r="Q30" s="40">
        <f t="shared" si="3"/>
        <v>1</v>
      </c>
      <c r="R30" s="39">
        <f t="shared" si="4"/>
        <v>0</v>
      </c>
      <c r="S30" s="17"/>
      <c r="T30" s="17"/>
      <c r="U30" s="17"/>
    </row>
    <row r="31" spans="1:21" x14ac:dyDescent="0.2">
      <c r="A31" s="17"/>
      <c r="B31" s="17" t="s">
        <v>69</v>
      </c>
      <c r="C31" s="39" t="s">
        <v>20</v>
      </c>
      <c r="D31" s="39" t="s">
        <v>20</v>
      </c>
      <c r="E31" s="39" t="s">
        <v>20</v>
      </c>
      <c r="F31" s="39" t="s">
        <v>20</v>
      </c>
      <c r="G31" s="39" t="s">
        <v>20</v>
      </c>
      <c r="H31" s="39" t="s">
        <v>20</v>
      </c>
      <c r="I31" s="39" t="s">
        <v>20</v>
      </c>
      <c r="J31" s="39" t="s">
        <v>20</v>
      </c>
      <c r="K31" s="39" t="s">
        <v>20</v>
      </c>
      <c r="L31" s="39" t="s">
        <v>20</v>
      </c>
      <c r="M31" s="39" t="s">
        <v>20</v>
      </c>
      <c r="N31" s="39">
        <v>1</v>
      </c>
      <c r="O31" s="39">
        <f t="shared" si="0"/>
        <v>1</v>
      </c>
      <c r="P31" s="39">
        <v>1</v>
      </c>
      <c r="Q31" s="40">
        <f t="shared" si="3"/>
        <v>1</v>
      </c>
      <c r="R31" s="39">
        <f t="shared" si="4"/>
        <v>0</v>
      </c>
      <c r="S31" s="17"/>
      <c r="T31" s="17"/>
      <c r="U31" s="17"/>
    </row>
    <row r="32" spans="1:21" x14ac:dyDescent="0.2">
      <c r="A32" s="17"/>
      <c r="B32" s="17" t="s">
        <v>44</v>
      </c>
      <c r="C32" s="39" t="s">
        <v>20</v>
      </c>
      <c r="D32" s="39" t="s">
        <v>20</v>
      </c>
      <c r="E32" s="39" t="s">
        <v>20</v>
      </c>
      <c r="F32" s="39" t="s">
        <v>20</v>
      </c>
      <c r="G32" s="39" t="s">
        <v>20</v>
      </c>
      <c r="H32" s="39" t="s">
        <v>20</v>
      </c>
      <c r="I32" s="39" t="s">
        <v>20</v>
      </c>
      <c r="J32" s="39">
        <v>0</v>
      </c>
      <c r="K32" s="39" t="s">
        <v>20</v>
      </c>
      <c r="L32" s="39" t="s">
        <v>20</v>
      </c>
      <c r="M32" s="39" t="s">
        <v>20</v>
      </c>
      <c r="N32" s="39">
        <v>0</v>
      </c>
      <c r="O32" s="39">
        <f t="shared" si="0"/>
        <v>0</v>
      </c>
      <c r="P32" s="39">
        <v>1</v>
      </c>
      <c r="Q32" s="40">
        <f t="shared" si="3"/>
        <v>0</v>
      </c>
      <c r="R32" s="39">
        <f t="shared" si="4"/>
        <v>1</v>
      </c>
      <c r="S32" s="17"/>
      <c r="T32" s="17"/>
      <c r="U32" s="17"/>
    </row>
    <row r="33" spans="1:21" x14ac:dyDescent="0.2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</row>
    <row r="34" spans="1:21" x14ac:dyDescent="0.2">
      <c r="A34" s="17"/>
      <c r="B34" s="17" t="s">
        <v>45</v>
      </c>
      <c r="C34" s="39">
        <f t="shared" ref="C34:J34" si="5">SUM(C3:C30)</f>
        <v>6</v>
      </c>
      <c r="D34" s="39">
        <f t="shared" si="5"/>
        <v>8</v>
      </c>
      <c r="E34" s="39">
        <f t="shared" si="5"/>
        <v>10</v>
      </c>
      <c r="F34" s="39">
        <f t="shared" si="5"/>
        <v>10</v>
      </c>
      <c r="G34" s="39">
        <f t="shared" si="5"/>
        <v>10</v>
      </c>
      <c r="H34" s="39">
        <f t="shared" si="5"/>
        <v>10</v>
      </c>
      <c r="I34" s="39">
        <f t="shared" si="5"/>
        <v>10</v>
      </c>
      <c r="J34" s="39">
        <f t="shared" si="5"/>
        <v>11</v>
      </c>
      <c r="K34" s="39">
        <f>SUM(K3:K30)</f>
        <v>10</v>
      </c>
      <c r="L34" s="39">
        <f>SUM(L3:L31)</f>
        <v>10</v>
      </c>
      <c r="M34" s="39">
        <f t="shared" ref="M34:N34" si="6">SUM(M3:M31)</f>
        <v>10</v>
      </c>
      <c r="N34" s="39">
        <f t="shared" si="6"/>
        <v>11</v>
      </c>
      <c r="O34" s="39">
        <f>SUM(O3:O30)</f>
        <v>115</v>
      </c>
      <c r="P34" s="39">
        <f>SUM(P3:P31)</f>
        <v>226</v>
      </c>
      <c r="Q34" s="17"/>
      <c r="R34" s="17"/>
      <c r="S34" s="17"/>
      <c r="T34" s="17"/>
      <c r="U34" s="17"/>
    </row>
    <row r="35" spans="1:2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x14ac:dyDescent="0.2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x14ac:dyDescent="0.2">
      <c r="A40" s="38"/>
      <c r="B40" s="38"/>
      <c r="C40" s="38"/>
      <c r="D40" s="38"/>
      <c r="E40" s="38"/>
      <c r="F40" s="38"/>
    </row>
  </sheetData>
  <autoFilter ref="B3:R31" xr:uid="{59BF7CF5-2135-4C3D-B9E4-FE8B02CC3C30}">
    <sortState xmlns:xlrd2="http://schemas.microsoft.com/office/spreadsheetml/2017/richdata2" ref="B4:R32">
      <sortCondition descending="1" ref="O3:O31"/>
    </sortState>
  </autoFilter>
  <sortState xmlns:xlrd2="http://schemas.microsoft.com/office/spreadsheetml/2017/richdata2" ref="B3:R31">
    <sortCondition descending="1" ref="O3:O31"/>
  </sortState>
  <conditionalFormatting sqref="C3:N32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Craig Hilts</cp:lastModifiedBy>
  <dcterms:created xsi:type="dcterms:W3CDTF">2016-11-22T03:25:25Z</dcterms:created>
  <dcterms:modified xsi:type="dcterms:W3CDTF">2026-06-21T20:39:37Z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NewReviewCycle">
    <vt:lpwstr/>
  </property>
  <property fmtid="{D5CDD505-2E9C-101B-9397-08002B2CF9AE}" pid="4" name="_EmailSubject">
    <vt:lpwstr>Personal File</vt:lpwstr>
  </property>
  <property fmtid="{D5CDD505-2E9C-101B-9397-08002B2CF9AE}" pid="5" name="_AuthorEmail">
    <vt:lpwstr>craig.hilts@sidley.com</vt:lpwstr>
  </property>
  <property fmtid="{D5CDD505-2E9C-101B-9397-08002B2CF9AE}" pid="6" name="_AuthorEmailDisplayName">
    <vt:lpwstr>Hilts, Craig R.</vt:lpwstr>
  </property>
</Properties>
</file>