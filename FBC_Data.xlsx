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3" i="3" l="1"/>
  <c r="Q33" i="3" s="1"/>
  <c r="L163" i="19"/>
  <c r="K163" i="19"/>
  <c r="J163" i="19"/>
  <c r="L140" i="19"/>
  <c r="K140" i="19"/>
  <c r="J140" i="19"/>
  <c r="L120" i="19"/>
  <c r="K120" i="19"/>
  <c r="J120" i="19"/>
  <c r="L107" i="19"/>
  <c r="K107" i="19"/>
  <c r="J107" i="19"/>
  <c r="L79" i="19"/>
  <c r="K79" i="19"/>
  <c r="J79" i="19"/>
  <c r="L50" i="19"/>
  <c r="K50" i="19"/>
  <c r="J50" i="19"/>
  <c r="L35" i="19"/>
  <c r="K35" i="19"/>
  <c r="J35" i="19"/>
  <c r="L5" i="19"/>
  <c r="K5" i="19"/>
  <c r="J5" i="19"/>
  <c r="L150" i="19"/>
  <c r="K150" i="19"/>
  <c r="J150" i="19"/>
  <c r="L123" i="19"/>
  <c r="K123" i="19"/>
  <c r="J123" i="19"/>
  <c r="L110" i="19"/>
  <c r="K110" i="19"/>
  <c r="J110" i="19"/>
  <c r="L88" i="19"/>
  <c r="K88" i="19"/>
  <c r="J88" i="19"/>
  <c r="L56" i="19"/>
  <c r="K56" i="19"/>
  <c r="J56" i="19"/>
  <c r="G31" i="26"/>
  <c r="F31" i="26"/>
  <c r="E31" i="26"/>
  <c r="G35" i="24"/>
  <c r="F35" i="24"/>
  <c r="E35" i="24"/>
  <c r="G34" i="24"/>
  <c r="F34" i="24"/>
  <c r="E34" i="24"/>
  <c r="G33" i="24"/>
  <c r="F33" i="24"/>
  <c r="E33" i="24"/>
  <c r="G32" i="24"/>
  <c r="F32" i="24"/>
  <c r="E32" i="24"/>
  <c r="G31" i="24"/>
  <c r="F31" i="24"/>
  <c r="E31" i="24"/>
  <c r="G30" i="24"/>
  <c r="F30" i="24"/>
  <c r="E30" i="24"/>
  <c r="G29" i="24"/>
  <c r="F29" i="24"/>
  <c r="E29" i="24"/>
  <c r="G28" i="24"/>
  <c r="F28" i="24"/>
  <c r="E28" i="24"/>
  <c r="G27" i="24"/>
  <c r="F27" i="24"/>
  <c r="E27" i="24"/>
  <c r="G26" i="24"/>
  <c r="F26" i="24"/>
  <c r="E26" i="24"/>
  <c r="G25" i="24"/>
  <c r="F25" i="24"/>
  <c r="E25" i="24"/>
  <c r="G24" i="24"/>
  <c r="F24" i="24"/>
  <c r="E24" i="24"/>
  <c r="G23" i="24"/>
  <c r="F23" i="24"/>
  <c r="E23" i="24"/>
  <c r="G22" i="24"/>
  <c r="F22" i="24"/>
  <c r="E22" i="24"/>
  <c r="G21" i="24"/>
  <c r="F21" i="24"/>
  <c r="E21" i="24"/>
  <c r="G20" i="24"/>
  <c r="F20" i="24"/>
  <c r="E20" i="24"/>
  <c r="G19" i="24"/>
  <c r="F19" i="24"/>
  <c r="E19" i="24"/>
  <c r="G18" i="24"/>
  <c r="F18" i="24"/>
  <c r="E18" i="24"/>
  <c r="G17" i="24"/>
  <c r="F17" i="24"/>
  <c r="E17" i="24"/>
  <c r="G16" i="24"/>
  <c r="F16" i="24"/>
  <c r="E16" i="24"/>
  <c r="G15" i="24"/>
  <c r="F15" i="24"/>
  <c r="E15" i="24"/>
  <c r="G14" i="24"/>
  <c r="F14" i="24"/>
  <c r="E14" i="24"/>
  <c r="G13" i="24"/>
  <c r="F13" i="24"/>
  <c r="E13" i="24"/>
  <c r="G12" i="24"/>
  <c r="F12" i="24"/>
  <c r="E12" i="24"/>
  <c r="G11" i="24"/>
  <c r="F11" i="24"/>
  <c r="E11" i="24"/>
  <c r="G10" i="24"/>
  <c r="F10" i="24"/>
  <c r="E10" i="24"/>
  <c r="G9" i="24"/>
  <c r="F9" i="24"/>
  <c r="E9" i="24"/>
  <c r="G8" i="24"/>
  <c r="F8" i="24"/>
  <c r="E8" i="24"/>
  <c r="G7" i="24"/>
  <c r="F7" i="24"/>
  <c r="E7" i="24"/>
  <c r="G6" i="24"/>
  <c r="F6" i="24"/>
  <c r="E6" i="24"/>
  <c r="G5" i="24"/>
  <c r="F5" i="24"/>
  <c r="E5" i="24"/>
  <c r="L168" i="19"/>
  <c r="K168" i="19"/>
  <c r="J168" i="19"/>
  <c r="L167" i="19"/>
  <c r="K167" i="19"/>
  <c r="J167" i="19"/>
  <c r="L166" i="19"/>
  <c r="K166" i="19"/>
  <c r="J166" i="19"/>
  <c r="L165" i="19"/>
  <c r="K165" i="19"/>
  <c r="J165" i="19"/>
  <c r="L164" i="19"/>
  <c r="K164" i="19"/>
  <c r="J164" i="19"/>
  <c r="L162" i="19"/>
  <c r="K162" i="19"/>
  <c r="J162" i="19"/>
  <c r="L161" i="19"/>
  <c r="K161" i="19"/>
  <c r="J161" i="19"/>
  <c r="L160" i="19"/>
  <c r="K160" i="19"/>
  <c r="J160" i="19"/>
  <c r="L159" i="19"/>
  <c r="K159" i="19"/>
  <c r="J159" i="19"/>
  <c r="L158" i="19"/>
  <c r="K158" i="19"/>
  <c r="J158" i="19"/>
  <c r="L157" i="19"/>
  <c r="K157" i="19"/>
  <c r="J157" i="19"/>
  <c r="L156" i="19"/>
  <c r="K156" i="19"/>
  <c r="J156" i="19"/>
  <c r="L155" i="19"/>
  <c r="K155" i="19"/>
  <c r="J155" i="19"/>
  <c r="L154" i="19"/>
  <c r="K154" i="19"/>
  <c r="J154" i="19"/>
  <c r="L153" i="19"/>
  <c r="K153" i="19"/>
  <c r="J153" i="19"/>
  <c r="L152" i="19"/>
  <c r="K152" i="19"/>
  <c r="J152" i="19"/>
  <c r="L151" i="19"/>
  <c r="K151" i="19"/>
  <c r="J151" i="19"/>
  <c r="L149" i="19"/>
  <c r="K149" i="19"/>
  <c r="J149" i="19"/>
  <c r="L148" i="19"/>
  <c r="K148" i="19"/>
  <c r="J148" i="19"/>
  <c r="L147" i="19"/>
  <c r="K147" i="19"/>
  <c r="J147" i="19"/>
  <c r="L146" i="19"/>
  <c r="K146" i="19"/>
  <c r="J146" i="19"/>
  <c r="L145" i="19"/>
  <c r="K145" i="19"/>
  <c r="J145" i="19"/>
  <c r="L144" i="19"/>
  <c r="K144" i="19"/>
  <c r="J144" i="19"/>
  <c r="L143" i="19"/>
  <c r="K143" i="19"/>
  <c r="J143" i="19"/>
  <c r="L142" i="19"/>
  <c r="K142" i="19"/>
  <c r="J142" i="19"/>
  <c r="L141" i="19"/>
  <c r="K141" i="19"/>
  <c r="J141" i="19"/>
  <c r="L139" i="19"/>
  <c r="K139" i="19"/>
  <c r="J139" i="19"/>
  <c r="L138" i="19"/>
  <c r="K138" i="19"/>
  <c r="J138" i="19"/>
  <c r="L137" i="19"/>
  <c r="K137" i="19"/>
  <c r="J137" i="19"/>
  <c r="L136" i="19"/>
  <c r="K136" i="19"/>
  <c r="J136" i="19"/>
  <c r="L135" i="19"/>
  <c r="K135" i="19"/>
  <c r="J135" i="19"/>
  <c r="L134" i="19"/>
  <c r="K134" i="19"/>
  <c r="J134" i="19"/>
  <c r="L133" i="19"/>
  <c r="K133" i="19"/>
  <c r="J133" i="19"/>
  <c r="L132" i="19"/>
  <c r="K132" i="19"/>
  <c r="J132" i="19"/>
  <c r="L131" i="19"/>
  <c r="K131" i="19"/>
  <c r="J131" i="19"/>
  <c r="L130" i="19"/>
  <c r="K130" i="19"/>
  <c r="J130" i="19"/>
  <c r="L129" i="19"/>
  <c r="K129" i="19"/>
  <c r="J129" i="19"/>
  <c r="L128" i="19"/>
  <c r="K128" i="19"/>
  <c r="J128" i="19"/>
  <c r="L127" i="19"/>
  <c r="K127" i="19"/>
  <c r="J127" i="19"/>
  <c r="L126" i="19"/>
  <c r="K126" i="19"/>
  <c r="J126" i="19"/>
  <c r="L125" i="19"/>
  <c r="K125" i="19"/>
  <c r="J125" i="19"/>
  <c r="L124" i="19"/>
  <c r="K124" i="19"/>
  <c r="J124" i="19"/>
  <c r="L122" i="19"/>
  <c r="K122" i="19"/>
  <c r="J122" i="19"/>
  <c r="L121" i="19"/>
  <c r="K121" i="19"/>
  <c r="J121" i="19"/>
  <c r="L119" i="19"/>
  <c r="K119" i="19"/>
  <c r="J119" i="19"/>
  <c r="L118" i="19"/>
  <c r="K118" i="19"/>
  <c r="J118" i="19"/>
  <c r="L117" i="19"/>
  <c r="K117" i="19"/>
  <c r="J117" i="19"/>
  <c r="L116" i="19"/>
  <c r="K116" i="19"/>
  <c r="J116" i="19"/>
  <c r="L115" i="19"/>
  <c r="K115" i="19"/>
  <c r="J115" i="19"/>
  <c r="L114" i="19"/>
  <c r="K114" i="19"/>
  <c r="J114" i="19"/>
  <c r="L113" i="19"/>
  <c r="K113" i="19"/>
  <c r="J113" i="19"/>
  <c r="L112" i="19"/>
  <c r="K112" i="19"/>
  <c r="J112" i="19"/>
  <c r="L111" i="19"/>
  <c r="K111" i="19"/>
  <c r="J111" i="19"/>
  <c r="L109" i="19"/>
  <c r="K109" i="19"/>
  <c r="J109" i="19"/>
  <c r="L108" i="19"/>
  <c r="K108" i="19"/>
  <c r="J108" i="19"/>
  <c r="L106" i="19"/>
  <c r="K106" i="19"/>
  <c r="J106" i="19"/>
  <c r="L105" i="19"/>
  <c r="K105" i="19"/>
  <c r="J105" i="19"/>
  <c r="L104" i="19"/>
  <c r="K104" i="19"/>
  <c r="J104" i="19"/>
  <c r="L103" i="19"/>
  <c r="K103" i="19"/>
  <c r="J103" i="19"/>
  <c r="L102" i="19"/>
  <c r="K102" i="19"/>
  <c r="J102" i="19"/>
  <c r="L101" i="19"/>
  <c r="K101" i="19"/>
  <c r="J101" i="19"/>
  <c r="L100" i="19"/>
  <c r="K100" i="19"/>
  <c r="J100" i="19"/>
  <c r="L99" i="19"/>
  <c r="K99" i="19"/>
  <c r="J99" i="19"/>
  <c r="L98" i="19"/>
  <c r="K98" i="19"/>
  <c r="J98" i="19"/>
  <c r="L97" i="19"/>
  <c r="K97" i="19"/>
  <c r="J97" i="19"/>
  <c r="L96" i="19"/>
  <c r="K96" i="19"/>
  <c r="J96" i="19"/>
  <c r="L95" i="19"/>
  <c r="K95" i="19"/>
  <c r="J95" i="19"/>
  <c r="L94" i="19"/>
  <c r="K94" i="19"/>
  <c r="J94" i="19"/>
  <c r="L93" i="19"/>
  <c r="K93" i="19"/>
  <c r="J93" i="19"/>
  <c r="L92" i="19"/>
  <c r="K92" i="19"/>
  <c r="J92" i="19"/>
  <c r="L91" i="19"/>
  <c r="K91" i="19"/>
  <c r="J91" i="19"/>
  <c r="L90" i="19"/>
  <c r="K90" i="19"/>
  <c r="J90" i="19"/>
  <c r="L89" i="19"/>
  <c r="K89" i="19"/>
  <c r="J89" i="19"/>
  <c r="L87" i="19"/>
  <c r="K87" i="19"/>
  <c r="J87" i="19"/>
  <c r="L86" i="19"/>
  <c r="K86" i="19"/>
  <c r="J86" i="19"/>
  <c r="L85" i="19"/>
  <c r="K85" i="19"/>
  <c r="J85" i="19"/>
  <c r="L84" i="19"/>
  <c r="K84" i="19"/>
  <c r="J84" i="19"/>
  <c r="L83" i="19"/>
  <c r="K83" i="19"/>
  <c r="J83" i="19"/>
  <c r="L82" i="19"/>
  <c r="K82" i="19"/>
  <c r="J82" i="19"/>
  <c r="L81" i="19"/>
  <c r="K81" i="19"/>
  <c r="J81" i="19"/>
  <c r="L80" i="19"/>
  <c r="K80" i="19"/>
  <c r="J80" i="19"/>
  <c r="L78" i="19"/>
  <c r="K78" i="19"/>
  <c r="J78" i="19"/>
  <c r="L77" i="19"/>
  <c r="K77" i="19"/>
  <c r="J77" i="19"/>
  <c r="L76" i="19"/>
  <c r="K76" i="19"/>
  <c r="J76" i="19"/>
  <c r="L75" i="19"/>
  <c r="K75" i="19"/>
  <c r="J75" i="19"/>
  <c r="L74" i="19"/>
  <c r="K74" i="19"/>
  <c r="J74" i="19"/>
  <c r="L73" i="19"/>
  <c r="K73" i="19"/>
  <c r="J73" i="19"/>
  <c r="L72" i="19"/>
  <c r="K72" i="19"/>
  <c r="J72" i="19"/>
  <c r="L71" i="19"/>
  <c r="K71" i="19"/>
  <c r="J71" i="19"/>
  <c r="L70" i="19"/>
  <c r="K70" i="19"/>
  <c r="J70" i="19"/>
  <c r="L69" i="19"/>
  <c r="K69" i="19"/>
  <c r="J69" i="19"/>
  <c r="L68" i="19"/>
  <c r="K68" i="19"/>
  <c r="J68" i="19"/>
  <c r="L67" i="19"/>
  <c r="K67" i="19"/>
  <c r="J67" i="19"/>
  <c r="L66" i="19"/>
  <c r="K66" i="19"/>
  <c r="J66" i="19"/>
  <c r="L65" i="19"/>
  <c r="K65" i="19"/>
  <c r="J65" i="19"/>
  <c r="L64" i="19"/>
  <c r="K64" i="19"/>
  <c r="J64" i="19"/>
  <c r="L63" i="19"/>
  <c r="K63" i="19"/>
  <c r="J63" i="19"/>
  <c r="L62" i="19"/>
  <c r="K62" i="19"/>
  <c r="J62" i="19"/>
  <c r="L61" i="19"/>
  <c r="K61" i="19"/>
  <c r="J61" i="19"/>
  <c r="L60" i="19"/>
  <c r="K60" i="19"/>
  <c r="J60" i="19"/>
  <c r="L59" i="19"/>
  <c r="K59" i="19"/>
  <c r="J59" i="19"/>
  <c r="L58" i="19"/>
  <c r="K58" i="19"/>
  <c r="J58" i="19"/>
  <c r="L57" i="19"/>
  <c r="K57" i="19"/>
  <c r="J57" i="19"/>
  <c r="L55" i="19"/>
  <c r="K55" i="19"/>
  <c r="J55" i="19"/>
  <c r="L54" i="19"/>
  <c r="K54" i="19"/>
  <c r="J54" i="19"/>
  <c r="L53" i="19"/>
  <c r="K53" i="19"/>
  <c r="J53" i="19"/>
  <c r="L52" i="19"/>
  <c r="K52" i="19"/>
  <c r="J52" i="19"/>
  <c r="L51" i="19"/>
  <c r="K51" i="19"/>
  <c r="J51" i="19"/>
  <c r="L49" i="19"/>
  <c r="K49" i="19"/>
  <c r="J49" i="19"/>
  <c r="L48" i="19"/>
  <c r="K48" i="19"/>
  <c r="J48" i="19"/>
  <c r="L47" i="19"/>
  <c r="K47" i="19"/>
  <c r="J47" i="19"/>
  <c r="L46" i="19"/>
  <c r="K46" i="19"/>
  <c r="J46" i="19"/>
  <c r="L45" i="19"/>
  <c r="K45" i="19"/>
  <c r="J45" i="19"/>
  <c r="L44" i="19"/>
  <c r="K44" i="19"/>
  <c r="J44" i="19"/>
  <c r="L43" i="19"/>
  <c r="K43" i="19"/>
  <c r="J43" i="19"/>
  <c r="L42" i="19"/>
  <c r="K42" i="19"/>
  <c r="J42" i="19"/>
  <c r="L41" i="19"/>
  <c r="K41" i="19"/>
  <c r="J41" i="19"/>
  <c r="L40" i="19"/>
  <c r="K40" i="19"/>
  <c r="J40" i="19"/>
  <c r="L39" i="19"/>
  <c r="K39" i="19"/>
  <c r="J39" i="19"/>
  <c r="L38" i="19"/>
  <c r="K38" i="19"/>
  <c r="J38" i="19"/>
  <c r="L37" i="19"/>
  <c r="K37" i="19"/>
  <c r="J37" i="19"/>
  <c r="L36" i="19"/>
  <c r="K36" i="19"/>
  <c r="J36" i="19"/>
  <c r="L34" i="19"/>
  <c r="K34" i="19"/>
  <c r="J34" i="19"/>
  <c r="E34" i="19"/>
  <c r="D34" i="19"/>
  <c r="C34" i="19"/>
  <c r="L33" i="19"/>
  <c r="K33" i="19"/>
  <c r="J33" i="19"/>
  <c r="E33" i="19"/>
  <c r="D33" i="19"/>
  <c r="C33" i="19"/>
  <c r="L32" i="19"/>
  <c r="K32" i="19"/>
  <c r="J32" i="19"/>
  <c r="E32" i="19"/>
  <c r="D32" i="19"/>
  <c r="C32" i="19"/>
  <c r="L31" i="19"/>
  <c r="K31" i="19"/>
  <c r="J31" i="19"/>
  <c r="E31" i="19"/>
  <c r="D31" i="19"/>
  <c r="C31" i="19"/>
  <c r="L30" i="19"/>
  <c r="K30" i="19"/>
  <c r="J30" i="19"/>
  <c r="E30" i="19"/>
  <c r="D30" i="19"/>
  <c r="C30" i="19"/>
  <c r="L29" i="19"/>
  <c r="K29" i="19"/>
  <c r="J29" i="19"/>
  <c r="E29" i="19"/>
  <c r="D29" i="19"/>
  <c r="C29" i="19"/>
  <c r="L28" i="19"/>
  <c r="K28" i="19"/>
  <c r="J28" i="19"/>
  <c r="E28" i="19"/>
  <c r="D28" i="19"/>
  <c r="C28" i="19"/>
  <c r="L27" i="19"/>
  <c r="K27" i="19"/>
  <c r="J27" i="19"/>
  <c r="E27" i="19"/>
  <c r="D27" i="19"/>
  <c r="C27" i="19"/>
  <c r="L26" i="19"/>
  <c r="K26" i="19"/>
  <c r="J26" i="19"/>
  <c r="E26" i="19"/>
  <c r="D26" i="19"/>
  <c r="C26" i="19"/>
  <c r="L25" i="19"/>
  <c r="K25" i="19"/>
  <c r="J25" i="19"/>
  <c r="E25" i="19"/>
  <c r="D25" i="19"/>
  <c r="C25" i="19"/>
  <c r="L24" i="19"/>
  <c r="K24" i="19"/>
  <c r="J24" i="19"/>
  <c r="E24" i="19"/>
  <c r="D24" i="19"/>
  <c r="C24" i="19"/>
  <c r="L23" i="19"/>
  <c r="K23" i="19"/>
  <c r="J23" i="19"/>
  <c r="E23" i="19"/>
  <c r="D23" i="19"/>
  <c r="C23" i="19"/>
  <c r="L22" i="19"/>
  <c r="K22" i="19"/>
  <c r="J22" i="19"/>
  <c r="E22" i="19"/>
  <c r="D22" i="19"/>
  <c r="C22" i="19"/>
  <c r="L21" i="19"/>
  <c r="K21" i="19"/>
  <c r="J21" i="19"/>
  <c r="E21" i="19"/>
  <c r="D21" i="19"/>
  <c r="C21" i="19"/>
  <c r="L20" i="19"/>
  <c r="K20" i="19"/>
  <c r="J20" i="19"/>
  <c r="E20" i="19"/>
  <c r="D20" i="19"/>
  <c r="C20" i="19"/>
  <c r="L19" i="19"/>
  <c r="K19" i="19"/>
  <c r="J19" i="19"/>
  <c r="E19" i="19"/>
  <c r="D19" i="19"/>
  <c r="C19" i="19"/>
  <c r="L18" i="19"/>
  <c r="K18" i="19"/>
  <c r="J18" i="19"/>
  <c r="E18" i="19"/>
  <c r="D18" i="19"/>
  <c r="C18" i="19"/>
  <c r="L17" i="19"/>
  <c r="K17" i="19"/>
  <c r="J17" i="19"/>
  <c r="E17" i="19"/>
  <c r="D17" i="19"/>
  <c r="C17" i="19"/>
  <c r="L16" i="19"/>
  <c r="K16" i="19"/>
  <c r="J16" i="19"/>
  <c r="E16" i="19"/>
  <c r="D16" i="19"/>
  <c r="C16" i="19"/>
  <c r="L15" i="19"/>
  <c r="K15" i="19"/>
  <c r="J15" i="19"/>
  <c r="E15" i="19"/>
  <c r="D15" i="19"/>
  <c r="C15" i="19"/>
  <c r="L14" i="19"/>
  <c r="K14" i="19"/>
  <c r="J14" i="19"/>
  <c r="E14" i="19"/>
  <c r="D14" i="19"/>
  <c r="C14" i="19"/>
  <c r="L13" i="19"/>
  <c r="K13" i="19"/>
  <c r="J13" i="19"/>
  <c r="E13" i="19"/>
  <c r="D13" i="19"/>
  <c r="C13" i="19"/>
  <c r="L12" i="19"/>
  <c r="K12" i="19"/>
  <c r="J12" i="19"/>
  <c r="E12" i="19"/>
  <c r="D12" i="19"/>
  <c r="C12" i="19"/>
  <c r="L11" i="19"/>
  <c r="K11" i="19"/>
  <c r="J11" i="19"/>
  <c r="E11" i="19"/>
  <c r="D11" i="19"/>
  <c r="C11" i="19"/>
  <c r="L10" i="19"/>
  <c r="K10" i="19"/>
  <c r="J10" i="19"/>
  <c r="E10" i="19"/>
  <c r="D10" i="19"/>
  <c r="C10" i="19"/>
  <c r="L9" i="19"/>
  <c r="K9" i="19"/>
  <c r="J9" i="19"/>
  <c r="E9" i="19"/>
  <c r="D9" i="19"/>
  <c r="C9" i="19"/>
  <c r="L8" i="19"/>
  <c r="K8" i="19"/>
  <c r="J8" i="19"/>
  <c r="E8" i="19"/>
  <c r="D8" i="19"/>
  <c r="C8" i="19"/>
  <c r="L7" i="19"/>
  <c r="K7" i="19"/>
  <c r="J7" i="19"/>
  <c r="E7" i="19"/>
  <c r="D7" i="19"/>
  <c r="C7" i="19"/>
  <c r="L6" i="19"/>
  <c r="K6" i="19"/>
  <c r="J6" i="19"/>
  <c r="E6" i="19"/>
  <c r="D6" i="19"/>
  <c r="C6" i="19"/>
  <c r="E5" i="19"/>
  <c r="D5" i="19"/>
  <c r="C5" i="19"/>
  <c r="I35" i="6"/>
  <c r="F35" i="6"/>
  <c r="E35" i="6"/>
  <c r="D35" i="6"/>
  <c r="C35" i="6"/>
  <c r="I34" i="6"/>
  <c r="F34" i="6"/>
  <c r="E34" i="6"/>
  <c r="D34" i="6"/>
  <c r="C34" i="6"/>
  <c r="I33" i="6"/>
  <c r="F33" i="6"/>
  <c r="E33" i="6"/>
  <c r="D33" i="6"/>
  <c r="C33" i="6"/>
  <c r="I32" i="6"/>
  <c r="F32" i="6"/>
  <c r="E32" i="6"/>
  <c r="D32" i="6"/>
  <c r="C32" i="6"/>
  <c r="I31" i="6"/>
  <c r="F31" i="6"/>
  <c r="E31" i="6"/>
  <c r="D31" i="6"/>
  <c r="C31" i="6"/>
  <c r="I30" i="6"/>
  <c r="F30" i="6"/>
  <c r="E30" i="6"/>
  <c r="D30" i="6"/>
  <c r="C30" i="6"/>
  <c r="I29" i="6"/>
  <c r="F29" i="6"/>
  <c r="E29" i="6"/>
  <c r="D29" i="6"/>
  <c r="C29" i="6"/>
  <c r="I28" i="6"/>
  <c r="F28" i="6"/>
  <c r="E28" i="6"/>
  <c r="D28" i="6"/>
  <c r="C28" i="6"/>
  <c r="I27" i="6"/>
  <c r="F27" i="6"/>
  <c r="E27" i="6"/>
  <c r="D27" i="6"/>
  <c r="C27" i="6"/>
  <c r="I26" i="6"/>
  <c r="F26" i="6"/>
  <c r="E26" i="6"/>
  <c r="D26" i="6"/>
  <c r="C26" i="6"/>
  <c r="I25" i="6"/>
  <c r="F25" i="6"/>
  <c r="E25" i="6"/>
  <c r="D25" i="6"/>
  <c r="C25" i="6"/>
  <c r="I24" i="6"/>
  <c r="F24" i="6"/>
  <c r="E24" i="6"/>
  <c r="D24" i="6"/>
  <c r="C24" i="6"/>
  <c r="I23" i="6"/>
  <c r="F23" i="6"/>
  <c r="E23" i="6"/>
  <c r="D23" i="6"/>
  <c r="C23" i="6"/>
  <c r="I22" i="6"/>
  <c r="F22" i="6"/>
  <c r="E22" i="6"/>
  <c r="D22" i="6"/>
  <c r="C22" i="6"/>
  <c r="I21" i="6"/>
  <c r="F21" i="6"/>
  <c r="E21" i="6"/>
  <c r="D21" i="6"/>
  <c r="C21" i="6"/>
  <c r="I20" i="6"/>
  <c r="F20" i="6"/>
  <c r="E20" i="6"/>
  <c r="D20" i="6"/>
  <c r="C20" i="6"/>
  <c r="I19" i="6"/>
  <c r="F19" i="6"/>
  <c r="E19" i="6"/>
  <c r="D19" i="6"/>
  <c r="C19" i="6"/>
  <c r="I18" i="6"/>
  <c r="F18" i="6"/>
  <c r="E18" i="6"/>
  <c r="D18" i="6"/>
  <c r="C18" i="6"/>
  <c r="I17" i="6"/>
  <c r="F17" i="6"/>
  <c r="E17" i="6"/>
  <c r="D17" i="6"/>
  <c r="C17" i="6"/>
  <c r="I16" i="6"/>
  <c r="F16" i="6"/>
  <c r="E16" i="6"/>
  <c r="D16" i="6"/>
  <c r="C16" i="6"/>
  <c r="I15" i="6"/>
  <c r="F15" i="6"/>
  <c r="E15" i="6"/>
  <c r="D15" i="6"/>
  <c r="C15" i="6"/>
  <c r="I14" i="6"/>
  <c r="F14" i="6"/>
  <c r="E14" i="6"/>
  <c r="D14" i="6"/>
  <c r="C14" i="6"/>
  <c r="I13" i="6"/>
  <c r="F13" i="6"/>
  <c r="E13" i="6"/>
  <c r="D13" i="6"/>
  <c r="C13" i="6"/>
  <c r="I12" i="6"/>
  <c r="F12" i="6"/>
  <c r="E12" i="6"/>
  <c r="D12" i="6"/>
  <c r="C12" i="6"/>
  <c r="I11" i="6"/>
  <c r="F11" i="6"/>
  <c r="E11" i="6"/>
  <c r="D11" i="6"/>
  <c r="C11" i="6"/>
  <c r="I10" i="6"/>
  <c r="F10" i="6"/>
  <c r="E10" i="6"/>
  <c r="D10" i="6"/>
  <c r="C10" i="6"/>
  <c r="I9" i="6"/>
  <c r="F9" i="6"/>
  <c r="E9" i="6"/>
  <c r="D9" i="6"/>
  <c r="C9" i="6"/>
  <c r="I8" i="6"/>
  <c r="F8" i="6"/>
  <c r="E8" i="6"/>
  <c r="D8" i="6"/>
  <c r="C8" i="6"/>
  <c r="I7" i="6"/>
  <c r="F7" i="6"/>
  <c r="E7" i="6"/>
  <c r="D7" i="6"/>
  <c r="C7" i="6"/>
  <c r="I6" i="6"/>
  <c r="F6" i="6"/>
  <c r="E6" i="6"/>
  <c r="D6" i="6"/>
  <c r="C6" i="6"/>
  <c r="I5" i="6"/>
  <c r="F5" i="6"/>
  <c r="E5" i="6"/>
  <c r="D5" i="6"/>
  <c r="C5" i="6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P34" i="4"/>
  <c r="P33" i="4"/>
  <c r="P30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R31" i="3"/>
  <c r="O31" i="3"/>
  <c r="Q31" i="3" s="1"/>
  <c r="O30" i="3"/>
  <c r="Q30" i="3" s="1"/>
  <c r="R29" i="3"/>
  <c r="O29" i="3"/>
  <c r="Q29" i="3" s="1"/>
  <c r="Q28" i="3"/>
  <c r="O28" i="3"/>
  <c r="R28" i="3" s="1"/>
  <c r="O27" i="3"/>
  <c r="R27" i="3" s="1"/>
  <c r="R26" i="3"/>
  <c r="Q26" i="3"/>
  <c r="O26" i="3"/>
  <c r="O25" i="3"/>
  <c r="Q25" i="3" s="1"/>
  <c r="R24" i="3"/>
  <c r="Q24" i="3"/>
  <c r="O24" i="3"/>
  <c r="O23" i="3"/>
  <c r="Q23" i="3" s="1"/>
  <c r="Q22" i="3"/>
  <c r="O22" i="3"/>
  <c r="R22" i="3" s="1"/>
  <c r="R21" i="3"/>
  <c r="O21" i="3"/>
  <c r="Q21" i="3" s="1"/>
  <c r="O20" i="3"/>
  <c r="Q20" i="3" s="1"/>
  <c r="R19" i="3"/>
  <c r="O19" i="3"/>
  <c r="Q19" i="3" s="1"/>
  <c r="Q18" i="3"/>
  <c r="O18" i="3"/>
  <c r="R18" i="3" s="1"/>
  <c r="O17" i="3"/>
  <c r="R17" i="3" s="1"/>
  <c r="R16" i="3"/>
  <c r="Q16" i="3"/>
  <c r="O16" i="3"/>
  <c r="O15" i="3"/>
  <c r="Q15" i="3" s="1"/>
  <c r="R14" i="3"/>
  <c r="Q14" i="3"/>
  <c r="O14" i="3"/>
  <c r="Q13" i="3"/>
  <c r="O13" i="3"/>
  <c r="R13" i="3" s="1"/>
  <c r="Q12" i="3"/>
  <c r="O12" i="3"/>
  <c r="R12" i="3" s="1"/>
  <c r="R11" i="3"/>
  <c r="O11" i="3"/>
  <c r="Q11" i="3" s="1"/>
  <c r="O10" i="3"/>
  <c r="Q10" i="3" s="1"/>
  <c r="R9" i="3"/>
  <c r="O9" i="3"/>
  <c r="Q9" i="3" s="1"/>
  <c r="Q8" i="3"/>
  <c r="O8" i="3"/>
  <c r="R8" i="3" s="1"/>
  <c r="O7" i="3"/>
  <c r="R7" i="3" s="1"/>
  <c r="R6" i="3"/>
  <c r="Q6" i="3"/>
  <c r="O6" i="3"/>
  <c r="O5" i="3"/>
  <c r="Q5" i="3" s="1"/>
  <c r="R4" i="3"/>
  <c r="Q4" i="3"/>
  <c r="O4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R33" i="3" l="1"/>
  <c r="J5" i="6"/>
  <c r="J13" i="6"/>
  <c r="J11" i="6"/>
  <c r="J9" i="6"/>
  <c r="J7" i="6"/>
  <c r="J15" i="6"/>
  <c r="J19" i="6"/>
  <c r="J27" i="6"/>
  <c r="J17" i="6"/>
  <c r="J25" i="6"/>
  <c r="J21" i="6"/>
  <c r="J29" i="6"/>
  <c r="J23" i="6"/>
  <c r="D36" i="5"/>
  <c r="N36" i="5"/>
  <c r="J12" i="6"/>
  <c r="J20" i="6"/>
  <c r="J28" i="6"/>
  <c r="J30" i="6"/>
  <c r="J8" i="6"/>
  <c r="J16" i="6"/>
  <c r="J24" i="6"/>
  <c r="J26" i="6"/>
  <c r="G34" i="19"/>
  <c r="F34" i="19" s="1"/>
  <c r="N100" i="19"/>
  <c r="M100" i="19" s="1"/>
  <c r="N140" i="19"/>
  <c r="M140" i="19" s="1"/>
  <c r="J6" i="6"/>
  <c r="J14" i="6"/>
  <c r="J22" i="6"/>
  <c r="J10" i="6"/>
  <c r="J18" i="6"/>
  <c r="J31" i="6"/>
  <c r="N54" i="19"/>
  <c r="M54" i="19" s="1"/>
  <c r="N94" i="19"/>
  <c r="M94" i="19" s="1"/>
  <c r="H14" i="24"/>
  <c r="N38" i="19"/>
  <c r="M38" i="19" s="1"/>
  <c r="N75" i="19"/>
  <c r="M75" i="19" s="1"/>
  <c r="N98" i="19"/>
  <c r="M98" i="19" s="1"/>
  <c r="H11" i="24"/>
  <c r="H31" i="24"/>
  <c r="N59" i="19"/>
  <c r="M59" i="19" s="1"/>
  <c r="N72" i="19"/>
  <c r="M72" i="19" s="1"/>
  <c r="J32" i="6"/>
  <c r="J34" i="6"/>
  <c r="H36" i="5"/>
  <c r="N67" i="19"/>
  <c r="M67" i="19" s="1"/>
  <c r="J33" i="6"/>
  <c r="J35" i="6"/>
  <c r="N108" i="19"/>
  <c r="M108" i="19" s="1"/>
  <c r="N128" i="19"/>
  <c r="M128" i="19" s="1"/>
  <c r="N134" i="19"/>
  <c r="M134" i="19" s="1"/>
  <c r="N62" i="19"/>
  <c r="M62" i="19" s="1"/>
  <c r="N65" i="19"/>
  <c r="M65" i="19" s="1"/>
  <c r="N105" i="19"/>
  <c r="M105" i="19" s="1"/>
  <c r="N30" i="19"/>
  <c r="M30" i="19" s="1"/>
  <c r="N36" i="19"/>
  <c r="M36" i="19" s="1"/>
  <c r="N106" i="19"/>
  <c r="M106" i="19" s="1"/>
  <c r="N136" i="19"/>
  <c r="M136" i="19" s="1"/>
  <c r="N69" i="19"/>
  <c r="M69" i="19" s="1"/>
  <c r="N76" i="19"/>
  <c r="M76" i="19" s="1"/>
  <c r="H32" i="24"/>
  <c r="N60" i="19"/>
  <c r="M60" i="19" s="1"/>
  <c r="N123" i="19"/>
  <c r="M123" i="19" s="1"/>
  <c r="E36" i="5"/>
  <c r="O36" i="5"/>
  <c r="H21" i="6"/>
  <c r="G21" i="6" s="1"/>
  <c r="H27" i="6"/>
  <c r="G27" i="6" s="1"/>
  <c r="H31" i="6"/>
  <c r="G31" i="6" s="1"/>
  <c r="N9" i="19"/>
  <c r="M9" i="19" s="1"/>
  <c r="G26" i="19"/>
  <c r="F26" i="19" s="1"/>
  <c r="N40" i="19"/>
  <c r="M40" i="19" s="1"/>
  <c r="J36" i="5"/>
  <c r="G36" i="5"/>
  <c r="C36" i="6"/>
  <c r="N85" i="19"/>
  <c r="M85" i="19" s="1"/>
  <c r="N99" i="19"/>
  <c r="M99" i="19" s="1"/>
  <c r="N102" i="19"/>
  <c r="M102" i="19" s="1"/>
  <c r="N155" i="19"/>
  <c r="M155" i="19" s="1"/>
  <c r="N165" i="19"/>
  <c r="M165" i="19" s="1"/>
  <c r="H9" i="6"/>
  <c r="G9" i="6" s="1"/>
  <c r="H13" i="6"/>
  <c r="G13" i="6" s="1"/>
  <c r="N53" i="19"/>
  <c r="M53" i="19" s="1"/>
  <c r="N96" i="19"/>
  <c r="M96" i="19" s="1"/>
  <c r="N125" i="19"/>
  <c r="M125" i="19" s="1"/>
  <c r="N139" i="19"/>
  <c r="M139" i="19" s="1"/>
  <c r="N142" i="19"/>
  <c r="M142" i="19" s="1"/>
  <c r="N145" i="19"/>
  <c r="M145" i="19" s="1"/>
  <c r="Q36" i="5"/>
  <c r="K36" i="5"/>
  <c r="F36" i="5"/>
  <c r="P36" i="5"/>
  <c r="F36" i="6"/>
  <c r="G28" i="19"/>
  <c r="F28" i="19" s="1"/>
  <c r="N44" i="19"/>
  <c r="M44" i="19" s="1"/>
  <c r="N47" i="19"/>
  <c r="M47" i="19" s="1"/>
  <c r="N80" i="19"/>
  <c r="M80" i="19" s="1"/>
  <c r="N90" i="19"/>
  <c r="M90" i="19" s="1"/>
  <c r="N93" i="19"/>
  <c r="M93" i="19" s="1"/>
  <c r="N116" i="19"/>
  <c r="M116" i="19" s="1"/>
  <c r="N146" i="19"/>
  <c r="M146" i="19" s="1"/>
  <c r="N166" i="19"/>
  <c r="M166" i="19" s="1"/>
  <c r="H18" i="24"/>
  <c r="N31" i="19"/>
  <c r="M31" i="19" s="1"/>
  <c r="N64" i="19"/>
  <c r="M64" i="19" s="1"/>
  <c r="N83" i="19"/>
  <c r="M83" i="19" s="1"/>
  <c r="N87" i="19"/>
  <c r="M87" i="19" s="1"/>
  <c r="N110" i="19"/>
  <c r="M110" i="19" s="1"/>
  <c r="N113" i="19"/>
  <c r="M113" i="19" s="1"/>
  <c r="N120" i="19"/>
  <c r="M120" i="19" s="1"/>
  <c r="N130" i="19"/>
  <c r="M130" i="19" s="1"/>
  <c r="N133" i="19"/>
  <c r="M133" i="19" s="1"/>
  <c r="N156" i="19"/>
  <c r="M156" i="19" s="1"/>
  <c r="N163" i="19"/>
  <c r="M163" i="19" s="1"/>
  <c r="N107" i="19"/>
  <c r="M107" i="19" s="1"/>
  <c r="N127" i="19"/>
  <c r="M127" i="19" s="1"/>
  <c r="N150" i="19"/>
  <c r="M150" i="19" s="1"/>
  <c r="N160" i="19"/>
  <c r="M160" i="19" s="1"/>
  <c r="H6" i="24"/>
  <c r="H22" i="24"/>
  <c r="H10" i="6"/>
  <c r="G10" i="6" s="1"/>
  <c r="H12" i="6"/>
  <c r="G12" i="6" s="1"/>
  <c r="H14" i="6"/>
  <c r="G14" i="6" s="1"/>
  <c r="H18" i="6"/>
  <c r="G18" i="6" s="1"/>
  <c r="H20" i="6"/>
  <c r="G20" i="6" s="1"/>
  <c r="H24" i="6"/>
  <c r="G24" i="6" s="1"/>
  <c r="H28" i="6"/>
  <c r="G28" i="6" s="1"/>
  <c r="H30" i="6"/>
  <c r="G30" i="6" s="1"/>
  <c r="H34" i="6"/>
  <c r="G34" i="6" s="1"/>
  <c r="D35" i="19"/>
  <c r="N8" i="19"/>
  <c r="M8" i="19" s="1"/>
  <c r="G30" i="19"/>
  <c r="F30" i="19" s="1"/>
  <c r="N33" i="19"/>
  <c r="M33" i="19" s="1"/>
  <c r="N45" i="19"/>
  <c r="M45" i="19" s="1"/>
  <c r="N48" i="19"/>
  <c r="M48" i="19" s="1"/>
  <c r="N58" i="19"/>
  <c r="M58" i="19" s="1"/>
  <c r="N71" i="19"/>
  <c r="M71" i="19" s="1"/>
  <c r="N81" i="19"/>
  <c r="M81" i="19" s="1"/>
  <c r="N104" i="19"/>
  <c r="M104" i="19" s="1"/>
  <c r="N114" i="19"/>
  <c r="M114" i="19" s="1"/>
  <c r="N147" i="19"/>
  <c r="M147" i="19" s="1"/>
  <c r="G32" i="19"/>
  <c r="F32" i="19" s="1"/>
  <c r="N88" i="19"/>
  <c r="M88" i="19" s="1"/>
  <c r="N121" i="19"/>
  <c r="M121" i="19" s="1"/>
  <c r="N144" i="19"/>
  <c r="M144" i="19" s="1"/>
  <c r="N154" i="19"/>
  <c r="M154" i="19" s="1"/>
  <c r="N56" i="19"/>
  <c r="M56" i="19" s="1"/>
  <c r="N115" i="19"/>
  <c r="M115" i="19" s="1"/>
  <c r="N138" i="19"/>
  <c r="M138" i="19" s="1"/>
  <c r="N148" i="19"/>
  <c r="M148" i="19" s="1"/>
  <c r="N158" i="19"/>
  <c r="M158" i="19" s="1"/>
  <c r="N168" i="19"/>
  <c r="M168" i="19" s="1"/>
  <c r="H20" i="24"/>
  <c r="H30" i="24"/>
  <c r="R6" i="5"/>
  <c r="R8" i="5"/>
  <c r="D36" i="6"/>
  <c r="H16" i="6"/>
  <c r="G16" i="6" s="1"/>
  <c r="H22" i="6"/>
  <c r="G22" i="6" s="1"/>
  <c r="H26" i="6"/>
  <c r="G26" i="6" s="1"/>
  <c r="H32" i="6"/>
  <c r="G32" i="6" s="1"/>
  <c r="E35" i="19"/>
  <c r="G7" i="19"/>
  <c r="F7" i="19" s="1"/>
  <c r="G12" i="19"/>
  <c r="F12" i="19" s="1"/>
  <c r="N13" i="19"/>
  <c r="M13" i="19" s="1"/>
  <c r="G17" i="19"/>
  <c r="F17" i="19" s="1"/>
  <c r="N18" i="19"/>
  <c r="M18" i="19" s="1"/>
  <c r="G22" i="19"/>
  <c r="F22" i="19" s="1"/>
  <c r="N23" i="19"/>
  <c r="M23" i="19" s="1"/>
  <c r="G25" i="19"/>
  <c r="F25" i="19" s="1"/>
  <c r="N55" i="19"/>
  <c r="M55" i="19" s="1"/>
  <c r="N61" i="19"/>
  <c r="M61" i="19" s="1"/>
  <c r="N70" i="19"/>
  <c r="M70" i="19" s="1"/>
  <c r="N73" i="19"/>
  <c r="M73" i="19" s="1"/>
  <c r="N95" i="19"/>
  <c r="M95" i="19" s="1"/>
  <c r="N101" i="19"/>
  <c r="M101" i="19" s="1"/>
  <c r="N135" i="19"/>
  <c r="M135" i="19" s="1"/>
  <c r="N141" i="19"/>
  <c r="M141" i="19" s="1"/>
  <c r="H27" i="24"/>
  <c r="I36" i="5"/>
  <c r="H7" i="6"/>
  <c r="G7" i="6" s="1"/>
  <c r="E36" i="6"/>
  <c r="N10" i="19"/>
  <c r="M10" i="19" s="1"/>
  <c r="N25" i="19"/>
  <c r="M25" i="19" s="1"/>
  <c r="N28" i="19"/>
  <c r="M28" i="19" s="1"/>
  <c r="N32" i="19"/>
  <c r="M32" i="19" s="1"/>
  <c r="N37" i="19"/>
  <c r="M37" i="19" s="1"/>
  <c r="N46" i="19"/>
  <c r="M46" i="19" s="1"/>
  <c r="H8" i="24"/>
  <c r="H24" i="24"/>
  <c r="H34" i="24"/>
  <c r="K169" i="19"/>
  <c r="G9" i="19"/>
  <c r="F9" i="19" s="1"/>
  <c r="G14" i="19"/>
  <c r="F14" i="19" s="1"/>
  <c r="N15" i="19"/>
  <c r="M15" i="19" s="1"/>
  <c r="G19" i="19"/>
  <c r="F19" i="19" s="1"/>
  <c r="N20" i="19"/>
  <c r="M20" i="19" s="1"/>
  <c r="G27" i="19"/>
  <c r="F27" i="19" s="1"/>
  <c r="G33" i="19"/>
  <c r="F33" i="19" s="1"/>
  <c r="N34" i="19"/>
  <c r="M34" i="19" s="1"/>
  <c r="N43" i="19"/>
  <c r="M43" i="19" s="1"/>
  <c r="N52" i="19"/>
  <c r="M52" i="19" s="1"/>
  <c r="N77" i="19"/>
  <c r="M77" i="19" s="1"/>
  <c r="N86" i="19"/>
  <c r="M86" i="19" s="1"/>
  <c r="N92" i="19"/>
  <c r="M92" i="19" s="1"/>
  <c r="N111" i="19"/>
  <c r="M111" i="19" s="1"/>
  <c r="N117" i="19"/>
  <c r="M117" i="19" s="1"/>
  <c r="N126" i="19"/>
  <c r="M126" i="19" s="1"/>
  <c r="N132" i="19"/>
  <c r="M132" i="19" s="1"/>
  <c r="N151" i="19"/>
  <c r="M151" i="19" s="1"/>
  <c r="N157" i="19"/>
  <c r="M157" i="19" s="1"/>
  <c r="H21" i="24"/>
  <c r="R14" i="5"/>
  <c r="H11" i="6"/>
  <c r="G11" i="6" s="1"/>
  <c r="L169" i="19"/>
  <c r="N7" i="19"/>
  <c r="M7" i="19" s="1"/>
  <c r="N12" i="19"/>
  <c r="M12" i="19" s="1"/>
  <c r="L36" i="5"/>
  <c r="R24" i="5"/>
  <c r="R34" i="5"/>
  <c r="R5" i="5"/>
  <c r="M36" i="5"/>
  <c r="R7" i="5"/>
  <c r="R11" i="5"/>
  <c r="R13" i="5"/>
  <c r="R15" i="5"/>
  <c r="R17" i="5"/>
  <c r="R21" i="5"/>
  <c r="R23" i="5"/>
  <c r="R25" i="5"/>
  <c r="R27" i="5"/>
  <c r="R31" i="5"/>
  <c r="R33" i="5"/>
  <c r="R35" i="5"/>
  <c r="H15" i="6"/>
  <c r="G15" i="6" s="1"/>
  <c r="H17" i="6"/>
  <c r="G17" i="6" s="1"/>
  <c r="H19" i="6"/>
  <c r="G19" i="6" s="1"/>
  <c r="H23" i="6"/>
  <c r="G23" i="6" s="1"/>
  <c r="H25" i="6"/>
  <c r="G25" i="6" s="1"/>
  <c r="H29" i="6"/>
  <c r="G29" i="6" s="1"/>
  <c r="H33" i="6"/>
  <c r="G33" i="6" s="1"/>
  <c r="H35" i="6"/>
  <c r="G35" i="6" s="1"/>
  <c r="G6" i="19"/>
  <c r="F6" i="19" s="1"/>
  <c r="G11" i="19"/>
  <c r="F11" i="19" s="1"/>
  <c r="G16" i="19"/>
  <c r="F16" i="19" s="1"/>
  <c r="N17" i="19"/>
  <c r="M17" i="19" s="1"/>
  <c r="G21" i="19"/>
  <c r="F21" i="19" s="1"/>
  <c r="N22" i="19"/>
  <c r="M22" i="19" s="1"/>
  <c r="G24" i="19"/>
  <c r="F24" i="19" s="1"/>
  <c r="N27" i="19"/>
  <c r="M27" i="19" s="1"/>
  <c r="G29" i="19"/>
  <c r="F29" i="19" s="1"/>
  <c r="N35" i="19"/>
  <c r="M35" i="19" s="1"/>
  <c r="N41" i="19"/>
  <c r="M41" i="19" s="1"/>
  <c r="N49" i="19"/>
  <c r="M49" i="19" s="1"/>
  <c r="N68" i="19"/>
  <c r="M68" i="19" s="1"/>
  <c r="N74" i="19"/>
  <c r="M74" i="19" s="1"/>
  <c r="N84" i="19"/>
  <c r="M84" i="19" s="1"/>
  <c r="N89" i="19"/>
  <c r="M89" i="19" s="1"/>
  <c r="N124" i="19"/>
  <c r="M124" i="19" s="1"/>
  <c r="N129" i="19"/>
  <c r="M129" i="19" s="1"/>
  <c r="H9" i="24"/>
  <c r="H15" i="24"/>
  <c r="H25" i="24"/>
  <c r="H35" i="24"/>
  <c r="N50" i="19"/>
  <c r="M50" i="19" s="1"/>
  <c r="H8" i="6"/>
  <c r="G8" i="6" s="1"/>
  <c r="H6" i="6"/>
  <c r="G6" i="6" s="1"/>
  <c r="G8" i="19"/>
  <c r="F8" i="19" s="1"/>
  <c r="G13" i="19"/>
  <c r="F13" i="19" s="1"/>
  <c r="N14" i="19"/>
  <c r="M14" i="19" s="1"/>
  <c r="G18" i="19"/>
  <c r="F18" i="19" s="1"/>
  <c r="N19" i="19"/>
  <c r="M19" i="19" s="1"/>
  <c r="N24" i="19"/>
  <c r="M24" i="19" s="1"/>
  <c r="N78" i="19"/>
  <c r="M78" i="19" s="1"/>
  <c r="N112" i="19"/>
  <c r="M112" i="19" s="1"/>
  <c r="N118" i="19"/>
  <c r="M118" i="19" s="1"/>
  <c r="N152" i="19"/>
  <c r="M152" i="19" s="1"/>
  <c r="N164" i="19"/>
  <c r="M164" i="19" s="1"/>
  <c r="H29" i="24"/>
  <c r="N6" i="19"/>
  <c r="M6" i="19" s="1"/>
  <c r="N11" i="19"/>
  <c r="M11" i="19" s="1"/>
  <c r="N29" i="19"/>
  <c r="M29" i="19" s="1"/>
  <c r="N39" i="19"/>
  <c r="M39" i="19" s="1"/>
  <c r="N42" i="19"/>
  <c r="M42" i="19" s="1"/>
  <c r="N57" i="19"/>
  <c r="M57" i="19" s="1"/>
  <c r="N66" i="19"/>
  <c r="M66" i="19" s="1"/>
  <c r="N97" i="19"/>
  <c r="M97" i="19" s="1"/>
  <c r="N137" i="19"/>
  <c r="M137" i="19" s="1"/>
  <c r="N161" i="19"/>
  <c r="M161" i="19" s="1"/>
  <c r="N167" i="19"/>
  <c r="M167" i="19" s="1"/>
  <c r="H16" i="24"/>
  <c r="H26" i="24"/>
  <c r="R19" i="5"/>
  <c r="R29" i="5"/>
  <c r="C35" i="19"/>
  <c r="G10" i="19"/>
  <c r="F10" i="19" s="1"/>
  <c r="G15" i="19"/>
  <c r="F15" i="19" s="1"/>
  <c r="N16" i="19"/>
  <c r="M16" i="19" s="1"/>
  <c r="G20" i="19"/>
  <c r="F20" i="19" s="1"/>
  <c r="N21" i="19"/>
  <c r="M21" i="19" s="1"/>
  <c r="G23" i="19"/>
  <c r="F23" i="19" s="1"/>
  <c r="N26" i="19"/>
  <c r="M26" i="19" s="1"/>
  <c r="G31" i="19"/>
  <c r="F31" i="19" s="1"/>
  <c r="N51" i="19"/>
  <c r="M51" i="19" s="1"/>
  <c r="N63" i="19"/>
  <c r="M63" i="19" s="1"/>
  <c r="N79" i="19"/>
  <c r="M79" i="19" s="1"/>
  <c r="N82" i="19"/>
  <c r="M82" i="19" s="1"/>
  <c r="N91" i="19"/>
  <c r="M91" i="19" s="1"/>
  <c r="N103" i="19"/>
  <c r="M103" i="19" s="1"/>
  <c r="N109" i="19"/>
  <c r="M109" i="19" s="1"/>
  <c r="N119" i="19"/>
  <c r="M119" i="19" s="1"/>
  <c r="N122" i="19"/>
  <c r="M122" i="19" s="1"/>
  <c r="N131" i="19"/>
  <c r="M131" i="19" s="1"/>
  <c r="N143" i="19"/>
  <c r="M143" i="19" s="1"/>
  <c r="N149" i="19"/>
  <c r="M149" i="19" s="1"/>
  <c r="N153" i="19"/>
  <c r="M153" i="19" s="1"/>
  <c r="N159" i="19"/>
  <c r="M159" i="19" s="1"/>
  <c r="N162" i="19"/>
  <c r="M162" i="19" s="1"/>
  <c r="H33" i="24"/>
  <c r="R9" i="5"/>
  <c r="R10" i="5"/>
  <c r="R12" i="5"/>
  <c r="R16" i="5"/>
  <c r="R18" i="5"/>
  <c r="R20" i="5"/>
  <c r="R22" i="5"/>
  <c r="R26" i="5"/>
  <c r="R28" i="5"/>
  <c r="R30" i="5"/>
  <c r="R32" i="5"/>
  <c r="R15" i="3"/>
  <c r="C36" i="5"/>
  <c r="F7" i="17"/>
  <c r="H7" i="17" s="1"/>
  <c r="G5" i="19"/>
  <c r="R5" i="3"/>
  <c r="R25" i="3"/>
  <c r="H5" i="6"/>
  <c r="J169" i="19"/>
  <c r="H12" i="24"/>
  <c r="F10" i="17"/>
  <c r="H10" i="17" s="1"/>
  <c r="H28" i="24"/>
  <c r="R23" i="3"/>
  <c r="O34" i="3"/>
  <c r="H7" i="24"/>
  <c r="H10" i="24"/>
  <c r="H13" i="24"/>
  <c r="H19" i="24"/>
  <c r="Q7" i="3"/>
  <c r="R10" i="3"/>
  <c r="Q17" i="3"/>
  <c r="R20" i="3"/>
  <c r="Q27" i="3"/>
  <c r="R30" i="3"/>
  <c r="N5" i="19"/>
  <c r="R3" i="3"/>
  <c r="H5" i="24"/>
  <c r="H23" i="24"/>
  <c r="H17" i="24"/>
  <c r="R36" i="5" l="1"/>
  <c r="H36" i="6"/>
  <c r="G36" i="6" s="1"/>
  <c r="G5" i="6"/>
  <c r="N169" i="19"/>
  <c r="M169" i="19" s="1"/>
  <c r="M5" i="19"/>
  <c r="F12" i="17"/>
  <c r="H12" i="17" s="1"/>
  <c r="R34" i="3"/>
  <c r="G35" i="19"/>
  <c r="F35" i="19" s="1"/>
  <c r="F5" i="19"/>
</calcChain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<sst xmlns="http://schemas.openxmlformats.org/spreadsheetml/2006/main" count="18112" uniqueCount="1310">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</sst>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6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6" width="8.83203125" style="16"/>
    <col min="17" max="18" width="10" style="16" customWidth="1"/>
    <col min="19" max="16384" width="8.83203125" style="16"/>
  </cols>
  <sheetData>
    <row r="1" spans="1:21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20" t="s">
        <v>687</v>
      </c>
      <c r="P2" s="19" t="s">
        <v>688</v>
      </c>
      <c r="Q2" s="19" t="s">
        <v>689</v>
      </c>
      <c r="R2" s="19" t="s">
        <v>690</v>
      </c>
      <c r="S2" s="17"/>
      <c r="T2" s="17"/>
      <c r="U2" s="17"/>
    </row>
    <row r="3" spans="1:21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f t="shared" ref="O3:O32" si="0">SUM(C3:N3)</f>
        <v>10</v>
      </c>
      <c r="P3" s="21">
        <v>12</v>
      </c>
      <c r="Q3" s="22">
        <f t="shared" ref="Q3:Q32" si="1">O3/P3</f>
        <v>0.83333333333333337</v>
      </c>
      <c r="R3" s="21">
        <f t="shared" ref="R3:R32" si="2">P3-O3</f>
        <v>2</v>
      </c>
      <c r="S3" s="17"/>
      <c r="T3" s="17"/>
      <c r="U3" s="17"/>
    </row>
    <row r="4" spans="1:21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f t="shared" si="0"/>
        <v>9</v>
      </c>
      <c r="P4" s="21">
        <v>12</v>
      </c>
      <c r="Q4" s="22">
        <f t="shared" si="1"/>
        <v>0.75</v>
      </c>
      <c r="R4" s="21">
        <f t="shared" si="2"/>
        <v>3</v>
      </c>
      <c r="S4" s="17"/>
      <c r="T4" s="17"/>
      <c r="U4" s="17"/>
    </row>
    <row r="5" spans="1:21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f t="shared" si="0"/>
        <v>8</v>
      </c>
      <c r="P5" s="21">
        <v>12</v>
      </c>
      <c r="Q5" s="22">
        <f t="shared" si="1"/>
        <v>0.66666666666666663</v>
      </c>
      <c r="R5" s="21">
        <f t="shared" si="2"/>
        <v>4</v>
      </c>
      <c r="S5" s="17"/>
      <c r="T5" s="17"/>
      <c r="U5" s="17"/>
    </row>
    <row r="6" spans="1:21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f t="shared" si="0"/>
        <v>8</v>
      </c>
      <c r="P6" s="21">
        <v>11</v>
      </c>
      <c r="Q6" s="22">
        <f t="shared" si="1"/>
        <v>0.72727272727272729</v>
      </c>
      <c r="R6" s="21">
        <f t="shared" si="2"/>
        <v>3</v>
      </c>
      <c r="S6" s="17"/>
      <c r="T6" s="17"/>
      <c r="U6" s="17"/>
    </row>
    <row r="7" spans="1:21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f t="shared" si="0"/>
        <v>7</v>
      </c>
      <c r="P7" s="21">
        <v>11</v>
      </c>
      <c r="Q7" s="22">
        <f t="shared" si="1"/>
        <v>0.63636363636363635</v>
      </c>
      <c r="R7" s="21">
        <f t="shared" si="2"/>
        <v>4</v>
      </c>
      <c r="S7" s="17"/>
      <c r="T7" s="17"/>
      <c r="U7" s="17"/>
    </row>
    <row r="8" spans="1:21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f t="shared" si="0"/>
        <v>6</v>
      </c>
      <c r="P8" s="21">
        <v>10</v>
      </c>
      <c r="Q8" s="22">
        <f t="shared" si="1"/>
        <v>0.6</v>
      </c>
      <c r="R8" s="21">
        <f t="shared" si="2"/>
        <v>4</v>
      </c>
      <c r="S8" s="17"/>
      <c r="T8" s="17"/>
      <c r="U8" s="17"/>
    </row>
    <row r="9" spans="1:21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f t="shared" si="0"/>
        <v>5</v>
      </c>
      <c r="P9" s="21">
        <v>8</v>
      </c>
      <c r="Q9" s="22">
        <f t="shared" si="1"/>
        <v>0.625</v>
      </c>
      <c r="R9" s="21">
        <f t="shared" si="2"/>
        <v>3</v>
      </c>
      <c r="S9" s="17"/>
      <c r="T9" s="17"/>
      <c r="U9" s="17"/>
    </row>
    <row r="10" spans="1:21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f t="shared" si="0"/>
        <v>5</v>
      </c>
      <c r="P10" s="21">
        <v>12</v>
      </c>
      <c r="Q10" s="22">
        <f t="shared" si="1"/>
        <v>0.41666666666666669</v>
      </c>
      <c r="R10" s="21">
        <f t="shared" si="2"/>
        <v>7</v>
      </c>
      <c r="S10" s="17"/>
      <c r="T10" s="17"/>
      <c r="U10" s="17"/>
    </row>
    <row r="11" spans="1:21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f t="shared" si="0"/>
        <v>4</v>
      </c>
      <c r="P11" s="21">
        <v>11</v>
      </c>
      <c r="Q11" s="22">
        <f t="shared" si="1"/>
        <v>0.36363636363636365</v>
      </c>
      <c r="R11" s="21">
        <f t="shared" si="2"/>
        <v>7</v>
      </c>
      <c r="S11" s="17"/>
      <c r="T11" s="17"/>
      <c r="U11" s="17"/>
    </row>
    <row r="12" spans="1:21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>
        <f t="shared" si="0"/>
        <v>4</v>
      </c>
      <c r="P12" s="21">
        <v>10</v>
      </c>
      <c r="Q12" s="22">
        <f t="shared" si="1"/>
        <v>0.4</v>
      </c>
      <c r="R12" s="21">
        <f t="shared" si="2"/>
        <v>6</v>
      </c>
      <c r="S12" s="17"/>
      <c r="T12" s="17"/>
      <c r="U12" s="17"/>
    </row>
    <row r="13" spans="1:21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f t="shared" si="0"/>
        <v>4</v>
      </c>
      <c r="P13" s="21">
        <v>10</v>
      </c>
      <c r="Q13" s="22">
        <f t="shared" si="1"/>
        <v>0.4</v>
      </c>
      <c r="R13" s="21">
        <f t="shared" si="2"/>
        <v>6</v>
      </c>
      <c r="S13" s="17"/>
      <c r="T13" s="17"/>
      <c r="U13" s="17"/>
    </row>
    <row r="14" spans="1:21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f t="shared" si="0"/>
        <v>4</v>
      </c>
      <c r="P14" s="21">
        <v>6</v>
      </c>
      <c r="Q14" s="22">
        <f t="shared" si="1"/>
        <v>0.66666666666666663</v>
      </c>
      <c r="R14" s="21">
        <f t="shared" si="2"/>
        <v>2</v>
      </c>
      <c r="S14" s="17"/>
      <c r="T14" s="17"/>
      <c r="U14" s="17"/>
    </row>
    <row r="15" spans="1:21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f t="shared" si="0"/>
        <v>4</v>
      </c>
      <c r="P15" s="21">
        <v>7</v>
      </c>
      <c r="Q15" s="22">
        <f t="shared" si="1"/>
        <v>0.5714285714285714</v>
      </c>
      <c r="R15" s="21">
        <f t="shared" si="2"/>
        <v>3</v>
      </c>
      <c r="S15" s="17"/>
      <c r="T15" s="17"/>
      <c r="U15" s="17"/>
    </row>
    <row r="16" spans="1:21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f t="shared" si="0"/>
        <v>4</v>
      </c>
      <c r="P16" s="21">
        <v>12</v>
      </c>
      <c r="Q16" s="22">
        <f t="shared" si="1"/>
        <v>0.33333333333333331</v>
      </c>
      <c r="R16" s="21">
        <f t="shared" si="2"/>
        <v>8</v>
      </c>
      <c r="S16" s="17"/>
      <c r="T16" s="17"/>
      <c r="U16" s="17"/>
    </row>
    <row r="17" spans="1:21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f t="shared" si="0"/>
        <v>4</v>
      </c>
      <c r="P17" s="21">
        <v>4</v>
      </c>
      <c r="Q17" s="22">
        <f t="shared" si="1"/>
        <v>1</v>
      </c>
      <c r="R17" s="21">
        <f t="shared" si="2"/>
        <v>0</v>
      </c>
      <c r="S17" s="17"/>
      <c r="T17" s="17"/>
      <c r="U17" s="17"/>
    </row>
    <row r="18" spans="1:21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f t="shared" si="0"/>
        <v>4</v>
      </c>
      <c r="P18" s="21">
        <v>11</v>
      </c>
      <c r="Q18" s="22">
        <f t="shared" si="1"/>
        <v>0.36363636363636365</v>
      </c>
      <c r="R18" s="21">
        <f t="shared" si="2"/>
        <v>7</v>
      </c>
      <c r="S18" s="17"/>
      <c r="T18" s="17"/>
      <c r="U18" s="17"/>
    </row>
    <row r="19" spans="1:21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>
        <f t="shared" si="0"/>
        <v>3</v>
      </c>
      <c r="P19" s="21">
        <v>6</v>
      </c>
      <c r="Q19" s="22">
        <f t="shared" si="1"/>
        <v>0.5</v>
      </c>
      <c r="R19" s="21">
        <f t="shared" si="2"/>
        <v>3</v>
      </c>
      <c r="S19" s="17"/>
      <c r="T19" s="17"/>
      <c r="U19" s="17"/>
    </row>
    <row r="20" spans="1:21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f t="shared" si="0"/>
        <v>3</v>
      </c>
      <c r="P20" s="21">
        <v>12</v>
      </c>
      <c r="Q20" s="22">
        <f t="shared" si="1"/>
        <v>0.25</v>
      </c>
      <c r="R20" s="21">
        <f t="shared" si="2"/>
        <v>9</v>
      </c>
      <c r="S20" s="17"/>
      <c r="T20" s="17"/>
      <c r="U20" s="17"/>
    </row>
    <row r="21" spans="1:21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f t="shared" si="0"/>
        <v>3</v>
      </c>
      <c r="P21" s="21">
        <v>11</v>
      </c>
      <c r="Q21" s="22">
        <f t="shared" si="1"/>
        <v>0.27272727272727271</v>
      </c>
      <c r="R21" s="21">
        <f t="shared" si="2"/>
        <v>8</v>
      </c>
      <c r="S21" s="17"/>
      <c r="T21" s="17"/>
      <c r="U21" s="17"/>
    </row>
    <row r="22" spans="1:21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f t="shared" si="0"/>
        <v>3</v>
      </c>
      <c r="P22" s="21">
        <v>7</v>
      </c>
      <c r="Q22" s="22">
        <f t="shared" si="1"/>
        <v>0.42857142857142855</v>
      </c>
      <c r="R22" s="21">
        <f t="shared" si="2"/>
        <v>4</v>
      </c>
      <c r="S22" s="17"/>
      <c r="T22" s="17"/>
      <c r="U22" s="17"/>
    </row>
    <row r="23" spans="1:21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>
        <f t="shared" si="0"/>
        <v>2</v>
      </c>
      <c r="P23" s="21">
        <v>4</v>
      </c>
      <c r="Q23" s="22">
        <f t="shared" si="1"/>
        <v>0.5</v>
      </c>
      <c r="R23" s="21">
        <f t="shared" si="2"/>
        <v>2</v>
      </c>
      <c r="S23" s="17"/>
      <c r="T23" s="17"/>
      <c r="U23" s="17"/>
    </row>
    <row r="24" spans="1:21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f t="shared" si="0"/>
        <v>2</v>
      </c>
      <c r="P24" s="21">
        <v>8</v>
      </c>
      <c r="Q24" s="22">
        <f t="shared" si="1"/>
        <v>0.25</v>
      </c>
      <c r="R24" s="21">
        <f t="shared" si="2"/>
        <v>6</v>
      </c>
      <c r="S24" s="17"/>
      <c r="T24" s="17"/>
      <c r="U24" s="17"/>
    </row>
    <row r="25" spans="1:21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f t="shared" si="0"/>
        <v>2</v>
      </c>
      <c r="P25" s="21">
        <v>5</v>
      </c>
      <c r="Q25" s="22">
        <f t="shared" si="1"/>
        <v>0.4</v>
      </c>
      <c r="R25" s="21">
        <f t="shared" si="2"/>
        <v>3</v>
      </c>
      <c r="S25" s="17"/>
      <c r="T25" s="17"/>
      <c r="U25" s="17"/>
    </row>
    <row r="26" spans="1:21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f t="shared" si="0"/>
        <v>2</v>
      </c>
      <c r="P26" s="21">
        <v>7</v>
      </c>
      <c r="Q26" s="22">
        <f t="shared" si="1"/>
        <v>0.2857142857142857</v>
      </c>
      <c r="R26" s="21">
        <f t="shared" si="2"/>
        <v>5</v>
      </c>
      <c r="S26" s="17"/>
      <c r="T26" s="17"/>
      <c r="U26" s="17"/>
    </row>
    <row r="27" spans="1:21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f t="shared" si="0"/>
        <v>1</v>
      </c>
      <c r="P27" s="21">
        <v>3</v>
      </c>
      <c r="Q27" s="22">
        <f t="shared" si="1"/>
        <v>0.33333333333333331</v>
      </c>
      <c r="R27" s="21">
        <f t="shared" si="2"/>
        <v>2</v>
      </c>
      <c r="S27" s="17"/>
      <c r="T27" s="17"/>
      <c r="U27" s="17"/>
    </row>
    <row r="28" spans="1:21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>
        <f t="shared" si="0"/>
        <v>1</v>
      </c>
      <c r="P28" s="21">
        <v>1</v>
      </c>
      <c r="Q28" s="22">
        <f t="shared" si="1"/>
        <v>1</v>
      </c>
      <c r="R28" s="21">
        <f t="shared" si="2"/>
        <v>0</v>
      </c>
      <c r="S28" s="17"/>
      <c r="T28" s="17"/>
      <c r="U28" s="17"/>
    </row>
    <row r="29" spans="1:21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>
        <f t="shared" si="0"/>
        <v>1</v>
      </c>
      <c r="P29" s="21">
        <v>2</v>
      </c>
      <c r="Q29" s="22">
        <f t="shared" si="1"/>
        <v>0.5</v>
      </c>
      <c r="R29" s="21">
        <f t="shared" si="2"/>
        <v>1</v>
      </c>
      <c r="S29" s="17"/>
      <c r="T29" s="17"/>
      <c r="U29" s="17"/>
    </row>
    <row r="30" spans="1:21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f t="shared" si="0"/>
        <v>1</v>
      </c>
      <c r="P30" s="21">
        <v>2</v>
      </c>
      <c r="Q30" s="22">
        <f t="shared" si="1"/>
        <v>0.5</v>
      </c>
      <c r="R30" s="21">
        <f t="shared" si="2"/>
        <v>1</v>
      </c>
      <c r="S30" s="17"/>
      <c r="T30" s="17"/>
      <c r="U30" s="17"/>
    </row>
    <row r="31" spans="1:21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>
        <f t="shared" si="0"/>
        <v>1</v>
      </c>
      <c r="P31" s="21">
        <v>1</v>
      </c>
      <c r="Q31" s="22">
        <f t="shared" si="1"/>
        <v>1</v>
      </c>
      <c r="R31" s="21">
        <f t="shared" si="2"/>
        <v>0</v>
      </c>
      <c r="S31" s="17"/>
      <c r="T31" s="17"/>
      <c r="U31" s="17"/>
    </row>
    <row r="32" spans="1:21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f t="shared" si="0"/>
        <v>0</v>
      </c>
      <c r="P32" s="21">
        <v>2</v>
      </c>
      <c r="Q32" s="22">
        <f t="shared" si="1"/>
        <v>0</v>
      </c>
      <c r="R32" s="21">
        <f t="shared" si="2"/>
        <v>2</v>
      </c>
      <c r="S32" s="17"/>
      <c r="T32" s="17"/>
      <c r="U32" s="17"/>
    </row>
    <row r="33" spans="1:21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>
        <f t="shared" ref="O33" si="3">SUM(C33:N33)</f>
        <v>0</v>
      </c>
      <c r="P33" s="21">
        <v>2</v>
      </c>
      <c r="Q33" s="22">
        <f t="shared" ref="Q33" si="4">O33/P33</f>
        <v>0</v>
      </c>
      <c r="R33" s="21">
        <f t="shared" ref="R33" si="5">P33-O33</f>
        <v>2</v>
      </c>
      <c r="S33" s="17"/>
      <c r="T33" s="17"/>
      <c r="U33" s="17"/>
    </row>
    <row r="34" spans="1:21" ht="15.75" customHeight="1" x14ac:dyDescent="0.2">
      <c r="A34" s="17"/>
      <c r="B34" s="17" t="s">
        <v>687</v>
      </c>
      <c r="C34" s="21">
        <f t="shared" ref="C34:P34" si="6">SUM(C3:C32)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115</v>
      </c>
      <c r="P34" s="21">
        <f t="shared" si="6"/>
        <v>230</v>
      </c>
      <c r="Q34" s="17"/>
      <c r="R34" s="21">
        <f>SUM(R3:R32)</f>
        <v>115</v>
      </c>
      <c r="S34" s="17"/>
      <c r="T34" s="17"/>
      <c r="U34" s="17"/>
    </row>
    <row r="35" spans="1:21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1:21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1:21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1:21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v>11.3</v>
      </c>
      <c r="P10" s="28">
        <f>IFERROR(AVERAGE(C10:O10),"")</f>
        <v>11.850000000000001</v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s">
        <v>727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s">
        <v>729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s">
        <v>1299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s">
        <v>456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226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452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1308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176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272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231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227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179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230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321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172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693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135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178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741</v>
      </c>
    </row>
    <row r="35" spans="2:10" ht="15" customHeight="1" x14ac:dyDescent="0.2">
      <c r="B35" s="61" t="s">
        <v>742</v>
      </c>
      <c r="C35" s="62" t="s">
        <v>231</v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s">
        <v>452</v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s">
        <v>693</v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s">
        <v>230</v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s">
        <v>452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176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226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1308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456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541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230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272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231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227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321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179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1285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135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172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457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178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s">
        <v>761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762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763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764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1300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765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766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767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768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769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770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771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772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773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774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1288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775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776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777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778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779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780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781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782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783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784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785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786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787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788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789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790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791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792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1301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793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794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795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796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1289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797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798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799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800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801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802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803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804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805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806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807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808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809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s">
        <v>541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456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231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1308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272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179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227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172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452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226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176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230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321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178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1285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135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175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693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457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1308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456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135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321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231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227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226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693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179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452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178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172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176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230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272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s">
        <v>819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s">
        <v>1308</v>
      </c>
      <c r="C5" s="40">
        <v>12</v>
      </c>
      <c r="D5" s="42">
        <v>4.21</v>
      </c>
      <c r="E5" s="42">
        <v>5.83</v>
      </c>
      <c r="F5" s="68">
        <v>1.62</v>
      </c>
      <c r="G5" s="70" t="s">
        <v>824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824</v>
      </c>
    </row>
    <row r="7" spans="2:7" ht="15" customHeight="1" x14ac:dyDescent="0.2">
      <c r="B7" s="31" t="s">
        <v>226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824</v>
      </c>
    </row>
    <row r="8" spans="2:7" ht="15" customHeight="1" x14ac:dyDescent="0.2">
      <c r="B8" s="34" t="s">
        <v>452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824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824</v>
      </c>
    </row>
    <row r="10" spans="2:7" ht="15" customHeight="1" x14ac:dyDescent="0.2">
      <c r="B10" s="34" t="s">
        <v>456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825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825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824</v>
      </c>
    </row>
    <row r="13" spans="2:7" ht="15" customHeight="1" x14ac:dyDescent="0.2">
      <c r="B13" s="31" t="s">
        <v>272</v>
      </c>
      <c r="C13" s="40">
        <v>8</v>
      </c>
      <c r="D13" s="42">
        <v>3.56</v>
      </c>
      <c r="E13" s="42">
        <v>4</v>
      </c>
      <c r="F13" s="68">
        <v>0.44</v>
      </c>
      <c r="G13" s="73" t="s">
        <v>825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825</v>
      </c>
    </row>
    <row r="15" spans="2:7" ht="15" customHeight="1" x14ac:dyDescent="0.2">
      <c r="B15" s="31" t="s">
        <v>230</v>
      </c>
      <c r="C15" s="40">
        <v>6</v>
      </c>
      <c r="D15" s="42">
        <v>3.5</v>
      </c>
      <c r="E15" s="42">
        <v>3.67</v>
      </c>
      <c r="F15" s="68">
        <v>0.17</v>
      </c>
      <c r="G15" s="73" t="s">
        <v>825</v>
      </c>
    </row>
    <row r="16" spans="2:7" ht="15" customHeight="1" x14ac:dyDescent="0.2">
      <c r="B16" s="34" t="s">
        <v>179</v>
      </c>
      <c r="C16" s="43">
        <v>10</v>
      </c>
      <c r="D16" s="45">
        <v>3</v>
      </c>
      <c r="E16" s="45">
        <v>3.5</v>
      </c>
      <c r="F16" s="69">
        <v>0.5</v>
      </c>
      <c r="G16" s="71" t="s">
        <v>824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824</v>
      </c>
    </row>
    <row r="18" spans="2:7" ht="15" customHeight="1" x14ac:dyDescent="0.2">
      <c r="B18" s="34" t="s">
        <v>172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824</v>
      </c>
    </row>
    <row r="19" spans="2:7" ht="15" customHeight="1" x14ac:dyDescent="0.2">
      <c r="B19" s="31" t="s">
        <v>231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825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825</v>
      </c>
    </row>
    <row r="21" spans="2:7" ht="15" customHeight="1" x14ac:dyDescent="0.2">
      <c r="B21" s="31" t="s">
        <v>693</v>
      </c>
      <c r="C21" s="40">
        <v>5</v>
      </c>
      <c r="D21" s="42">
        <v>2.6</v>
      </c>
      <c r="E21" s="42">
        <v>3</v>
      </c>
      <c r="F21" s="68">
        <v>0.4</v>
      </c>
      <c r="G21" s="73" t="s">
        <v>825</v>
      </c>
    </row>
    <row r="22" spans="2:7" ht="15" customHeight="1" x14ac:dyDescent="0.2">
      <c r="B22" s="34" t="s">
        <v>321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825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826</v>
      </c>
    </row>
    <row r="24" spans="2:7" ht="15" customHeight="1" x14ac:dyDescent="0.2">
      <c r="B24" s="34" t="s">
        <v>176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826</v>
      </c>
    </row>
    <row r="25" spans="2:7" ht="15" customHeight="1" x14ac:dyDescent="0.2">
      <c r="B25" s="31" t="s">
        <v>178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825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825</v>
      </c>
    </row>
    <row r="27" spans="2:7" ht="15" customHeight="1" x14ac:dyDescent="0.2">
      <c r="B27" s="31" t="s">
        <v>227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826</v>
      </c>
    </row>
    <row r="28" spans="2:7" ht="15" customHeight="1" x14ac:dyDescent="0.2">
      <c r="B28" s="34" t="s">
        <v>135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826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226</v>
      </c>
      <c r="D5" s="40" t="s">
        <v>681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680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1308</v>
      </c>
      <c r="D7" s="40" t="s">
        <v>675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676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1308</v>
      </c>
      <c r="D9" s="40" t="s">
        <v>684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231</v>
      </c>
      <c r="D10" s="43" t="s">
        <v>680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675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176</v>
      </c>
      <c r="D12" s="43" t="s">
        <v>676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226</v>
      </c>
      <c r="D13" s="40" t="s">
        <v>684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s">
        <v>693</v>
      </c>
      <c r="C5" s="40" t="s">
        <v>132</v>
      </c>
      <c r="D5" s="40" t="s">
        <v>836</v>
      </c>
      <c r="E5" s="40" t="s">
        <v>118</v>
      </c>
      <c r="F5" s="40" t="s">
        <v>837</v>
      </c>
    </row>
    <row r="6" spans="2:6" ht="15" customHeight="1" x14ac:dyDescent="0.2">
      <c r="B6" s="34" t="s">
        <v>179</v>
      </c>
      <c r="C6" s="43" t="s">
        <v>178</v>
      </c>
      <c r="D6" s="43" t="s">
        <v>838</v>
      </c>
      <c r="E6" s="43" t="s">
        <v>176</v>
      </c>
      <c r="F6" s="43" t="s">
        <v>839</v>
      </c>
    </row>
    <row r="7" spans="2:6" ht="15" customHeight="1" x14ac:dyDescent="0.2">
      <c r="B7" s="31" t="s">
        <v>1308</v>
      </c>
      <c r="C7" s="40" t="s">
        <v>172</v>
      </c>
      <c r="D7" s="40" t="s">
        <v>840</v>
      </c>
      <c r="E7" s="40" t="s">
        <v>119</v>
      </c>
      <c r="F7" s="40" t="s">
        <v>841</v>
      </c>
    </row>
    <row r="8" spans="2:6" ht="15" customHeight="1" x14ac:dyDescent="0.2">
      <c r="B8" s="34" t="s">
        <v>178</v>
      </c>
      <c r="C8" s="43" t="s">
        <v>693</v>
      </c>
      <c r="D8" s="43" t="s">
        <v>842</v>
      </c>
      <c r="E8" s="43" t="s">
        <v>172</v>
      </c>
      <c r="F8" s="43" t="s">
        <v>843</v>
      </c>
    </row>
    <row r="9" spans="2:6" ht="15" customHeight="1" x14ac:dyDescent="0.2">
      <c r="B9" s="31" t="s">
        <v>321</v>
      </c>
      <c r="C9" s="40" t="s">
        <v>135</v>
      </c>
      <c r="D9" s="40" t="s">
        <v>844</v>
      </c>
      <c r="E9" s="40" t="s">
        <v>118</v>
      </c>
      <c r="F9" s="40" t="s">
        <v>845</v>
      </c>
    </row>
    <row r="10" spans="2:6" ht="15" customHeight="1" x14ac:dyDescent="0.2">
      <c r="B10" s="34" t="s">
        <v>452</v>
      </c>
      <c r="C10" s="43" t="s">
        <v>178</v>
      </c>
      <c r="D10" s="43" t="s">
        <v>846</v>
      </c>
      <c r="E10" s="43" t="s">
        <v>321</v>
      </c>
      <c r="F10" s="43" t="s">
        <v>847</v>
      </c>
    </row>
    <row r="11" spans="2:6" ht="15" customHeight="1" x14ac:dyDescent="0.2">
      <c r="B11" s="31" t="s">
        <v>1285</v>
      </c>
      <c r="C11" s="40" t="s">
        <v>32</v>
      </c>
      <c r="D11" s="40"/>
      <c r="E11" s="40" t="s">
        <v>130</v>
      </c>
      <c r="F11" s="40" t="s">
        <v>848</v>
      </c>
    </row>
    <row r="12" spans="2:6" ht="15" customHeight="1" x14ac:dyDescent="0.2">
      <c r="B12" s="34" t="s">
        <v>127</v>
      </c>
      <c r="C12" s="43" t="s">
        <v>135</v>
      </c>
      <c r="D12" s="43" t="s">
        <v>849</v>
      </c>
      <c r="E12" s="43" t="s">
        <v>456</v>
      </c>
      <c r="F12" s="43" t="s">
        <v>850</v>
      </c>
    </row>
    <row r="13" spans="2:6" ht="15" customHeight="1" x14ac:dyDescent="0.2">
      <c r="B13" s="31" t="s">
        <v>132</v>
      </c>
      <c r="C13" s="40" t="s">
        <v>272</v>
      </c>
      <c r="D13" s="40" t="s">
        <v>851</v>
      </c>
      <c r="E13" s="40" t="s">
        <v>226</v>
      </c>
      <c r="F13" s="40" t="s">
        <v>852</v>
      </c>
    </row>
    <row r="14" spans="2:6" ht="15" customHeight="1" x14ac:dyDescent="0.2">
      <c r="B14" s="34" t="s">
        <v>172</v>
      </c>
      <c r="C14" s="43" t="s">
        <v>178</v>
      </c>
      <c r="D14" s="43" t="s">
        <v>853</v>
      </c>
      <c r="E14" s="43" t="s">
        <v>123</v>
      </c>
      <c r="F14" s="43" t="s">
        <v>854</v>
      </c>
    </row>
    <row r="15" spans="2:6" ht="15" customHeight="1" x14ac:dyDescent="0.2">
      <c r="B15" s="31" t="s">
        <v>176</v>
      </c>
      <c r="C15" s="40" t="s">
        <v>231</v>
      </c>
      <c r="D15" s="40" t="s">
        <v>855</v>
      </c>
      <c r="E15" s="40" t="s">
        <v>132</v>
      </c>
      <c r="F15" s="40" t="s">
        <v>856</v>
      </c>
    </row>
    <row r="16" spans="2:6" ht="15" customHeight="1" x14ac:dyDescent="0.2">
      <c r="B16" s="34" t="s">
        <v>226</v>
      </c>
      <c r="C16" s="43" t="s">
        <v>132</v>
      </c>
      <c r="D16" s="43" t="s">
        <v>857</v>
      </c>
      <c r="E16" s="43" t="s">
        <v>122</v>
      </c>
      <c r="F16" s="43" t="s">
        <v>858</v>
      </c>
    </row>
    <row r="17" spans="2:6" ht="15" customHeight="1" x14ac:dyDescent="0.2">
      <c r="B17" s="31" t="s">
        <v>119</v>
      </c>
      <c r="C17" s="40" t="s">
        <v>133</v>
      </c>
      <c r="D17" s="40" t="s">
        <v>859</v>
      </c>
      <c r="E17" s="40" t="s">
        <v>130</v>
      </c>
      <c r="F17" s="40" t="s">
        <v>860</v>
      </c>
    </row>
    <row r="18" spans="2:6" ht="15" customHeight="1" x14ac:dyDescent="0.2">
      <c r="B18" s="34" t="s">
        <v>120</v>
      </c>
      <c r="C18" s="43" t="s">
        <v>122</v>
      </c>
      <c r="D18" s="43" t="s">
        <v>861</v>
      </c>
      <c r="E18" s="43" t="s">
        <v>176</v>
      </c>
      <c r="F18" s="43" t="s">
        <v>858</v>
      </c>
    </row>
    <row r="19" spans="2:6" ht="15" customHeight="1" x14ac:dyDescent="0.2">
      <c r="B19" s="31" t="s">
        <v>122</v>
      </c>
      <c r="C19" s="40" t="s">
        <v>135</v>
      </c>
      <c r="D19" s="40" t="s">
        <v>862</v>
      </c>
      <c r="E19" s="40" t="s">
        <v>118</v>
      </c>
      <c r="F19" s="40" t="s">
        <v>839</v>
      </c>
    </row>
    <row r="20" spans="2:6" ht="15" customHeight="1" x14ac:dyDescent="0.2">
      <c r="B20" s="34" t="s">
        <v>118</v>
      </c>
      <c r="C20" s="43" t="s">
        <v>227</v>
      </c>
      <c r="D20" s="43" t="s">
        <v>863</v>
      </c>
      <c r="E20" s="43" t="s">
        <v>456</v>
      </c>
      <c r="F20" s="43" t="s">
        <v>837</v>
      </c>
    </row>
    <row r="21" spans="2:6" ht="15" customHeight="1" x14ac:dyDescent="0.2">
      <c r="B21" s="31" t="s">
        <v>123</v>
      </c>
      <c r="C21" s="40" t="s">
        <v>172</v>
      </c>
      <c r="D21" s="40" t="s">
        <v>864</v>
      </c>
      <c r="E21" s="40" t="s">
        <v>118</v>
      </c>
      <c r="F21" s="40" t="s">
        <v>865</v>
      </c>
    </row>
    <row r="22" spans="2:6" ht="15" customHeight="1" x14ac:dyDescent="0.2">
      <c r="B22" s="34" t="s">
        <v>133</v>
      </c>
      <c r="C22" s="43" t="s">
        <v>457</v>
      </c>
      <c r="D22" s="43" t="s">
        <v>866</v>
      </c>
      <c r="E22" s="43" t="s">
        <v>135</v>
      </c>
      <c r="F22" s="43" t="s">
        <v>867</v>
      </c>
    </row>
    <row r="23" spans="2:6" ht="15" customHeight="1" x14ac:dyDescent="0.2">
      <c r="B23" s="31" t="s">
        <v>231</v>
      </c>
      <c r="C23" s="40" t="s">
        <v>230</v>
      </c>
      <c r="D23" s="40" t="s">
        <v>838</v>
      </c>
      <c r="E23" s="40" t="s">
        <v>176</v>
      </c>
      <c r="F23" s="40" t="s">
        <v>868</v>
      </c>
    </row>
    <row r="24" spans="2:6" ht="15" customHeight="1" x14ac:dyDescent="0.2">
      <c r="B24" s="34" t="s">
        <v>230</v>
      </c>
      <c r="C24" s="43" t="s">
        <v>123</v>
      </c>
      <c r="D24" s="43" t="s">
        <v>836</v>
      </c>
      <c r="E24" s="43" t="s">
        <v>231</v>
      </c>
      <c r="F24" s="43" t="s">
        <v>869</v>
      </c>
    </row>
    <row r="25" spans="2:6" ht="15" customHeight="1" x14ac:dyDescent="0.2">
      <c r="B25" s="31" t="s">
        <v>456</v>
      </c>
      <c r="C25" s="40" t="s">
        <v>457</v>
      </c>
      <c r="D25" s="40" t="s">
        <v>870</v>
      </c>
      <c r="E25" s="40" t="s">
        <v>541</v>
      </c>
      <c r="F25" s="40" t="s">
        <v>837</v>
      </c>
    </row>
    <row r="26" spans="2:6" ht="15" customHeight="1" x14ac:dyDescent="0.2">
      <c r="B26" s="34" t="s">
        <v>457</v>
      </c>
      <c r="C26" s="43" t="s">
        <v>32</v>
      </c>
      <c r="D26" s="43"/>
      <c r="E26" s="43" t="s">
        <v>456</v>
      </c>
      <c r="F26" s="43" t="s">
        <v>871</v>
      </c>
    </row>
    <row r="27" spans="2:6" ht="15" customHeight="1" x14ac:dyDescent="0.2">
      <c r="B27" s="31" t="s">
        <v>130</v>
      </c>
      <c r="C27" s="40" t="s">
        <v>132</v>
      </c>
      <c r="D27" s="40" t="s">
        <v>862</v>
      </c>
      <c r="E27" s="40" t="s">
        <v>231</v>
      </c>
      <c r="F27" s="40" t="s">
        <v>850</v>
      </c>
    </row>
    <row r="28" spans="2:6" ht="15" customHeight="1" x14ac:dyDescent="0.2">
      <c r="B28" s="34" t="s">
        <v>541</v>
      </c>
      <c r="C28" s="43" t="s">
        <v>456</v>
      </c>
      <c r="D28" s="43" t="s">
        <v>836</v>
      </c>
      <c r="E28" s="43" t="s">
        <v>32</v>
      </c>
      <c r="F28" s="43"/>
    </row>
    <row r="29" spans="2:6" ht="15" customHeight="1" x14ac:dyDescent="0.2">
      <c r="B29" s="31" t="s">
        <v>135</v>
      </c>
      <c r="C29" s="40" t="s">
        <v>133</v>
      </c>
      <c r="D29" s="40" t="s">
        <v>872</v>
      </c>
      <c r="E29" s="40" t="s">
        <v>127</v>
      </c>
      <c r="F29" s="40" t="s">
        <v>873</v>
      </c>
    </row>
    <row r="30" spans="2:6" ht="15" customHeight="1" x14ac:dyDescent="0.2">
      <c r="B30" s="34" t="s">
        <v>175</v>
      </c>
      <c r="C30" s="43" t="s">
        <v>119</v>
      </c>
      <c r="D30" s="43" t="s">
        <v>874</v>
      </c>
      <c r="E30" s="43" t="s">
        <v>118</v>
      </c>
      <c r="F30" s="43" t="s">
        <v>837</v>
      </c>
    </row>
    <row r="31" spans="2:6" ht="15" customHeight="1" x14ac:dyDescent="0.2">
      <c r="B31" s="31" t="s">
        <v>272</v>
      </c>
      <c r="C31" s="40" t="s">
        <v>179</v>
      </c>
      <c r="D31" s="40" t="s">
        <v>875</v>
      </c>
      <c r="E31" s="40" t="s">
        <v>123</v>
      </c>
      <c r="F31" s="40" t="s">
        <v>839</v>
      </c>
    </row>
    <row r="32" spans="2:6" ht="15" customHeight="1" x14ac:dyDescent="0.2">
      <c r="B32" s="34" t="s">
        <v>227</v>
      </c>
      <c r="C32" s="43" t="s">
        <v>178</v>
      </c>
      <c r="D32" s="43" t="s">
        <v>846</v>
      </c>
      <c r="E32" s="43" t="s">
        <v>118</v>
      </c>
      <c r="F32" s="43" t="s">
        <v>876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882</v>
      </c>
    </row>
    <row r="6" spans="2:6" ht="15" customHeight="1" x14ac:dyDescent="0.2">
      <c r="B6" s="34" t="s">
        <v>456</v>
      </c>
      <c r="C6" s="43">
        <v>23</v>
      </c>
      <c r="D6" s="43">
        <v>7</v>
      </c>
      <c r="E6" s="43">
        <v>4</v>
      </c>
      <c r="F6" s="71" t="s">
        <v>883</v>
      </c>
    </row>
    <row r="7" spans="2:6" ht="15" customHeight="1" x14ac:dyDescent="0.2">
      <c r="B7" s="31" t="s">
        <v>452</v>
      </c>
      <c r="C7" s="40">
        <v>27</v>
      </c>
      <c r="D7" s="40">
        <v>5</v>
      </c>
      <c r="E7" s="40">
        <v>2</v>
      </c>
      <c r="F7" s="70" t="s">
        <v>883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884</v>
      </c>
    </row>
    <row r="9" spans="2:6" ht="15" customHeight="1" x14ac:dyDescent="0.2">
      <c r="B9" s="31" t="s">
        <v>231</v>
      </c>
      <c r="C9" s="40">
        <v>42</v>
      </c>
      <c r="D9" s="40">
        <v>5</v>
      </c>
      <c r="E9" s="40">
        <v>4</v>
      </c>
      <c r="F9" s="70" t="s">
        <v>885</v>
      </c>
    </row>
    <row r="10" spans="2:6" ht="15" customHeight="1" x14ac:dyDescent="0.2">
      <c r="B10" s="34" t="s">
        <v>1308</v>
      </c>
      <c r="C10" s="43">
        <v>64</v>
      </c>
      <c r="D10" s="43">
        <v>5</v>
      </c>
      <c r="E10" s="43">
        <v>6</v>
      </c>
      <c r="F10" s="71" t="s">
        <v>883</v>
      </c>
    </row>
    <row r="11" spans="2:6" ht="15" customHeight="1" x14ac:dyDescent="0.2">
      <c r="B11" s="31" t="s">
        <v>226</v>
      </c>
      <c r="C11" s="40">
        <v>37</v>
      </c>
      <c r="D11" s="40">
        <v>4</v>
      </c>
      <c r="E11" s="40">
        <v>3</v>
      </c>
      <c r="F11" s="74" t="s">
        <v>886</v>
      </c>
    </row>
    <row r="12" spans="2:6" ht="15" customHeight="1" x14ac:dyDescent="0.2">
      <c r="B12" s="34" t="s">
        <v>230</v>
      </c>
      <c r="C12" s="43">
        <v>31</v>
      </c>
      <c r="D12" s="43">
        <v>4</v>
      </c>
      <c r="E12" s="43">
        <v>3</v>
      </c>
      <c r="F12" s="71" t="s">
        <v>885</v>
      </c>
    </row>
    <row r="13" spans="2:6" ht="15" customHeight="1" x14ac:dyDescent="0.2">
      <c r="B13" s="31" t="s">
        <v>541</v>
      </c>
      <c r="C13" s="40">
        <v>13</v>
      </c>
      <c r="D13" s="40">
        <v>4</v>
      </c>
      <c r="E13" s="40">
        <v>3</v>
      </c>
      <c r="F13" s="70" t="s">
        <v>885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884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883</v>
      </c>
    </row>
    <row r="16" spans="2:6" ht="15" customHeight="1" x14ac:dyDescent="0.2">
      <c r="B16" s="34" t="s">
        <v>272</v>
      </c>
      <c r="C16" s="43">
        <v>42</v>
      </c>
      <c r="D16" s="43">
        <v>4</v>
      </c>
      <c r="E16" s="43">
        <v>4</v>
      </c>
      <c r="F16" s="71" t="s">
        <v>885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884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887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882</v>
      </c>
    </row>
    <row r="20" spans="2:6" ht="15" customHeight="1" x14ac:dyDescent="0.2">
      <c r="B20" s="34" t="s">
        <v>135</v>
      </c>
      <c r="C20" s="43">
        <v>58</v>
      </c>
      <c r="D20" s="43">
        <v>4</v>
      </c>
      <c r="E20" s="43">
        <v>6</v>
      </c>
      <c r="F20" s="75" t="s">
        <v>882</v>
      </c>
    </row>
    <row r="21" spans="2:6" ht="15" customHeight="1" x14ac:dyDescent="0.2">
      <c r="B21" s="31" t="s">
        <v>176</v>
      </c>
      <c r="C21" s="40">
        <v>58</v>
      </c>
      <c r="D21" s="40">
        <v>4</v>
      </c>
      <c r="E21" s="40">
        <v>7</v>
      </c>
      <c r="F21" s="70" t="s">
        <v>885</v>
      </c>
    </row>
    <row r="22" spans="2:6" ht="15" customHeight="1" x14ac:dyDescent="0.2">
      <c r="B22" s="34" t="s">
        <v>172</v>
      </c>
      <c r="C22" s="43">
        <v>59</v>
      </c>
      <c r="D22" s="43">
        <v>4</v>
      </c>
      <c r="E22" s="43">
        <v>13</v>
      </c>
      <c r="F22" s="75" t="s">
        <v>884</v>
      </c>
    </row>
    <row r="23" spans="2:6" ht="15" customHeight="1" x14ac:dyDescent="0.2">
      <c r="B23" s="31" t="s">
        <v>321</v>
      </c>
      <c r="C23" s="40">
        <v>33</v>
      </c>
      <c r="D23" s="40">
        <v>3</v>
      </c>
      <c r="E23" s="40">
        <v>3</v>
      </c>
      <c r="F23" s="70" t="s">
        <v>885</v>
      </c>
    </row>
    <row r="24" spans="2:6" ht="15" customHeight="1" x14ac:dyDescent="0.2">
      <c r="B24" s="34" t="s">
        <v>1285</v>
      </c>
      <c r="C24" s="43">
        <v>16</v>
      </c>
      <c r="D24" s="43">
        <v>3</v>
      </c>
      <c r="E24" s="43">
        <v>3</v>
      </c>
      <c r="F24" s="75" t="s">
        <v>886</v>
      </c>
    </row>
    <row r="25" spans="2:6" ht="15" customHeight="1" x14ac:dyDescent="0.2">
      <c r="B25" s="31" t="s">
        <v>227</v>
      </c>
      <c r="C25" s="40">
        <v>54</v>
      </c>
      <c r="D25" s="40">
        <v>3</v>
      </c>
      <c r="E25" s="40">
        <v>6</v>
      </c>
      <c r="F25" s="74" t="s">
        <v>884</v>
      </c>
    </row>
    <row r="26" spans="2:6" ht="15" customHeight="1" x14ac:dyDescent="0.2">
      <c r="B26" s="34" t="s">
        <v>693</v>
      </c>
      <c r="C26" s="43">
        <v>26</v>
      </c>
      <c r="D26" s="43">
        <v>2</v>
      </c>
      <c r="E26" s="43">
        <v>3</v>
      </c>
      <c r="F26" s="75" t="s">
        <v>882</v>
      </c>
    </row>
    <row r="27" spans="2:6" ht="15" customHeight="1" x14ac:dyDescent="0.2">
      <c r="B27" s="31" t="s">
        <v>175</v>
      </c>
      <c r="C27" s="40">
        <v>15</v>
      </c>
      <c r="D27" s="40">
        <v>2</v>
      </c>
      <c r="E27" s="40">
        <v>3</v>
      </c>
      <c r="F27" s="74" t="s">
        <v>884</v>
      </c>
    </row>
    <row r="28" spans="2:6" ht="15" customHeight="1" x14ac:dyDescent="0.2">
      <c r="B28" s="34" t="s">
        <v>179</v>
      </c>
      <c r="C28" s="43">
        <v>52</v>
      </c>
      <c r="D28" s="43">
        <v>2</v>
      </c>
      <c r="E28" s="43">
        <v>4</v>
      </c>
      <c r="F28" s="71" t="s">
        <v>885</v>
      </c>
    </row>
    <row r="29" spans="2:6" ht="15" customHeight="1" x14ac:dyDescent="0.2">
      <c r="B29" s="31" t="s">
        <v>178</v>
      </c>
      <c r="C29" s="40">
        <v>52</v>
      </c>
      <c r="D29" s="40">
        <v>2</v>
      </c>
      <c r="E29" s="40">
        <v>5</v>
      </c>
      <c r="F29" s="74" t="s">
        <v>884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885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888</v>
      </c>
    </row>
    <row r="32" spans="2:6" ht="15" customHeight="1" x14ac:dyDescent="0.2">
      <c r="B32" s="34" t="s">
        <v>457</v>
      </c>
      <c r="C32" s="43">
        <v>12</v>
      </c>
      <c r="D32" s="43">
        <v>1</v>
      </c>
      <c r="E32" s="43">
        <v>3</v>
      </c>
      <c r="F32" s="75" t="s">
        <v>884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3">
        <v>11</v>
      </c>
      <c r="B30" s="34" t="s">
        <v>614</v>
      </c>
      <c r="C30" s="34" t="s">
        <v>145</v>
      </c>
      <c r="D30" s="34" t="s">
        <v>1276</v>
      </c>
      <c r="E30" s="43"/>
      <c r="F30" s="43"/>
      <c r="G30" s="43"/>
      <c r="H30" s="34" t="s">
        <v>1277</v>
      </c>
    </row>
    <row r="31" spans="1:8" ht="15" customHeight="1" x14ac:dyDescent="0.2">
      <c r="A31" s="80"/>
      <c r="B31" s="37" t="s">
        <v>1278</v>
      </c>
      <c r="C31" s="80"/>
      <c r="D31" s="80"/>
      <c r="E31" s="81">
        <f>AVERAGE(E5:E30)</f>
        <v>6366.8</v>
      </c>
      <c r="F31" s="81">
        <f>AVERAGE(F5:F30)</f>
        <v>131.94999999999999</v>
      </c>
      <c r="G31" s="81">
        <f>AVERAGE(G5:G30)</f>
        <v>71.315384615384616</v>
      </c>
      <c r="H31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6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Dates = Sand Valley event. Remaining singles completed remotely at other courses afterward (in Archives).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