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8_{96289DEB-71C4-4141-B9C2-FCFB978F63B4}" xr6:coauthVersionLast="47" xr6:coauthVersionMax="47" xr10:uidLastSave="{00000000-0000-0000-0000-000000000000}"/>
  <bookViews>
    <workbookView xWindow="8200" yWindow="600" windowWidth="16380" windowHeight="8200" tabRatio="500" firstSheet="1" activeTab="7" xr2:uid="{00000000-000D-0000-FFFF-FFFF00000000}"/>
  </bookViews>
  <sheets>
    <sheet name="Archives" sheetId="1" r:id="rId1"/>
    <sheet name="Cups" sheetId="2" r:id="rId2"/>
    <sheet name="Handicaps" sheetId="3" r:id="rId3"/>
    <sheet name="Points" sheetId="4" r:id="rId4"/>
    <sheet name="LifetimeLeaderboard" sheetId="5" r:id="rId5"/>
    <sheet name="Bounties" sheetId="6" r:id="rId6"/>
    <sheet name="CAPA PPC" sheetId="7" r:id="rId7"/>
    <sheet name="PartnerSkill" sheetId="8" r:id="rId8"/>
    <sheet name="SoS" sheetId="9" r:id="rId9"/>
    <sheet name="RecordBook" sheetId="10" r:id="rId10"/>
    <sheet name="NHI" sheetId="11" r:id="rId11"/>
    <sheet name="Singles_Doubles records" sheetId="12" r:id="rId12"/>
    <sheet name="7yrFund" sheetId="13" r:id="rId13"/>
    <sheet name="Ratings" sheetId="14" r:id="rId14"/>
    <sheet name="FBC3" sheetId="15" r:id="rId15"/>
    <sheet name="Lifetime Mulligans" sheetId="16" r:id="rId16"/>
    <sheet name="Rookies" sheetId="17" r:id="rId17"/>
    <sheet name="Cyber Monday" sheetId="18" r:id="rId18"/>
    <sheet name="Difficulty Graph" sheetId="19" r:id="rId19"/>
    <sheet name="Size Analysis" sheetId="20" r:id="rId20"/>
    <sheet name="North Analysis" sheetId="21" r:id="rId21"/>
  </sheets>
  <definedNames>
    <definedName name="_xlnm._FilterDatabase" localSheetId="1" hidden="1">Cups!$B$3:$R$31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5" i="7" l="1"/>
  <c r="J35" i="7" s="1"/>
  <c r="I34" i="7"/>
  <c r="J34" i="7" s="1"/>
  <c r="J33" i="7"/>
  <c r="I33" i="7"/>
  <c r="I32" i="7"/>
  <c r="J32" i="7" s="1"/>
  <c r="J31" i="7"/>
  <c r="I31" i="7"/>
  <c r="I30" i="7"/>
  <c r="J30" i="7" s="1"/>
  <c r="I29" i="7"/>
  <c r="J29" i="7" s="1"/>
  <c r="J28" i="7"/>
  <c r="I28" i="7"/>
  <c r="I27" i="7"/>
  <c r="J27" i="7" s="1"/>
  <c r="J26" i="7"/>
  <c r="I26" i="7"/>
  <c r="I25" i="7"/>
  <c r="J25" i="7" s="1"/>
  <c r="I24" i="7"/>
  <c r="J24" i="7" s="1"/>
  <c r="J23" i="7"/>
  <c r="I23" i="7"/>
  <c r="I22" i="7"/>
  <c r="J22" i="7" s="1"/>
  <c r="J21" i="7"/>
  <c r="I21" i="7"/>
  <c r="I20" i="7"/>
  <c r="J20" i="7" s="1"/>
  <c r="I19" i="7"/>
  <c r="J19" i="7" s="1"/>
  <c r="J18" i="7"/>
  <c r="I18" i="7"/>
  <c r="I17" i="7"/>
  <c r="J17" i="7" s="1"/>
  <c r="J16" i="7"/>
  <c r="I16" i="7"/>
  <c r="J15" i="7"/>
  <c r="I15" i="7"/>
  <c r="I14" i="7"/>
  <c r="J14" i="7" s="1"/>
  <c r="J13" i="7"/>
  <c r="I13" i="7"/>
  <c r="I12" i="7"/>
  <c r="J12" i="7" s="1"/>
  <c r="J11" i="7"/>
  <c r="I11" i="7"/>
  <c r="J10" i="7"/>
  <c r="I10" i="7"/>
  <c r="O34" i="3"/>
  <c r="O33" i="3"/>
  <c r="O30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P34" i="2"/>
  <c r="N34" i="2"/>
  <c r="M34" i="2"/>
  <c r="L34" i="2"/>
  <c r="K34" i="2"/>
  <c r="J34" i="2"/>
  <c r="I34" i="2"/>
  <c r="H34" i="2"/>
  <c r="G34" i="2"/>
  <c r="F34" i="2"/>
  <c r="E34" i="2"/>
  <c r="D34" i="2"/>
  <c r="C34" i="2"/>
  <c r="R32" i="2"/>
  <c r="O32" i="2"/>
  <c r="Q32" i="2" s="1"/>
  <c r="R31" i="2"/>
  <c r="Q31" i="2"/>
  <c r="O31" i="2"/>
  <c r="R30" i="2"/>
  <c r="Q30" i="2"/>
  <c r="O30" i="2"/>
  <c r="R29" i="2"/>
  <c r="Q29" i="2"/>
  <c r="O29" i="2"/>
  <c r="O28" i="2"/>
  <c r="R28" i="2" s="1"/>
  <c r="R27" i="2"/>
  <c r="O27" i="2"/>
  <c r="Q27" i="2" s="1"/>
  <c r="Q26" i="2"/>
  <c r="O26" i="2"/>
  <c r="R26" i="2" s="1"/>
  <c r="O25" i="2"/>
  <c r="R25" i="2" s="1"/>
  <c r="R24" i="2"/>
  <c r="Q24" i="2"/>
  <c r="O24" i="2"/>
  <c r="O23" i="2"/>
  <c r="R23" i="2" s="1"/>
  <c r="R22" i="2"/>
  <c r="O22" i="2"/>
  <c r="Q22" i="2" s="1"/>
  <c r="R21" i="2"/>
  <c r="Q21" i="2"/>
  <c r="O21" i="2"/>
  <c r="O20" i="2"/>
  <c r="R20" i="2" s="1"/>
  <c r="R19" i="2"/>
  <c r="Q19" i="2"/>
  <c r="O19" i="2"/>
  <c r="O18" i="2"/>
  <c r="R18" i="2" s="1"/>
  <c r="R17" i="2"/>
  <c r="O17" i="2"/>
  <c r="Q17" i="2" s="1"/>
  <c r="Q16" i="2"/>
  <c r="O16" i="2"/>
  <c r="R16" i="2" s="1"/>
  <c r="O15" i="2"/>
  <c r="R15" i="2" s="1"/>
  <c r="R14" i="2"/>
  <c r="Q14" i="2"/>
  <c r="O14" i="2"/>
  <c r="O13" i="2"/>
  <c r="R13" i="2" s="1"/>
  <c r="R12" i="2"/>
  <c r="O12" i="2"/>
  <c r="Q12" i="2" s="1"/>
  <c r="R11" i="2"/>
  <c r="Q11" i="2"/>
  <c r="O11" i="2"/>
  <c r="R10" i="2"/>
  <c r="Q10" i="2"/>
  <c r="O10" i="2"/>
  <c r="R9" i="2"/>
  <c r="Q9" i="2"/>
  <c r="O9" i="2"/>
  <c r="O8" i="2"/>
  <c r="R8" i="2" s="1"/>
  <c r="R7" i="2"/>
  <c r="O7" i="2"/>
  <c r="Q7" i="2" s="1"/>
  <c r="Q6" i="2"/>
  <c r="O6" i="2"/>
  <c r="R6" i="2" s="1"/>
  <c r="O5" i="2"/>
  <c r="R5" i="2" s="1"/>
  <c r="R4" i="2"/>
  <c r="Q4" i="2"/>
  <c r="O4" i="2"/>
  <c r="O3" i="2"/>
  <c r="O34" i="2" s="1"/>
  <c r="BS871" i="1"/>
  <c r="BR871" i="1"/>
  <c r="BQ871" i="1"/>
  <c r="BP871" i="1"/>
  <c r="BO871" i="1"/>
  <c r="BN871" i="1"/>
  <c r="BM871" i="1"/>
  <c r="BL871" i="1"/>
  <c r="BK871" i="1"/>
  <c r="BJ871" i="1"/>
  <c r="BI871" i="1"/>
  <c r="BH871" i="1"/>
  <c r="BG871" i="1"/>
  <c r="BF871" i="1"/>
  <c r="BE871" i="1"/>
  <c r="BD871" i="1"/>
  <c r="BC871" i="1"/>
  <c r="BB871" i="1"/>
  <c r="BA871" i="1"/>
  <c r="AZ871" i="1"/>
  <c r="AY871" i="1"/>
  <c r="AX871" i="1"/>
  <c r="AW871" i="1"/>
  <c r="AV871" i="1"/>
  <c r="AU871" i="1"/>
  <c r="AT871" i="1"/>
  <c r="AS871" i="1"/>
  <c r="AR871" i="1"/>
  <c r="AQ871" i="1"/>
  <c r="AP871" i="1"/>
  <c r="AO871" i="1"/>
  <c r="AE871" i="1"/>
  <c r="BS870" i="1"/>
  <c r="BR870" i="1"/>
  <c r="BQ870" i="1"/>
  <c r="BP870" i="1"/>
  <c r="BO870" i="1"/>
  <c r="BN870" i="1"/>
  <c r="BM870" i="1"/>
  <c r="BL870" i="1"/>
  <c r="BK870" i="1"/>
  <c r="BJ870" i="1"/>
  <c r="BI870" i="1"/>
  <c r="BH870" i="1"/>
  <c r="BG870" i="1"/>
  <c r="BF870" i="1"/>
  <c r="BE870" i="1"/>
  <c r="BD870" i="1"/>
  <c r="BC870" i="1"/>
  <c r="BB870" i="1"/>
  <c r="BA870" i="1"/>
  <c r="AZ870" i="1"/>
  <c r="AY870" i="1"/>
  <c r="AX870" i="1"/>
  <c r="AW870" i="1"/>
  <c r="AV870" i="1"/>
  <c r="AU870" i="1"/>
  <c r="AT870" i="1"/>
  <c r="AS870" i="1"/>
  <c r="AR870" i="1"/>
  <c r="AQ870" i="1"/>
  <c r="AP870" i="1"/>
  <c r="AO870" i="1"/>
  <c r="AE870" i="1"/>
  <c r="BS869" i="1"/>
  <c r="BR869" i="1"/>
  <c r="BQ869" i="1"/>
  <c r="BP869" i="1"/>
  <c r="BO869" i="1"/>
  <c r="BN869" i="1"/>
  <c r="BM869" i="1"/>
  <c r="BL869" i="1"/>
  <c r="BK869" i="1"/>
  <c r="BJ869" i="1"/>
  <c r="BI869" i="1"/>
  <c r="BH869" i="1"/>
  <c r="BG869" i="1"/>
  <c r="BF869" i="1"/>
  <c r="BE869" i="1"/>
  <c r="BD869" i="1"/>
  <c r="BC869" i="1"/>
  <c r="BB869" i="1"/>
  <c r="BA869" i="1"/>
  <c r="AZ869" i="1"/>
  <c r="AY869" i="1"/>
  <c r="AX869" i="1"/>
  <c r="AW869" i="1"/>
  <c r="AV869" i="1"/>
  <c r="AU869" i="1"/>
  <c r="AT869" i="1"/>
  <c r="AS869" i="1"/>
  <c r="AR869" i="1"/>
  <c r="AQ869" i="1"/>
  <c r="AP869" i="1"/>
  <c r="AO869" i="1"/>
  <c r="AE869" i="1"/>
  <c r="BS868" i="1"/>
  <c r="BR868" i="1"/>
  <c r="BQ868" i="1"/>
  <c r="BP868" i="1"/>
  <c r="BO868" i="1"/>
  <c r="BN868" i="1"/>
  <c r="BM868" i="1"/>
  <c r="BL868" i="1"/>
  <c r="BK868" i="1"/>
  <c r="BJ868" i="1"/>
  <c r="BI868" i="1"/>
  <c r="BH868" i="1"/>
  <c r="BG868" i="1"/>
  <c r="BF868" i="1"/>
  <c r="BE868" i="1"/>
  <c r="BD868" i="1"/>
  <c r="BC868" i="1"/>
  <c r="BB868" i="1"/>
  <c r="BA868" i="1"/>
  <c r="AZ868" i="1"/>
  <c r="AY868" i="1"/>
  <c r="AX868" i="1"/>
  <c r="AW868" i="1"/>
  <c r="AV868" i="1"/>
  <c r="AU868" i="1"/>
  <c r="AT868" i="1"/>
  <c r="AS868" i="1"/>
  <c r="AR868" i="1"/>
  <c r="AQ868" i="1"/>
  <c r="AP868" i="1"/>
  <c r="AO868" i="1"/>
  <c r="AE868" i="1"/>
  <c r="BS867" i="1"/>
  <c r="BR867" i="1"/>
  <c r="BQ867" i="1"/>
  <c r="BP867" i="1"/>
  <c r="BO867" i="1"/>
  <c r="BN867" i="1"/>
  <c r="BM867" i="1"/>
  <c r="BL867" i="1"/>
  <c r="BK867" i="1"/>
  <c r="BJ867" i="1"/>
  <c r="BI867" i="1"/>
  <c r="BH867" i="1"/>
  <c r="BG867" i="1"/>
  <c r="BF867" i="1"/>
  <c r="BE867" i="1"/>
  <c r="BD867" i="1"/>
  <c r="BC867" i="1"/>
  <c r="BB867" i="1"/>
  <c r="BA867" i="1"/>
  <c r="AZ867" i="1"/>
  <c r="AY867" i="1"/>
  <c r="AX867" i="1"/>
  <c r="AW867" i="1"/>
  <c r="AV867" i="1"/>
  <c r="AU867" i="1"/>
  <c r="AT867" i="1"/>
  <c r="AS867" i="1"/>
  <c r="AR867" i="1"/>
  <c r="AQ867" i="1"/>
  <c r="AP867" i="1"/>
  <c r="AO867" i="1"/>
  <c r="AE867" i="1"/>
  <c r="BS866" i="1"/>
  <c r="BR866" i="1"/>
  <c r="BQ866" i="1"/>
  <c r="BP866" i="1"/>
  <c r="BO866" i="1"/>
  <c r="BN866" i="1"/>
  <c r="BM866" i="1"/>
  <c r="BL866" i="1"/>
  <c r="BK866" i="1"/>
  <c r="BJ866" i="1"/>
  <c r="BI866" i="1"/>
  <c r="BH866" i="1"/>
  <c r="BG866" i="1"/>
  <c r="BF866" i="1"/>
  <c r="BE866" i="1"/>
  <c r="BD866" i="1"/>
  <c r="BC866" i="1"/>
  <c r="BB866" i="1"/>
  <c r="BA866" i="1"/>
  <c r="AZ866" i="1"/>
  <c r="AY866" i="1"/>
  <c r="AX866" i="1"/>
  <c r="AW866" i="1"/>
  <c r="AV866" i="1"/>
  <c r="AU866" i="1"/>
  <c r="AT866" i="1"/>
  <c r="AS866" i="1"/>
  <c r="AR866" i="1"/>
  <c r="AQ866" i="1"/>
  <c r="AP866" i="1"/>
  <c r="AO866" i="1"/>
  <c r="AE866" i="1"/>
  <c r="BS865" i="1"/>
  <c r="BR865" i="1"/>
  <c r="BQ865" i="1"/>
  <c r="BP865" i="1"/>
  <c r="BO865" i="1"/>
  <c r="BN865" i="1"/>
  <c r="BM865" i="1"/>
  <c r="BL865" i="1"/>
  <c r="BK865" i="1"/>
  <c r="BJ865" i="1"/>
  <c r="BI865" i="1"/>
  <c r="BH865" i="1"/>
  <c r="BG865" i="1"/>
  <c r="BF865" i="1"/>
  <c r="BE865" i="1"/>
  <c r="BD865" i="1"/>
  <c r="BC865" i="1"/>
  <c r="BB865" i="1"/>
  <c r="BA865" i="1"/>
  <c r="AZ865" i="1"/>
  <c r="AY865" i="1"/>
  <c r="AX865" i="1"/>
  <c r="AW865" i="1"/>
  <c r="AV865" i="1"/>
  <c r="AU865" i="1"/>
  <c r="AT865" i="1"/>
  <c r="AS865" i="1"/>
  <c r="AR865" i="1"/>
  <c r="AQ865" i="1"/>
  <c r="AP865" i="1"/>
  <c r="AO865" i="1"/>
  <c r="AE865" i="1"/>
  <c r="BS864" i="1"/>
  <c r="BR864" i="1"/>
  <c r="BQ864" i="1"/>
  <c r="BP864" i="1"/>
  <c r="BO864" i="1"/>
  <c r="BN864" i="1"/>
  <c r="BM864" i="1"/>
  <c r="BL864" i="1"/>
  <c r="BK864" i="1"/>
  <c r="BJ864" i="1"/>
  <c r="BI864" i="1"/>
  <c r="BH864" i="1"/>
  <c r="BG864" i="1"/>
  <c r="BF864" i="1"/>
  <c r="BE864" i="1"/>
  <c r="BD864" i="1"/>
  <c r="BC864" i="1"/>
  <c r="BB864" i="1"/>
  <c r="BA864" i="1"/>
  <c r="AZ864" i="1"/>
  <c r="AY864" i="1"/>
  <c r="AX864" i="1"/>
  <c r="AW864" i="1"/>
  <c r="AV864" i="1"/>
  <c r="AU864" i="1"/>
  <c r="AT864" i="1"/>
  <c r="AS864" i="1"/>
  <c r="AR864" i="1"/>
  <c r="AQ864" i="1"/>
  <c r="AP864" i="1"/>
  <c r="AO864" i="1"/>
  <c r="AE864" i="1"/>
  <c r="BS863" i="1"/>
  <c r="BR863" i="1"/>
  <c r="BQ863" i="1"/>
  <c r="BP863" i="1"/>
  <c r="BO863" i="1"/>
  <c r="BN863" i="1"/>
  <c r="BM863" i="1"/>
  <c r="BL863" i="1"/>
  <c r="BK863" i="1"/>
  <c r="BJ863" i="1"/>
  <c r="BI863" i="1"/>
  <c r="BH863" i="1"/>
  <c r="BG863" i="1"/>
  <c r="BF863" i="1"/>
  <c r="BE863" i="1"/>
  <c r="BD863" i="1"/>
  <c r="BC863" i="1"/>
  <c r="BB863" i="1"/>
  <c r="BA863" i="1"/>
  <c r="AZ863" i="1"/>
  <c r="AY863" i="1"/>
  <c r="AX863" i="1"/>
  <c r="AW863" i="1"/>
  <c r="AV863" i="1"/>
  <c r="AU863" i="1"/>
  <c r="AT863" i="1"/>
  <c r="AS863" i="1"/>
  <c r="AR863" i="1"/>
  <c r="AQ863" i="1"/>
  <c r="AP863" i="1"/>
  <c r="AO863" i="1"/>
  <c r="AE863" i="1"/>
  <c r="BS862" i="1"/>
  <c r="BR862" i="1"/>
  <c r="BQ862" i="1"/>
  <c r="BP862" i="1"/>
  <c r="BO862" i="1"/>
  <c r="BN862" i="1"/>
  <c r="BM862" i="1"/>
  <c r="BL862" i="1"/>
  <c r="BK862" i="1"/>
  <c r="BJ862" i="1"/>
  <c r="BI862" i="1"/>
  <c r="BH862" i="1"/>
  <c r="BG862" i="1"/>
  <c r="BF862" i="1"/>
  <c r="BE862" i="1"/>
  <c r="BD862" i="1"/>
  <c r="BC862" i="1"/>
  <c r="BB862" i="1"/>
  <c r="BA862" i="1"/>
  <c r="AZ862" i="1"/>
  <c r="AY862" i="1"/>
  <c r="AX862" i="1"/>
  <c r="AW862" i="1"/>
  <c r="AV862" i="1"/>
  <c r="AU862" i="1"/>
  <c r="AT862" i="1"/>
  <c r="AS862" i="1"/>
  <c r="AR862" i="1"/>
  <c r="AQ862" i="1"/>
  <c r="AP862" i="1"/>
  <c r="AO862" i="1"/>
  <c r="AE862" i="1"/>
  <c r="BS861" i="1"/>
  <c r="BR861" i="1"/>
  <c r="BQ861" i="1"/>
  <c r="BP861" i="1"/>
  <c r="BO861" i="1"/>
  <c r="BN861" i="1"/>
  <c r="BM861" i="1"/>
  <c r="BL861" i="1"/>
  <c r="BK861" i="1"/>
  <c r="BJ861" i="1"/>
  <c r="BI861" i="1"/>
  <c r="BH861" i="1"/>
  <c r="BG861" i="1"/>
  <c r="BF861" i="1"/>
  <c r="BE861" i="1"/>
  <c r="BD861" i="1"/>
  <c r="BC861" i="1"/>
  <c r="BB861" i="1"/>
  <c r="BA861" i="1"/>
  <c r="AZ861" i="1"/>
  <c r="AY861" i="1"/>
  <c r="AX861" i="1"/>
  <c r="AW861" i="1"/>
  <c r="AV861" i="1"/>
  <c r="AU861" i="1"/>
  <c r="AT861" i="1"/>
  <c r="AS861" i="1"/>
  <c r="AR861" i="1"/>
  <c r="AQ861" i="1"/>
  <c r="AP861" i="1"/>
  <c r="AO861" i="1"/>
  <c r="AE861" i="1"/>
  <c r="BS860" i="1"/>
  <c r="BR860" i="1"/>
  <c r="BQ860" i="1"/>
  <c r="BP860" i="1"/>
  <c r="BO860" i="1"/>
  <c r="BN860" i="1"/>
  <c r="BM860" i="1"/>
  <c r="BL860" i="1"/>
  <c r="BK860" i="1"/>
  <c r="BJ860" i="1"/>
  <c r="BI860" i="1"/>
  <c r="BH860" i="1"/>
  <c r="BG860" i="1"/>
  <c r="BF860" i="1"/>
  <c r="BE860" i="1"/>
  <c r="BD860" i="1"/>
  <c r="BC860" i="1"/>
  <c r="BB860" i="1"/>
  <c r="BA860" i="1"/>
  <c r="AZ860" i="1"/>
  <c r="AY860" i="1"/>
  <c r="AX860" i="1"/>
  <c r="AW860" i="1"/>
  <c r="AV860" i="1"/>
  <c r="AU860" i="1"/>
  <c r="AT860" i="1"/>
  <c r="AS860" i="1"/>
  <c r="AR860" i="1"/>
  <c r="AQ860" i="1"/>
  <c r="AP860" i="1"/>
  <c r="AO860" i="1"/>
  <c r="AE860" i="1"/>
  <c r="BS859" i="1"/>
  <c r="BR859" i="1"/>
  <c r="BQ859" i="1"/>
  <c r="BP859" i="1"/>
  <c r="BO859" i="1"/>
  <c r="BN859" i="1"/>
  <c r="BM859" i="1"/>
  <c r="BL859" i="1"/>
  <c r="BK859" i="1"/>
  <c r="BJ859" i="1"/>
  <c r="BI859" i="1"/>
  <c r="BH859" i="1"/>
  <c r="BG859" i="1"/>
  <c r="BF859" i="1"/>
  <c r="BE859" i="1"/>
  <c r="BD859" i="1"/>
  <c r="BC859" i="1"/>
  <c r="BB859" i="1"/>
  <c r="BA859" i="1"/>
  <c r="AZ859" i="1"/>
  <c r="AY859" i="1"/>
  <c r="AX859" i="1"/>
  <c r="AW859" i="1"/>
  <c r="AV859" i="1"/>
  <c r="AU859" i="1"/>
  <c r="AT859" i="1"/>
  <c r="AS859" i="1"/>
  <c r="AR859" i="1"/>
  <c r="AQ859" i="1"/>
  <c r="AP859" i="1"/>
  <c r="AO859" i="1"/>
  <c r="AE859" i="1"/>
  <c r="BS858" i="1"/>
  <c r="BR858" i="1"/>
  <c r="BQ858" i="1"/>
  <c r="BP858" i="1"/>
  <c r="BO858" i="1"/>
  <c r="BN858" i="1"/>
  <c r="BM858" i="1"/>
  <c r="BL858" i="1"/>
  <c r="BK858" i="1"/>
  <c r="BJ858" i="1"/>
  <c r="BI858" i="1"/>
  <c r="BH858" i="1"/>
  <c r="BG858" i="1"/>
  <c r="BF858" i="1"/>
  <c r="BE858" i="1"/>
  <c r="BD858" i="1"/>
  <c r="BC858" i="1"/>
  <c r="BB858" i="1"/>
  <c r="BA858" i="1"/>
  <c r="AZ858" i="1"/>
  <c r="AY858" i="1"/>
  <c r="AX858" i="1"/>
  <c r="AW858" i="1"/>
  <c r="AV858" i="1"/>
  <c r="AU858" i="1"/>
  <c r="AT858" i="1"/>
  <c r="AS858" i="1"/>
  <c r="AR858" i="1"/>
  <c r="AQ858" i="1"/>
  <c r="AP858" i="1"/>
  <c r="AO858" i="1"/>
  <c r="AE858" i="1"/>
  <c r="BS857" i="1"/>
  <c r="BR857" i="1"/>
  <c r="BQ857" i="1"/>
  <c r="BP857" i="1"/>
  <c r="BO857" i="1"/>
  <c r="BN857" i="1"/>
  <c r="BM857" i="1"/>
  <c r="BL857" i="1"/>
  <c r="BK857" i="1"/>
  <c r="BJ857" i="1"/>
  <c r="BI857" i="1"/>
  <c r="BH857" i="1"/>
  <c r="BG857" i="1"/>
  <c r="BF857" i="1"/>
  <c r="BE857" i="1"/>
  <c r="BD857" i="1"/>
  <c r="BC857" i="1"/>
  <c r="BB857" i="1"/>
  <c r="BA857" i="1"/>
  <c r="AZ857" i="1"/>
  <c r="AY857" i="1"/>
  <c r="AX857" i="1"/>
  <c r="AW857" i="1"/>
  <c r="AV857" i="1"/>
  <c r="AU857" i="1"/>
  <c r="AT857" i="1"/>
  <c r="AS857" i="1"/>
  <c r="AR857" i="1"/>
  <c r="AQ857" i="1"/>
  <c r="AP857" i="1"/>
  <c r="AO857" i="1"/>
  <c r="AE857" i="1"/>
  <c r="BS856" i="1"/>
  <c r="BR856" i="1"/>
  <c r="BQ856" i="1"/>
  <c r="BP856" i="1"/>
  <c r="BO856" i="1"/>
  <c r="BN856" i="1"/>
  <c r="BM856" i="1"/>
  <c r="BL856" i="1"/>
  <c r="BK856" i="1"/>
  <c r="BJ856" i="1"/>
  <c r="BI856" i="1"/>
  <c r="BH856" i="1"/>
  <c r="BG856" i="1"/>
  <c r="BF856" i="1"/>
  <c r="BE856" i="1"/>
  <c r="BD856" i="1"/>
  <c r="BC856" i="1"/>
  <c r="BB856" i="1"/>
  <c r="BA856" i="1"/>
  <c r="AZ856" i="1"/>
  <c r="AY856" i="1"/>
  <c r="AX856" i="1"/>
  <c r="AW856" i="1"/>
  <c r="AV856" i="1"/>
  <c r="AU856" i="1"/>
  <c r="AT856" i="1"/>
  <c r="AS856" i="1"/>
  <c r="AR856" i="1"/>
  <c r="AQ856" i="1"/>
  <c r="AP856" i="1"/>
  <c r="AO856" i="1"/>
  <c r="AE856" i="1"/>
  <c r="BS855" i="1"/>
  <c r="BR855" i="1"/>
  <c r="BQ855" i="1"/>
  <c r="BP855" i="1"/>
  <c r="BO855" i="1"/>
  <c r="BN855" i="1"/>
  <c r="BM855" i="1"/>
  <c r="BL855" i="1"/>
  <c r="BK855" i="1"/>
  <c r="BJ855" i="1"/>
  <c r="BI855" i="1"/>
  <c r="BH855" i="1"/>
  <c r="BG855" i="1"/>
  <c r="BF855" i="1"/>
  <c r="BE855" i="1"/>
  <c r="BD855" i="1"/>
  <c r="BC855" i="1"/>
  <c r="BB855" i="1"/>
  <c r="BA855" i="1"/>
  <c r="AZ855" i="1"/>
  <c r="AY855" i="1"/>
  <c r="AX855" i="1"/>
  <c r="AW855" i="1"/>
  <c r="AV855" i="1"/>
  <c r="AU855" i="1"/>
  <c r="AT855" i="1"/>
  <c r="AS855" i="1"/>
  <c r="AR855" i="1"/>
  <c r="AQ855" i="1"/>
  <c r="AP855" i="1"/>
  <c r="AO855" i="1"/>
  <c r="AE855" i="1"/>
  <c r="BS854" i="1"/>
  <c r="BR854" i="1"/>
  <c r="BQ854" i="1"/>
  <c r="BP854" i="1"/>
  <c r="BO854" i="1"/>
  <c r="BN854" i="1"/>
  <c r="BM854" i="1"/>
  <c r="BL854" i="1"/>
  <c r="BK854" i="1"/>
  <c r="BJ854" i="1"/>
  <c r="BI854" i="1"/>
  <c r="BH854" i="1"/>
  <c r="BG854" i="1"/>
  <c r="BF854" i="1"/>
  <c r="BE854" i="1"/>
  <c r="BD854" i="1"/>
  <c r="BC854" i="1"/>
  <c r="BB854" i="1"/>
  <c r="BA854" i="1"/>
  <c r="AZ854" i="1"/>
  <c r="AY854" i="1"/>
  <c r="AX854" i="1"/>
  <c r="AW854" i="1"/>
  <c r="AV854" i="1"/>
  <c r="AU854" i="1"/>
  <c r="AT854" i="1"/>
  <c r="AS854" i="1"/>
  <c r="AR854" i="1"/>
  <c r="AQ854" i="1"/>
  <c r="AP854" i="1"/>
  <c r="AO854" i="1"/>
  <c r="AE854" i="1"/>
  <c r="BS853" i="1"/>
  <c r="BR853" i="1"/>
  <c r="BQ853" i="1"/>
  <c r="BP853" i="1"/>
  <c r="BO853" i="1"/>
  <c r="BN853" i="1"/>
  <c r="BM853" i="1"/>
  <c r="BL853" i="1"/>
  <c r="BK853" i="1"/>
  <c r="BJ853" i="1"/>
  <c r="BI853" i="1"/>
  <c r="BH853" i="1"/>
  <c r="BG853" i="1"/>
  <c r="BF853" i="1"/>
  <c r="BE853" i="1"/>
  <c r="BD853" i="1"/>
  <c r="BC853" i="1"/>
  <c r="BB853" i="1"/>
  <c r="BA853" i="1"/>
  <c r="AZ853" i="1"/>
  <c r="AY853" i="1"/>
  <c r="AX853" i="1"/>
  <c r="AW853" i="1"/>
  <c r="AV853" i="1"/>
  <c r="AU853" i="1"/>
  <c r="AT853" i="1"/>
  <c r="AS853" i="1"/>
  <c r="AR853" i="1"/>
  <c r="AQ853" i="1"/>
  <c r="AP853" i="1"/>
  <c r="AO853" i="1"/>
  <c r="AE853" i="1"/>
  <c r="BS852" i="1"/>
  <c r="BR852" i="1"/>
  <c r="BQ852" i="1"/>
  <c r="BP852" i="1"/>
  <c r="BO852" i="1"/>
  <c r="BN852" i="1"/>
  <c r="BM852" i="1"/>
  <c r="BL852" i="1"/>
  <c r="BK852" i="1"/>
  <c r="BJ852" i="1"/>
  <c r="BI852" i="1"/>
  <c r="BH852" i="1"/>
  <c r="BG852" i="1"/>
  <c r="BF852" i="1"/>
  <c r="BE852" i="1"/>
  <c r="BD852" i="1"/>
  <c r="BC852" i="1"/>
  <c r="BB852" i="1"/>
  <c r="BA852" i="1"/>
  <c r="AZ852" i="1"/>
  <c r="AY852" i="1"/>
  <c r="AX852" i="1"/>
  <c r="AW852" i="1"/>
  <c r="AV852" i="1"/>
  <c r="AU852" i="1"/>
  <c r="AT852" i="1"/>
  <c r="AS852" i="1"/>
  <c r="AR852" i="1"/>
  <c r="AQ852" i="1"/>
  <c r="AP852" i="1"/>
  <c r="AO852" i="1"/>
  <c r="AE852" i="1"/>
  <c r="BS851" i="1"/>
  <c r="BR851" i="1"/>
  <c r="BQ851" i="1"/>
  <c r="BP851" i="1"/>
  <c r="BO851" i="1"/>
  <c r="BN851" i="1"/>
  <c r="BM851" i="1"/>
  <c r="BL851" i="1"/>
  <c r="BK851" i="1"/>
  <c r="BJ851" i="1"/>
  <c r="BI851" i="1"/>
  <c r="BH851" i="1"/>
  <c r="BG851" i="1"/>
  <c r="BF851" i="1"/>
  <c r="BE851" i="1"/>
  <c r="BD851" i="1"/>
  <c r="BC851" i="1"/>
  <c r="BB851" i="1"/>
  <c r="BA851" i="1"/>
  <c r="AZ851" i="1"/>
  <c r="AY851" i="1"/>
  <c r="AX851" i="1"/>
  <c r="AW851" i="1"/>
  <c r="AV851" i="1"/>
  <c r="AU851" i="1"/>
  <c r="AT851" i="1"/>
  <c r="AS851" i="1"/>
  <c r="AR851" i="1"/>
  <c r="AQ851" i="1"/>
  <c r="AP851" i="1"/>
  <c r="AO851" i="1"/>
  <c r="AE851" i="1"/>
  <c r="BS850" i="1"/>
  <c r="BR850" i="1"/>
  <c r="BQ850" i="1"/>
  <c r="BP850" i="1"/>
  <c r="BO850" i="1"/>
  <c r="BN850" i="1"/>
  <c r="BM850" i="1"/>
  <c r="BL850" i="1"/>
  <c r="BK850" i="1"/>
  <c r="BJ850" i="1"/>
  <c r="BI850" i="1"/>
  <c r="BH850" i="1"/>
  <c r="BG850" i="1"/>
  <c r="BF850" i="1"/>
  <c r="BE850" i="1"/>
  <c r="BD850" i="1"/>
  <c r="BC850" i="1"/>
  <c r="BB850" i="1"/>
  <c r="BA850" i="1"/>
  <c r="AZ850" i="1"/>
  <c r="AY850" i="1"/>
  <c r="AX850" i="1"/>
  <c r="AW850" i="1"/>
  <c r="AV850" i="1"/>
  <c r="AU850" i="1"/>
  <c r="AT850" i="1"/>
  <c r="AS850" i="1"/>
  <c r="AR850" i="1"/>
  <c r="AQ850" i="1"/>
  <c r="AP850" i="1"/>
  <c r="AO850" i="1"/>
  <c r="AE850" i="1"/>
  <c r="BS849" i="1"/>
  <c r="BR849" i="1"/>
  <c r="BQ849" i="1"/>
  <c r="BP849" i="1"/>
  <c r="BO849" i="1"/>
  <c r="BN849" i="1"/>
  <c r="BM849" i="1"/>
  <c r="BL849" i="1"/>
  <c r="BK849" i="1"/>
  <c r="BJ849" i="1"/>
  <c r="BI849" i="1"/>
  <c r="BH849" i="1"/>
  <c r="BG849" i="1"/>
  <c r="BF849" i="1"/>
  <c r="BE849" i="1"/>
  <c r="BD849" i="1"/>
  <c r="BC849" i="1"/>
  <c r="BB849" i="1"/>
  <c r="BA849" i="1"/>
  <c r="AZ849" i="1"/>
  <c r="AY849" i="1"/>
  <c r="AX849" i="1"/>
  <c r="AW849" i="1"/>
  <c r="AV849" i="1"/>
  <c r="AU849" i="1"/>
  <c r="AT849" i="1"/>
  <c r="AS849" i="1"/>
  <c r="AR849" i="1"/>
  <c r="AQ849" i="1"/>
  <c r="AP849" i="1"/>
  <c r="AO849" i="1"/>
  <c r="AE849" i="1"/>
  <c r="BS848" i="1"/>
  <c r="BR848" i="1"/>
  <c r="BQ848" i="1"/>
  <c r="BP848" i="1"/>
  <c r="BO848" i="1"/>
  <c r="BN848" i="1"/>
  <c r="BM848" i="1"/>
  <c r="BL848" i="1"/>
  <c r="BK848" i="1"/>
  <c r="BJ848" i="1"/>
  <c r="BI848" i="1"/>
  <c r="BH848" i="1"/>
  <c r="BG848" i="1"/>
  <c r="BF848" i="1"/>
  <c r="BE848" i="1"/>
  <c r="BD848" i="1"/>
  <c r="BC848" i="1"/>
  <c r="BB848" i="1"/>
  <c r="BA848" i="1"/>
  <c r="AZ848" i="1"/>
  <c r="AY848" i="1"/>
  <c r="AX848" i="1"/>
  <c r="AW848" i="1"/>
  <c r="AV848" i="1"/>
  <c r="AU848" i="1"/>
  <c r="AT848" i="1"/>
  <c r="AS848" i="1"/>
  <c r="AR848" i="1"/>
  <c r="AQ848" i="1"/>
  <c r="AP848" i="1"/>
  <c r="AO848" i="1"/>
  <c r="AE848" i="1"/>
  <c r="BS847" i="1"/>
  <c r="BR847" i="1"/>
  <c r="BQ847" i="1"/>
  <c r="BP847" i="1"/>
  <c r="BO847" i="1"/>
  <c r="BN847" i="1"/>
  <c r="BM847" i="1"/>
  <c r="BL847" i="1"/>
  <c r="BK847" i="1"/>
  <c r="BJ847" i="1"/>
  <c r="BI847" i="1"/>
  <c r="BH847" i="1"/>
  <c r="BG847" i="1"/>
  <c r="BF847" i="1"/>
  <c r="BE847" i="1"/>
  <c r="BD847" i="1"/>
  <c r="BC847" i="1"/>
  <c r="BB847" i="1"/>
  <c r="BA847" i="1"/>
  <c r="AZ847" i="1"/>
  <c r="AY847" i="1"/>
  <c r="AX847" i="1"/>
  <c r="AW847" i="1"/>
  <c r="AV847" i="1"/>
  <c r="AU847" i="1"/>
  <c r="AT847" i="1"/>
  <c r="AS847" i="1"/>
  <c r="AR847" i="1"/>
  <c r="AQ847" i="1"/>
  <c r="AP847" i="1"/>
  <c r="AO847" i="1"/>
  <c r="AE847" i="1"/>
  <c r="BS846" i="1"/>
  <c r="BR846" i="1"/>
  <c r="BQ846" i="1"/>
  <c r="BP846" i="1"/>
  <c r="BO846" i="1"/>
  <c r="BN846" i="1"/>
  <c r="BM846" i="1"/>
  <c r="BL846" i="1"/>
  <c r="BK846" i="1"/>
  <c r="BJ846" i="1"/>
  <c r="BI846" i="1"/>
  <c r="BH846" i="1"/>
  <c r="BG846" i="1"/>
  <c r="BF846" i="1"/>
  <c r="BE846" i="1"/>
  <c r="BD846" i="1"/>
  <c r="BC846" i="1"/>
  <c r="BB846" i="1"/>
  <c r="BA846" i="1"/>
  <c r="AZ846" i="1"/>
  <c r="AY846" i="1"/>
  <c r="AX846" i="1"/>
  <c r="AW846" i="1"/>
  <c r="AV846" i="1"/>
  <c r="AU846" i="1"/>
  <c r="AT846" i="1"/>
  <c r="AS846" i="1"/>
  <c r="AR846" i="1"/>
  <c r="AQ846" i="1"/>
  <c r="AP846" i="1"/>
  <c r="AO846" i="1"/>
  <c r="AE846" i="1"/>
  <c r="BS845" i="1"/>
  <c r="BR845" i="1"/>
  <c r="BQ845" i="1"/>
  <c r="BP845" i="1"/>
  <c r="BO845" i="1"/>
  <c r="BN845" i="1"/>
  <c r="BM845" i="1"/>
  <c r="BL845" i="1"/>
  <c r="BK845" i="1"/>
  <c r="BJ845" i="1"/>
  <c r="BI845" i="1"/>
  <c r="BH845" i="1"/>
  <c r="BG845" i="1"/>
  <c r="BF845" i="1"/>
  <c r="BE845" i="1"/>
  <c r="BD845" i="1"/>
  <c r="BC845" i="1"/>
  <c r="BB845" i="1"/>
  <c r="BA845" i="1"/>
  <c r="AZ845" i="1"/>
  <c r="AY845" i="1"/>
  <c r="AX845" i="1"/>
  <c r="AW845" i="1"/>
  <c r="AV845" i="1"/>
  <c r="AU845" i="1"/>
  <c r="AT845" i="1"/>
  <c r="AS845" i="1"/>
  <c r="AR845" i="1"/>
  <c r="AQ845" i="1"/>
  <c r="AP845" i="1"/>
  <c r="AO845" i="1"/>
  <c r="AE845" i="1"/>
  <c r="BS844" i="1"/>
  <c r="BR844" i="1"/>
  <c r="BQ844" i="1"/>
  <c r="BP844" i="1"/>
  <c r="BO844" i="1"/>
  <c r="BN844" i="1"/>
  <c r="BM844" i="1"/>
  <c r="BL844" i="1"/>
  <c r="BK844" i="1"/>
  <c r="BJ844" i="1"/>
  <c r="BI844" i="1"/>
  <c r="BH844" i="1"/>
  <c r="BG844" i="1"/>
  <c r="BF844" i="1"/>
  <c r="BE844" i="1"/>
  <c r="BD844" i="1"/>
  <c r="BC844" i="1"/>
  <c r="BB844" i="1"/>
  <c r="BA844" i="1"/>
  <c r="AZ844" i="1"/>
  <c r="AY844" i="1"/>
  <c r="AX844" i="1"/>
  <c r="AW844" i="1"/>
  <c r="AV844" i="1"/>
  <c r="AU844" i="1"/>
  <c r="AT844" i="1"/>
  <c r="AS844" i="1"/>
  <c r="AR844" i="1"/>
  <c r="AQ844" i="1"/>
  <c r="AP844" i="1"/>
  <c r="AO844" i="1"/>
  <c r="AE844" i="1"/>
  <c r="BS843" i="1"/>
  <c r="BR843" i="1"/>
  <c r="BQ843" i="1"/>
  <c r="BP843" i="1"/>
  <c r="BO843" i="1"/>
  <c r="BN843" i="1"/>
  <c r="BM843" i="1"/>
  <c r="BL843" i="1"/>
  <c r="BK843" i="1"/>
  <c r="BJ843" i="1"/>
  <c r="BI843" i="1"/>
  <c r="BH843" i="1"/>
  <c r="BG843" i="1"/>
  <c r="BF843" i="1"/>
  <c r="BE843" i="1"/>
  <c r="BD843" i="1"/>
  <c r="BC843" i="1"/>
  <c r="BB843" i="1"/>
  <c r="BA843" i="1"/>
  <c r="AZ843" i="1"/>
  <c r="AY843" i="1"/>
  <c r="AX843" i="1"/>
  <c r="AW843" i="1"/>
  <c r="AV843" i="1"/>
  <c r="AU843" i="1"/>
  <c r="AT843" i="1"/>
  <c r="AS843" i="1"/>
  <c r="AR843" i="1"/>
  <c r="AQ843" i="1"/>
  <c r="AP843" i="1"/>
  <c r="AO843" i="1"/>
  <c r="AE843" i="1"/>
  <c r="BS842" i="1"/>
  <c r="BR842" i="1"/>
  <c r="BQ842" i="1"/>
  <c r="BP842" i="1"/>
  <c r="BO842" i="1"/>
  <c r="BN842" i="1"/>
  <c r="BM842" i="1"/>
  <c r="BL842" i="1"/>
  <c r="BK842" i="1"/>
  <c r="BJ842" i="1"/>
  <c r="BI842" i="1"/>
  <c r="BH842" i="1"/>
  <c r="BG842" i="1"/>
  <c r="BF842" i="1"/>
  <c r="BE842" i="1"/>
  <c r="BD842" i="1"/>
  <c r="BC842" i="1"/>
  <c r="BB842" i="1"/>
  <c r="BA842" i="1"/>
  <c r="AZ842" i="1"/>
  <c r="AY842" i="1"/>
  <c r="AX842" i="1"/>
  <c r="AW842" i="1"/>
  <c r="AV842" i="1"/>
  <c r="AU842" i="1"/>
  <c r="AT842" i="1"/>
  <c r="AS842" i="1"/>
  <c r="AR842" i="1"/>
  <c r="AQ842" i="1"/>
  <c r="AP842" i="1"/>
  <c r="AO842" i="1"/>
  <c r="AE842" i="1"/>
  <c r="BS841" i="1"/>
  <c r="BR841" i="1"/>
  <c r="BQ841" i="1"/>
  <c r="BP841" i="1"/>
  <c r="BO841" i="1"/>
  <c r="BN841" i="1"/>
  <c r="BM841" i="1"/>
  <c r="BL841" i="1"/>
  <c r="BK841" i="1"/>
  <c r="BJ841" i="1"/>
  <c r="BI841" i="1"/>
  <c r="BH841" i="1"/>
  <c r="BG841" i="1"/>
  <c r="BF841" i="1"/>
  <c r="BE841" i="1"/>
  <c r="BD841" i="1"/>
  <c r="BC841" i="1"/>
  <c r="BB841" i="1"/>
  <c r="BA841" i="1"/>
  <c r="AZ841" i="1"/>
  <c r="AY841" i="1"/>
  <c r="AX841" i="1"/>
  <c r="AW841" i="1"/>
  <c r="AV841" i="1"/>
  <c r="AU841" i="1"/>
  <c r="AT841" i="1"/>
  <c r="AS841" i="1"/>
  <c r="AR841" i="1"/>
  <c r="AQ841" i="1"/>
  <c r="AP841" i="1"/>
  <c r="AO841" i="1"/>
  <c r="AE841" i="1"/>
  <c r="BS840" i="1"/>
  <c r="BR840" i="1"/>
  <c r="BQ840" i="1"/>
  <c r="BP840" i="1"/>
  <c r="BO840" i="1"/>
  <c r="BN840" i="1"/>
  <c r="BM840" i="1"/>
  <c r="BL840" i="1"/>
  <c r="BK840" i="1"/>
  <c r="BJ840" i="1"/>
  <c r="BI840" i="1"/>
  <c r="BH840" i="1"/>
  <c r="BG840" i="1"/>
  <c r="BF840" i="1"/>
  <c r="BE840" i="1"/>
  <c r="BD840" i="1"/>
  <c r="BC840" i="1"/>
  <c r="BB840" i="1"/>
  <c r="BA840" i="1"/>
  <c r="AZ840" i="1"/>
  <c r="AY840" i="1"/>
  <c r="AX840" i="1"/>
  <c r="AW840" i="1"/>
  <c r="AV840" i="1"/>
  <c r="AU840" i="1"/>
  <c r="AT840" i="1"/>
  <c r="AS840" i="1"/>
  <c r="AR840" i="1"/>
  <c r="AQ840" i="1"/>
  <c r="AP840" i="1"/>
  <c r="AO840" i="1"/>
  <c r="AE840" i="1"/>
  <c r="BS839" i="1"/>
  <c r="BR839" i="1"/>
  <c r="BQ839" i="1"/>
  <c r="BP839" i="1"/>
  <c r="BO839" i="1"/>
  <c r="BN839" i="1"/>
  <c r="BM839" i="1"/>
  <c r="BL839" i="1"/>
  <c r="BK839" i="1"/>
  <c r="BJ839" i="1"/>
  <c r="BI839" i="1"/>
  <c r="BH839" i="1"/>
  <c r="BG839" i="1"/>
  <c r="BF839" i="1"/>
  <c r="BE839" i="1"/>
  <c r="BD839" i="1"/>
  <c r="BC839" i="1"/>
  <c r="BB839" i="1"/>
  <c r="BA839" i="1"/>
  <c r="AZ839" i="1"/>
  <c r="AY839" i="1"/>
  <c r="AX839" i="1"/>
  <c r="AW839" i="1"/>
  <c r="AV839" i="1"/>
  <c r="AU839" i="1"/>
  <c r="AT839" i="1"/>
  <c r="AS839" i="1"/>
  <c r="AR839" i="1"/>
  <c r="AQ839" i="1"/>
  <c r="AP839" i="1"/>
  <c r="AO839" i="1"/>
  <c r="AE839" i="1"/>
  <c r="BS838" i="1"/>
  <c r="BR838" i="1"/>
  <c r="BQ838" i="1"/>
  <c r="BP838" i="1"/>
  <c r="BO838" i="1"/>
  <c r="BN838" i="1"/>
  <c r="BM838" i="1"/>
  <c r="BL838" i="1"/>
  <c r="BK838" i="1"/>
  <c r="BJ838" i="1"/>
  <c r="BI838" i="1"/>
  <c r="BH838" i="1"/>
  <c r="BG838" i="1"/>
  <c r="BF838" i="1"/>
  <c r="BE838" i="1"/>
  <c r="BD838" i="1"/>
  <c r="BC838" i="1"/>
  <c r="BB838" i="1"/>
  <c r="BA838" i="1"/>
  <c r="AZ838" i="1"/>
  <c r="AY838" i="1"/>
  <c r="AX838" i="1"/>
  <c r="AW838" i="1"/>
  <c r="AV838" i="1"/>
  <c r="AU838" i="1"/>
  <c r="AT838" i="1"/>
  <c r="AS838" i="1"/>
  <c r="AR838" i="1"/>
  <c r="AQ838" i="1"/>
  <c r="AP838" i="1"/>
  <c r="AO838" i="1"/>
  <c r="AE838" i="1"/>
  <c r="BS837" i="1"/>
  <c r="BR837" i="1"/>
  <c r="BQ837" i="1"/>
  <c r="BP837" i="1"/>
  <c r="BO837" i="1"/>
  <c r="BN837" i="1"/>
  <c r="BM837" i="1"/>
  <c r="BL837" i="1"/>
  <c r="BK837" i="1"/>
  <c r="BJ837" i="1"/>
  <c r="BI837" i="1"/>
  <c r="BH837" i="1"/>
  <c r="BG837" i="1"/>
  <c r="BF837" i="1"/>
  <c r="BE837" i="1"/>
  <c r="BD837" i="1"/>
  <c r="BC837" i="1"/>
  <c r="BB837" i="1"/>
  <c r="BA837" i="1"/>
  <c r="AZ837" i="1"/>
  <c r="AY837" i="1"/>
  <c r="AX837" i="1"/>
  <c r="AW837" i="1"/>
  <c r="AV837" i="1"/>
  <c r="AU837" i="1"/>
  <c r="AT837" i="1"/>
  <c r="AS837" i="1"/>
  <c r="AR837" i="1"/>
  <c r="AQ837" i="1"/>
  <c r="AP837" i="1"/>
  <c r="AO837" i="1"/>
  <c r="AE837" i="1"/>
  <c r="BS836" i="1"/>
  <c r="BR836" i="1"/>
  <c r="BQ836" i="1"/>
  <c r="BP836" i="1"/>
  <c r="BO836" i="1"/>
  <c r="BN836" i="1"/>
  <c r="BM836" i="1"/>
  <c r="BL836" i="1"/>
  <c r="BK836" i="1"/>
  <c r="BJ836" i="1"/>
  <c r="BI836" i="1"/>
  <c r="BH836" i="1"/>
  <c r="BG836" i="1"/>
  <c r="BF836" i="1"/>
  <c r="BE836" i="1"/>
  <c r="BD836" i="1"/>
  <c r="BC836" i="1"/>
  <c r="BB836" i="1"/>
  <c r="BA836" i="1"/>
  <c r="AZ836" i="1"/>
  <c r="AY836" i="1"/>
  <c r="AX836" i="1"/>
  <c r="AW836" i="1"/>
  <c r="AV836" i="1"/>
  <c r="AU836" i="1"/>
  <c r="AT836" i="1"/>
  <c r="AS836" i="1"/>
  <c r="AR836" i="1"/>
  <c r="AQ836" i="1"/>
  <c r="AP836" i="1"/>
  <c r="AO836" i="1"/>
  <c r="AE836" i="1"/>
  <c r="BS835" i="1"/>
  <c r="BR835" i="1"/>
  <c r="BQ835" i="1"/>
  <c r="BP835" i="1"/>
  <c r="BO835" i="1"/>
  <c r="BN835" i="1"/>
  <c r="BM835" i="1"/>
  <c r="BL835" i="1"/>
  <c r="BK835" i="1"/>
  <c r="BJ835" i="1"/>
  <c r="BI835" i="1"/>
  <c r="BH835" i="1"/>
  <c r="BG835" i="1"/>
  <c r="BF835" i="1"/>
  <c r="BE835" i="1"/>
  <c r="BD835" i="1"/>
  <c r="BC835" i="1"/>
  <c r="BB835" i="1"/>
  <c r="BA835" i="1"/>
  <c r="AZ835" i="1"/>
  <c r="AY835" i="1"/>
  <c r="AX835" i="1"/>
  <c r="AW835" i="1"/>
  <c r="AV835" i="1"/>
  <c r="AU835" i="1"/>
  <c r="AT835" i="1"/>
  <c r="AS835" i="1"/>
  <c r="AR835" i="1"/>
  <c r="AQ835" i="1"/>
  <c r="AP835" i="1"/>
  <c r="AO835" i="1"/>
  <c r="AE835" i="1"/>
  <c r="BS834" i="1"/>
  <c r="BR834" i="1"/>
  <c r="BQ834" i="1"/>
  <c r="BP834" i="1"/>
  <c r="BO834" i="1"/>
  <c r="BN834" i="1"/>
  <c r="BM834" i="1"/>
  <c r="BL834" i="1"/>
  <c r="BK834" i="1"/>
  <c r="BJ834" i="1"/>
  <c r="BI834" i="1"/>
  <c r="BH834" i="1"/>
  <c r="BG834" i="1"/>
  <c r="BF834" i="1"/>
  <c r="BE834" i="1"/>
  <c r="BD834" i="1"/>
  <c r="BC834" i="1"/>
  <c r="BB834" i="1"/>
  <c r="BA834" i="1"/>
  <c r="AZ834" i="1"/>
  <c r="AY834" i="1"/>
  <c r="AX834" i="1"/>
  <c r="AW834" i="1"/>
  <c r="AV834" i="1"/>
  <c r="AU834" i="1"/>
  <c r="AT834" i="1"/>
  <c r="AS834" i="1"/>
  <c r="AR834" i="1"/>
  <c r="AQ834" i="1"/>
  <c r="AP834" i="1"/>
  <c r="AO834" i="1"/>
  <c r="AE834" i="1"/>
  <c r="BS833" i="1"/>
  <c r="BR833" i="1"/>
  <c r="BQ833" i="1"/>
  <c r="BP833" i="1"/>
  <c r="BO833" i="1"/>
  <c r="BN833" i="1"/>
  <c r="BM833" i="1"/>
  <c r="BL833" i="1"/>
  <c r="BK833" i="1"/>
  <c r="BJ833" i="1"/>
  <c r="BI833" i="1"/>
  <c r="BH833" i="1"/>
  <c r="BG833" i="1"/>
  <c r="BF833" i="1"/>
  <c r="BE833" i="1"/>
  <c r="BD833" i="1"/>
  <c r="BC833" i="1"/>
  <c r="BB833" i="1"/>
  <c r="BA833" i="1"/>
  <c r="AZ833" i="1"/>
  <c r="AY833" i="1"/>
  <c r="AX833" i="1"/>
  <c r="AW833" i="1"/>
  <c r="AV833" i="1"/>
  <c r="AU833" i="1"/>
  <c r="AT833" i="1"/>
  <c r="AS833" i="1"/>
  <c r="AR833" i="1"/>
  <c r="AQ833" i="1"/>
  <c r="AP833" i="1"/>
  <c r="AO833" i="1"/>
  <c r="AE833" i="1"/>
  <c r="BS832" i="1"/>
  <c r="BR832" i="1"/>
  <c r="BQ832" i="1"/>
  <c r="BP832" i="1"/>
  <c r="BO832" i="1"/>
  <c r="BN832" i="1"/>
  <c r="BM832" i="1"/>
  <c r="BL832" i="1"/>
  <c r="BK832" i="1"/>
  <c r="BJ832" i="1"/>
  <c r="BI832" i="1"/>
  <c r="BH832" i="1"/>
  <c r="BG832" i="1"/>
  <c r="BF832" i="1"/>
  <c r="BE832" i="1"/>
  <c r="BD832" i="1"/>
  <c r="BC832" i="1"/>
  <c r="BB832" i="1"/>
  <c r="BA832" i="1"/>
  <c r="AZ832" i="1"/>
  <c r="AY832" i="1"/>
  <c r="AX832" i="1"/>
  <c r="AW832" i="1"/>
  <c r="AV832" i="1"/>
  <c r="AU832" i="1"/>
  <c r="AT832" i="1"/>
  <c r="AS832" i="1"/>
  <c r="AR832" i="1"/>
  <c r="AQ832" i="1"/>
  <c r="AP832" i="1"/>
  <c r="AO832" i="1"/>
  <c r="AE832" i="1"/>
  <c r="BS831" i="1"/>
  <c r="BR831" i="1"/>
  <c r="BQ831" i="1"/>
  <c r="BP831" i="1"/>
  <c r="BO831" i="1"/>
  <c r="BN831" i="1"/>
  <c r="BM831" i="1"/>
  <c r="BL831" i="1"/>
  <c r="BK831" i="1"/>
  <c r="BJ831" i="1"/>
  <c r="BI831" i="1"/>
  <c r="BH831" i="1"/>
  <c r="BG831" i="1"/>
  <c r="BF831" i="1"/>
  <c r="BE831" i="1"/>
  <c r="BD831" i="1"/>
  <c r="BC831" i="1"/>
  <c r="BB831" i="1"/>
  <c r="BA831" i="1"/>
  <c r="AZ831" i="1"/>
  <c r="AY831" i="1"/>
  <c r="AX831" i="1"/>
  <c r="AW831" i="1"/>
  <c r="AV831" i="1"/>
  <c r="AU831" i="1"/>
  <c r="AT831" i="1"/>
  <c r="AS831" i="1"/>
  <c r="AR831" i="1"/>
  <c r="AQ831" i="1"/>
  <c r="AP831" i="1"/>
  <c r="AO831" i="1"/>
  <c r="AE831" i="1"/>
  <c r="BS830" i="1"/>
  <c r="BR830" i="1"/>
  <c r="BQ830" i="1"/>
  <c r="BP830" i="1"/>
  <c r="BO830" i="1"/>
  <c r="BN830" i="1"/>
  <c r="BM830" i="1"/>
  <c r="BL830" i="1"/>
  <c r="BK830" i="1"/>
  <c r="BJ830" i="1"/>
  <c r="BI830" i="1"/>
  <c r="BH830" i="1"/>
  <c r="BG830" i="1"/>
  <c r="BF830" i="1"/>
  <c r="BE830" i="1"/>
  <c r="BD830" i="1"/>
  <c r="BC830" i="1"/>
  <c r="BB830" i="1"/>
  <c r="BA830" i="1"/>
  <c r="AZ830" i="1"/>
  <c r="AY830" i="1"/>
  <c r="AX830" i="1"/>
  <c r="AW830" i="1"/>
  <c r="AV830" i="1"/>
  <c r="AU830" i="1"/>
  <c r="AT830" i="1"/>
  <c r="AS830" i="1"/>
  <c r="AR830" i="1"/>
  <c r="AQ830" i="1"/>
  <c r="AP830" i="1"/>
  <c r="AO830" i="1"/>
  <c r="AE830" i="1"/>
  <c r="BS829" i="1"/>
  <c r="BR829" i="1"/>
  <c r="BQ829" i="1"/>
  <c r="BP829" i="1"/>
  <c r="BO829" i="1"/>
  <c r="BN829" i="1"/>
  <c r="BM829" i="1"/>
  <c r="BL829" i="1"/>
  <c r="BK829" i="1"/>
  <c r="BJ829" i="1"/>
  <c r="BI829" i="1"/>
  <c r="BH829" i="1"/>
  <c r="BG829" i="1"/>
  <c r="BF829" i="1"/>
  <c r="BE829" i="1"/>
  <c r="BD829" i="1"/>
  <c r="BC829" i="1"/>
  <c r="BB829" i="1"/>
  <c r="BA829" i="1"/>
  <c r="AZ829" i="1"/>
  <c r="AY829" i="1"/>
  <c r="AX829" i="1"/>
  <c r="AW829" i="1"/>
  <c r="AV829" i="1"/>
  <c r="AU829" i="1"/>
  <c r="AT829" i="1"/>
  <c r="AS829" i="1"/>
  <c r="AR829" i="1"/>
  <c r="AQ829" i="1"/>
  <c r="AP829" i="1"/>
  <c r="AO829" i="1"/>
  <c r="AE829" i="1"/>
  <c r="BS828" i="1"/>
  <c r="BR828" i="1"/>
  <c r="BQ828" i="1"/>
  <c r="BP828" i="1"/>
  <c r="BO828" i="1"/>
  <c r="BN828" i="1"/>
  <c r="BM828" i="1"/>
  <c r="BL828" i="1"/>
  <c r="BK828" i="1"/>
  <c r="BJ828" i="1"/>
  <c r="BI828" i="1"/>
  <c r="BH828" i="1"/>
  <c r="BG828" i="1"/>
  <c r="BF828" i="1"/>
  <c r="BE828" i="1"/>
  <c r="BD828" i="1"/>
  <c r="BC828" i="1"/>
  <c r="BB828" i="1"/>
  <c r="BA828" i="1"/>
  <c r="AZ828" i="1"/>
  <c r="AY828" i="1"/>
  <c r="AX828" i="1"/>
  <c r="AW828" i="1"/>
  <c r="AV828" i="1"/>
  <c r="AU828" i="1"/>
  <c r="AT828" i="1"/>
  <c r="AS828" i="1"/>
  <c r="AR828" i="1"/>
  <c r="AQ828" i="1"/>
  <c r="AP828" i="1"/>
  <c r="AO828" i="1"/>
  <c r="AE828" i="1"/>
  <c r="BS827" i="1"/>
  <c r="BR827" i="1"/>
  <c r="BQ827" i="1"/>
  <c r="BP827" i="1"/>
  <c r="BO827" i="1"/>
  <c r="BN827" i="1"/>
  <c r="BM827" i="1"/>
  <c r="BL827" i="1"/>
  <c r="BK827" i="1"/>
  <c r="BJ827" i="1"/>
  <c r="BI827" i="1"/>
  <c r="BH827" i="1"/>
  <c r="BG827" i="1"/>
  <c r="BF827" i="1"/>
  <c r="BE827" i="1"/>
  <c r="BD827" i="1"/>
  <c r="BC827" i="1"/>
  <c r="BB827" i="1"/>
  <c r="BA827" i="1"/>
  <c r="AZ827" i="1"/>
  <c r="AY827" i="1"/>
  <c r="AX827" i="1"/>
  <c r="AW827" i="1"/>
  <c r="AV827" i="1"/>
  <c r="AU827" i="1"/>
  <c r="AT827" i="1"/>
  <c r="AS827" i="1"/>
  <c r="AR827" i="1"/>
  <c r="AQ827" i="1"/>
  <c r="AP827" i="1"/>
  <c r="AO827" i="1"/>
  <c r="AE827" i="1"/>
  <c r="BS826" i="1"/>
  <c r="BR826" i="1"/>
  <c r="BQ826" i="1"/>
  <c r="BP826" i="1"/>
  <c r="BO826" i="1"/>
  <c r="BN826" i="1"/>
  <c r="BM826" i="1"/>
  <c r="BL826" i="1"/>
  <c r="BK826" i="1"/>
  <c r="BJ826" i="1"/>
  <c r="BI826" i="1"/>
  <c r="BH826" i="1"/>
  <c r="BG826" i="1"/>
  <c r="BF826" i="1"/>
  <c r="BE826" i="1"/>
  <c r="BD826" i="1"/>
  <c r="BC826" i="1"/>
  <c r="BB826" i="1"/>
  <c r="BA826" i="1"/>
  <c r="AZ826" i="1"/>
  <c r="AY826" i="1"/>
  <c r="AX826" i="1"/>
  <c r="AW826" i="1"/>
  <c r="AV826" i="1"/>
  <c r="AU826" i="1"/>
  <c r="AT826" i="1"/>
  <c r="AS826" i="1"/>
  <c r="AR826" i="1"/>
  <c r="AQ826" i="1"/>
  <c r="AP826" i="1"/>
  <c r="AO826" i="1"/>
  <c r="AE826" i="1"/>
  <c r="BS825" i="1"/>
  <c r="BR825" i="1"/>
  <c r="BQ825" i="1"/>
  <c r="BP825" i="1"/>
  <c r="BO825" i="1"/>
  <c r="BN825" i="1"/>
  <c r="BM825" i="1"/>
  <c r="BL825" i="1"/>
  <c r="BK825" i="1"/>
  <c r="BJ825" i="1"/>
  <c r="BI825" i="1"/>
  <c r="BH825" i="1"/>
  <c r="BG825" i="1"/>
  <c r="BF825" i="1"/>
  <c r="BE825" i="1"/>
  <c r="BD825" i="1"/>
  <c r="BC825" i="1"/>
  <c r="BB825" i="1"/>
  <c r="BA825" i="1"/>
  <c r="AZ825" i="1"/>
  <c r="AY825" i="1"/>
  <c r="AX825" i="1"/>
  <c r="AW825" i="1"/>
  <c r="AV825" i="1"/>
  <c r="AU825" i="1"/>
  <c r="AT825" i="1"/>
  <c r="AS825" i="1"/>
  <c r="AR825" i="1"/>
  <c r="AQ825" i="1"/>
  <c r="AP825" i="1"/>
  <c r="AO825" i="1"/>
  <c r="AE825" i="1"/>
  <c r="BS824" i="1"/>
  <c r="BR824" i="1"/>
  <c r="BQ824" i="1"/>
  <c r="BP824" i="1"/>
  <c r="BO824" i="1"/>
  <c r="BN824" i="1"/>
  <c r="BM824" i="1"/>
  <c r="BL824" i="1"/>
  <c r="BK824" i="1"/>
  <c r="BJ824" i="1"/>
  <c r="BI824" i="1"/>
  <c r="BH824" i="1"/>
  <c r="BG824" i="1"/>
  <c r="BF824" i="1"/>
  <c r="BE824" i="1"/>
  <c r="BD824" i="1"/>
  <c r="BC824" i="1"/>
  <c r="BB824" i="1"/>
  <c r="BA824" i="1"/>
  <c r="AZ824" i="1"/>
  <c r="AY824" i="1"/>
  <c r="AX824" i="1"/>
  <c r="AW824" i="1"/>
  <c r="AV824" i="1"/>
  <c r="AU824" i="1"/>
  <c r="AT824" i="1"/>
  <c r="AS824" i="1"/>
  <c r="AR824" i="1"/>
  <c r="AQ824" i="1"/>
  <c r="AP824" i="1"/>
  <c r="AO824" i="1"/>
  <c r="AE824" i="1"/>
  <c r="BS823" i="1"/>
  <c r="BR823" i="1"/>
  <c r="BQ823" i="1"/>
  <c r="BP823" i="1"/>
  <c r="BO823" i="1"/>
  <c r="BN823" i="1"/>
  <c r="BM823" i="1"/>
  <c r="BL823" i="1"/>
  <c r="BK823" i="1"/>
  <c r="BJ823" i="1"/>
  <c r="BI823" i="1"/>
  <c r="BH823" i="1"/>
  <c r="BG823" i="1"/>
  <c r="BF823" i="1"/>
  <c r="BE823" i="1"/>
  <c r="BD823" i="1"/>
  <c r="BC823" i="1"/>
  <c r="BB823" i="1"/>
  <c r="BA823" i="1"/>
  <c r="AZ823" i="1"/>
  <c r="AY823" i="1"/>
  <c r="AX823" i="1"/>
  <c r="AW823" i="1"/>
  <c r="AV823" i="1"/>
  <c r="AU823" i="1"/>
  <c r="AT823" i="1"/>
  <c r="AS823" i="1"/>
  <c r="AR823" i="1"/>
  <c r="AQ823" i="1"/>
  <c r="AP823" i="1"/>
  <c r="AO823" i="1"/>
  <c r="AE823" i="1"/>
  <c r="BS822" i="1"/>
  <c r="BR822" i="1"/>
  <c r="BQ822" i="1"/>
  <c r="BP822" i="1"/>
  <c r="BO822" i="1"/>
  <c r="BN822" i="1"/>
  <c r="BM822" i="1"/>
  <c r="BL822" i="1"/>
  <c r="BK822" i="1"/>
  <c r="BJ822" i="1"/>
  <c r="BI822" i="1"/>
  <c r="BH822" i="1"/>
  <c r="BG822" i="1"/>
  <c r="BF822" i="1"/>
  <c r="BE822" i="1"/>
  <c r="BD822" i="1"/>
  <c r="BC822" i="1"/>
  <c r="BB822" i="1"/>
  <c r="BA822" i="1"/>
  <c r="AZ822" i="1"/>
  <c r="AY822" i="1"/>
  <c r="AX822" i="1"/>
  <c r="AW822" i="1"/>
  <c r="AV822" i="1"/>
  <c r="AU822" i="1"/>
  <c r="AT822" i="1"/>
  <c r="AS822" i="1"/>
  <c r="AR822" i="1"/>
  <c r="AQ822" i="1"/>
  <c r="AP822" i="1"/>
  <c r="AO822" i="1"/>
  <c r="AE822" i="1"/>
  <c r="BS821" i="1"/>
  <c r="BR821" i="1"/>
  <c r="BQ821" i="1"/>
  <c r="BP821" i="1"/>
  <c r="BO821" i="1"/>
  <c r="BN821" i="1"/>
  <c r="BM821" i="1"/>
  <c r="BL821" i="1"/>
  <c r="BK821" i="1"/>
  <c r="BJ821" i="1"/>
  <c r="BI821" i="1"/>
  <c r="BH821" i="1"/>
  <c r="BG821" i="1"/>
  <c r="BF821" i="1"/>
  <c r="BE821" i="1"/>
  <c r="BD821" i="1"/>
  <c r="BC821" i="1"/>
  <c r="BB821" i="1"/>
  <c r="BA821" i="1"/>
  <c r="AZ821" i="1"/>
  <c r="AY821" i="1"/>
  <c r="AX821" i="1"/>
  <c r="AW821" i="1"/>
  <c r="AV821" i="1"/>
  <c r="AU821" i="1"/>
  <c r="AT821" i="1"/>
  <c r="AS821" i="1"/>
  <c r="AR821" i="1"/>
  <c r="AQ821" i="1"/>
  <c r="AP821" i="1"/>
  <c r="AO821" i="1"/>
  <c r="AE821" i="1"/>
  <c r="BS820" i="1"/>
  <c r="BR820" i="1"/>
  <c r="BQ820" i="1"/>
  <c r="BP820" i="1"/>
  <c r="BO820" i="1"/>
  <c r="BN820" i="1"/>
  <c r="BM820" i="1"/>
  <c r="BL820" i="1"/>
  <c r="BK820" i="1"/>
  <c r="BJ820" i="1"/>
  <c r="BI820" i="1"/>
  <c r="BH820" i="1"/>
  <c r="BG820" i="1"/>
  <c r="BF820" i="1"/>
  <c r="BE820" i="1"/>
  <c r="BD820" i="1"/>
  <c r="BC820" i="1"/>
  <c r="BB820" i="1"/>
  <c r="BA820" i="1"/>
  <c r="AZ820" i="1"/>
  <c r="AY820" i="1"/>
  <c r="AX820" i="1"/>
  <c r="AW820" i="1"/>
  <c r="AV820" i="1"/>
  <c r="AU820" i="1"/>
  <c r="AT820" i="1"/>
  <c r="AS820" i="1"/>
  <c r="AR820" i="1"/>
  <c r="AQ820" i="1"/>
  <c r="AP820" i="1"/>
  <c r="AO820" i="1"/>
  <c r="AE820" i="1"/>
  <c r="BS819" i="1"/>
  <c r="BR819" i="1"/>
  <c r="BQ819" i="1"/>
  <c r="BP819" i="1"/>
  <c r="BO819" i="1"/>
  <c r="BN819" i="1"/>
  <c r="BM819" i="1"/>
  <c r="BL819" i="1"/>
  <c r="BK819" i="1"/>
  <c r="BJ819" i="1"/>
  <c r="BI819" i="1"/>
  <c r="BH819" i="1"/>
  <c r="BG819" i="1"/>
  <c r="BF819" i="1"/>
  <c r="BE819" i="1"/>
  <c r="BD819" i="1"/>
  <c r="BC819" i="1"/>
  <c r="BB819" i="1"/>
  <c r="BA819" i="1"/>
  <c r="AZ819" i="1"/>
  <c r="AY819" i="1"/>
  <c r="AX819" i="1"/>
  <c r="AW819" i="1"/>
  <c r="AV819" i="1"/>
  <c r="AU819" i="1"/>
  <c r="AT819" i="1"/>
  <c r="AS819" i="1"/>
  <c r="AR819" i="1"/>
  <c r="AQ819" i="1"/>
  <c r="AP819" i="1"/>
  <c r="AO819" i="1"/>
  <c r="AE819" i="1"/>
  <c r="BS818" i="1"/>
  <c r="BR818" i="1"/>
  <c r="BQ818" i="1"/>
  <c r="BP818" i="1"/>
  <c r="BO818" i="1"/>
  <c r="BN818" i="1"/>
  <c r="BM818" i="1"/>
  <c r="BL818" i="1"/>
  <c r="BK818" i="1"/>
  <c r="BJ818" i="1"/>
  <c r="BI818" i="1"/>
  <c r="BH818" i="1"/>
  <c r="BG818" i="1"/>
  <c r="BF818" i="1"/>
  <c r="BE818" i="1"/>
  <c r="BD818" i="1"/>
  <c r="BC818" i="1"/>
  <c r="BB818" i="1"/>
  <c r="BA818" i="1"/>
  <c r="AZ818" i="1"/>
  <c r="AY818" i="1"/>
  <c r="AX818" i="1"/>
  <c r="AW818" i="1"/>
  <c r="AV818" i="1"/>
  <c r="AU818" i="1"/>
  <c r="AT818" i="1"/>
  <c r="AS818" i="1"/>
  <c r="AR818" i="1"/>
  <c r="AQ818" i="1"/>
  <c r="AP818" i="1"/>
  <c r="AO818" i="1"/>
  <c r="AE818" i="1"/>
  <c r="BS817" i="1"/>
  <c r="BR817" i="1"/>
  <c r="BQ817" i="1"/>
  <c r="BP817" i="1"/>
  <c r="BO817" i="1"/>
  <c r="BN817" i="1"/>
  <c r="BM817" i="1"/>
  <c r="BL817" i="1"/>
  <c r="BK817" i="1"/>
  <c r="BJ817" i="1"/>
  <c r="BI817" i="1"/>
  <c r="BH817" i="1"/>
  <c r="BG817" i="1"/>
  <c r="BF817" i="1"/>
  <c r="BE817" i="1"/>
  <c r="BD817" i="1"/>
  <c r="BC817" i="1"/>
  <c r="BB817" i="1"/>
  <c r="BA817" i="1"/>
  <c r="AZ817" i="1"/>
  <c r="AY817" i="1"/>
  <c r="AX817" i="1"/>
  <c r="AW817" i="1"/>
  <c r="AV817" i="1"/>
  <c r="AU817" i="1"/>
  <c r="AT817" i="1"/>
  <c r="AS817" i="1"/>
  <c r="AR817" i="1"/>
  <c r="AQ817" i="1"/>
  <c r="AP817" i="1"/>
  <c r="AO817" i="1"/>
  <c r="AE817" i="1"/>
  <c r="BS816" i="1"/>
  <c r="BR816" i="1"/>
  <c r="BQ816" i="1"/>
  <c r="BP816" i="1"/>
  <c r="BO816" i="1"/>
  <c r="BN816" i="1"/>
  <c r="BM816" i="1"/>
  <c r="BL816" i="1"/>
  <c r="BK816" i="1"/>
  <c r="BJ816" i="1"/>
  <c r="BI816" i="1"/>
  <c r="BH816" i="1"/>
  <c r="BG816" i="1"/>
  <c r="BF816" i="1"/>
  <c r="BE816" i="1"/>
  <c r="BD816" i="1"/>
  <c r="BC816" i="1"/>
  <c r="BB816" i="1"/>
  <c r="BA816" i="1"/>
  <c r="AZ816" i="1"/>
  <c r="AY816" i="1"/>
  <c r="AX816" i="1"/>
  <c r="AW816" i="1"/>
  <c r="AV816" i="1"/>
  <c r="AU816" i="1"/>
  <c r="AT816" i="1"/>
  <c r="AS816" i="1"/>
  <c r="AR816" i="1"/>
  <c r="AQ816" i="1"/>
  <c r="AP816" i="1"/>
  <c r="AO816" i="1"/>
  <c r="AE816" i="1"/>
  <c r="BS815" i="1"/>
  <c r="BR815" i="1"/>
  <c r="BQ815" i="1"/>
  <c r="BP815" i="1"/>
  <c r="BO815" i="1"/>
  <c r="BN815" i="1"/>
  <c r="BM815" i="1"/>
  <c r="BL815" i="1"/>
  <c r="BK815" i="1"/>
  <c r="BJ815" i="1"/>
  <c r="BI815" i="1"/>
  <c r="BH815" i="1"/>
  <c r="BG815" i="1"/>
  <c r="BF815" i="1"/>
  <c r="BE815" i="1"/>
  <c r="BD815" i="1"/>
  <c r="BC815" i="1"/>
  <c r="BB815" i="1"/>
  <c r="BA815" i="1"/>
  <c r="AZ815" i="1"/>
  <c r="AY815" i="1"/>
  <c r="AX815" i="1"/>
  <c r="AW815" i="1"/>
  <c r="AV815" i="1"/>
  <c r="AU815" i="1"/>
  <c r="AT815" i="1"/>
  <c r="AS815" i="1"/>
  <c r="AR815" i="1"/>
  <c r="AQ815" i="1"/>
  <c r="AP815" i="1"/>
  <c r="AO815" i="1"/>
  <c r="AE815" i="1"/>
  <c r="BS814" i="1"/>
  <c r="BR814" i="1"/>
  <c r="BQ814" i="1"/>
  <c r="BP814" i="1"/>
  <c r="BO814" i="1"/>
  <c r="BN814" i="1"/>
  <c r="BM814" i="1"/>
  <c r="BL814" i="1"/>
  <c r="BK814" i="1"/>
  <c r="BJ814" i="1"/>
  <c r="BI814" i="1"/>
  <c r="BH814" i="1"/>
  <c r="BG814" i="1"/>
  <c r="BF814" i="1"/>
  <c r="BE814" i="1"/>
  <c r="BD814" i="1"/>
  <c r="BC814" i="1"/>
  <c r="BB814" i="1"/>
  <c r="BA814" i="1"/>
  <c r="AZ814" i="1"/>
  <c r="AY814" i="1"/>
  <c r="AX814" i="1"/>
  <c r="AW814" i="1"/>
  <c r="AV814" i="1"/>
  <c r="AU814" i="1"/>
  <c r="AT814" i="1"/>
  <c r="AS814" i="1"/>
  <c r="AR814" i="1"/>
  <c r="AQ814" i="1"/>
  <c r="AP814" i="1"/>
  <c r="AO814" i="1"/>
  <c r="AE814" i="1"/>
  <c r="BS813" i="1"/>
  <c r="BR813" i="1"/>
  <c r="BQ813" i="1"/>
  <c r="BP813" i="1"/>
  <c r="BO813" i="1"/>
  <c r="BN813" i="1"/>
  <c r="BM813" i="1"/>
  <c r="BL813" i="1"/>
  <c r="BK813" i="1"/>
  <c r="BJ813" i="1"/>
  <c r="BI813" i="1"/>
  <c r="BH813" i="1"/>
  <c r="BG813" i="1"/>
  <c r="BF813" i="1"/>
  <c r="BE813" i="1"/>
  <c r="BD813" i="1"/>
  <c r="BC813" i="1"/>
  <c r="BB813" i="1"/>
  <c r="BA813" i="1"/>
  <c r="AZ813" i="1"/>
  <c r="AY813" i="1"/>
  <c r="AX813" i="1"/>
  <c r="AW813" i="1"/>
  <c r="AV813" i="1"/>
  <c r="AU813" i="1"/>
  <c r="AT813" i="1"/>
  <c r="AS813" i="1"/>
  <c r="AR813" i="1"/>
  <c r="AQ813" i="1"/>
  <c r="AP813" i="1"/>
  <c r="AO813" i="1"/>
  <c r="AE813" i="1"/>
  <c r="BS812" i="1"/>
  <c r="BR812" i="1"/>
  <c r="BQ812" i="1"/>
  <c r="BP812" i="1"/>
  <c r="BO812" i="1"/>
  <c r="BN812" i="1"/>
  <c r="BM812" i="1"/>
  <c r="BL812" i="1"/>
  <c r="BK812" i="1"/>
  <c r="BJ812" i="1"/>
  <c r="BI812" i="1"/>
  <c r="BH812" i="1"/>
  <c r="BG812" i="1"/>
  <c r="BF812" i="1"/>
  <c r="BE812" i="1"/>
  <c r="BD812" i="1"/>
  <c r="BC812" i="1"/>
  <c r="BB812" i="1"/>
  <c r="BA812" i="1"/>
  <c r="AZ812" i="1"/>
  <c r="AY812" i="1"/>
  <c r="AX812" i="1"/>
  <c r="AW812" i="1"/>
  <c r="AV812" i="1"/>
  <c r="AU812" i="1"/>
  <c r="AT812" i="1"/>
  <c r="AS812" i="1"/>
  <c r="AR812" i="1"/>
  <c r="AQ812" i="1"/>
  <c r="AP812" i="1"/>
  <c r="AO812" i="1"/>
  <c r="AE812" i="1"/>
  <c r="BS811" i="1"/>
  <c r="BR811" i="1"/>
  <c r="BQ811" i="1"/>
  <c r="BP811" i="1"/>
  <c r="BO811" i="1"/>
  <c r="BN811" i="1"/>
  <c r="BM811" i="1"/>
  <c r="BL811" i="1"/>
  <c r="BK811" i="1"/>
  <c r="BJ811" i="1"/>
  <c r="BI811" i="1"/>
  <c r="BH811" i="1"/>
  <c r="BG811" i="1"/>
  <c r="BF811" i="1"/>
  <c r="BE811" i="1"/>
  <c r="BD811" i="1"/>
  <c r="BC811" i="1"/>
  <c r="BB811" i="1"/>
  <c r="BA811" i="1"/>
  <c r="AZ811" i="1"/>
  <c r="AY811" i="1"/>
  <c r="AX811" i="1"/>
  <c r="AW811" i="1"/>
  <c r="AV811" i="1"/>
  <c r="AU811" i="1"/>
  <c r="AT811" i="1"/>
  <c r="AS811" i="1"/>
  <c r="AR811" i="1"/>
  <c r="AQ811" i="1"/>
  <c r="AP811" i="1"/>
  <c r="AO811" i="1"/>
  <c r="AE811" i="1"/>
  <c r="BS810" i="1"/>
  <c r="BR810" i="1"/>
  <c r="BQ810" i="1"/>
  <c r="BP810" i="1"/>
  <c r="BO810" i="1"/>
  <c r="BN810" i="1"/>
  <c r="BM810" i="1"/>
  <c r="BL810" i="1"/>
  <c r="BK810" i="1"/>
  <c r="BJ810" i="1"/>
  <c r="BI810" i="1"/>
  <c r="BH810" i="1"/>
  <c r="BG810" i="1"/>
  <c r="BF810" i="1"/>
  <c r="BE810" i="1"/>
  <c r="BD810" i="1"/>
  <c r="BC810" i="1"/>
  <c r="BB810" i="1"/>
  <c r="BA810" i="1"/>
  <c r="AZ810" i="1"/>
  <c r="AY810" i="1"/>
  <c r="AX810" i="1"/>
  <c r="AW810" i="1"/>
  <c r="AV810" i="1"/>
  <c r="AU810" i="1"/>
  <c r="AT810" i="1"/>
  <c r="AS810" i="1"/>
  <c r="AR810" i="1"/>
  <c r="AQ810" i="1"/>
  <c r="AP810" i="1"/>
  <c r="AO810" i="1"/>
  <c r="AE810" i="1"/>
  <c r="BS809" i="1"/>
  <c r="BR809" i="1"/>
  <c r="BQ809" i="1"/>
  <c r="BP809" i="1"/>
  <c r="BO809" i="1"/>
  <c r="BN809" i="1"/>
  <c r="BM809" i="1"/>
  <c r="BL809" i="1"/>
  <c r="BK809" i="1"/>
  <c r="BJ809" i="1"/>
  <c r="BI809" i="1"/>
  <c r="BH809" i="1"/>
  <c r="BG809" i="1"/>
  <c r="BF809" i="1"/>
  <c r="BE809" i="1"/>
  <c r="BD809" i="1"/>
  <c r="BC809" i="1"/>
  <c r="BB809" i="1"/>
  <c r="BA809" i="1"/>
  <c r="AZ809" i="1"/>
  <c r="AY809" i="1"/>
  <c r="AX809" i="1"/>
  <c r="AW809" i="1"/>
  <c r="AV809" i="1"/>
  <c r="AU809" i="1"/>
  <c r="AT809" i="1"/>
  <c r="AS809" i="1"/>
  <c r="AR809" i="1"/>
  <c r="AQ809" i="1"/>
  <c r="AP809" i="1"/>
  <c r="AO809" i="1"/>
  <c r="AE809" i="1"/>
  <c r="BS808" i="1"/>
  <c r="BR808" i="1"/>
  <c r="BQ808" i="1"/>
  <c r="BP808" i="1"/>
  <c r="BO808" i="1"/>
  <c r="BN808" i="1"/>
  <c r="BM808" i="1"/>
  <c r="BL808" i="1"/>
  <c r="BK808" i="1"/>
  <c r="BJ808" i="1"/>
  <c r="BI808" i="1"/>
  <c r="BH808" i="1"/>
  <c r="BG808" i="1"/>
  <c r="BF808" i="1"/>
  <c r="BE808" i="1"/>
  <c r="BD808" i="1"/>
  <c r="BC808" i="1"/>
  <c r="BB808" i="1"/>
  <c r="BA808" i="1"/>
  <c r="AZ808" i="1"/>
  <c r="AY808" i="1"/>
  <c r="AX808" i="1"/>
  <c r="AW808" i="1"/>
  <c r="AV808" i="1"/>
  <c r="AU808" i="1"/>
  <c r="AT808" i="1"/>
  <c r="AS808" i="1"/>
  <c r="AR808" i="1"/>
  <c r="AQ808" i="1"/>
  <c r="AP808" i="1"/>
  <c r="AO808" i="1"/>
  <c r="AE808" i="1"/>
  <c r="BS807" i="1"/>
  <c r="BR807" i="1"/>
  <c r="BQ807" i="1"/>
  <c r="BP807" i="1"/>
  <c r="BO807" i="1"/>
  <c r="BN807" i="1"/>
  <c r="BM807" i="1"/>
  <c r="BL807" i="1"/>
  <c r="BK807" i="1"/>
  <c r="BJ807" i="1"/>
  <c r="BI807" i="1"/>
  <c r="BH807" i="1"/>
  <c r="BG807" i="1"/>
  <c r="BF807" i="1"/>
  <c r="BE807" i="1"/>
  <c r="BD807" i="1"/>
  <c r="BC807" i="1"/>
  <c r="BB807" i="1"/>
  <c r="BA807" i="1"/>
  <c r="AZ807" i="1"/>
  <c r="AY807" i="1"/>
  <c r="AX807" i="1"/>
  <c r="AW807" i="1"/>
  <c r="AV807" i="1"/>
  <c r="AU807" i="1"/>
  <c r="AT807" i="1"/>
  <c r="AS807" i="1"/>
  <c r="AR807" i="1"/>
  <c r="AQ807" i="1"/>
  <c r="AP807" i="1"/>
  <c r="AO807" i="1"/>
  <c r="AE807" i="1"/>
  <c r="BS806" i="1"/>
  <c r="BR806" i="1"/>
  <c r="BQ806" i="1"/>
  <c r="BP806" i="1"/>
  <c r="BO806" i="1"/>
  <c r="BN806" i="1"/>
  <c r="BM806" i="1"/>
  <c r="BL806" i="1"/>
  <c r="BK806" i="1"/>
  <c r="BJ806" i="1"/>
  <c r="BI806" i="1"/>
  <c r="BH806" i="1"/>
  <c r="BG806" i="1"/>
  <c r="BF806" i="1"/>
  <c r="BE806" i="1"/>
  <c r="BD806" i="1"/>
  <c r="BC806" i="1"/>
  <c r="BB806" i="1"/>
  <c r="BA806" i="1"/>
  <c r="AZ806" i="1"/>
  <c r="AY806" i="1"/>
  <c r="AX806" i="1"/>
  <c r="AW806" i="1"/>
  <c r="AV806" i="1"/>
  <c r="AU806" i="1"/>
  <c r="AT806" i="1"/>
  <c r="AS806" i="1"/>
  <c r="AR806" i="1"/>
  <c r="AQ806" i="1"/>
  <c r="AP806" i="1"/>
  <c r="AO806" i="1"/>
  <c r="AE806" i="1"/>
  <c r="BS805" i="1"/>
  <c r="BR805" i="1"/>
  <c r="BQ805" i="1"/>
  <c r="BP805" i="1"/>
  <c r="BO805" i="1"/>
  <c r="BN805" i="1"/>
  <c r="BM805" i="1"/>
  <c r="BL805" i="1"/>
  <c r="BK805" i="1"/>
  <c r="BJ805" i="1"/>
  <c r="BI805" i="1"/>
  <c r="BH805" i="1"/>
  <c r="BG805" i="1"/>
  <c r="BF805" i="1"/>
  <c r="BE805" i="1"/>
  <c r="BD805" i="1"/>
  <c r="BC805" i="1"/>
  <c r="BB805" i="1"/>
  <c r="BA805" i="1"/>
  <c r="AZ805" i="1"/>
  <c r="AY805" i="1"/>
  <c r="AX805" i="1"/>
  <c r="AW805" i="1"/>
  <c r="AV805" i="1"/>
  <c r="AU805" i="1"/>
  <c r="AT805" i="1"/>
  <c r="AS805" i="1"/>
  <c r="AR805" i="1"/>
  <c r="AQ805" i="1"/>
  <c r="AP805" i="1"/>
  <c r="AO805" i="1"/>
  <c r="AE805" i="1"/>
  <c r="BS804" i="1"/>
  <c r="BR804" i="1"/>
  <c r="BQ804" i="1"/>
  <c r="BP804" i="1"/>
  <c r="BO804" i="1"/>
  <c r="BN804" i="1"/>
  <c r="BM804" i="1"/>
  <c r="BL804" i="1"/>
  <c r="BK804" i="1"/>
  <c r="BJ804" i="1"/>
  <c r="BI804" i="1"/>
  <c r="BH804" i="1"/>
  <c r="BG804" i="1"/>
  <c r="BF804" i="1"/>
  <c r="BE804" i="1"/>
  <c r="BD804" i="1"/>
  <c r="BC804" i="1"/>
  <c r="BB804" i="1"/>
  <c r="BA804" i="1"/>
  <c r="AZ804" i="1"/>
  <c r="AY804" i="1"/>
  <c r="AX804" i="1"/>
  <c r="AW804" i="1"/>
  <c r="AV804" i="1"/>
  <c r="AU804" i="1"/>
  <c r="AT804" i="1"/>
  <c r="AS804" i="1"/>
  <c r="AR804" i="1"/>
  <c r="AQ804" i="1"/>
  <c r="AP804" i="1"/>
  <c r="AO804" i="1"/>
  <c r="AE804" i="1"/>
  <c r="BS803" i="1"/>
  <c r="BR803" i="1"/>
  <c r="BQ803" i="1"/>
  <c r="BP803" i="1"/>
  <c r="BO803" i="1"/>
  <c r="BN803" i="1"/>
  <c r="BM803" i="1"/>
  <c r="BL803" i="1"/>
  <c r="BK803" i="1"/>
  <c r="BJ803" i="1"/>
  <c r="BI803" i="1"/>
  <c r="BH803" i="1"/>
  <c r="BG803" i="1"/>
  <c r="BF803" i="1"/>
  <c r="BE803" i="1"/>
  <c r="BD803" i="1"/>
  <c r="BC803" i="1"/>
  <c r="BB803" i="1"/>
  <c r="BA803" i="1"/>
  <c r="AZ803" i="1"/>
  <c r="AY803" i="1"/>
  <c r="AX803" i="1"/>
  <c r="AW803" i="1"/>
  <c r="AV803" i="1"/>
  <c r="AU803" i="1"/>
  <c r="AT803" i="1"/>
  <c r="AS803" i="1"/>
  <c r="AR803" i="1"/>
  <c r="AQ803" i="1"/>
  <c r="AP803" i="1"/>
  <c r="AO803" i="1"/>
  <c r="AE803" i="1"/>
  <c r="BS802" i="1"/>
  <c r="BR802" i="1"/>
  <c r="BQ802" i="1"/>
  <c r="BP802" i="1"/>
  <c r="BO802" i="1"/>
  <c r="BN802" i="1"/>
  <c r="BM802" i="1"/>
  <c r="BL802" i="1"/>
  <c r="BK802" i="1"/>
  <c r="BJ802" i="1"/>
  <c r="BI802" i="1"/>
  <c r="BH802" i="1"/>
  <c r="BG802" i="1"/>
  <c r="BF802" i="1"/>
  <c r="BE802" i="1"/>
  <c r="BD802" i="1"/>
  <c r="BC802" i="1"/>
  <c r="BB802" i="1"/>
  <c r="BA802" i="1"/>
  <c r="AZ802" i="1"/>
  <c r="AY802" i="1"/>
  <c r="AX802" i="1"/>
  <c r="AW802" i="1"/>
  <c r="AV802" i="1"/>
  <c r="AU802" i="1"/>
  <c r="AT802" i="1"/>
  <c r="AS802" i="1"/>
  <c r="AR802" i="1"/>
  <c r="AQ802" i="1"/>
  <c r="AP802" i="1"/>
  <c r="AO802" i="1"/>
  <c r="AE802" i="1"/>
  <c r="BS801" i="1"/>
  <c r="BR801" i="1"/>
  <c r="BQ801" i="1"/>
  <c r="BP801" i="1"/>
  <c r="BO801" i="1"/>
  <c r="BN801" i="1"/>
  <c r="BM801" i="1"/>
  <c r="BL801" i="1"/>
  <c r="BK801" i="1"/>
  <c r="BJ801" i="1"/>
  <c r="BI801" i="1"/>
  <c r="BH801" i="1"/>
  <c r="BG801" i="1"/>
  <c r="BF801" i="1"/>
  <c r="BE801" i="1"/>
  <c r="BD801" i="1"/>
  <c r="BC801" i="1"/>
  <c r="BB801" i="1"/>
  <c r="BA801" i="1"/>
  <c r="AZ801" i="1"/>
  <c r="AY801" i="1"/>
  <c r="AX801" i="1"/>
  <c r="AW801" i="1"/>
  <c r="AV801" i="1"/>
  <c r="AU801" i="1"/>
  <c r="AT801" i="1"/>
  <c r="AS801" i="1"/>
  <c r="AR801" i="1"/>
  <c r="AQ801" i="1"/>
  <c r="AP801" i="1"/>
  <c r="AO801" i="1"/>
  <c r="AE801" i="1"/>
  <c r="BS800" i="1"/>
  <c r="BR800" i="1"/>
  <c r="BQ800" i="1"/>
  <c r="BP800" i="1"/>
  <c r="BO800" i="1"/>
  <c r="BN800" i="1"/>
  <c r="BM800" i="1"/>
  <c r="BL800" i="1"/>
  <c r="BK800" i="1"/>
  <c r="BJ800" i="1"/>
  <c r="BI800" i="1"/>
  <c r="BH800" i="1"/>
  <c r="BG800" i="1"/>
  <c r="BF800" i="1"/>
  <c r="BE800" i="1"/>
  <c r="BD800" i="1"/>
  <c r="BC800" i="1"/>
  <c r="BB800" i="1"/>
  <c r="BA800" i="1"/>
  <c r="AZ800" i="1"/>
  <c r="AY800" i="1"/>
  <c r="AX800" i="1"/>
  <c r="AW800" i="1"/>
  <c r="AV800" i="1"/>
  <c r="AU800" i="1"/>
  <c r="AT800" i="1"/>
  <c r="AS800" i="1"/>
  <c r="AR800" i="1"/>
  <c r="AQ800" i="1"/>
  <c r="AP800" i="1"/>
  <c r="AO800" i="1"/>
  <c r="AE800" i="1"/>
  <c r="BS799" i="1"/>
  <c r="BR799" i="1"/>
  <c r="BQ799" i="1"/>
  <c r="BP799" i="1"/>
  <c r="BO799" i="1"/>
  <c r="BN799" i="1"/>
  <c r="BM799" i="1"/>
  <c r="BL799" i="1"/>
  <c r="BK799" i="1"/>
  <c r="BJ799" i="1"/>
  <c r="BI799" i="1"/>
  <c r="BH799" i="1"/>
  <c r="BG799" i="1"/>
  <c r="BF799" i="1"/>
  <c r="BE799" i="1"/>
  <c r="BD799" i="1"/>
  <c r="BC799" i="1"/>
  <c r="BB799" i="1"/>
  <c r="BA799" i="1"/>
  <c r="AZ799" i="1"/>
  <c r="AY799" i="1"/>
  <c r="AX799" i="1"/>
  <c r="AW799" i="1"/>
  <c r="AV799" i="1"/>
  <c r="AU799" i="1"/>
  <c r="AT799" i="1"/>
  <c r="AS799" i="1"/>
  <c r="AR799" i="1"/>
  <c r="AQ799" i="1"/>
  <c r="AP799" i="1"/>
  <c r="AO799" i="1"/>
  <c r="AE799" i="1"/>
  <c r="BS798" i="1"/>
  <c r="BR798" i="1"/>
  <c r="BQ798" i="1"/>
  <c r="BP798" i="1"/>
  <c r="BO798" i="1"/>
  <c r="BN798" i="1"/>
  <c r="BM798" i="1"/>
  <c r="BL798" i="1"/>
  <c r="BK798" i="1"/>
  <c r="BJ798" i="1"/>
  <c r="BI798" i="1"/>
  <c r="BH798" i="1"/>
  <c r="BG798" i="1"/>
  <c r="BF798" i="1"/>
  <c r="BE798" i="1"/>
  <c r="BD798" i="1"/>
  <c r="BC798" i="1"/>
  <c r="BB798" i="1"/>
  <c r="BA798" i="1"/>
  <c r="AZ798" i="1"/>
  <c r="AY798" i="1"/>
  <c r="AX798" i="1"/>
  <c r="AW798" i="1"/>
  <c r="AV798" i="1"/>
  <c r="AU798" i="1"/>
  <c r="AT798" i="1"/>
  <c r="AS798" i="1"/>
  <c r="AR798" i="1"/>
  <c r="AQ798" i="1"/>
  <c r="AP798" i="1"/>
  <c r="AO798" i="1"/>
  <c r="AE798" i="1"/>
  <c r="BS797" i="1"/>
  <c r="BR797" i="1"/>
  <c r="BQ797" i="1"/>
  <c r="BP797" i="1"/>
  <c r="BO797" i="1"/>
  <c r="BN797" i="1"/>
  <c r="BM797" i="1"/>
  <c r="BL797" i="1"/>
  <c r="BK797" i="1"/>
  <c r="BJ797" i="1"/>
  <c r="BI797" i="1"/>
  <c r="BH797" i="1"/>
  <c r="BG797" i="1"/>
  <c r="BF797" i="1"/>
  <c r="BE797" i="1"/>
  <c r="BD797" i="1"/>
  <c r="BC797" i="1"/>
  <c r="BB797" i="1"/>
  <c r="BA797" i="1"/>
  <c r="AZ797" i="1"/>
  <c r="AY797" i="1"/>
  <c r="AX797" i="1"/>
  <c r="AW797" i="1"/>
  <c r="AV797" i="1"/>
  <c r="AU797" i="1"/>
  <c r="AT797" i="1"/>
  <c r="AS797" i="1"/>
  <c r="AR797" i="1"/>
  <c r="AQ797" i="1"/>
  <c r="AP797" i="1"/>
  <c r="AO797" i="1"/>
  <c r="AE797" i="1"/>
  <c r="BS796" i="1"/>
  <c r="BR796" i="1"/>
  <c r="BQ796" i="1"/>
  <c r="BP796" i="1"/>
  <c r="BO796" i="1"/>
  <c r="BN796" i="1"/>
  <c r="BM796" i="1"/>
  <c r="BL796" i="1"/>
  <c r="BK796" i="1"/>
  <c r="BJ796" i="1"/>
  <c r="BI796" i="1"/>
  <c r="BH796" i="1"/>
  <c r="BG796" i="1"/>
  <c r="BF796" i="1"/>
  <c r="BE796" i="1"/>
  <c r="BD796" i="1"/>
  <c r="BC796" i="1"/>
  <c r="BB796" i="1"/>
  <c r="BA796" i="1"/>
  <c r="AZ796" i="1"/>
  <c r="AY796" i="1"/>
  <c r="AX796" i="1"/>
  <c r="AW796" i="1"/>
  <c r="AV796" i="1"/>
  <c r="AU796" i="1"/>
  <c r="AT796" i="1"/>
  <c r="AS796" i="1"/>
  <c r="AR796" i="1"/>
  <c r="AQ796" i="1"/>
  <c r="AP796" i="1"/>
  <c r="AO796" i="1"/>
  <c r="AE796" i="1"/>
  <c r="BS795" i="1"/>
  <c r="BR795" i="1"/>
  <c r="BQ795" i="1"/>
  <c r="BP795" i="1"/>
  <c r="BO795" i="1"/>
  <c r="BN795" i="1"/>
  <c r="BM795" i="1"/>
  <c r="BL795" i="1"/>
  <c r="BK795" i="1"/>
  <c r="BJ795" i="1"/>
  <c r="BI795" i="1"/>
  <c r="BH795" i="1"/>
  <c r="BG795" i="1"/>
  <c r="BF795" i="1"/>
  <c r="BE795" i="1"/>
  <c r="BD795" i="1"/>
  <c r="BC795" i="1"/>
  <c r="BB795" i="1"/>
  <c r="BA795" i="1"/>
  <c r="AZ795" i="1"/>
  <c r="AY795" i="1"/>
  <c r="AX795" i="1"/>
  <c r="AW795" i="1"/>
  <c r="AV795" i="1"/>
  <c r="AU795" i="1"/>
  <c r="AT795" i="1"/>
  <c r="AS795" i="1"/>
  <c r="AR795" i="1"/>
  <c r="AQ795" i="1"/>
  <c r="AP795" i="1"/>
  <c r="AO795" i="1"/>
  <c r="AE795" i="1"/>
  <c r="BS794" i="1"/>
  <c r="BR794" i="1"/>
  <c r="BQ794" i="1"/>
  <c r="BP794" i="1"/>
  <c r="BO794" i="1"/>
  <c r="BN794" i="1"/>
  <c r="BM794" i="1"/>
  <c r="BL794" i="1"/>
  <c r="BK794" i="1"/>
  <c r="BJ794" i="1"/>
  <c r="BI794" i="1"/>
  <c r="BH794" i="1"/>
  <c r="BG794" i="1"/>
  <c r="BF794" i="1"/>
  <c r="BE794" i="1"/>
  <c r="BD794" i="1"/>
  <c r="BC794" i="1"/>
  <c r="BB794" i="1"/>
  <c r="BA794" i="1"/>
  <c r="AZ794" i="1"/>
  <c r="AY794" i="1"/>
  <c r="AX794" i="1"/>
  <c r="AW794" i="1"/>
  <c r="AV794" i="1"/>
  <c r="AU794" i="1"/>
  <c r="AT794" i="1"/>
  <c r="AS794" i="1"/>
  <c r="AR794" i="1"/>
  <c r="AQ794" i="1"/>
  <c r="AP794" i="1"/>
  <c r="AO794" i="1"/>
  <c r="AE794" i="1"/>
  <c r="BS793" i="1"/>
  <c r="BR793" i="1"/>
  <c r="BQ793" i="1"/>
  <c r="BP793" i="1"/>
  <c r="BO793" i="1"/>
  <c r="BN793" i="1"/>
  <c r="BM793" i="1"/>
  <c r="BL793" i="1"/>
  <c r="BK793" i="1"/>
  <c r="BJ793" i="1"/>
  <c r="BI793" i="1"/>
  <c r="BH793" i="1"/>
  <c r="BG793" i="1"/>
  <c r="BF793" i="1"/>
  <c r="BE793" i="1"/>
  <c r="BD793" i="1"/>
  <c r="BC793" i="1"/>
  <c r="BB793" i="1"/>
  <c r="BA793" i="1"/>
  <c r="AZ793" i="1"/>
  <c r="AY793" i="1"/>
  <c r="AX793" i="1"/>
  <c r="AW793" i="1"/>
  <c r="AV793" i="1"/>
  <c r="AU793" i="1"/>
  <c r="AT793" i="1"/>
  <c r="AS793" i="1"/>
  <c r="AR793" i="1"/>
  <c r="AQ793" i="1"/>
  <c r="AP793" i="1"/>
  <c r="AO793" i="1"/>
  <c r="AE793" i="1"/>
  <c r="BS792" i="1"/>
  <c r="BR792" i="1"/>
  <c r="BQ792" i="1"/>
  <c r="BP792" i="1"/>
  <c r="BO792" i="1"/>
  <c r="BN792" i="1"/>
  <c r="BM792" i="1"/>
  <c r="BL792" i="1"/>
  <c r="BK792" i="1"/>
  <c r="BJ792" i="1"/>
  <c r="BI792" i="1"/>
  <c r="BH792" i="1"/>
  <c r="BG792" i="1"/>
  <c r="BF792" i="1"/>
  <c r="BE792" i="1"/>
  <c r="BD792" i="1"/>
  <c r="BC792" i="1"/>
  <c r="BB792" i="1"/>
  <c r="BA792" i="1"/>
  <c r="AZ792" i="1"/>
  <c r="AY792" i="1"/>
  <c r="AX792" i="1"/>
  <c r="AW792" i="1"/>
  <c r="AV792" i="1"/>
  <c r="AU792" i="1"/>
  <c r="AT792" i="1"/>
  <c r="AS792" i="1"/>
  <c r="AR792" i="1"/>
  <c r="AQ792" i="1"/>
  <c r="AP792" i="1"/>
  <c r="AO792" i="1"/>
  <c r="AE792" i="1"/>
  <c r="BS791" i="1"/>
  <c r="BR791" i="1"/>
  <c r="BQ791" i="1"/>
  <c r="BP791" i="1"/>
  <c r="BO791" i="1"/>
  <c r="BN791" i="1"/>
  <c r="BM791" i="1"/>
  <c r="BL791" i="1"/>
  <c r="BK791" i="1"/>
  <c r="BJ791" i="1"/>
  <c r="BI791" i="1"/>
  <c r="BH791" i="1"/>
  <c r="BG791" i="1"/>
  <c r="BF791" i="1"/>
  <c r="BE791" i="1"/>
  <c r="BD791" i="1"/>
  <c r="BC791" i="1"/>
  <c r="BB791" i="1"/>
  <c r="BA791" i="1"/>
  <c r="AZ791" i="1"/>
  <c r="AY791" i="1"/>
  <c r="AX791" i="1"/>
  <c r="AW791" i="1"/>
  <c r="AV791" i="1"/>
  <c r="AU791" i="1"/>
  <c r="AT791" i="1"/>
  <c r="AS791" i="1"/>
  <c r="AR791" i="1"/>
  <c r="AQ791" i="1"/>
  <c r="AP791" i="1"/>
  <c r="AO791" i="1"/>
  <c r="AE791" i="1"/>
  <c r="BS790" i="1"/>
  <c r="BR790" i="1"/>
  <c r="BQ790" i="1"/>
  <c r="BP790" i="1"/>
  <c r="BO790" i="1"/>
  <c r="BN790" i="1"/>
  <c r="BM790" i="1"/>
  <c r="BL790" i="1"/>
  <c r="BK790" i="1"/>
  <c r="BJ790" i="1"/>
  <c r="BI790" i="1"/>
  <c r="BH790" i="1"/>
  <c r="BG790" i="1"/>
  <c r="BF790" i="1"/>
  <c r="BE790" i="1"/>
  <c r="BD790" i="1"/>
  <c r="BC790" i="1"/>
  <c r="BB790" i="1"/>
  <c r="BA790" i="1"/>
  <c r="AZ790" i="1"/>
  <c r="AY790" i="1"/>
  <c r="AX790" i="1"/>
  <c r="AW790" i="1"/>
  <c r="AV790" i="1"/>
  <c r="AU790" i="1"/>
  <c r="AT790" i="1"/>
  <c r="AS790" i="1"/>
  <c r="AR790" i="1"/>
  <c r="AQ790" i="1"/>
  <c r="AP790" i="1"/>
  <c r="AO790" i="1"/>
  <c r="AE790" i="1"/>
  <c r="BS789" i="1"/>
  <c r="BR789" i="1"/>
  <c r="BQ789" i="1"/>
  <c r="BP789" i="1"/>
  <c r="BO789" i="1"/>
  <c r="BN789" i="1"/>
  <c r="BM789" i="1"/>
  <c r="BL789" i="1"/>
  <c r="BK789" i="1"/>
  <c r="BJ789" i="1"/>
  <c r="BI789" i="1"/>
  <c r="BH789" i="1"/>
  <c r="BG789" i="1"/>
  <c r="BF789" i="1"/>
  <c r="BE789" i="1"/>
  <c r="BD789" i="1"/>
  <c r="BC789" i="1"/>
  <c r="BB789" i="1"/>
  <c r="BA789" i="1"/>
  <c r="AZ789" i="1"/>
  <c r="AY789" i="1"/>
  <c r="AX789" i="1"/>
  <c r="AW789" i="1"/>
  <c r="AV789" i="1"/>
  <c r="AU789" i="1"/>
  <c r="AT789" i="1"/>
  <c r="AS789" i="1"/>
  <c r="AR789" i="1"/>
  <c r="AQ789" i="1"/>
  <c r="AP789" i="1"/>
  <c r="AO789" i="1"/>
  <c r="AE789" i="1"/>
  <c r="BS788" i="1"/>
  <c r="BR788" i="1"/>
  <c r="BQ788" i="1"/>
  <c r="BP788" i="1"/>
  <c r="BO788" i="1"/>
  <c r="BN788" i="1"/>
  <c r="BM788" i="1"/>
  <c r="BL788" i="1"/>
  <c r="BK788" i="1"/>
  <c r="BJ788" i="1"/>
  <c r="BI788" i="1"/>
  <c r="BH788" i="1"/>
  <c r="BG788" i="1"/>
  <c r="BF788" i="1"/>
  <c r="BE788" i="1"/>
  <c r="BD788" i="1"/>
  <c r="BC788" i="1"/>
  <c r="BB788" i="1"/>
  <c r="BA788" i="1"/>
  <c r="AZ788" i="1"/>
  <c r="AY788" i="1"/>
  <c r="AX788" i="1"/>
  <c r="AW788" i="1"/>
  <c r="AV788" i="1"/>
  <c r="AU788" i="1"/>
  <c r="AT788" i="1"/>
  <c r="AS788" i="1"/>
  <c r="AR788" i="1"/>
  <c r="AQ788" i="1"/>
  <c r="AP788" i="1"/>
  <c r="AO788" i="1"/>
  <c r="AE788" i="1"/>
  <c r="BS787" i="1"/>
  <c r="BR787" i="1"/>
  <c r="BQ787" i="1"/>
  <c r="BP787" i="1"/>
  <c r="BO787" i="1"/>
  <c r="BN787" i="1"/>
  <c r="BM787" i="1"/>
  <c r="BL787" i="1"/>
  <c r="BK787" i="1"/>
  <c r="BJ787" i="1"/>
  <c r="BI787" i="1"/>
  <c r="BH787" i="1"/>
  <c r="BG787" i="1"/>
  <c r="BF787" i="1"/>
  <c r="BE787" i="1"/>
  <c r="BD787" i="1"/>
  <c r="BC787" i="1"/>
  <c r="BB787" i="1"/>
  <c r="BA787" i="1"/>
  <c r="AZ787" i="1"/>
  <c r="AY787" i="1"/>
  <c r="AX787" i="1"/>
  <c r="AW787" i="1"/>
  <c r="AV787" i="1"/>
  <c r="AU787" i="1"/>
  <c r="AT787" i="1"/>
  <c r="AS787" i="1"/>
  <c r="AR787" i="1"/>
  <c r="AQ787" i="1"/>
  <c r="AP787" i="1"/>
  <c r="AO787" i="1"/>
  <c r="AE787" i="1"/>
  <c r="BS786" i="1"/>
  <c r="BR786" i="1"/>
  <c r="BQ786" i="1"/>
  <c r="BP786" i="1"/>
  <c r="BO786" i="1"/>
  <c r="BN786" i="1"/>
  <c r="BM786" i="1"/>
  <c r="BL786" i="1"/>
  <c r="BK786" i="1"/>
  <c r="BJ786" i="1"/>
  <c r="BI786" i="1"/>
  <c r="BH786" i="1"/>
  <c r="BG786" i="1"/>
  <c r="BF786" i="1"/>
  <c r="BE786" i="1"/>
  <c r="BD786" i="1"/>
  <c r="BC786" i="1"/>
  <c r="BB786" i="1"/>
  <c r="BA786" i="1"/>
  <c r="AZ786" i="1"/>
  <c r="AY786" i="1"/>
  <c r="AX786" i="1"/>
  <c r="AW786" i="1"/>
  <c r="AV786" i="1"/>
  <c r="AU786" i="1"/>
  <c r="AT786" i="1"/>
  <c r="AS786" i="1"/>
  <c r="AR786" i="1"/>
  <c r="AQ786" i="1"/>
  <c r="AP786" i="1"/>
  <c r="AO786" i="1"/>
  <c r="AE786" i="1"/>
  <c r="BS785" i="1"/>
  <c r="BR785" i="1"/>
  <c r="BQ785" i="1"/>
  <c r="BP785" i="1"/>
  <c r="BO785" i="1"/>
  <c r="BN785" i="1"/>
  <c r="BM785" i="1"/>
  <c r="BL785" i="1"/>
  <c r="BK785" i="1"/>
  <c r="BJ785" i="1"/>
  <c r="BI785" i="1"/>
  <c r="BH785" i="1"/>
  <c r="BG785" i="1"/>
  <c r="BF785" i="1"/>
  <c r="BE785" i="1"/>
  <c r="BD785" i="1"/>
  <c r="BC785" i="1"/>
  <c r="BB785" i="1"/>
  <c r="BA785" i="1"/>
  <c r="AZ785" i="1"/>
  <c r="AY785" i="1"/>
  <c r="AX785" i="1"/>
  <c r="AW785" i="1"/>
  <c r="AV785" i="1"/>
  <c r="AU785" i="1"/>
  <c r="AT785" i="1"/>
  <c r="AS785" i="1"/>
  <c r="AR785" i="1"/>
  <c r="AQ785" i="1"/>
  <c r="AP785" i="1"/>
  <c r="AO785" i="1"/>
  <c r="AE785" i="1"/>
  <c r="BS784" i="1"/>
  <c r="BR784" i="1"/>
  <c r="BQ784" i="1"/>
  <c r="BP784" i="1"/>
  <c r="BO784" i="1"/>
  <c r="BN784" i="1"/>
  <c r="BM784" i="1"/>
  <c r="BL784" i="1"/>
  <c r="BK784" i="1"/>
  <c r="BJ784" i="1"/>
  <c r="BI784" i="1"/>
  <c r="BH784" i="1"/>
  <c r="BG784" i="1"/>
  <c r="BF784" i="1"/>
  <c r="BE784" i="1"/>
  <c r="BD784" i="1"/>
  <c r="BC784" i="1"/>
  <c r="BB784" i="1"/>
  <c r="BA784" i="1"/>
  <c r="AZ784" i="1"/>
  <c r="AY784" i="1"/>
  <c r="AX784" i="1"/>
  <c r="AW784" i="1"/>
  <c r="AV784" i="1"/>
  <c r="AU784" i="1"/>
  <c r="AT784" i="1"/>
  <c r="AS784" i="1"/>
  <c r="AR784" i="1"/>
  <c r="AQ784" i="1"/>
  <c r="AP784" i="1"/>
  <c r="AO784" i="1"/>
  <c r="AE784" i="1"/>
  <c r="BS783" i="1"/>
  <c r="BR783" i="1"/>
  <c r="BQ783" i="1"/>
  <c r="BP783" i="1"/>
  <c r="BO783" i="1"/>
  <c r="BN783" i="1"/>
  <c r="BM783" i="1"/>
  <c r="BL783" i="1"/>
  <c r="BK783" i="1"/>
  <c r="BJ783" i="1"/>
  <c r="BI783" i="1"/>
  <c r="BH783" i="1"/>
  <c r="BG783" i="1"/>
  <c r="BF783" i="1"/>
  <c r="BE783" i="1"/>
  <c r="BD783" i="1"/>
  <c r="BC783" i="1"/>
  <c r="BB783" i="1"/>
  <c r="BA783" i="1"/>
  <c r="AZ783" i="1"/>
  <c r="AY783" i="1"/>
  <c r="AX783" i="1"/>
  <c r="AW783" i="1"/>
  <c r="AV783" i="1"/>
  <c r="AU783" i="1"/>
  <c r="AT783" i="1"/>
  <c r="AS783" i="1"/>
  <c r="AR783" i="1"/>
  <c r="AQ783" i="1"/>
  <c r="AP783" i="1"/>
  <c r="AO783" i="1"/>
  <c r="AE783" i="1"/>
  <c r="BS782" i="1"/>
  <c r="BR782" i="1"/>
  <c r="BQ782" i="1"/>
  <c r="BP782" i="1"/>
  <c r="BO782" i="1"/>
  <c r="BN782" i="1"/>
  <c r="BM782" i="1"/>
  <c r="BL782" i="1"/>
  <c r="BK782" i="1"/>
  <c r="BJ782" i="1"/>
  <c r="BI782" i="1"/>
  <c r="BH782" i="1"/>
  <c r="BG782" i="1"/>
  <c r="BF782" i="1"/>
  <c r="BE782" i="1"/>
  <c r="BD782" i="1"/>
  <c r="BC782" i="1"/>
  <c r="BB782" i="1"/>
  <c r="BA782" i="1"/>
  <c r="AZ782" i="1"/>
  <c r="AY782" i="1"/>
  <c r="AX782" i="1"/>
  <c r="AW782" i="1"/>
  <c r="AV782" i="1"/>
  <c r="AU782" i="1"/>
  <c r="AT782" i="1"/>
  <c r="AS782" i="1"/>
  <c r="AR782" i="1"/>
  <c r="AQ782" i="1"/>
  <c r="AP782" i="1"/>
  <c r="AO782" i="1"/>
  <c r="AE782" i="1"/>
  <c r="BS781" i="1"/>
  <c r="BR781" i="1"/>
  <c r="BQ781" i="1"/>
  <c r="BP781" i="1"/>
  <c r="BO781" i="1"/>
  <c r="BN781" i="1"/>
  <c r="BM781" i="1"/>
  <c r="BL781" i="1"/>
  <c r="BK781" i="1"/>
  <c r="BJ781" i="1"/>
  <c r="BI781" i="1"/>
  <c r="BH781" i="1"/>
  <c r="BG781" i="1"/>
  <c r="BF781" i="1"/>
  <c r="BE781" i="1"/>
  <c r="BD781" i="1"/>
  <c r="BC781" i="1"/>
  <c r="BB781" i="1"/>
  <c r="BA781" i="1"/>
  <c r="AZ781" i="1"/>
  <c r="AY781" i="1"/>
  <c r="AX781" i="1"/>
  <c r="AW781" i="1"/>
  <c r="AV781" i="1"/>
  <c r="AU781" i="1"/>
  <c r="AT781" i="1"/>
  <c r="AS781" i="1"/>
  <c r="AR781" i="1"/>
  <c r="AQ781" i="1"/>
  <c r="AP781" i="1"/>
  <c r="AO781" i="1"/>
  <c r="AE781" i="1"/>
  <c r="BS780" i="1"/>
  <c r="BR780" i="1"/>
  <c r="BQ780" i="1"/>
  <c r="BP780" i="1"/>
  <c r="BO780" i="1"/>
  <c r="BN780" i="1"/>
  <c r="BM780" i="1"/>
  <c r="BL780" i="1"/>
  <c r="BK780" i="1"/>
  <c r="BJ780" i="1"/>
  <c r="BI780" i="1"/>
  <c r="BH780" i="1"/>
  <c r="BG780" i="1"/>
  <c r="BF780" i="1"/>
  <c r="BE780" i="1"/>
  <c r="BD780" i="1"/>
  <c r="BC780" i="1"/>
  <c r="BB780" i="1"/>
  <c r="BA780" i="1"/>
  <c r="AZ780" i="1"/>
  <c r="AY780" i="1"/>
  <c r="AX780" i="1"/>
  <c r="AW780" i="1"/>
  <c r="AV780" i="1"/>
  <c r="AU780" i="1"/>
  <c r="AT780" i="1"/>
  <c r="AS780" i="1"/>
  <c r="AR780" i="1"/>
  <c r="AQ780" i="1"/>
  <c r="AP780" i="1"/>
  <c r="AO780" i="1"/>
  <c r="AE780" i="1"/>
  <c r="BS779" i="1"/>
  <c r="BR779" i="1"/>
  <c r="BQ779" i="1"/>
  <c r="BP779" i="1"/>
  <c r="BO779" i="1"/>
  <c r="BN779" i="1"/>
  <c r="BM779" i="1"/>
  <c r="BL779" i="1"/>
  <c r="BK779" i="1"/>
  <c r="BJ779" i="1"/>
  <c r="BI779" i="1"/>
  <c r="BH779" i="1"/>
  <c r="BG779" i="1"/>
  <c r="BF779" i="1"/>
  <c r="BE779" i="1"/>
  <c r="BD779" i="1"/>
  <c r="BC779" i="1"/>
  <c r="BB779" i="1"/>
  <c r="BA779" i="1"/>
  <c r="AZ779" i="1"/>
  <c r="AY779" i="1"/>
  <c r="AX779" i="1"/>
  <c r="AW779" i="1"/>
  <c r="AV779" i="1"/>
  <c r="AU779" i="1"/>
  <c r="AT779" i="1"/>
  <c r="AS779" i="1"/>
  <c r="AR779" i="1"/>
  <c r="AQ779" i="1"/>
  <c r="AP779" i="1"/>
  <c r="AO779" i="1"/>
  <c r="AE779" i="1"/>
  <c r="BS778" i="1"/>
  <c r="BR778" i="1"/>
  <c r="BQ778" i="1"/>
  <c r="BP778" i="1"/>
  <c r="BO778" i="1"/>
  <c r="BN778" i="1"/>
  <c r="BM778" i="1"/>
  <c r="BL778" i="1"/>
  <c r="BK778" i="1"/>
  <c r="BJ778" i="1"/>
  <c r="BI778" i="1"/>
  <c r="BH778" i="1"/>
  <c r="BG778" i="1"/>
  <c r="BF778" i="1"/>
  <c r="BE778" i="1"/>
  <c r="BD778" i="1"/>
  <c r="BC778" i="1"/>
  <c r="BB778" i="1"/>
  <c r="BA778" i="1"/>
  <c r="AZ778" i="1"/>
  <c r="AY778" i="1"/>
  <c r="AX778" i="1"/>
  <c r="AW778" i="1"/>
  <c r="AV778" i="1"/>
  <c r="AU778" i="1"/>
  <c r="AT778" i="1"/>
  <c r="AS778" i="1"/>
  <c r="AR778" i="1"/>
  <c r="AQ778" i="1"/>
  <c r="AP778" i="1"/>
  <c r="AO778" i="1"/>
  <c r="AE778" i="1"/>
  <c r="BS777" i="1"/>
  <c r="BR777" i="1"/>
  <c r="BQ777" i="1"/>
  <c r="BP777" i="1"/>
  <c r="BO777" i="1"/>
  <c r="BN777" i="1"/>
  <c r="BM777" i="1"/>
  <c r="BL777" i="1"/>
  <c r="BK777" i="1"/>
  <c r="BJ777" i="1"/>
  <c r="BI777" i="1"/>
  <c r="BH777" i="1"/>
  <c r="BG777" i="1"/>
  <c r="BF777" i="1"/>
  <c r="BE777" i="1"/>
  <c r="BD777" i="1"/>
  <c r="BC777" i="1"/>
  <c r="BB777" i="1"/>
  <c r="BA777" i="1"/>
  <c r="AZ777" i="1"/>
  <c r="AY777" i="1"/>
  <c r="AX777" i="1"/>
  <c r="AW777" i="1"/>
  <c r="AV777" i="1"/>
  <c r="AU777" i="1"/>
  <c r="AT777" i="1"/>
  <c r="AS777" i="1"/>
  <c r="AR777" i="1"/>
  <c r="AQ777" i="1"/>
  <c r="AP777" i="1"/>
  <c r="AO777" i="1"/>
  <c r="AE777" i="1"/>
  <c r="BS776" i="1"/>
  <c r="BR776" i="1"/>
  <c r="BQ776" i="1"/>
  <c r="BP776" i="1"/>
  <c r="BO776" i="1"/>
  <c r="BN776" i="1"/>
  <c r="BM776" i="1"/>
  <c r="BL776" i="1"/>
  <c r="BK776" i="1"/>
  <c r="BJ776" i="1"/>
  <c r="BI776" i="1"/>
  <c r="BH776" i="1"/>
  <c r="BG776" i="1"/>
  <c r="BF776" i="1"/>
  <c r="BE776" i="1"/>
  <c r="BD776" i="1"/>
  <c r="BC776" i="1"/>
  <c r="BB776" i="1"/>
  <c r="BA776" i="1"/>
  <c r="AZ776" i="1"/>
  <c r="AY776" i="1"/>
  <c r="AX776" i="1"/>
  <c r="AW776" i="1"/>
  <c r="AV776" i="1"/>
  <c r="AU776" i="1"/>
  <c r="AT776" i="1"/>
  <c r="AS776" i="1"/>
  <c r="AR776" i="1"/>
  <c r="AQ776" i="1"/>
  <c r="AP776" i="1"/>
  <c r="AO776" i="1"/>
  <c r="AE776" i="1"/>
  <c r="BS775" i="1"/>
  <c r="BR775" i="1"/>
  <c r="BQ775" i="1"/>
  <c r="BP775" i="1"/>
  <c r="BO775" i="1"/>
  <c r="BN775" i="1"/>
  <c r="BM775" i="1"/>
  <c r="BL775" i="1"/>
  <c r="BK775" i="1"/>
  <c r="BJ775" i="1"/>
  <c r="BI775" i="1"/>
  <c r="BH775" i="1"/>
  <c r="BG775" i="1"/>
  <c r="BF775" i="1"/>
  <c r="BE775" i="1"/>
  <c r="BD775" i="1"/>
  <c r="BC775" i="1"/>
  <c r="BB775" i="1"/>
  <c r="BA775" i="1"/>
  <c r="AZ775" i="1"/>
  <c r="AY775" i="1"/>
  <c r="AX775" i="1"/>
  <c r="AW775" i="1"/>
  <c r="AV775" i="1"/>
  <c r="AU775" i="1"/>
  <c r="AT775" i="1"/>
  <c r="AS775" i="1"/>
  <c r="AR775" i="1"/>
  <c r="AQ775" i="1"/>
  <c r="AP775" i="1"/>
  <c r="AO775" i="1"/>
  <c r="AE775" i="1"/>
  <c r="BS774" i="1"/>
  <c r="BR774" i="1"/>
  <c r="BQ774" i="1"/>
  <c r="BP774" i="1"/>
  <c r="BO774" i="1"/>
  <c r="BN774" i="1"/>
  <c r="BM774" i="1"/>
  <c r="BL774" i="1"/>
  <c r="BK774" i="1"/>
  <c r="BJ774" i="1"/>
  <c r="BI774" i="1"/>
  <c r="BH774" i="1"/>
  <c r="BG774" i="1"/>
  <c r="BF774" i="1"/>
  <c r="BE774" i="1"/>
  <c r="BD774" i="1"/>
  <c r="BC774" i="1"/>
  <c r="BB774" i="1"/>
  <c r="BA774" i="1"/>
  <c r="AZ774" i="1"/>
  <c r="AY774" i="1"/>
  <c r="AX774" i="1"/>
  <c r="AW774" i="1"/>
  <c r="AV774" i="1"/>
  <c r="AU774" i="1"/>
  <c r="AT774" i="1"/>
  <c r="AS774" i="1"/>
  <c r="AR774" i="1"/>
  <c r="AQ774" i="1"/>
  <c r="AP774" i="1"/>
  <c r="AO774" i="1"/>
  <c r="AE774" i="1"/>
  <c r="BS773" i="1"/>
  <c r="BR773" i="1"/>
  <c r="BQ773" i="1"/>
  <c r="BP773" i="1"/>
  <c r="BO773" i="1"/>
  <c r="BN773" i="1"/>
  <c r="BM773" i="1"/>
  <c r="BL773" i="1"/>
  <c r="BK773" i="1"/>
  <c r="BJ773" i="1"/>
  <c r="BI773" i="1"/>
  <c r="BH773" i="1"/>
  <c r="BG773" i="1"/>
  <c r="BF773" i="1"/>
  <c r="BE773" i="1"/>
  <c r="BD773" i="1"/>
  <c r="BC773" i="1"/>
  <c r="BB773" i="1"/>
  <c r="BA773" i="1"/>
  <c r="AZ773" i="1"/>
  <c r="AY773" i="1"/>
  <c r="AX773" i="1"/>
  <c r="AW773" i="1"/>
  <c r="AV773" i="1"/>
  <c r="AU773" i="1"/>
  <c r="AT773" i="1"/>
  <c r="AS773" i="1"/>
  <c r="AR773" i="1"/>
  <c r="AQ773" i="1"/>
  <c r="AP773" i="1"/>
  <c r="AO773" i="1"/>
  <c r="AE773" i="1"/>
  <c r="BS772" i="1"/>
  <c r="BR772" i="1"/>
  <c r="BQ772" i="1"/>
  <c r="BP772" i="1"/>
  <c r="BO772" i="1"/>
  <c r="BN772" i="1"/>
  <c r="BM772" i="1"/>
  <c r="BL772" i="1"/>
  <c r="BK772" i="1"/>
  <c r="BJ772" i="1"/>
  <c r="BI772" i="1"/>
  <c r="BH772" i="1"/>
  <c r="BG772" i="1"/>
  <c r="BF772" i="1"/>
  <c r="BE772" i="1"/>
  <c r="BD772" i="1"/>
  <c r="BC772" i="1"/>
  <c r="BB772" i="1"/>
  <c r="BA772" i="1"/>
  <c r="AZ772" i="1"/>
  <c r="AY772" i="1"/>
  <c r="AX772" i="1"/>
  <c r="AW772" i="1"/>
  <c r="AV772" i="1"/>
  <c r="AU772" i="1"/>
  <c r="AT772" i="1"/>
  <c r="AS772" i="1"/>
  <c r="AR772" i="1"/>
  <c r="AQ772" i="1"/>
  <c r="AP772" i="1"/>
  <c r="AO772" i="1"/>
  <c r="AE772" i="1"/>
  <c r="BS771" i="1"/>
  <c r="BR771" i="1"/>
  <c r="BQ771" i="1"/>
  <c r="BP771" i="1"/>
  <c r="BO771" i="1"/>
  <c r="BN771" i="1"/>
  <c r="BM771" i="1"/>
  <c r="BL771" i="1"/>
  <c r="BK771" i="1"/>
  <c r="BJ771" i="1"/>
  <c r="BI771" i="1"/>
  <c r="BH771" i="1"/>
  <c r="BG771" i="1"/>
  <c r="BF771" i="1"/>
  <c r="BE771" i="1"/>
  <c r="BD771" i="1"/>
  <c r="BC771" i="1"/>
  <c r="BB771" i="1"/>
  <c r="BA771" i="1"/>
  <c r="AZ771" i="1"/>
  <c r="AY771" i="1"/>
  <c r="AX771" i="1"/>
  <c r="AW771" i="1"/>
  <c r="AV771" i="1"/>
  <c r="AU771" i="1"/>
  <c r="AT771" i="1"/>
  <c r="AS771" i="1"/>
  <c r="AR771" i="1"/>
  <c r="AQ771" i="1"/>
  <c r="AP771" i="1"/>
  <c r="AO771" i="1"/>
  <c r="AE771" i="1"/>
  <c r="BS770" i="1"/>
  <c r="BR770" i="1"/>
  <c r="BQ770" i="1"/>
  <c r="BP770" i="1"/>
  <c r="BO770" i="1"/>
  <c r="BN770" i="1"/>
  <c r="BM770" i="1"/>
  <c r="BL770" i="1"/>
  <c r="BK770" i="1"/>
  <c r="BJ770" i="1"/>
  <c r="BI770" i="1"/>
  <c r="BH770" i="1"/>
  <c r="BG770" i="1"/>
  <c r="BF770" i="1"/>
  <c r="BE770" i="1"/>
  <c r="BD770" i="1"/>
  <c r="BC770" i="1"/>
  <c r="BB770" i="1"/>
  <c r="BA770" i="1"/>
  <c r="AZ770" i="1"/>
  <c r="AY770" i="1"/>
  <c r="AX770" i="1"/>
  <c r="AW770" i="1"/>
  <c r="AV770" i="1"/>
  <c r="AU770" i="1"/>
  <c r="AT770" i="1"/>
  <c r="AS770" i="1"/>
  <c r="AR770" i="1"/>
  <c r="AQ770" i="1"/>
  <c r="AP770" i="1"/>
  <c r="AO770" i="1"/>
  <c r="AE770" i="1"/>
  <c r="BS769" i="1"/>
  <c r="BR769" i="1"/>
  <c r="BQ769" i="1"/>
  <c r="BP769" i="1"/>
  <c r="BO769" i="1"/>
  <c r="BN769" i="1"/>
  <c r="BM769" i="1"/>
  <c r="BL769" i="1"/>
  <c r="BK769" i="1"/>
  <c r="BJ769" i="1"/>
  <c r="BI769" i="1"/>
  <c r="BH769" i="1"/>
  <c r="BG769" i="1"/>
  <c r="BF769" i="1"/>
  <c r="BE769" i="1"/>
  <c r="BD769" i="1"/>
  <c r="BC769" i="1"/>
  <c r="BB769" i="1"/>
  <c r="BA769" i="1"/>
  <c r="AZ769" i="1"/>
  <c r="AY769" i="1"/>
  <c r="AX769" i="1"/>
  <c r="AW769" i="1"/>
  <c r="AV769" i="1"/>
  <c r="AU769" i="1"/>
  <c r="AT769" i="1"/>
  <c r="AS769" i="1"/>
  <c r="AR769" i="1"/>
  <c r="AQ769" i="1"/>
  <c r="AP769" i="1"/>
  <c r="AO769" i="1"/>
  <c r="AE769" i="1"/>
  <c r="BS768" i="1"/>
  <c r="BR768" i="1"/>
  <c r="BQ768" i="1"/>
  <c r="BP768" i="1"/>
  <c r="BO768" i="1"/>
  <c r="BN768" i="1"/>
  <c r="BM768" i="1"/>
  <c r="BL768" i="1"/>
  <c r="BK768" i="1"/>
  <c r="BJ768" i="1"/>
  <c r="BI768" i="1"/>
  <c r="BH768" i="1"/>
  <c r="BG768" i="1"/>
  <c r="BF768" i="1"/>
  <c r="BE768" i="1"/>
  <c r="BD768" i="1"/>
  <c r="BC768" i="1"/>
  <c r="BB768" i="1"/>
  <c r="BA768" i="1"/>
  <c r="AZ768" i="1"/>
  <c r="AY768" i="1"/>
  <c r="AX768" i="1"/>
  <c r="AW768" i="1"/>
  <c r="AV768" i="1"/>
  <c r="AU768" i="1"/>
  <c r="AT768" i="1"/>
  <c r="AS768" i="1"/>
  <c r="AR768" i="1"/>
  <c r="AQ768" i="1"/>
  <c r="AP768" i="1"/>
  <c r="AO768" i="1"/>
  <c r="AE768" i="1"/>
  <c r="BS767" i="1"/>
  <c r="BR767" i="1"/>
  <c r="BQ767" i="1"/>
  <c r="BP767" i="1"/>
  <c r="BO767" i="1"/>
  <c r="BN767" i="1"/>
  <c r="BM767" i="1"/>
  <c r="BL767" i="1"/>
  <c r="BK767" i="1"/>
  <c r="BJ767" i="1"/>
  <c r="BI767" i="1"/>
  <c r="BH767" i="1"/>
  <c r="BG767" i="1"/>
  <c r="BF767" i="1"/>
  <c r="BE767" i="1"/>
  <c r="BD767" i="1"/>
  <c r="BC767" i="1"/>
  <c r="BB767" i="1"/>
  <c r="BA767" i="1"/>
  <c r="AZ767" i="1"/>
  <c r="AY767" i="1"/>
  <c r="AX767" i="1"/>
  <c r="AW767" i="1"/>
  <c r="AV767" i="1"/>
  <c r="AU767" i="1"/>
  <c r="AT767" i="1"/>
  <c r="AS767" i="1"/>
  <c r="AR767" i="1"/>
  <c r="AQ767" i="1"/>
  <c r="AP767" i="1"/>
  <c r="AO767" i="1"/>
  <c r="AE767" i="1"/>
  <c r="BS766" i="1"/>
  <c r="BR766" i="1"/>
  <c r="BQ766" i="1"/>
  <c r="BP766" i="1"/>
  <c r="BO766" i="1"/>
  <c r="BN766" i="1"/>
  <c r="BM766" i="1"/>
  <c r="BL766" i="1"/>
  <c r="BK766" i="1"/>
  <c r="BJ766" i="1"/>
  <c r="BI766" i="1"/>
  <c r="BH766" i="1"/>
  <c r="BG766" i="1"/>
  <c r="BF766" i="1"/>
  <c r="BE766" i="1"/>
  <c r="BD766" i="1"/>
  <c r="BC766" i="1"/>
  <c r="BB766" i="1"/>
  <c r="BA766" i="1"/>
  <c r="AZ766" i="1"/>
  <c r="AY766" i="1"/>
  <c r="AX766" i="1"/>
  <c r="AW766" i="1"/>
  <c r="AV766" i="1"/>
  <c r="AU766" i="1"/>
  <c r="AT766" i="1"/>
  <c r="AS766" i="1"/>
  <c r="AR766" i="1"/>
  <c r="AQ766" i="1"/>
  <c r="AP766" i="1"/>
  <c r="AO766" i="1"/>
  <c r="AE766" i="1"/>
  <c r="BS765" i="1"/>
  <c r="BR765" i="1"/>
  <c r="BQ765" i="1"/>
  <c r="BP765" i="1"/>
  <c r="BO765" i="1"/>
  <c r="BN765" i="1"/>
  <c r="BM765" i="1"/>
  <c r="BL765" i="1"/>
  <c r="BK765" i="1"/>
  <c r="BJ765" i="1"/>
  <c r="BI765" i="1"/>
  <c r="BH765" i="1"/>
  <c r="BG765" i="1"/>
  <c r="BF765" i="1"/>
  <c r="BE765" i="1"/>
  <c r="BD765" i="1"/>
  <c r="BC765" i="1"/>
  <c r="BB765" i="1"/>
  <c r="BA765" i="1"/>
  <c r="AZ765" i="1"/>
  <c r="AY765" i="1"/>
  <c r="AX765" i="1"/>
  <c r="AW765" i="1"/>
  <c r="AV765" i="1"/>
  <c r="AU765" i="1"/>
  <c r="AT765" i="1"/>
  <c r="AS765" i="1"/>
  <c r="AR765" i="1"/>
  <c r="AQ765" i="1"/>
  <c r="AP765" i="1"/>
  <c r="AO765" i="1"/>
  <c r="AE765" i="1"/>
  <c r="BS764" i="1"/>
  <c r="BR764" i="1"/>
  <c r="BQ764" i="1"/>
  <c r="BP764" i="1"/>
  <c r="BO764" i="1"/>
  <c r="BN764" i="1"/>
  <c r="BM764" i="1"/>
  <c r="BL764" i="1"/>
  <c r="BK764" i="1"/>
  <c r="BJ764" i="1"/>
  <c r="BI764" i="1"/>
  <c r="BH764" i="1"/>
  <c r="BG764" i="1"/>
  <c r="BF764" i="1"/>
  <c r="BE764" i="1"/>
  <c r="BD764" i="1"/>
  <c r="BC764" i="1"/>
  <c r="BB764" i="1"/>
  <c r="BA764" i="1"/>
  <c r="AZ764" i="1"/>
  <c r="AY764" i="1"/>
  <c r="AX764" i="1"/>
  <c r="AW764" i="1"/>
  <c r="AV764" i="1"/>
  <c r="AU764" i="1"/>
  <c r="AT764" i="1"/>
  <c r="AS764" i="1"/>
  <c r="AR764" i="1"/>
  <c r="AQ764" i="1"/>
  <c r="AP764" i="1"/>
  <c r="AO764" i="1"/>
  <c r="AE764" i="1"/>
  <c r="BS763" i="1"/>
  <c r="BR763" i="1"/>
  <c r="BQ763" i="1"/>
  <c r="BP763" i="1"/>
  <c r="BO763" i="1"/>
  <c r="BN763" i="1"/>
  <c r="BM763" i="1"/>
  <c r="BL763" i="1"/>
  <c r="BK763" i="1"/>
  <c r="BJ763" i="1"/>
  <c r="BI763" i="1"/>
  <c r="BH763" i="1"/>
  <c r="BG763" i="1"/>
  <c r="BF763" i="1"/>
  <c r="BE763" i="1"/>
  <c r="BD763" i="1"/>
  <c r="BC763" i="1"/>
  <c r="BB763" i="1"/>
  <c r="BA763" i="1"/>
  <c r="AZ763" i="1"/>
  <c r="AY763" i="1"/>
  <c r="AX763" i="1"/>
  <c r="AW763" i="1"/>
  <c r="AV763" i="1"/>
  <c r="AU763" i="1"/>
  <c r="AT763" i="1"/>
  <c r="AS763" i="1"/>
  <c r="AR763" i="1"/>
  <c r="AQ763" i="1"/>
  <c r="AP763" i="1"/>
  <c r="AO763" i="1"/>
  <c r="AE763" i="1"/>
  <c r="BS762" i="1"/>
  <c r="BR762" i="1"/>
  <c r="BQ762" i="1"/>
  <c r="BP762" i="1"/>
  <c r="BO762" i="1"/>
  <c r="BN762" i="1"/>
  <c r="BM762" i="1"/>
  <c r="BL762" i="1"/>
  <c r="BK762" i="1"/>
  <c r="BJ762" i="1"/>
  <c r="BI762" i="1"/>
  <c r="BH762" i="1"/>
  <c r="BG762" i="1"/>
  <c r="BF762" i="1"/>
  <c r="BE762" i="1"/>
  <c r="BD762" i="1"/>
  <c r="BC762" i="1"/>
  <c r="BB762" i="1"/>
  <c r="BA762" i="1"/>
  <c r="AZ762" i="1"/>
  <c r="AY762" i="1"/>
  <c r="AX762" i="1"/>
  <c r="AW762" i="1"/>
  <c r="AV762" i="1"/>
  <c r="AU762" i="1"/>
  <c r="AT762" i="1"/>
  <c r="AS762" i="1"/>
  <c r="AR762" i="1"/>
  <c r="AQ762" i="1"/>
  <c r="AP762" i="1"/>
  <c r="AO762" i="1"/>
  <c r="AE762" i="1"/>
  <c r="BS761" i="1"/>
  <c r="BR761" i="1"/>
  <c r="BQ761" i="1"/>
  <c r="BP761" i="1"/>
  <c r="BO761" i="1"/>
  <c r="BN761" i="1"/>
  <c r="BM761" i="1"/>
  <c r="BL761" i="1"/>
  <c r="BK761" i="1"/>
  <c r="BJ761" i="1"/>
  <c r="BI761" i="1"/>
  <c r="BH761" i="1"/>
  <c r="BG761" i="1"/>
  <c r="BF761" i="1"/>
  <c r="BE761" i="1"/>
  <c r="BD761" i="1"/>
  <c r="BC761" i="1"/>
  <c r="BB761" i="1"/>
  <c r="BA761" i="1"/>
  <c r="AZ761" i="1"/>
  <c r="AY761" i="1"/>
  <c r="AX761" i="1"/>
  <c r="AW761" i="1"/>
  <c r="AV761" i="1"/>
  <c r="AU761" i="1"/>
  <c r="AT761" i="1"/>
  <c r="AS761" i="1"/>
  <c r="AR761" i="1"/>
  <c r="AQ761" i="1"/>
  <c r="AP761" i="1"/>
  <c r="AO761" i="1"/>
  <c r="AE761" i="1"/>
  <c r="BS760" i="1"/>
  <c r="BR760" i="1"/>
  <c r="BQ760" i="1"/>
  <c r="BP760" i="1"/>
  <c r="BO760" i="1"/>
  <c r="BN760" i="1"/>
  <c r="BM760" i="1"/>
  <c r="BL760" i="1"/>
  <c r="BK760" i="1"/>
  <c r="BJ760" i="1"/>
  <c r="BI760" i="1"/>
  <c r="BH760" i="1"/>
  <c r="BG760" i="1"/>
  <c r="BF760" i="1"/>
  <c r="BE760" i="1"/>
  <c r="BD760" i="1"/>
  <c r="BC760" i="1"/>
  <c r="BB760" i="1"/>
  <c r="BA760" i="1"/>
  <c r="AZ760" i="1"/>
  <c r="AY760" i="1"/>
  <c r="AX760" i="1"/>
  <c r="AW760" i="1"/>
  <c r="AV760" i="1"/>
  <c r="AU760" i="1"/>
  <c r="AT760" i="1"/>
  <c r="AS760" i="1"/>
  <c r="AR760" i="1"/>
  <c r="AQ760" i="1"/>
  <c r="AP760" i="1"/>
  <c r="AO760" i="1"/>
  <c r="AE760" i="1"/>
  <c r="BS759" i="1"/>
  <c r="BR759" i="1"/>
  <c r="BQ759" i="1"/>
  <c r="BP759" i="1"/>
  <c r="BO759" i="1"/>
  <c r="BN759" i="1"/>
  <c r="BM759" i="1"/>
  <c r="BL759" i="1"/>
  <c r="BK759" i="1"/>
  <c r="BJ759" i="1"/>
  <c r="BI759" i="1"/>
  <c r="BH759" i="1"/>
  <c r="BG759" i="1"/>
  <c r="BF759" i="1"/>
  <c r="BE759" i="1"/>
  <c r="BD759" i="1"/>
  <c r="BC759" i="1"/>
  <c r="BB759" i="1"/>
  <c r="BA759" i="1"/>
  <c r="AZ759" i="1"/>
  <c r="AY759" i="1"/>
  <c r="AX759" i="1"/>
  <c r="AW759" i="1"/>
  <c r="AV759" i="1"/>
  <c r="AU759" i="1"/>
  <c r="AT759" i="1"/>
  <c r="AS759" i="1"/>
  <c r="AR759" i="1"/>
  <c r="AQ759" i="1"/>
  <c r="AP759" i="1"/>
  <c r="AO759" i="1"/>
  <c r="AE759" i="1"/>
  <c r="BS758" i="1"/>
  <c r="BR758" i="1"/>
  <c r="BQ758" i="1"/>
  <c r="BP758" i="1"/>
  <c r="BO758" i="1"/>
  <c r="BN758" i="1"/>
  <c r="BM758" i="1"/>
  <c r="BL758" i="1"/>
  <c r="BK758" i="1"/>
  <c r="BJ758" i="1"/>
  <c r="BI758" i="1"/>
  <c r="BH758" i="1"/>
  <c r="BG758" i="1"/>
  <c r="BF758" i="1"/>
  <c r="BE758" i="1"/>
  <c r="BD758" i="1"/>
  <c r="BC758" i="1"/>
  <c r="BB758" i="1"/>
  <c r="BA758" i="1"/>
  <c r="AZ758" i="1"/>
  <c r="AY758" i="1"/>
  <c r="AX758" i="1"/>
  <c r="AW758" i="1"/>
  <c r="AV758" i="1"/>
  <c r="AU758" i="1"/>
  <c r="AT758" i="1"/>
  <c r="AS758" i="1"/>
  <c r="AR758" i="1"/>
  <c r="AQ758" i="1"/>
  <c r="AP758" i="1"/>
  <c r="AO758" i="1"/>
  <c r="AE758" i="1"/>
  <c r="BS757" i="1"/>
  <c r="BR757" i="1"/>
  <c r="BQ757" i="1"/>
  <c r="BP757" i="1"/>
  <c r="BO757" i="1"/>
  <c r="BN757" i="1"/>
  <c r="BM757" i="1"/>
  <c r="BL757" i="1"/>
  <c r="BK757" i="1"/>
  <c r="BJ757" i="1"/>
  <c r="BI757" i="1"/>
  <c r="BH757" i="1"/>
  <c r="BG757" i="1"/>
  <c r="BF757" i="1"/>
  <c r="BE757" i="1"/>
  <c r="BD757" i="1"/>
  <c r="BC757" i="1"/>
  <c r="BB757" i="1"/>
  <c r="BA757" i="1"/>
  <c r="AZ757" i="1"/>
  <c r="AY757" i="1"/>
  <c r="AX757" i="1"/>
  <c r="AW757" i="1"/>
  <c r="AV757" i="1"/>
  <c r="AU757" i="1"/>
  <c r="AT757" i="1"/>
  <c r="AS757" i="1"/>
  <c r="AR757" i="1"/>
  <c r="AQ757" i="1"/>
  <c r="AP757" i="1"/>
  <c r="AO757" i="1"/>
  <c r="AE757" i="1"/>
  <c r="BS756" i="1"/>
  <c r="BR756" i="1"/>
  <c r="BQ756" i="1"/>
  <c r="BP756" i="1"/>
  <c r="BO756" i="1"/>
  <c r="BN756" i="1"/>
  <c r="BM756" i="1"/>
  <c r="BL756" i="1"/>
  <c r="BK756" i="1"/>
  <c r="BJ756" i="1"/>
  <c r="BI756" i="1"/>
  <c r="BH756" i="1"/>
  <c r="BG756" i="1"/>
  <c r="BF756" i="1"/>
  <c r="BE756" i="1"/>
  <c r="BD756" i="1"/>
  <c r="BC756" i="1"/>
  <c r="BB756" i="1"/>
  <c r="BA756" i="1"/>
  <c r="AZ756" i="1"/>
  <c r="AY756" i="1"/>
  <c r="AX756" i="1"/>
  <c r="AW756" i="1"/>
  <c r="AV756" i="1"/>
  <c r="AU756" i="1"/>
  <c r="AT756" i="1"/>
  <c r="AS756" i="1"/>
  <c r="AR756" i="1"/>
  <c r="AQ756" i="1"/>
  <c r="AP756" i="1"/>
  <c r="AO756" i="1"/>
  <c r="AE756" i="1"/>
  <c r="BS755" i="1"/>
  <c r="BR755" i="1"/>
  <c r="BQ755" i="1"/>
  <c r="BP755" i="1"/>
  <c r="BO755" i="1"/>
  <c r="BN755" i="1"/>
  <c r="BM755" i="1"/>
  <c r="BL755" i="1"/>
  <c r="BK755" i="1"/>
  <c r="BJ755" i="1"/>
  <c r="BI755" i="1"/>
  <c r="BH755" i="1"/>
  <c r="BG755" i="1"/>
  <c r="BF755" i="1"/>
  <c r="BE755" i="1"/>
  <c r="BD755" i="1"/>
  <c r="BC755" i="1"/>
  <c r="BB755" i="1"/>
  <c r="BA755" i="1"/>
  <c r="AZ755" i="1"/>
  <c r="AY755" i="1"/>
  <c r="AX755" i="1"/>
  <c r="AW755" i="1"/>
  <c r="AV755" i="1"/>
  <c r="AU755" i="1"/>
  <c r="AT755" i="1"/>
  <c r="AS755" i="1"/>
  <c r="AR755" i="1"/>
  <c r="AQ755" i="1"/>
  <c r="AP755" i="1"/>
  <c r="AO755" i="1"/>
  <c r="AE755" i="1"/>
  <c r="BS754" i="1"/>
  <c r="BR754" i="1"/>
  <c r="BQ754" i="1"/>
  <c r="BP754" i="1"/>
  <c r="BO754" i="1"/>
  <c r="BN754" i="1"/>
  <c r="BM754" i="1"/>
  <c r="BL754" i="1"/>
  <c r="BK754" i="1"/>
  <c r="BJ754" i="1"/>
  <c r="BI754" i="1"/>
  <c r="BH754" i="1"/>
  <c r="BG754" i="1"/>
  <c r="BF754" i="1"/>
  <c r="BE754" i="1"/>
  <c r="BD754" i="1"/>
  <c r="BC754" i="1"/>
  <c r="BB754" i="1"/>
  <c r="BA754" i="1"/>
  <c r="AZ754" i="1"/>
  <c r="AY754" i="1"/>
  <c r="AX754" i="1"/>
  <c r="AW754" i="1"/>
  <c r="AV754" i="1"/>
  <c r="AU754" i="1"/>
  <c r="AT754" i="1"/>
  <c r="AS754" i="1"/>
  <c r="AR754" i="1"/>
  <c r="AQ754" i="1"/>
  <c r="AP754" i="1"/>
  <c r="AO754" i="1"/>
  <c r="AE754" i="1"/>
  <c r="BS753" i="1"/>
  <c r="BR753" i="1"/>
  <c r="BQ753" i="1"/>
  <c r="BP753" i="1"/>
  <c r="BO753" i="1"/>
  <c r="BN753" i="1"/>
  <c r="BM753" i="1"/>
  <c r="BL753" i="1"/>
  <c r="BK753" i="1"/>
  <c r="BJ753" i="1"/>
  <c r="BI753" i="1"/>
  <c r="BH753" i="1"/>
  <c r="BG753" i="1"/>
  <c r="BF753" i="1"/>
  <c r="BE753" i="1"/>
  <c r="BD753" i="1"/>
  <c r="BC753" i="1"/>
  <c r="BB753" i="1"/>
  <c r="BA753" i="1"/>
  <c r="AZ753" i="1"/>
  <c r="AY753" i="1"/>
  <c r="AX753" i="1"/>
  <c r="AW753" i="1"/>
  <c r="AV753" i="1"/>
  <c r="AU753" i="1"/>
  <c r="AT753" i="1"/>
  <c r="AS753" i="1"/>
  <c r="AR753" i="1"/>
  <c r="AQ753" i="1"/>
  <c r="AP753" i="1"/>
  <c r="AO753" i="1"/>
  <c r="AE753" i="1"/>
  <c r="BS752" i="1"/>
  <c r="BR752" i="1"/>
  <c r="BQ752" i="1"/>
  <c r="BP752" i="1"/>
  <c r="BO752" i="1"/>
  <c r="BN752" i="1"/>
  <c r="BM752" i="1"/>
  <c r="BL752" i="1"/>
  <c r="BK752" i="1"/>
  <c r="BJ752" i="1"/>
  <c r="BI752" i="1"/>
  <c r="BH752" i="1"/>
  <c r="BG752" i="1"/>
  <c r="BF752" i="1"/>
  <c r="BE752" i="1"/>
  <c r="BD752" i="1"/>
  <c r="BC752" i="1"/>
  <c r="BB752" i="1"/>
  <c r="BA752" i="1"/>
  <c r="AZ752" i="1"/>
  <c r="AY752" i="1"/>
  <c r="AX752" i="1"/>
  <c r="AW752" i="1"/>
  <c r="AV752" i="1"/>
  <c r="AU752" i="1"/>
  <c r="AT752" i="1"/>
  <c r="AS752" i="1"/>
  <c r="AR752" i="1"/>
  <c r="AQ752" i="1"/>
  <c r="AP752" i="1"/>
  <c r="AO752" i="1"/>
  <c r="AE752" i="1"/>
  <c r="BS751" i="1"/>
  <c r="BR751" i="1"/>
  <c r="BQ751" i="1"/>
  <c r="BP751" i="1"/>
  <c r="BO751" i="1"/>
  <c r="BN751" i="1"/>
  <c r="BM751" i="1"/>
  <c r="BL751" i="1"/>
  <c r="BK751" i="1"/>
  <c r="BJ751" i="1"/>
  <c r="BI751" i="1"/>
  <c r="BH751" i="1"/>
  <c r="BG751" i="1"/>
  <c r="BF751" i="1"/>
  <c r="BE751" i="1"/>
  <c r="BD751" i="1"/>
  <c r="BC751" i="1"/>
  <c r="BB751" i="1"/>
  <c r="BA751" i="1"/>
  <c r="AZ751" i="1"/>
  <c r="AY751" i="1"/>
  <c r="AX751" i="1"/>
  <c r="AW751" i="1"/>
  <c r="AV751" i="1"/>
  <c r="AU751" i="1"/>
  <c r="AT751" i="1"/>
  <c r="AS751" i="1"/>
  <c r="AR751" i="1"/>
  <c r="AQ751" i="1"/>
  <c r="AP751" i="1"/>
  <c r="AO751" i="1"/>
  <c r="AE751" i="1"/>
  <c r="BS750" i="1"/>
  <c r="BR750" i="1"/>
  <c r="BQ750" i="1"/>
  <c r="BP750" i="1"/>
  <c r="BO750" i="1"/>
  <c r="BN750" i="1"/>
  <c r="BM750" i="1"/>
  <c r="BL750" i="1"/>
  <c r="BK750" i="1"/>
  <c r="BJ750" i="1"/>
  <c r="BI750" i="1"/>
  <c r="BH750" i="1"/>
  <c r="BG750" i="1"/>
  <c r="BF750" i="1"/>
  <c r="BE750" i="1"/>
  <c r="BD750" i="1"/>
  <c r="BC750" i="1"/>
  <c r="BB750" i="1"/>
  <c r="BA750" i="1"/>
  <c r="AZ750" i="1"/>
  <c r="AY750" i="1"/>
  <c r="AX750" i="1"/>
  <c r="AW750" i="1"/>
  <c r="AV750" i="1"/>
  <c r="AU750" i="1"/>
  <c r="AT750" i="1"/>
  <c r="AS750" i="1"/>
  <c r="AR750" i="1"/>
  <c r="AQ750" i="1"/>
  <c r="AP750" i="1"/>
  <c r="AO750" i="1"/>
  <c r="AE750" i="1"/>
  <c r="BS749" i="1"/>
  <c r="BR749" i="1"/>
  <c r="BQ749" i="1"/>
  <c r="BP749" i="1"/>
  <c r="BO749" i="1"/>
  <c r="BN749" i="1"/>
  <c r="BM749" i="1"/>
  <c r="BL749" i="1"/>
  <c r="BK749" i="1"/>
  <c r="BJ749" i="1"/>
  <c r="BI749" i="1"/>
  <c r="BH749" i="1"/>
  <c r="BG749" i="1"/>
  <c r="BF749" i="1"/>
  <c r="BE749" i="1"/>
  <c r="BD749" i="1"/>
  <c r="BC749" i="1"/>
  <c r="BB749" i="1"/>
  <c r="BA749" i="1"/>
  <c r="AZ749" i="1"/>
  <c r="AY749" i="1"/>
  <c r="AX749" i="1"/>
  <c r="AW749" i="1"/>
  <c r="AV749" i="1"/>
  <c r="AU749" i="1"/>
  <c r="AT749" i="1"/>
  <c r="AS749" i="1"/>
  <c r="AR749" i="1"/>
  <c r="AQ749" i="1"/>
  <c r="AP749" i="1"/>
  <c r="AO749" i="1"/>
  <c r="AE749" i="1"/>
  <c r="BS748" i="1"/>
  <c r="BR748" i="1"/>
  <c r="BQ748" i="1"/>
  <c r="BP748" i="1"/>
  <c r="BO748" i="1"/>
  <c r="BN748" i="1"/>
  <c r="BM748" i="1"/>
  <c r="BL748" i="1"/>
  <c r="BK748" i="1"/>
  <c r="BJ748" i="1"/>
  <c r="BI748" i="1"/>
  <c r="BH748" i="1"/>
  <c r="BG748" i="1"/>
  <c r="BF748" i="1"/>
  <c r="BE748" i="1"/>
  <c r="BD748" i="1"/>
  <c r="BC748" i="1"/>
  <c r="BB748" i="1"/>
  <c r="BA748" i="1"/>
  <c r="AZ748" i="1"/>
  <c r="AY748" i="1"/>
  <c r="AX748" i="1"/>
  <c r="AW748" i="1"/>
  <c r="AV748" i="1"/>
  <c r="AU748" i="1"/>
  <c r="AT748" i="1"/>
  <c r="AS748" i="1"/>
  <c r="AR748" i="1"/>
  <c r="AQ748" i="1"/>
  <c r="AP748" i="1"/>
  <c r="AO748" i="1"/>
  <c r="AE748" i="1"/>
  <c r="BS747" i="1"/>
  <c r="BR747" i="1"/>
  <c r="BQ747" i="1"/>
  <c r="BP747" i="1"/>
  <c r="BO747" i="1"/>
  <c r="BN747" i="1"/>
  <c r="BM747" i="1"/>
  <c r="BL747" i="1"/>
  <c r="BK747" i="1"/>
  <c r="BJ747" i="1"/>
  <c r="BI747" i="1"/>
  <c r="BH747" i="1"/>
  <c r="BG747" i="1"/>
  <c r="BF747" i="1"/>
  <c r="BE747" i="1"/>
  <c r="BD747" i="1"/>
  <c r="BC747" i="1"/>
  <c r="BB747" i="1"/>
  <c r="BA747" i="1"/>
  <c r="AZ747" i="1"/>
  <c r="AY747" i="1"/>
  <c r="AX747" i="1"/>
  <c r="AW747" i="1"/>
  <c r="AV747" i="1"/>
  <c r="AU747" i="1"/>
  <c r="AT747" i="1"/>
  <c r="AS747" i="1"/>
  <c r="AR747" i="1"/>
  <c r="AQ747" i="1"/>
  <c r="AP747" i="1"/>
  <c r="AO747" i="1"/>
  <c r="AE747" i="1"/>
  <c r="BS746" i="1"/>
  <c r="BR746" i="1"/>
  <c r="BQ746" i="1"/>
  <c r="BP746" i="1"/>
  <c r="BO746" i="1"/>
  <c r="BN746" i="1"/>
  <c r="BM746" i="1"/>
  <c r="BL746" i="1"/>
  <c r="BK746" i="1"/>
  <c r="BJ746" i="1"/>
  <c r="BI746" i="1"/>
  <c r="BH746" i="1"/>
  <c r="BG746" i="1"/>
  <c r="BF746" i="1"/>
  <c r="BE746" i="1"/>
  <c r="BD746" i="1"/>
  <c r="BC746" i="1"/>
  <c r="BB746" i="1"/>
  <c r="BA746" i="1"/>
  <c r="AZ746" i="1"/>
  <c r="AY746" i="1"/>
  <c r="AX746" i="1"/>
  <c r="AW746" i="1"/>
  <c r="AV746" i="1"/>
  <c r="AU746" i="1"/>
  <c r="AT746" i="1"/>
  <c r="AS746" i="1"/>
  <c r="AR746" i="1"/>
  <c r="AQ746" i="1"/>
  <c r="AP746" i="1"/>
  <c r="AO746" i="1"/>
  <c r="AE746" i="1"/>
  <c r="BS745" i="1"/>
  <c r="BR745" i="1"/>
  <c r="BQ745" i="1"/>
  <c r="BP745" i="1"/>
  <c r="BO745" i="1"/>
  <c r="BN745" i="1"/>
  <c r="BM745" i="1"/>
  <c r="BL745" i="1"/>
  <c r="BK745" i="1"/>
  <c r="BJ745" i="1"/>
  <c r="BI745" i="1"/>
  <c r="BH745" i="1"/>
  <c r="BG745" i="1"/>
  <c r="BF745" i="1"/>
  <c r="BE745" i="1"/>
  <c r="BD745" i="1"/>
  <c r="BC745" i="1"/>
  <c r="BB745" i="1"/>
  <c r="BA745" i="1"/>
  <c r="AZ745" i="1"/>
  <c r="AY745" i="1"/>
  <c r="AX745" i="1"/>
  <c r="AW745" i="1"/>
  <c r="AV745" i="1"/>
  <c r="AU745" i="1"/>
  <c r="AT745" i="1"/>
  <c r="AS745" i="1"/>
  <c r="AR745" i="1"/>
  <c r="AQ745" i="1"/>
  <c r="AP745" i="1"/>
  <c r="AO745" i="1"/>
  <c r="AE745" i="1"/>
  <c r="BS744" i="1"/>
  <c r="BR744" i="1"/>
  <c r="BQ744" i="1"/>
  <c r="BP744" i="1"/>
  <c r="BO744" i="1"/>
  <c r="BN744" i="1"/>
  <c r="BM744" i="1"/>
  <c r="BL744" i="1"/>
  <c r="BK744" i="1"/>
  <c r="BJ744" i="1"/>
  <c r="BI744" i="1"/>
  <c r="BH744" i="1"/>
  <c r="BG744" i="1"/>
  <c r="BF744" i="1"/>
  <c r="BE744" i="1"/>
  <c r="BD744" i="1"/>
  <c r="BC744" i="1"/>
  <c r="BB744" i="1"/>
  <c r="BA744" i="1"/>
  <c r="AZ744" i="1"/>
  <c r="AY744" i="1"/>
  <c r="AX744" i="1"/>
  <c r="AW744" i="1"/>
  <c r="AV744" i="1"/>
  <c r="AU744" i="1"/>
  <c r="AT744" i="1"/>
  <c r="AS744" i="1"/>
  <c r="AR744" i="1"/>
  <c r="AQ744" i="1"/>
  <c r="AP744" i="1"/>
  <c r="AO744" i="1"/>
  <c r="AE744" i="1"/>
  <c r="BS743" i="1"/>
  <c r="BR743" i="1"/>
  <c r="BQ743" i="1"/>
  <c r="BP743" i="1"/>
  <c r="BO743" i="1"/>
  <c r="BN743" i="1"/>
  <c r="BM743" i="1"/>
  <c r="BL743" i="1"/>
  <c r="BK743" i="1"/>
  <c r="BJ743" i="1"/>
  <c r="BI743" i="1"/>
  <c r="BH743" i="1"/>
  <c r="BG743" i="1"/>
  <c r="BF743" i="1"/>
  <c r="BE743" i="1"/>
  <c r="BD743" i="1"/>
  <c r="BC743" i="1"/>
  <c r="BB743" i="1"/>
  <c r="BA743" i="1"/>
  <c r="AZ743" i="1"/>
  <c r="AY743" i="1"/>
  <c r="AX743" i="1"/>
  <c r="AW743" i="1"/>
  <c r="AV743" i="1"/>
  <c r="AU743" i="1"/>
  <c r="AT743" i="1"/>
  <c r="AS743" i="1"/>
  <c r="AR743" i="1"/>
  <c r="AQ743" i="1"/>
  <c r="AP743" i="1"/>
  <c r="AO743" i="1"/>
  <c r="AE743" i="1"/>
  <c r="BS742" i="1"/>
  <c r="BR742" i="1"/>
  <c r="BQ742" i="1"/>
  <c r="BP742" i="1"/>
  <c r="BO742" i="1"/>
  <c r="BN742" i="1"/>
  <c r="BM742" i="1"/>
  <c r="BL742" i="1"/>
  <c r="BK742" i="1"/>
  <c r="BJ742" i="1"/>
  <c r="BI742" i="1"/>
  <c r="BH742" i="1"/>
  <c r="BG742" i="1"/>
  <c r="BF742" i="1"/>
  <c r="BE742" i="1"/>
  <c r="BD742" i="1"/>
  <c r="BC742" i="1"/>
  <c r="BB742" i="1"/>
  <c r="BA742" i="1"/>
  <c r="AZ742" i="1"/>
  <c r="AY742" i="1"/>
  <c r="AX742" i="1"/>
  <c r="AW742" i="1"/>
  <c r="AV742" i="1"/>
  <c r="AU742" i="1"/>
  <c r="AT742" i="1"/>
  <c r="AS742" i="1"/>
  <c r="AR742" i="1"/>
  <c r="AQ742" i="1"/>
  <c r="AP742" i="1"/>
  <c r="AO742" i="1"/>
  <c r="AE742" i="1"/>
  <c r="BS741" i="1"/>
  <c r="BR741" i="1"/>
  <c r="BQ741" i="1"/>
  <c r="BP741" i="1"/>
  <c r="BO741" i="1"/>
  <c r="BN741" i="1"/>
  <c r="BM741" i="1"/>
  <c r="BL741" i="1"/>
  <c r="BK741" i="1"/>
  <c r="BJ741" i="1"/>
  <c r="BI741" i="1"/>
  <c r="BH741" i="1"/>
  <c r="BG741" i="1"/>
  <c r="BF741" i="1"/>
  <c r="BE741" i="1"/>
  <c r="BD741" i="1"/>
  <c r="BC741" i="1"/>
  <c r="BB741" i="1"/>
  <c r="BA741" i="1"/>
  <c r="AZ741" i="1"/>
  <c r="AY741" i="1"/>
  <c r="AX741" i="1"/>
  <c r="AW741" i="1"/>
  <c r="AV741" i="1"/>
  <c r="AU741" i="1"/>
  <c r="AT741" i="1"/>
  <c r="AS741" i="1"/>
  <c r="AR741" i="1"/>
  <c r="AQ741" i="1"/>
  <c r="AP741" i="1"/>
  <c r="AO741" i="1"/>
  <c r="AE741" i="1"/>
  <c r="BS740" i="1"/>
  <c r="BR740" i="1"/>
  <c r="BQ740" i="1"/>
  <c r="BP740" i="1"/>
  <c r="BO740" i="1"/>
  <c r="BN740" i="1"/>
  <c r="BM740" i="1"/>
  <c r="BL740" i="1"/>
  <c r="BK740" i="1"/>
  <c r="BJ740" i="1"/>
  <c r="BI740" i="1"/>
  <c r="BH740" i="1"/>
  <c r="BG740" i="1"/>
  <c r="BF740" i="1"/>
  <c r="BE740" i="1"/>
  <c r="BD740" i="1"/>
  <c r="BC740" i="1"/>
  <c r="BB740" i="1"/>
  <c r="BA740" i="1"/>
  <c r="AZ740" i="1"/>
  <c r="AY740" i="1"/>
  <c r="AX740" i="1"/>
  <c r="AW740" i="1"/>
  <c r="AV740" i="1"/>
  <c r="AU740" i="1"/>
  <c r="AT740" i="1"/>
  <c r="AS740" i="1"/>
  <c r="AR740" i="1"/>
  <c r="AQ740" i="1"/>
  <c r="AP740" i="1"/>
  <c r="AO740" i="1"/>
  <c r="AE740" i="1"/>
  <c r="BS739" i="1"/>
  <c r="BR739" i="1"/>
  <c r="BQ739" i="1"/>
  <c r="BP739" i="1"/>
  <c r="BO739" i="1"/>
  <c r="BN739" i="1"/>
  <c r="BM739" i="1"/>
  <c r="BL739" i="1"/>
  <c r="BK739" i="1"/>
  <c r="BJ739" i="1"/>
  <c r="BI739" i="1"/>
  <c r="BH739" i="1"/>
  <c r="BG739" i="1"/>
  <c r="BF739" i="1"/>
  <c r="BE739" i="1"/>
  <c r="BD739" i="1"/>
  <c r="BC739" i="1"/>
  <c r="BB739" i="1"/>
  <c r="BA739" i="1"/>
  <c r="AZ739" i="1"/>
  <c r="AY739" i="1"/>
  <c r="AX739" i="1"/>
  <c r="AW739" i="1"/>
  <c r="AV739" i="1"/>
  <c r="AU739" i="1"/>
  <c r="AT739" i="1"/>
  <c r="AS739" i="1"/>
  <c r="AR739" i="1"/>
  <c r="AQ739" i="1"/>
  <c r="AP739" i="1"/>
  <c r="AO739" i="1"/>
  <c r="AE739" i="1"/>
  <c r="BS738" i="1"/>
  <c r="BR738" i="1"/>
  <c r="BQ738" i="1"/>
  <c r="BP738" i="1"/>
  <c r="BO738" i="1"/>
  <c r="BN738" i="1"/>
  <c r="BM738" i="1"/>
  <c r="BL738" i="1"/>
  <c r="BK738" i="1"/>
  <c r="BJ738" i="1"/>
  <c r="BI738" i="1"/>
  <c r="BH738" i="1"/>
  <c r="BG738" i="1"/>
  <c r="BF738" i="1"/>
  <c r="BE738" i="1"/>
  <c r="BD738" i="1"/>
  <c r="BC738" i="1"/>
  <c r="BB738" i="1"/>
  <c r="BA738" i="1"/>
  <c r="AZ738" i="1"/>
  <c r="AY738" i="1"/>
  <c r="AX738" i="1"/>
  <c r="AW738" i="1"/>
  <c r="AV738" i="1"/>
  <c r="AU738" i="1"/>
  <c r="AT738" i="1"/>
  <c r="AS738" i="1"/>
  <c r="AR738" i="1"/>
  <c r="AQ738" i="1"/>
  <c r="AP738" i="1"/>
  <c r="AO738" i="1"/>
  <c r="AE738" i="1"/>
  <c r="BS737" i="1"/>
  <c r="BR737" i="1"/>
  <c r="BQ737" i="1"/>
  <c r="BP737" i="1"/>
  <c r="BO737" i="1"/>
  <c r="BN737" i="1"/>
  <c r="BM737" i="1"/>
  <c r="BL737" i="1"/>
  <c r="BK737" i="1"/>
  <c r="BJ737" i="1"/>
  <c r="BI737" i="1"/>
  <c r="BH737" i="1"/>
  <c r="BG737" i="1"/>
  <c r="BF737" i="1"/>
  <c r="BE737" i="1"/>
  <c r="BD737" i="1"/>
  <c r="BC737" i="1"/>
  <c r="BB737" i="1"/>
  <c r="BA737" i="1"/>
  <c r="AZ737" i="1"/>
  <c r="AY737" i="1"/>
  <c r="AX737" i="1"/>
  <c r="AW737" i="1"/>
  <c r="AV737" i="1"/>
  <c r="AU737" i="1"/>
  <c r="AT737" i="1"/>
  <c r="AS737" i="1"/>
  <c r="AR737" i="1"/>
  <c r="AQ737" i="1"/>
  <c r="AP737" i="1"/>
  <c r="AO737" i="1"/>
  <c r="AE737" i="1"/>
  <c r="BS736" i="1"/>
  <c r="BR736" i="1"/>
  <c r="BQ736" i="1"/>
  <c r="BP736" i="1"/>
  <c r="BO736" i="1"/>
  <c r="BN736" i="1"/>
  <c r="BM736" i="1"/>
  <c r="BL736" i="1"/>
  <c r="BK736" i="1"/>
  <c r="BJ736" i="1"/>
  <c r="BI736" i="1"/>
  <c r="BH736" i="1"/>
  <c r="BG736" i="1"/>
  <c r="BF736" i="1"/>
  <c r="BE736" i="1"/>
  <c r="BD736" i="1"/>
  <c r="BC736" i="1"/>
  <c r="BB736" i="1"/>
  <c r="BA736" i="1"/>
  <c r="AZ736" i="1"/>
  <c r="AY736" i="1"/>
  <c r="AX736" i="1"/>
  <c r="AW736" i="1"/>
  <c r="AV736" i="1"/>
  <c r="AU736" i="1"/>
  <c r="AT736" i="1"/>
  <c r="AS736" i="1"/>
  <c r="AR736" i="1"/>
  <c r="AQ736" i="1"/>
  <c r="AP736" i="1"/>
  <c r="AO736" i="1"/>
  <c r="AE736" i="1"/>
  <c r="BS735" i="1"/>
  <c r="BR735" i="1"/>
  <c r="BQ735" i="1"/>
  <c r="BP735" i="1"/>
  <c r="BO735" i="1"/>
  <c r="BN735" i="1"/>
  <c r="BM735" i="1"/>
  <c r="BL735" i="1"/>
  <c r="BK735" i="1"/>
  <c r="BJ735" i="1"/>
  <c r="BI735" i="1"/>
  <c r="BH735" i="1"/>
  <c r="BG735" i="1"/>
  <c r="BF735" i="1"/>
  <c r="BE735" i="1"/>
  <c r="BD735" i="1"/>
  <c r="BC735" i="1"/>
  <c r="BB735" i="1"/>
  <c r="BA735" i="1"/>
  <c r="AZ735" i="1"/>
  <c r="AY735" i="1"/>
  <c r="AX735" i="1"/>
  <c r="AW735" i="1"/>
  <c r="AV735" i="1"/>
  <c r="AU735" i="1"/>
  <c r="AT735" i="1"/>
  <c r="AS735" i="1"/>
  <c r="AR735" i="1"/>
  <c r="AQ735" i="1"/>
  <c r="AP735" i="1"/>
  <c r="AO735" i="1"/>
  <c r="AE735" i="1"/>
  <c r="BS734" i="1"/>
  <c r="BR734" i="1"/>
  <c r="BQ734" i="1"/>
  <c r="BP734" i="1"/>
  <c r="BO734" i="1"/>
  <c r="BN734" i="1"/>
  <c r="BM734" i="1"/>
  <c r="BL734" i="1"/>
  <c r="BK734" i="1"/>
  <c r="BJ734" i="1"/>
  <c r="BI734" i="1"/>
  <c r="BH734" i="1"/>
  <c r="BG734" i="1"/>
  <c r="BF734" i="1"/>
  <c r="BE734" i="1"/>
  <c r="BD734" i="1"/>
  <c r="BC734" i="1"/>
  <c r="BB734" i="1"/>
  <c r="BA734" i="1"/>
  <c r="AZ734" i="1"/>
  <c r="AY734" i="1"/>
  <c r="AX734" i="1"/>
  <c r="AW734" i="1"/>
  <c r="AV734" i="1"/>
  <c r="AU734" i="1"/>
  <c r="AT734" i="1"/>
  <c r="AS734" i="1"/>
  <c r="AR734" i="1"/>
  <c r="AQ734" i="1"/>
  <c r="AP734" i="1"/>
  <c r="AO734" i="1"/>
  <c r="AE734" i="1"/>
  <c r="BS733" i="1"/>
  <c r="BR733" i="1"/>
  <c r="BQ733" i="1"/>
  <c r="BP733" i="1"/>
  <c r="BO733" i="1"/>
  <c r="BN733" i="1"/>
  <c r="BM733" i="1"/>
  <c r="BL733" i="1"/>
  <c r="BK733" i="1"/>
  <c r="BJ733" i="1"/>
  <c r="BI733" i="1"/>
  <c r="BH733" i="1"/>
  <c r="BG733" i="1"/>
  <c r="BF733" i="1"/>
  <c r="BE733" i="1"/>
  <c r="BD733" i="1"/>
  <c r="BC733" i="1"/>
  <c r="BB733" i="1"/>
  <c r="BA733" i="1"/>
  <c r="AZ733" i="1"/>
  <c r="AY733" i="1"/>
  <c r="AX733" i="1"/>
  <c r="AW733" i="1"/>
  <c r="AV733" i="1"/>
  <c r="AU733" i="1"/>
  <c r="AT733" i="1"/>
  <c r="AS733" i="1"/>
  <c r="AR733" i="1"/>
  <c r="AQ733" i="1"/>
  <c r="AP733" i="1"/>
  <c r="AO733" i="1"/>
  <c r="AE733" i="1"/>
  <c r="BS732" i="1"/>
  <c r="BR732" i="1"/>
  <c r="BQ732" i="1"/>
  <c r="BP732" i="1"/>
  <c r="BO732" i="1"/>
  <c r="BN732" i="1"/>
  <c r="BM732" i="1"/>
  <c r="BL732" i="1"/>
  <c r="BK732" i="1"/>
  <c r="BJ732" i="1"/>
  <c r="BI732" i="1"/>
  <c r="BH732" i="1"/>
  <c r="BG732" i="1"/>
  <c r="BF732" i="1"/>
  <c r="BE732" i="1"/>
  <c r="BD732" i="1"/>
  <c r="BC732" i="1"/>
  <c r="BB732" i="1"/>
  <c r="BA732" i="1"/>
  <c r="AZ732" i="1"/>
  <c r="AY732" i="1"/>
  <c r="AX732" i="1"/>
  <c r="AW732" i="1"/>
  <c r="AV732" i="1"/>
  <c r="AU732" i="1"/>
  <c r="AT732" i="1"/>
  <c r="AS732" i="1"/>
  <c r="AR732" i="1"/>
  <c r="AQ732" i="1"/>
  <c r="AP732" i="1"/>
  <c r="AO732" i="1"/>
  <c r="AE732" i="1"/>
  <c r="BS731" i="1"/>
  <c r="BR731" i="1"/>
  <c r="BQ731" i="1"/>
  <c r="BP731" i="1"/>
  <c r="BO731" i="1"/>
  <c r="BN731" i="1"/>
  <c r="BM731" i="1"/>
  <c r="BL731" i="1"/>
  <c r="BK731" i="1"/>
  <c r="BJ731" i="1"/>
  <c r="BI731" i="1"/>
  <c r="BH731" i="1"/>
  <c r="BG731" i="1"/>
  <c r="BF731" i="1"/>
  <c r="BE731" i="1"/>
  <c r="BD731" i="1"/>
  <c r="BC731" i="1"/>
  <c r="BB731" i="1"/>
  <c r="BA731" i="1"/>
  <c r="AZ731" i="1"/>
  <c r="AY731" i="1"/>
  <c r="AX731" i="1"/>
  <c r="AW731" i="1"/>
  <c r="AV731" i="1"/>
  <c r="AU731" i="1"/>
  <c r="AT731" i="1"/>
  <c r="AS731" i="1"/>
  <c r="AR731" i="1"/>
  <c r="AQ731" i="1"/>
  <c r="AP731" i="1"/>
  <c r="AO731" i="1"/>
  <c r="AE731" i="1"/>
  <c r="BS730" i="1"/>
  <c r="BR730" i="1"/>
  <c r="BQ730" i="1"/>
  <c r="BP730" i="1"/>
  <c r="BO730" i="1"/>
  <c r="BN730" i="1"/>
  <c r="BM730" i="1"/>
  <c r="BL730" i="1"/>
  <c r="BK730" i="1"/>
  <c r="BJ730" i="1"/>
  <c r="BI730" i="1"/>
  <c r="BH730" i="1"/>
  <c r="BG730" i="1"/>
  <c r="BF730" i="1"/>
  <c r="BE730" i="1"/>
  <c r="BD730" i="1"/>
  <c r="BC730" i="1"/>
  <c r="BB730" i="1"/>
  <c r="BA730" i="1"/>
  <c r="AZ730" i="1"/>
  <c r="AY730" i="1"/>
  <c r="AX730" i="1"/>
  <c r="AW730" i="1"/>
  <c r="AV730" i="1"/>
  <c r="AU730" i="1"/>
  <c r="AT730" i="1"/>
  <c r="AS730" i="1"/>
  <c r="AR730" i="1"/>
  <c r="AQ730" i="1"/>
  <c r="AP730" i="1"/>
  <c r="AO730" i="1"/>
  <c r="AE730" i="1"/>
  <c r="BS729" i="1"/>
  <c r="BR729" i="1"/>
  <c r="BQ729" i="1"/>
  <c r="BP729" i="1"/>
  <c r="BO729" i="1"/>
  <c r="BN729" i="1"/>
  <c r="BM729" i="1"/>
  <c r="BL729" i="1"/>
  <c r="BK729" i="1"/>
  <c r="BJ729" i="1"/>
  <c r="BI729" i="1"/>
  <c r="BH729" i="1"/>
  <c r="BG729" i="1"/>
  <c r="BF729" i="1"/>
  <c r="BE729" i="1"/>
  <c r="BD729" i="1"/>
  <c r="BC729" i="1"/>
  <c r="BB729" i="1"/>
  <c r="BA729" i="1"/>
  <c r="AZ729" i="1"/>
  <c r="AY729" i="1"/>
  <c r="AX729" i="1"/>
  <c r="AW729" i="1"/>
  <c r="AV729" i="1"/>
  <c r="AU729" i="1"/>
  <c r="AT729" i="1"/>
  <c r="AS729" i="1"/>
  <c r="AR729" i="1"/>
  <c r="AQ729" i="1"/>
  <c r="AP729" i="1"/>
  <c r="AO729" i="1"/>
  <c r="AE729" i="1"/>
  <c r="BS728" i="1"/>
  <c r="BR728" i="1"/>
  <c r="BQ728" i="1"/>
  <c r="BP728" i="1"/>
  <c r="BO728" i="1"/>
  <c r="BN728" i="1"/>
  <c r="BM728" i="1"/>
  <c r="BL728" i="1"/>
  <c r="BK728" i="1"/>
  <c r="BJ728" i="1"/>
  <c r="BI728" i="1"/>
  <c r="BH728" i="1"/>
  <c r="BG728" i="1"/>
  <c r="BF728" i="1"/>
  <c r="BE728" i="1"/>
  <c r="BD728" i="1"/>
  <c r="BC728" i="1"/>
  <c r="BB728" i="1"/>
  <c r="BA728" i="1"/>
  <c r="AZ728" i="1"/>
  <c r="AY728" i="1"/>
  <c r="AX728" i="1"/>
  <c r="AW728" i="1"/>
  <c r="AV728" i="1"/>
  <c r="AU728" i="1"/>
  <c r="AT728" i="1"/>
  <c r="AS728" i="1"/>
  <c r="AR728" i="1"/>
  <c r="AQ728" i="1"/>
  <c r="AP728" i="1"/>
  <c r="AO728" i="1"/>
  <c r="AE728" i="1"/>
  <c r="BS727" i="1"/>
  <c r="BR727" i="1"/>
  <c r="BQ727" i="1"/>
  <c r="BP727" i="1"/>
  <c r="BO727" i="1"/>
  <c r="BN727" i="1"/>
  <c r="BM727" i="1"/>
  <c r="BL727" i="1"/>
  <c r="BK727" i="1"/>
  <c r="BJ727" i="1"/>
  <c r="BI727" i="1"/>
  <c r="BH727" i="1"/>
  <c r="BG727" i="1"/>
  <c r="BF727" i="1"/>
  <c r="BE727" i="1"/>
  <c r="BD727" i="1"/>
  <c r="BC727" i="1"/>
  <c r="BB727" i="1"/>
  <c r="BA727" i="1"/>
  <c r="AZ727" i="1"/>
  <c r="AY727" i="1"/>
  <c r="AX727" i="1"/>
  <c r="AW727" i="1"/>
  <c r="AV727" i="1"/>
  <c r="AU727" i="1"/>
  <c r="AT727" i="1"/>
  <c r="AS727" i="1"/>
  <c r="AR727" i="1"/>
  <c r="AQ727" i="1"/>
  <c r="AP727" i="1"/>
  <c r="AO727" i="1"/>
  <c r="AE727" i="1"/>
  <c r="BS726" i="1"/>
  <c r="BR726" i="1"/>
  <c r="BQ726" i="1"/>
  <c r="BP726" i="1"/>
  <c r="BO726" i="1"/>
  <c r="BN726" i="1"/>
  <c r="BM726" i="1"/>
  <c r="BL726" i="1"/>
  <c r="BK726" i="1"/>
  <c r="BJ726" i="1"/>
  <c r="BI726" i="1"/>
  <c r="BH726" i="1"/>
  <c r="BG726" i="1"/>
  <c r="BF726" i="1"/>
  <c r="BE726" i="1"/>
  <c r="BD726" i="1"/>
  <c r="BC726" i="1"/>
  <c r="BB726" i="1"/>
  <c r="BA726" i="1"/>
  <c r="AZ726" i="1"/>
  <c r="AY726" i="1"/>
  <c r="AX726" i="1"/>
  <c r="AW726" i="1"/>
  <c r="AV726" i="1"/>
  <c r="AU726" i="1"/>
  <c r="AT726" i="1"/>
  <c r="AS726" i="1"/>
  <c r="AR726" i="1"/>
  <c r="AQ726" i="1"/>
  <c r="AP726" i="1"/>
  <c r="AO726" i="1"/>
  <c r="AE726" i="1"/>
  <c r="BS725" i="1"/>
  <c r="BR725" i="1"/>
  <c r="BQ725" i="1"/>
  <c r="BP725" i="1"/>
  <c r="BO725" i="1"/>
  <c r="BN725" i="1"/>
  <c r="BM725" i="1"/>
  <c r="BL725" i="1"/>
  <c r="BK725" i="1"/>
  <c r="BJ725" i="1"/>
  <c r="BI725" i="1"/>
  <c r="BH725" i="1"/>
  <c r="BG725" i="1"/>
  <c r="BF725" i="1"/>
  <c r="BE725" i="1"/>
  <c r="BD725" i="1"/>
  <c r="BC725" i="1"/>
  <c r="BB725" i="1"/>
  <c r="BA725" i="1"/>
  <c r="AZ725" i="1"/>
  <c r="AY725" i="1"/>
  <c r="AX725" i="1"/>
  <c r="AW725" i="1"/>
  <c r="AV725" i="1"/>
  <c r="AU725" i="1"/>
  <c r="AT725" i="1"/>
  <c r="AS725" i="1"/>
  <c r="AR725" i="1"/>
  <c r="AQ725" i="1"/>
  <c r="AP725" i="1"/>
  <c r="AO725" i="1"/>
  <c r="AE725" i="1"/>
  <c r="BS724" i="1"/>
  <c r="BR724" i="1"/>
  <c r="BQ724" i="1"/>
  <c r="BP724" i="1"/>
  <c r="BO724" i="1"/>
  <c r="BN724" i="1"/>
  <c r="BM724" i="1"/>
  <c r="BL724" i="1"/>
  <c r="BK724" i="1"/>
  <c r="BJ724" i="1"/>
  <c r="BI724" i="1"/>
  <c r="BH724" i="1"/>
  <c r="BG724" i="1"/>
  <c r="BF724" i="1"/>
  <c r="BE724" i="1"/>
  <c r="BD724" i="1"/>
  <c r="BC724" i="1"/>
  <c r="BB724" i="1"/>
  <c r="BA724" i="1"/>
  <c r="AZ724" i="1"/>
  <c r="AY724" i="1"/>
  <c r="AX724" i="1"/>
  <c r="AW724" i="1"/>
  <c r="AV724" i="1"/>
  <c r="AU724" i="1"/>
  <c r="AT724" i="1"/>
  <c r="AS724" i="1"/>
  <c r="AR724" i="1"/>
  <c r="AQ724" i="1"/>
  <c r="AP724" i="1"/>
  <c r="AO724" i="1"/>
  <c r="AE724" i="1"/>
  <c r="BS723" i="1"/>
  <c r="BR723" i="1"/>
  <c r="BQ723" i="1"/>
  <c r="BP723" i="1"/>
  <c r="BO723" i="1"/>
  <c r="BN723" i="1"/>
  <c r="BM723" i="1"/>
  <c r="BL723" i="1"/>
  <c r="BK723" i="1"/>
  <c r="BJ723" i="1"/>
  <c r="BI723" i="1"/>
  <c r="BH723" i="1"/>
  <c r="BG723" i="1"/>
  <c r="BF723" i="1"/>
  <c r="BE723" i="1"/>
  <c r="BD723" i="1"/>
  <c r="BC723" i="1"/>
  <c r="BB723" i="1"/>
  <c r="BA723" i="1"/>
  <c r="AZ723" i="1"/>
  <c r="AY723" i="1"/>
  <c r="AX723" i="1"/>
  <c r="AW723" i="1"/>
  <c r="AV723" i="1"/>
  <c r="AU723" i="1"/>
  <c r="AT723" i="1"/>
  <c r="AS723" i="1"/>
  <c r="AR723" i="1"/>
  <c r="AQ723" i="1"/>
  <c r="AP723" i="1"/>
  <c r="AO723" i="1"/>
  <c r="AE723" i="1"/>
  <c r="BS722" i="1"/>
  <c r="BR722" i="1"/>
  <c r="BQ722" i="1"/>
  <c r="BP722" i="1"/>
  <c r="BO722" i="1"/>
  <c r="BN722" i="1"/>
  <c r="BM722" i="1"/>
  <c r="BL722" i="1"/>
  <c r="BK722" i="1"/>
  <c r="BJ722" i="1"/>
  <c r="BI722" i="1"/>
  <c r="BH722" i="1"/>
  <c r="BG722" i="1"/>
  <c r="BF722" i="1"/>
  <c r="BE722" i="1"/>
  <c r="BD722" i="1"/>
  <c r="BC722" i="1"/>
  <c r="BB722" i="1"/>
  <c r="BA722" i="1"/>
  <c r="AZ722" i="1"/>
  <c r="AY722" i="1"/>
  <c r="AX722" i="1"/>
  <c r="AW722" i="1"/>
  <c r="AV722" i="1"/>
  <c r="AU722" i="1"/>
  <c r="AT722" i="1"/>
  <c r="AS722" i="1"/>
  <c r="AR722" i="1"/>
  <c r="AQ722" i="1"/>
  <c r="AP722" i="1"/>
  <c r="AO722" i="1"/>
  <c r="AE722" i="1"/>
  <c r="BS721" i="1"/>
  <c r="BR721" i="1"/>
  <c r="BQ721" i="1"/>
  <c r="BP721" i="1"/>
  <c r="BO721" i="1"/>
  <c r="BN721" i="1"/>
  <c r="BM721" i="1"/>
  <c r="BL721" i="1"/>
  <c r="BK721" i="1"/>
  <c r="BJ721" i="1"/>
  <c r="BI721" i="1"/>
  <c r="BH721" i="1"/>
  <c r="BG721" i="1"/>
  <c r="BF721" i="1"/>
  <c r="BE721" i="1"/>
  <c r="BD721" i="1"/>
  <c r="BC721" i="1"/>
  <c r="BB721" i="1"/>
  <c r="BA721" i="1"/>
  <c r="AZ721" i="1"/>
  <c r="AY721" i="1"/>
  <c r="AX721" i="1"/>
  <c r="AW721" i="1"/>
  <c r="AV721" i="1"/>
  <c r="AU721" i="1"/>
  <c r="AT721" i="1"/>
  <c r="AS721" i="1"/>
  <c r="AR721" i="1"/>
  <c r="AQ721" i="1"/>
  <c r="AP721" i="1"/>
  <c r="AO721" i="1"/>
  <c r="AE721" i="1"/>
  <c r="BS720" i="1"/>
  <c r="BR720" i="1"/>
  <c r="BQ720" i="1"/>
  <c r="BP720" i="1"/>
  <c r="BO720" i="1"/>
  <c r="BN720" i="1"/>
  <c r="BM720" i="1"/>
  <c r="BL720" i="1"/>
  <c r="BK720" i="1"/>
  <c r="BJ720" i="1"/>
  <c r="BI720" i="1"/>
  <c r="BH720" i="1"/>
  <c r="BG720" i="1"/>
  <c r="BF720" i="1"/>
  <c r="BE720" i="1"/>
  <c r="BD720" i="1"/>
  <c r="BC720" i="1"/>
  <c r="BB720" i="1"/>
  <c r="BA720" i="1"/>
  <c r="AZ720" i="1"/>
  <c r="AY720" i="1"/>
  <c r="AX720" i="1"/>
  <c r="AW720" i="1"/>
  <c r="AV720" i="1"/>
  <c r="AU720" i="1"/>
  <c r="AT720" i="1"/>
  <c r="AS720" i="1"/>
  <c r="AR720" i="1"/>
  <c r="AQ720" i="1"/>
  <c r="AP720" i="1"/>
  <c r="AO720" i="1"/>
  <c r="AE720" i="1"/>
  <c r="BS719" i="1"/>
  <c r="BR719" i="1"/>
  <c r="BQ719" i="1"/>
  <c r="BP719" i="1"/>
  <c r="BO719" i="1"/>
  <c r="BN719" i="1"/>
  <c r="BM719" i="1"/>
  <c r="BL719" i="1"/>
  <c r="BK719" i="1"/>
  <c r="BJ719" i="1"/>
  <c r="BI719" i="1"/>
  <c r="BH719" i="1"/>
  <c r="BG719" i="1"/>
  <c r="BF719" i="1"/>
  <c r="BE719" i="1"/>
  <c r="BD719" i="1"/>
  <c r="BC719" i="1"/>
  <c r="BB719" i="1"/>
  <c r="BA719" i="1"/>
  <c r="AZ719" i="1"/>
  <c r="AY719" i="1"/>
  <c r="AX719" i="1"/>
  <c r="AW719" i="1"/>
  <c r="AV719" i="1"/>
  <c r="AU719" i="1"/>
  <c r="AT719" i="1"/>
  <c r="AS719" i="1"/>
  <c r="AR719" i="1"/>
  <c r="AQ719" i="1"/>
  <c r="AP719" i="1"/>
  <c r="AO719" i="1"/>
  <c r="AE719" i="1"/>
  <c r="BS718" i="1"/>
  <c r="BR718" i="1"/>
  <c r="BQ718" i="1"/>
  <c r="BP718" i="1"/>
  <c r="BO718" i="1"/>
  <c r="BN718" i="1"/>
  <c r="BM718" i="1"/>
  <c r="BL718" i="1"/>
  <c r="BK718" i="1"/>
  <c r="BJ718" i="1"/>
  <c r="BI718" i="1"/>
  <c r="BH718" i="1"/>
  <c r="BG718" i="1"/>
  <c r="BF718" i="1"/>
  <c r="BE718" i="1"/>
  <c r="BD718" i="1"/>
  <c r="BC718" i="1"/>
  <c r="BB718" i="1"/>
  <c r="BA718" i="1"/>
  <c r="AZ718" i="1"/>
  <c r="AY718" i="1"/>
  <c r="AX718" i="1"/>
  <c r="AW718" i="1"/>
  <c r="AV718" i="1"/>
  <c r="AU718" i="1"/>
  <c r="AT718" i="1"/>
  <c r="AS718" i="1"/>
  <c r="AR718" i="1"/>
  <c r="AQ718" i="1"/>
  <c r="AP718" i="1"/>
  <c r="AO718" i="1"/>
  <c r="AE718" i="1"/>
  <c r="BS717" i="1"/>
  <c r="BR717" i="1"/>
  <c r="BQ717" i="1"/>
  <c r="BP717" i="1"/>
  <c r="BO717" i="1"/>
  <c r="BN717" i="1"/>
  <c r="BM717" i="1"/>
  <c r="BL717" i="1"/>
  <c r="BK717" i="1"/>
  <c r="BJ717" i="1"/>
  <c r="BI717" i="1"/>
  <c r="BH717" i="1"/>
  <c r="BG717" i="1"/>
  <c r="BF717" i="1"/>
  <c r="BE717" i="1"/>
  <c r="BD717" i="1"/>
  <c r="BC717" i="1"/>
  <c r="BB717" i="1"/>
  <c r="BA717" i="1"/>
  <c r="AZ717" i="1"/>
  <c r="AY717" i="1"/>
  <c r="AX717" i="1"/>
  <c r="AW717" i="1"/>
  <c r="AV717" i="1"/>
  <c r="AU717" i="1"/>
  <c r="AT717" i="1"/>
  <c r="AS717" i="1"/>
  <c r="AR717" i="1"/>
  <c r="AQ717" i="1"/>
  <c r="AP717" i="1"/>
  <c r="AO717" i="1"/>
  <c r="AE717" i="1"/>
  <c r="BS716" i="1"/>
  <c r="BR716" i="1"/>
  <c r="BQ716" i="1"/>
  <c r="BP716" i="1"/>
  <c r="BO716" i="1"/>
  <c r="BN716" i="1"/>
  <c r="BM716" i="1"/>
  <c r="BL716" i="1"/>
  <c r="BK716" i="1"/>
  <c r="BJ716" i="1"/>
  <c r="BI716" i="1"/>
  <c r="BH716" i="1"/>
  <c r="BG716" i="1"/>
  <c r="BF716" i="1"/>
  <c r="BE716" i="1"/>
  <c r="BD716" i="1"/>
  <c r="BC716" i="1"/>
  <c r="BB716" i="1"/>
  <c r="BA716" i="1"/>
  <c r="AZ716" i="1"/>
  <c r="AY716" i="1"/>
  <c r="AX716" i="1"/>
  <c r="AW716" i="1"/>
  <c r="AV716" i="1"/>
  <c r="AU716" i="1"/>
  <c r="AT716" i="1"/>
  <c r="AS716" i="1"/>
  <c r="AR716" i="1"/>
  <c r="AQ716" i="1"/>
  <c r="AP716" i="1"/>
  <c r="AO716" i="1"/>
  <c r="AE716" i="1"/>
  <c r="BS715" i="1"/>
  <c r="BR715" i="1"/>
  <c r="BQ715" i="1"/>
  <c r="BP715" i="1"/>
  <c r="BO715" i="1"/>
  <c r="BN715" i="1"/>
  <c r="BM715" i="1"/>
  <c r="BL715" i="1"/>
  <c r="BK715" i="1"/>
  <c r="BJ715" i="1"/>
  <c r="BI715" i="1"/>
  <c r="BH715" i="1"/>
  <c r="BG715" i="1"/>
  <c r="BF715" i="1"/>
  <c r="BE715" i="1"/>
  <c r="BD715" i="1"/>
  <c r="BC715" i="1"/>
  <c r="BB715" i="1"/>
  <c r="BA715" i="1"/>
  <c r="AZ715" i="1"/>
  <c r="AY715" i="1"/>
  <c r="AX715" i="1"/>
  <c r="AW715" i="1"/>
  <c r="AV715" i="1"/>
  <c r="AU715" i="1"/>
  <c r="AT715" i="1"/>
  <c r="AS715" i="1"/>
  <c r="AR715" i="1"/>
  <c r="AQ715" i="1"/>
  <c r="AP715" i="1"/>
  <c r="AO715" i="1"/>
  <c r="AE715" i="1"/>
  <c r="BS714" i="1"/>
  <c r="BR714" i="1"/>
  <c r="BQ714" i="1"/>
  <c r="BP714" i="1"/>
  <c r="BO714" i="1"/>
  <c r="BN714" i="1"/>
  <c r="BM714" i="1"/>
  <c r="BL714" i="1"/>
  <c r="BK714" i="1"/>
  <c r="BJ714" i="1"/>
  <c r="BI714" i="1"/>
  <c r="BH714" i="1"/>
  <c r="BG714" i="1"/>
  <c r="BF714" i="1"/>
  <c r="BE714" i="1"/>
  <c r="BD714" i="1"/>
  <c r="BC714" i="1"/>
  <c r="BB714" i="1"/>
  <c r="BA714" i="1"/>
  <c r="AZ714" i="1"/>
  <c r="AY714" i="1"/>
  <c r="AX714" i="1"/>
  <c r="AW714" i="1"/>
  <c r="AV714" i="1"/>
  <c r="AU714" i="1"/>
  <c r="AT714" i="1"/>
  <c r="AS714" i="1"/>
  <c r="AR714" i="1"/>
  <c r="AQ714" i="1"/>
  <c r="AP714" i="1"/>
  <c r="AO714" i="1"/>
  <c r="AE714" i="1"/>
  <c r="BS713" i="1"/>
  <c r="BR713" i="1"/>
  <c r="BQ713" i="1"/>
  <c r="BP713" i="1"/>
  <c r="BO713" i="1"/>
  <c r="BN713" i="1"/>
  <c r="BM713" i="1"/>
  <c r="BL713" i="1"/>
  <c r="BK713" i="1"/>
  <c r="BJ713" i="1"/>
  <c r="BI713" i="1"/>
  <c r="BH713" i="1"/>
  <c r="BG713" i="1"/>
  <c r="BF713" i="1"/>
  <c r="BE713" i="1"/>
  <c r="BD713" i="1"/>
  <c r="BC713" i="1"/>
  <c r="BB713" i="1"/>
  <c r="BA713" i="1"/>
  <c r="AZ713" i="1"/>
  <c r="AY713" i="1"/>
  <c r="AX713" i="1"/>
  <c r="AW713" i="1"/>
  <c r="AV713" i="1"/>
  <c r="AU713" i="1"/>
  <c r="AT713" i="1"/>
  <c r="AS713" i="1"/>
  <c r="AR713" i="1"/>
  <c r="AQ713" i="1"/>
  <c r="AP713" i="1"/>
  <c r="AO713" i="1"/>
  <c r="AE713" i="1"/>
  <c r="BS712" i="1"/>
  <c r="BR712" i="1"/>
  <c r="BQ712" i="1"/>
  <c r="BP712" i="1"/>
  <c r="BO712" i="1"/>
  <c r="BN712" i="1"/>
  <c r="BM712" i="1"/>
  <c r="BL712" i="1"/>
  <c r="BK712" i="1"/>
  <c r="BJ712" i="1"/>
  <c r="BI712" i="1"/>
  <c r="BH712" i="1"/>
  <c r="BG712" i="1"/>
  <c r="BF712" i="1"/>
  <c r="BE712" i="1"/>
  <c r="BD712" i="1"/>
  <c r="BC712" i="1"/>
  <c r="BB712" i="1"/>
  <c r="BA712" i="1"/>
  <c r="AZ712" i="1"/>
  <c r="AY712" i="1"/>
  <c r="AX712" i="1"/>
  <c r="AW712" i="1"/>
  <c r="AV712" i="1"/>
  <c r="AU712" i="1"/>
  <c r="AT712" i="1"/>
  <c r="AS712" i="1"/>
  <c r="AR712" i="1"/>
  <c r="AQ712" i="1"/>
  <c r="AP712" i="1"/>
  <c r="AO712" i="1"/>
  <c r="AE712" i="1"/>
  <c r="BS711" i="1"/>
  <c r="BR711" i="1"/>
  <c r="BQ711" i="1"/>
  <c r="BP711" i="1"/>
  <c r="BO711" i="1"/>
  <c r="BN711" i="1"/>
  <c r="BM711" i="1"/>
  <c r="BL711" i="1"/>
  <c r="BK711" i="1"/>
  <c r="BJ711" i="1"/>
  <c r="BI711" i="1"/>
  <c r="BH711" i="1"/>
  <c r="BG711" i="1"/>
  <c r="BF711" i="1"/>
  <c r="BE711" i="1"/>
  <c r="BD711" i="1"/>
  <c r="BC711" i="1"/>
  <c r="BB711" i="1"/>
  <c r="BA711" i="1"/>
  <c r="AZ711" i="1"/>
  <c r="AY711" i="1"/>
  <c r="AX711" i="1"/>
  <c r="AW711" i="1"/>
  <c r="AV711" i="1"/>
  <c r="AU711" i="1"/>
  <c r="AT711" i="1"/>
  <c r="AS711" i="1"/>
  <c r="AR711" i="1"/>
  <c r="AQ711" i="1"/>
  <c r="AP711" i="1"/>
  <c r="AO711" i="1"/>
  <c r="AE711" i="1"/>
  <c r="BS710" i="1"/>
  <c r="BR710" i="1"/>
  <c r="BQ710" i="1"/>
  <c r="BP710" i="1"/>
  <c r="BO710" i="1"/>
  <c r="BN710" i="1"/>
  <c r="BM710" i="1"/>
  <c r="BL710" i="1"/>
  <c r="BK710" i="1"/>
  <c r="BJ710" i="1"/>
  <c r="BI710" i="1"/>
  <c r="BH710" i="1"/>
  <c r="BG710" i="1"/>
  <c r="BF710" i="1"/>
  <c r="BE710" i="1"/>
  <c r="BD710" i="1"/>
  <c r="BC710" i="1"/>
  <c r="BB710" i="1"/>
  <c r="BA710" i="1"/>
  <c r="AZ710" i="1"/>
  <c r="AY710" i="1"/>
  <c r="AX710" i="1"/>
  <c r="AW710" i="1"/>
  <c r="AV710" i="1"/>
  <c r="AU710" i="1"/>
  <c r="AT710" i="1"/>
  <c r="AS710" i="1"/>
  <c r="AR710" i="1"/>
  <c r="AQ710" i="1"/>
  <c r="AP710" i="1"/>
  <c r="AO710" i="1"/>
  <c r="AE710" i="1"/>
  <c r="BS709" i="1"/>
  <c r="BR709" i="1"/>
  <c r="BQ709" i="1"/>
  <c r="BP709" i="1"/>
  <c r="BO709" i="1"/>
  <c r="BN709" i="1"/>
  <c r="BM709" i="1"/>
  <c r="BL709" i="1"/>
  <c r="BK709" i="1"/>
  <c r="BJ709" i="1"/>
  <c r="BI709" i="1"/>
  <c r="BH709" i="1"/>
  <c r="BG709" i="1"/>
  <c r="BF709" i="1"/>
  <c r="BE709" i="1"/>
  <c r="BD709" i="1"/>
  <c r="BC709" i="1"/>
  <c r="BB709" i="1"/>
  <c r="BA709" i="1"/>
  <c r="AZ709" i="1"/>
  <c r="AY709" i="1"/>
  <c r="AX709" i="1"/>
  <c r="AW709" i="1"/>
  <c r="AV709" i="1"/>
  <c r="AU709" i="1"/>
  <c r="AT709" i="1"/>
  <c r="AS709" i="1"/>
  <c r="AR709" i="1"/>
  <c r="AQ709" i="1"/>
  <c r="AP709" i="1"/>
  <c r="AO709" i="1"/>
  <c r="AE709" i="1"/>
  <c r="BS708" i="1"/>
  <c r="BR708" i="1"/>
  <c r="BQ708" i="1"/>
  <c r="BP708" i="1"/>
  <c r="BO708" i="1"/>
  <c r="BN708" i="1"/>
  <c r="BM708" i="1"/>
  <c r="BL708" i="1"/>
  <c r="BK708" i="1"/>
  <c r="BJ708" i="1"/>
  <c r="BI708" i="1"/>
  <c r="BH708" i="1"/>
  <c r="BG708" i="1"/>
  <c r="BF708" i="1"/>
  <c r="BE708" i="1"/>
  <c r="BD708" i="1"/>
  <c r="BC708" i="1"/>
  <c r="BB708" i="1"/>
  <c r="BA708" i="1"/>
  <c r="AZ708" i="1"/>
  <c r="AY708" i="1"/>
  <c r="AX708" i="1"/>
  <c r="AW708" i="1"/>
  <c r="AV708" i="1"/>
  <c r="AU708" i="1"/>
  <c r="AT708" i="1"/>
  <c r="AS708" i="1"/>
  <c r="AR708" i="1"/>
  <c r="AQ708" i="1"/>
  <c r="AP708" i="1"/>
  <c r="AO708" i="1"/>
  <c r="AE708" i="1"/>
  <c r="BS707" i="1"/>
  <c r="BR707" i="1"/>
  <c r="BQ707" i="1"/>
  <c r="BP707" i="1"/>
  <c r="BO707" i="1"/>
  <c r="BN707" i="1"/>
  <c r="BM707" i="1"/>
  <c r="BL707" i="1"/>
  <c r="BK707" i="1"/>
  <c r="BJ707" i="1"/>
  <c r="BI707" i="1"/>
  <c r="BH707" i="1"/>
  <c r="BG707" i="1"/>
  <c r="BF707" i="1"/>
  <c r="BE707" i="1"/>
  <c r="BD707" i="1"/>
  <c r="BC707" i="1"/>
  <c r="BB707" i="1"/>
  <c r="BA707" i="1"/>
  <c r="AZ707" i="1"/>
  <c r="AY707" i="1"/>
  <c r="AX707" i="1"/>
  <c r="AW707" i="1"/>
  <c r="AV707" i="1"/>
  <c r="AU707" i="1"/>
  <c r="AT707" i="1"/>
  <c r="AS707" i="1"/>
  <c r="AR707" i="1"/>
  <c r="AQ707" i="1"/>
  <c r="AP707" i="1"/>
  <c r="AO707" i="1"/>
  <c r="AE707" i="1"/>
  <c r="BS706" i="1"/>
  <c r="BR706" i="1"/>
  <c r="BQ706" i="1"/>
  <c r="BP706" i="1"/>
  <c r="BO706" i="1"/>
  <c r="BN706" i="1"/>
  <c r="BM706" i="1"/>
  <c r="BL706" i="1"/>
  <c r="BK706" i="1"/>
  <c r="BJ706" i="1"/>
  <c r="BI706" i="1"/>
  <c r="BH706" i="1"/>
  <c r="BG706" i="1"/>
  <c r="BF706" i="1"/>
  <c r="BE706" i="1"/>
  <c r="BD706" i="1"/>
  <c r="BC706" i="1"/>
  <c r="BB706" i="1"/>
  <c r="BA706" i="1"/>
  <c r="AZ706" i="1"/>
  <c r="AY706" i="1"/>
  <c r="AX706" i="1"/>
  <c r="AW706" i="1"/>
  <c r="AV706" i="1"/>
  <c r="AU706" i="1"/>
  <c r="AT706" i="1"/>
  <c r="AS706" i="1"/>
  <c r="AR706" i="1"/>
  <c r="AQ706" i="1"/>
  <c r="AP706" i="1"/>
  <c r="AO706" i="1"/>
  <c r="AE706" i="1"/>
  <c r="BS705" i="1"/>
  <c r="BR705" i="1"/>
  <c r="BQ705" i="1"/>
  <c r="BP705" i="1"/>
  <c r="BO705" i="1"/>
  <c r="BN705" i="1"/>
  <c r="BM705" i="1"/>
  <c r="BL705" i="1"/>
  <c r="BK705" i="1"/>
  <c r="BJ705" i="1"/>
  <c r="BI705" i="1"/>
  <c r="BH705" i="1"/>
  <c r="BG705" i="1"/>
  <c r="BF705" i="1"/>
  <c r="BE705" i="1"/>
  <c r="BD705" i="1"/>
  <c r="BC705" i="1"/>
  <c r="BB705" i="1"/>
  <c r="BA705" i="1"/>
  <c r="AZ705" i="1"/>
  <c r="AY705" i="1"/>
  <c r="AX705" i="1"/>
  <c r="AW705" i="1"/>
  <c r="AV705" i="1"/>
  <c r="AU705" i="1"/>
  <c r="AT705" i="1"/>
  <c r="AS705" i="1"/>
  <c r="AR705" i="1"/>
  <c r="AQ705" i="1"/>
  <c r="AP705" i="1"/>
  <c r="AO705" i="1"/>
  <c r="AE705" i="1"/>
  <c r="BS704" i="1"/>
  <c r="BR704" i="1"/>
  <c r="BQ704" i="1"/>
  <c r="BP704" i="1"/>
  <c r="BO704" i="1"/>
  <c r="BN704" i="1"/>
  <c r="BM704" i="1"/>
  <c r="BL704" i="1"/>
  <c r="BK704" i="1"/>
  <c r="BJ704" i="1"/>
  <c r="BI704" i="1"/>
  <c r="BH704" i="1"/>
  <c r="BG704" i="1"/>
  <c r="BF704" i="1"/>
  <c r="BE704" i="1"/>
  <c r="BD704" i="1"/>
  <c r="BC704" i="1"/>
  <c r="BB704" i="1"/>
  <c r="BA704" i="1"/>
  <c r="AZ704" i="1"/>
  <c r="AY704" i="1"/>
  <c r="AX704" i="1"/>
  <c r="AW704" i="1"/>
  <c r="AV704" i="1"/>
  <c r="AU704" i="1"/>
  <c r="AT704" i="1"/>
  <c r="AS704" i="1"/>
  <c r="AR704" i="1"/>
  <c r="AQ704" i="1"/>
  <c r="AP704" i="1"/>
  <c r="AO704" i="1"/>
  <c r="AE704" i="1"/>
  <c r="BS703" i="1"/>
  <c r="BR703" i="1"/>
  <c r="BQ703" i="1"/>
  <c r="BP703" i="1"/>
  <c r="BO703" i="1"/>
  <c r="BN703" i="1"/>
  <c r="BM703" i="1"/>
  <c r="BL703" i="1"/>
  <c r="BK703" i="1"/>
  <c r="BJ703" i="1"/>
  <c r="BI703" i="1"/>
  <c r="BH703" i="1"/>
  <c r="BG703" i="1"/>
  <c r="BF703" i="1"/>
  <c r="BE703" i="1"/>
  <c r="BD703" i="1"/>
  <c r="BC703" i="1"/>
  <c r="BB703" i="1"/>
  <c r="BA703" i="1"/>
  <c r="AZ703" i="1"/>
  <c r="AY703" i="1"/>
  <c r="AX703" i="1"/>
  <c r="AW703" i="1"/>
  <c r="AV703" i="1"/>
  <c r="AU703" i="1"/>
  <c r="AT703" i="1"/>
  <c r="AS703" i="1"/>
  <c r="AR703" i="1"/>
  <c r="AQ703" i="1"/>
  <c r="AP703" i="1"/>
  <c r="AO703" i="1"/>
  <c r="AE703" i="1"/>
  <c r="BS702" i="1"/>
  <c r="BR702" i="1"/>
  <c r="BQ702" i="1"/>
  <c r="BP702" i="1"/>
  <c r="BO702" i="1"/>
  <c r="BN702" i="1"/>
  <c r="BM702" i="1"/>
  <c r="BL702" i="1"/>
  <c r="BK702" i="1"/>
  <c r="BJ702" i="1"/>
  <c r="BI702" i="1"/>
  <c r="BH702" i="1"/>
  <c r="BG702" i="1"/>
  <c r="BF702" i="1"/>
  <c r="BE702" i="1"/>
  <c r="BD702" i="1"/>
  <c r="BC702" i="1"/>
  <c r="BB702" i="1"/>
  <c r="BA702" i="1"/>
  <c r="AZ702" i="1"/>
  <c r="AY702" i="1"/>
  <c r="AX702" i="1"/>
  <c r="AW702" i="1"/>
  <c r="AV702" i="1"/>
  <c r="AU702" i="1"/>
  <c r="AT702" i="1"/>
  <c r="AS702" i="1"/>
  <c r="AR702" i="1"/>
  <c r="AQ702" i="1"/>
  <c r="AP702" i="1"/>
  <c r="AO702" i="1"/>
  <c r="AE702" i="1"/>
  <c r="BS701" i="1"/>
  <c r="BR701" i="1"/>
  <c r="BQ701" i="1"/>
  <c r="BP701" i="1"/>
  <c r="BO701" i="1"/>
  <c r="BN701" i="1"/>
  <c r="BM701" i="1"/>
  <c r="BL701" i="1"/>
  <c r="BK701" i="1"/>
  <c r="BJ701" i="1"/>
  <c r="BI701" i="1"/>
  <c r="BH701" i="1"/>
  <c r="BG701" i="1"/>
  <c r="BF701" i="1"/>
  <c r="BE701" i="1"/>
  <c r="BD701" i="1"/>
  <c r="BC701" i="1"/>
  <c r="BB701" i="1"/>
  <c r="BA701" i="1"/>
  <c r="AZ701" i="1"/>
  <c r="AY701" i="1"/>
  <c r="AX701" i="1"/>
  <c r="AW701" i="1"/>
  <c r="AV701" i="1"/>
  <c r="AU701" i="1"/>
  <c r="AT701" i="1"/>
  <c r="AS701" i="1"/>
  <c r="AR701" i="1"/>
  <c r="AQ701" i="1"/>
  <c r="AP701" i="1"/>
  <c r="AO701" i="1"/>
  <c r="AE701" i="1"/>
  <c r="BS700" i="1"/>
  <c r="BR700" i="1"/>
  <c r="BQ700" i="1"/>
  <c r="BP700" i="1"/>
  <c r="BO700" i="1"/>
  <c r="BN700" i="1"/>
  <c r="BM700" i="1"/>
  <c r="BL700" i="1"/>
  <c r="BK700" i="1"/>
  <c r="BJ700" i="1"/>
  <c r="BI700" i="1"/>
  <c r="BH700" i="1"/>
  <c r="BG700" i="1"/>
  <c r="BF700" i="1"/>
  <c r="BE700" i="1"/>
  <c r="BD700" i="1"/>
  <c r="BC700" i="1"/>
  <c r="BB700" i="1"/>
  <c r="BA700" i="1"/>
  <c r="AZ700" i="1"/>
  <c r="AY700" i="1"/>
  <c r="AX700" i="1"/>
  <c r="AW700" i="1"/>
  <c r="AV700" i="1"/>
  <c r="AU700" i="1"/>
  <c r="AT700" i="1"/>
  <c r="AS700" i="1"/>
  <c r="AR700" i="1"/>
  <c r="AQ700" i="1"/>
  <c r="AP700" i="1"/>
  <c r="AO700" i="1"/>
  <c r="AE700" i="1"/>
  <c r="BS699" i="1"/>
  <c r="BR699" i="1"/>
  <c r="BQ699" i="1"/>
  <c r="BP699" i="1"/>
  <c r="BO699" i="1"/>
  <c r="BN699" i="1"/>
  <c r="BM699" i="1"/>
  <c r="BL699" i="1"/>
  <c r="BK699" i="1"/>
  <c r="BJ699" i="1"/>
  <c r="BI699" i="1"/>
  <c r="BH699" i="1"/>
  <c r="BG699" i="1"/>
  <c r="BF699" i="1"/>
  <c r="BE699" i="1"/>
  <c r="BD699" i="1"/>
  <c r="BC699" i="1"/>
  <c r="BB699" i="1"/>
  <c r="BA699" i="1"/>
  <c r="AZ699" i="1"/>
  <c r="AY699" i="1"/>
  <c r="AX699" i="1"/>
  <c r="AW699" i="1"/>
  <c r="AV699" i="1"/>
  <c r="AU699" i="1"/>
  <c r="AT699" i="1"/>
  <c r="AS699" i="1"/>
  <c r="AR699" i="1"/>
  <c r="AQ699" i="1"/>
  <c r="AP699" i="1"/>
  <c r="AO699" i="1"/>
  <c r="AE699" i="1"/>
  <c r="BS698" i="1"/>
  <c r="BR698" i="1"/>
  <c r="BQ698" i="1"/>
  <c r="BP698" i="1"/>
  <c r="BO698" i="1"/>
  <c r="BN698" i="1"/>
  <c r="BM698" i="1"/>
  <c r="BL698" i="1"/>
  <c r="BK698" i="1"/>
  <c r="BJ698" i="1"/>
  <c r="BI698" i="1"/>
  <c r="BH698" i="1"/>
  <c r="BG698" i="1"/>
  <c r="BF698" i="1"/>
  <c r="BE698" i="1"/>
  <c r="BD698" i="1"/>
  <c r="BC698" i="1"/>
  <c r="BB698" i="1"/>
  <c r="BA698" i="1"/>
  <c r="AZ698" i="1"/>
  <c r="AY698" i="1"/>
  <c r="AX698" i="1"/>
  <c r="AW698" i="1"/>
  <c r="AV698" i="1"/>
  <c r="AU698" i="1"/>
  <c r="AT698" i="1"/>
  <c r="AS698" i="1"/>
  <c r="AR698" i="1"/>
  <c r="AQ698" i="1"/>
  <c r="AP698" i="1"/>
  <c r="AO698" i="1"/>
  <c r="AE698" i="1"/>
  <c r="BS697" i="1"/>
  <c r="BR697" i="1"/>
  <c r="BQ697" i="1"/>
  <c r="BP697" i="1"/>
  <c r="BO697" i="1"/>
  <c r="BN697" i="1"/>
  <c r="BM697" i="1"/>
  <c r="BL697" i="1"/>
  <c r="BK697" i="1"/>
  <c r="BJ697" i="1"/>
  <c r="BI697" i="1"/>
  <c r="BH697" i="1"/>
  <c r="BG697" i="1"/>
  <c r="BF697" i="1"/>
  <c r="BE697" i="1"/>
  <c r="BD697" i="1"/>
  <c r="BC697" i="1"/>
  <c r="BB697" i="1"/>
  <c r="BA697" i="1"/>
  <c r="AZ697" i="1"/>
  <c r="AY697" i="1"/>
  <c r="AX697" i="1"/>
  <c r="AW697" i="1"/>
  <c r="AV697" i="1"/>
  <c r="AU697" i="1"/>
  <c r="AT697" i="1"/>
  <c r="AS697" i="1"/>
  <c r="AR697" i="1"/>
  <c r="AQ697" i="1"/>
  <c r="AP697" i="1"/>
  <c r="AO697" i="1"/>
  <c r="AE697" i="1"/>
  <c r="BS696" i="1"/>
  <c r="BR696" i="1"/>
  <c r="BQ696" i="1"/>
  <c r="BP696" i="1"/>
  <c r="BO696" i="1"/>
  <c r="BN696" i="1"/>
  <c r="BM696" i="1"/>
  <c r="BL696" i="1"/>
  <c r="BK696" i="1"/>
  <c r="BJ696" i="1"/>
  <c r="BI696" i="1"/>
  <c r="BH696" i="1"/>
  <c r="BG696" i="1"/>
  <c r="BF696" i="1"/>
  <c r="BE696" i="1"/>
  <c r="BD696" i="1"/>
  <c r="BC696" i="1"/>
  <c r="BB696" i="1"/>
  <c r="BA696" i="1"/>
  <c r="AZ696" i="1"/>
  <c r="AY696" i="1"/>
  <c r="AX696" i="1"/>
  <c r="AW696" i="1"/>
  <c r="AV696" i="1"/>
  <c r="AU696" i="1"/>
  <c r="AT696" i="1"/>
  <c r="AS696" i="1"/>
  <c r="AR696" i="1"/>
  <c r="AQ696" i="1"/>
  <c r="AP696" i="1"/>
  <c r="AO696" i="1"/>
  <c r="AE696" i="1"/>
  <c r="BS695" i="1"/>
  <c r="BR695" i="1"/>
  <c r="BQ695" i="1"/>
  <c r="BP695" i="1"/>
  <c r="BO695" i="1"/>
  <c r="BN695" i="1"/>
  <c r="BM695" i="1"/>
  <c r="BL695" i="1"/>
  <c r="BK695" i="1"/>
  <c r="BJ695" i="1"/>
  <c r="BI695" i="1"/>
  <c r="BH695" i="1"/>
  <c r="BG695" i="1"/>
  <c r="BF695" i="1"/>
  <c r="BE695" i="1"/>
  <c r="BD695" i="1"/>
  <c r="BC695" i="1"/>
  <c r="BB695" i="1"/>
  <c r="BA695" i="1"/>
  <c r="AZ695" i="1"/>
  <c r="AY695" i="1"/>
  <c r="AX695" i="1"/>
  <c r="AW695" i="1"/>
  <c r="AV695" i="1"/>
  <c r="AU695" i="1"/>
  <c r="AT695" i="1"/>
  <c r="AS695" i="1"/>
  <c r="AR695" i="1"/>
  <c r="AQ695" i="1"/>
  <c r="AP695" i="1"/>
  <c r="AO695" i="1"/>
  <c r="AE695" i="1"/>
  <c r="BS694" i="1"/>
  <c r="BR694" i="1"/>
  <c r="BQ694" i="1"/>
  <c r="BP694" i="1"/>
  <c r="BO694" i="1"/>
  <c r="BN694" i="1"/>
  <c r="BM694" i="1"/>
  <c r="BL694" i="1"/>
  <c r="BK694" i="1"/>
  <c r="BJ694" i="1"/>
  <c r="BI694" i="1"/>
  <c r="BH694" i="1"/>
  <c r="BG694" i="1"/>
  <c r="BF694" i="1"/>
  <c r="BE694" i="1"/>
  <c r="BD694" i="1"/>
  <c r="BC694" i="1"/>
  <c r="BB694" i="1"/>
  <c r="BA694" i="1"/>
  <c r="AZ694" i="1"/>
  <c r="AY694" i="1"/>
  <c r="AX694" i="1"/>
  <c r="AW694" i="1"/>
  <c r="AV694" i="1"/>
  <c r="AU694" i="1"/>
  <c r="AT694" i="1"/>
  <c r="AS694" i="1"/>
  <c r="AR694" i="1"/>
  <c r="AQ694" i="1"/>
  <c r="AP694" i="1"/>
  <c r="AO694" i="1"/>
  <c r="AE694" i="1"/>
  <c r="BS693" i="1"/>
  <c r="BR693" i="1"/>
  <c r="BQ693" i="1"/>
  <c r="BP693" i="1"/>
  <c r="BO693" i="1"/>
  <c r="BN693" i="1"/>
  <c r="BM693" i="1"/>
  <c r="BL693" i="1"/>
  <c r="BK693" i="1"/>
  <c r="BJ693" i="1"/>
  <c r="BI693" i="1"/>
  <c r="BH693" i="1"/>
  <c r="BG693" i="1"/>
  <c r="BF693" i="1"/>
  <c r="BE693" i="1"/>
  <c r="BD693" i="1"/>
  <c r="BC693" i="1"/>
  <c r="BB693" i="1"/>
  <c r="BA693" i="1"/>
  <c r="AZ693" i="1"/>
  <c r="AY693" i="1"/>
  <c r="AX693" i="1"/>
  <c r="AW693" i="1"/>
  <c r="AV693" i="1"/>
  <c r="AU693" i="1"/>
  <c r="AT693" i="1"/>
  <c r="AS693" i="1"/>
  <c r="AR693" i="1"/>
  <c r="AQ693" i="1"/>
  <c r="AP693" i="1"/>
  <c r="AO693" i="1"/>
  <c r="AE693" i="1"/>
  <c r="BS692" i="1"/>
  <c r="BR692" i="1"/>
  <c r="BQ692" i="1"/>
  <c r="BP692" i="1"/>
  <c r="BO692" i="1"/>
  <c r="BN692" i="1"/>
  <c r="BM692" i="1"/>
  <c r="BL692" i="1"/>
  <c r="BK692" i="1"/>
  <c r="BJ692" i="1"/>
  <c r="BI692" i="1"/>
  <c r="BH692" i="1"/>
  <c r="BG692" i="1"/>
  <c r="BF692" i="1"/>
  <c r="BE692" i="1"/>
  <c r="BD692" i="1"/>
  <c r="BC692" i="1"/>
  <c r="BB692" i="1"/>
  <c r="BA692" i="1"/>
  <c r="AZ692" i="1"/>
  <c r="AY692" i="1"/>
  <c r="AX692" i="1"/>
  <c r="AW692" i="1"/>
  <c r="AV692" i="1"/>
  <c r="AU692" i="1"/>
  <c r="AT692" i="1"/>
  <c r="AS692" i="1"/>
  <c r="AR692" i="1"/>
  <c r="AQ692" i="1"/>
  <c r="AP692" i="1"/>
  <c r="AO692" i="1"/>
  <c r="AE692" i="1"/>
  <c r="BS691" i="1"/>
  <c r="BR691" i="1"/>
  <c r="BQ691" i="1"/>
  <c r="BP691" i="1"/>
  <c r="BO691" i="1"/>
  <c r="BN691" i="1"/>
  <c r="BM691" i="1"/>
  <c r="BL691" i="1"/>
  <c r="BK691" i="1"/>
  <c r="BJ691" i="1"/>
  <c r="BI691" i="1"/>
  <c r="BH691" i="1"/>
  <c r="BG691" i="1"/>
  <c r="BF691" i="1"/>
  <c r="BE691" i="1"/>
  <c r="BD691" i="1"/>
  <c r="BC691" i="1"/>
  <c r="BB691" i="1"/>
  <c r="BA691" i="1"/>
  <c r="AZ691" i="1"/>
  <c r="AY691" i="1"/>
  <c r="AX691" i="1"/>
  <c r="AW691" i="1"/>
  <c r="AV691" i="1"/>
  <c r="AU691" i="1"/>
  <c r="AT691" i="1"/>
  <c r="AS691" i="1"/>
  <c r="AR691" i="1"/>
  <c r="AQ691" i="1"/>
  <c r="AP691" i="1"/>
  <c r="AO691" i="1"/>
  <c r="AE691" i="1"/>
  <c r="BS690" i="1"/>
  <c r="BR690" i="1"/>
  <c r="BQ690" i="1"/>
  <c r="BP690" i="1"/>
  <c r="BO690" i="1"/>
  <c r="BN690" i="1"/>
  <c r="BM690" i="1"/>
  <c r="BL690" i="1"/>
  <c r="BK690" i="1"/>
  <c r="BJ690" i="1"/>
  <c r="BI690" i="1"/>
  <c r="BH690" i="1"/>
  <c r="BG690" i="1"/>
  <c r="BF690" i="1"/>
  <c r="BE690" i="1"/>
  <c r="BD690" i="1"/>
  <c r="BC690" i="1"/>
  <c r="BB690" i="1"/>
  <c r="BA690" i="1"/>
  <c r="AZ690" i="1"/>
  <c r="AY690" i="1"/>
  <c r="AX690" i="1"/>
  <c r="AW690" i="1"/>
  <c r="AV690" i="1"/>
  <c r="AU690" i="1"/>
  <c r="AT690" i="1"/>
  <c r="AS690" i="1"/>
  <c r="AR690" i="1"/>
  <c r="AQ690" i="1"/>
  <c r="AP690" i="1"/>
  <c r="AO690" i="1"/>
  <c r="AE690" i="1"/>
  <c r="BS689" i="1"/>
  <c r="BR689" i="1"/>
  <c r="BQ689" i="1"/>
  <c r="BP689" i="1"/>
  <c r="BO689" i="1"/>
  <c r="BN689" i="1"/>
  <c r="BM689" i="1"/>
  <c r="BL689" i="1"/>
  <c r="BK689" i="1"/>
  <c r="BJ689" i="1"/>
  <c r="BI689" i="1"/>
  <c r="BH689" i="1"/>
  <c r="BG689" i="1"/>
  <c r="BF689" i="1"/>
  <c r="BE689" i="1"/>
  <c r="BD689" i="1"/>
  <c r="BC689" i="1"/>
  <c r="BB689" i="1"/>
  <c r="BA689" i="1"/>
  <c r="AZ689" i="1"/>
  <c r="AY689" i="1"/>
  <c r="AX689" i="1"/>
  <c r="AW689" i="1"/>
  <c r="AV689" i="1"/>
  <c r="AU689" i="1"/>
  <c r="AT689" i="1"/>
  <c r="AS689" i="1"/>
  <c r="AR689" i="1"/>
  <c r="AQ689" i="1"/>
  <c r="AP689" i="1"/>
  <c r="AO689" i="1"/>
  <c r="AE689" i="1"/>
  <c r="BS688" i="1"/>
  <c r="BR688" i="1"/>
  <c r="BQ688" i="1"/>
  <c r="BP688" i="1"/>
  <c r="BO688" i="1"/>
  <c r="BN688" i="1"/>
  <c r="BM688" i="1"/>
  <c r="BL688" i="1"/>
  <c r="BK688" i="1"/>
  <c r="BJ688" i="1"/>
  <c r="BI688" i="1"/>
  <c r="BH688" i="1"/>
  <c r="BG688" i="1"/>
  <c r="BF688" i="1"/>
  <c r="BE688" i="1"/>
  <c r="BD688" i="1"/>
  <c r="BC688" i="1"/>
  <c r="BB688" i="1"/>
  <c r="BA688" i="1"/>
  <c r="AZ688" i="1"/>
  <c r="AY688" i="1"/>
  <c r="AX688" i="1"/>
  <c r="AW688" i="1"/>
  <c r="AV688" i="1"/>
  <c r="AU688" i="1"/>
  <c r="AT688" i="1"/>
  <c r="AS688" i="1"/>
  <c r="AR688" i="1"/>
  <c r="AQ688" i="1"/>
  <c r="AP688" i="1"/>
  <c r="AO688" i="1"/>
  <c r="AE688" i="1"/>
  <c r="BS687" i="1"/>
  <c r="BR687" i="1"/>
  <c r="BQ687" i="1"/>
  <c r="BP687" i="1"/>
  <c r="BO687" i="1"/>
  <c r="BN687" i="1"/>
  <c r="BM687" i="1"/>
  <c r="BL687" i="1"/>
  <c r="BK687" i="1"/>
  <c r="BJ687" i="1"/>
  <c r="BI687" i="1"/>
  <c r="BH687" i="1"/>
  <c r="BG687" i="1"/>
  <c r="BF687" i="1"/>
  <c r="BE687" i="1"/>
  <c r="BD687" i="1"/>
  <c r="BC687" i="1"/>
  <c r="BB687" i="1"/>
  <c r="BA687" i="1"/>
  <c r="AZ687" i="1"/>
  <c r="AY687" i="1"/>
  <c r="AX687" i="1"/>
  <c r="AW687" i="1"/>
  <c r="AV687" i="1"/>
  <c r="AU687" i="1"/>
  <c r="AT687" i="1"/>
  <c r="AS687" i="1"/>
  <c r="AR687" i="1"/>
  <c r="AQ687" i="1"/>
  <c r="AP687" i="1"/>
  <c r="AO687" i="1"/>
  <c r="AE687" i="1"/>
  <c r="BS686" i="1"/>
  <c r="BR686" i="1"/>
  <c r="BQ686" i="1"/>
  <c r="BP686" i="1"/>
  <c r="BO686" i="1"/>
  <c r="BN686" i="1"/>
  <c r="BM686" i="1"/>
  <c r="BL686" i="1"/>
  <c r="BK686" i="1"/>
  <c r="BJ686" i="1"/>
  <c r="BI686" i="1"/>
  <c r="BH686" i="1"/>
  <c r="BG686" i="1"/>
  <c r="BF686" i="1"/>
  <c r="BE686" i="1"/>
  <c r="BD686" i="1"/>
  <c r="BC686" i="1"/>
  <c r="BB686" i="1"/>
  <c r="BA686" i="1"/>
  <c r="AZ686" i="1"/>
  <c r="AY686" i="1"/>
  <c r="AX686" i="1"/>
  <c r="AW686" i="1"/>
  <c r="AV686" i="1"/>
  <c r="AU686" i="1"/>
  <c r="AT686" i="1"/>
  <c r="AS686" i="1"/>
  <c r="AR686" i="1"/>
  <c r="AQ686" i="1"/>
  <c r="AP686" i="1"/>
  <c r="AO686" i="1"/>
  <c r="AE686" i="1"/>
  <c r="BS685" i="1"/>
  <c r="BR685" i="1"/>
  <c r="BQ685" i="1"/>
  <c r="BP685" i="1"/>
  <c r="BO685" i="1"/>
  <c r="BN685" i="1"/>
  <c r="BM685" i="1"/>
  <c r="BL685" i="1"/>
  <c r="BK685" i="1"/>
  <c r="BJ685" i="1"/>
  <c r="BI685" i="1"/>
  <c r="BH685" i="1"/>
  <c r="BG685" i="1"/>
  <c r="BF685" i="1"/>
  <c r="BE685" i="1"/>
  <c r="BD685" i="1"/>
  <c r="BC685" i="1"/>
  <c r="BB685" i="1"/>
  <c r="BA685" i="1"/>
  <c r="AZ685" i="1"/>
  <c r="AY685" i="1"/>
  <c r="AX685" i="1"/>
  <c r="AW685" i="1"/>
  <c r="AV685" i="1"/>
  <c r="AU685" i="1"/>
  <c r="AT685" i="1"/>
  <c r="AS685" i="1"/>
  <c r="AR685" i="1"/>
  <c r="AQ685" i="1"/>
  <c r="AP685" i="1"/>
  <c r="AO685" i="1"/>
  <c r="AE685" i="1"/>
  <c r="BS684" i="1"/>
  <c r="BR684" i="1"/>
  <c r="BQ684" i="1"/>
  <c r="BP684" i="1"/>
  <c r="BO684" i="1"/>
  <c r="BN684" i="1"/>
  <c r="BM684" i="1"/>
  <c r="BL684" i="1"/>
  <c r="BK684" i="1"/>
  <c r="BJ684" i="1"/>
  <c r="BI684" i="1"/>
  <c r="BH684" i="1"/>
  <c r="BG684" i="1"/>
  <c r="BF684" i="1"/>
  <c r="BE684" i="1"/>
  <c r="BD684" i="1"/>
  <c r="BC684" i="1"/>
  <c r="BB684" i="1"/>
  <c r="BA684" i="1"/>
  <c r="AZ684" i="1"/>
  <c r="AY684" i="1"/>
  <c r="AX684" i="1"/>
  <c r="AW684" i="1"/>
  <c r="AV684" i="1"/>
  <c r="AU684" i="1"/>
  <c r="AT684" i="1"/>
  <c r="AS684" i="1"/>
  <c r="AR684" i="1"/>
  <c r="AQ684" i="1"/>
  <c r="AP684" i="1"/>
  <c r="AO684" i="1"/>
  <c r="AE684" i="1"/>
  <c r="BS683" i="1"/>
  <c r="BR683" i="1"/>
  <c r="BQ683" i="1"/>
  <c r="BP683" i="1"/>
  <c r="BO683" i="1"/>
  <c r="BN683" i="1"/>
  <c r="BM683" i="1"/>
  <c r="BL683" i="1"/>
  <c r="BK683" i="1"/>
  <c r="BJ683" i="1"/>
  <c r="BI683" i="1"/>
  <c r="BH683" i="1"/>
  <c r="BG683" i="1"/>
  <c r="BF683" i="1"/>
  <c r="BE683" i="1"/>
  <c r="BD683" i="1"/>
  <c r="BC683" i="1"/>
  <c r="BB683" i="1"/>
  <c r="BA683" i="1"/>
  <c r="AZ683" i="1"/>
  <c r="AY683" i="1"/>
  <c r="AX683" i="1"/>
  <c r="AW683" i="1"/>
  <c r="AV683" i="1"/>
  <c r="AU683" i="1"/>
  <c r="AT683" i="1"/>
  <c r="AS683" i="1"/>
  <c r="AR683" i="1"/>
  <c r="AQ683" i="1"/>
  <c r="AP683" i="1"/>
  <c r="AO683" i="1"/>
  <c r="AE683" i="1"/>
  <c r="BS682" i="1"/>
  <c r="BR682" i="1"/>
  <c r="BQ682" i="1"/>
  <c r="BP682" i="1"/>
  <c r="BO682" i="1"/>
  <c r="BN682" i="1"/>
  <c r="BM682" i="1"/>
  <c r="BL682" i="1"/>
  <c r="BK682" i="1"/>
  <c r="BJ682" i="1"/>
  <c r="BI682" i="1"/>
  <c r="BH682" i="1"/>
  <c r="BG682" i="1"/>
  <c r="BF682" i="1"/>
  <c r="BE682" i="1"/>
  <c r="BD682" i="1"/>
  <c r="BC682" i="1"/>
  <c r="BB682" i="1"/>
  <c r="BA682" i="1"/>
  <c r="AZ682" i="1"/>
  <c r="AY682" i="1"/>
  <c r="AX682" i="1"/>
  <c r="AW682" i="1"/>
  <c r="AV682" i="1"/>
  <c r="AU682" i="1"/>
  <c r="AT682" i="1"/>
  <c r="AS682" i="1"/>
  <c r="AR682" i="1"/>
  <c r="AQ682" i="1"/>
  <c r="AP682" i="1"/>
  <c r="AO682" i="1"/>
  <c r="AE682" i="1"/>
  <c r="BS681" i="1"/>
  <c r="BR681" i="1"/>
  <c r="BQ681" i="1"/>
  <c r="BP681" i="1"/>
  <c r="BO681" i="1"/>
  <c r="BN681" i="1"/>
  <c r="BM681" i="1"/>
  <c r="BL681" i="1"/>
  <c r="BK681" i="1"/>
  <c r="BJ681" i="1"/>
  <c r="BI681" i="1"/>
  <c r="BH681" i="1"/>
  <c r="BG681" i="1"/>
  <c r="BF681" i="1"/>
  <c r="BE681" i="1"/>
  <c r="BD681" i="1"/>
  <c r="BC681" i="1"/>
  <c r="BB681" i="1"/>
  <c r="BA681" i="1"/>
  <c r="AZ681" i="1"/>
  <c r="AY681" i="1"/>
  <c r="AX681" i="1"/>
  <c r="AW681" i="1"/>
  <c r="AV681" i="1"/>
  <c r="AU681" i="1"/>
  <c r="AT681" i="1"/>
  <c r="AS681" i="1"/>
  <c r="AR681" i="1"/>
  <c r="AQ681" i="1"/>
  <c r="AP681" i="1"/>
  <c r="AO681" i="1"/>
  <c r="AE681" i="1"/>
  <c r="BS680" i="1"/>
  <c r="BR680" i="1"/>
  <c r="BQ680" i="1"/>
  <c r="BP680" i="1"/>
  <c r="BO680" i="1"/>
  <c r="BN680" i="1"/>
  <c r="BM680" i="1"/>
  <c r="BL680" i="1"/>
  <c r="BK680" i="1"/>
  <c r="BJ680" i="1"/>
  <c r="BI680" i="1"/>
  <c r="BH680" i="1"/>
  <c r="BG680" i="1"/>
  <c r="BF680" i="1"/>
  <c r="BE680" i="1"/>
  <c r="BD680" i="1"/>
  <c r="BC680" i="1"/>
  <c r="BB680" i="1"/>
  <c r="BA680" i="1"/>
  <c r="AZ680" i="1"/>
  <c r="AY680" i="1"/>
  <c r="AX680" i="1"/>
  <c r="AW680" i="1"/>
  <c r="AV680" i="1"/>
  <c r="AU680" i="1"/>
  <c r="AT680" i="1"/>
  <c r="AS680" i="1"/>
  <c r="AR680" i="1"/>
  <c r="AQ680" i="1"/>
  <c r="AP680" i="1"/>
  <c r="AO680" i="1"/>
  <c r="AE680" i="1"/>
  <c r="BS679" i="1"/>
  <c r="BR679" i="1"/>
  <c r="BQ679" i="1"/>
  <c r="BP679" i="1"/>
  <c r="BO679" i="1"/>
  <c r="BN679" i="1"/>
  <c r="BM679" i="1"/>
  <c r="BL679" i="1"/>
  <c r="BK679" i="1"/>
  <c r="BJ679" i="1"/>
  <c r="BI679" i="1"/>
  <c r="BH679" i="1"/>
  <c r="BG679" i="1"/>
  <c r="BF679" i="1"/>
  <c r="BE679" i="1"/>
  <c r="BD679" i="1"/>
  <c r="BC679" i="1"/>
  <c r="BB679" i="1"/>
  <c r="BA679" i="1"/>
  <c r="AZ679" i="1"/>
  <c r="AY679" i="1"/>
  <c r="AX679" i="1"/>
  <c r="AW679" i="1"/>
  <c r="AV679" i="1"/>
  <c r="AU679" i="1"/>
  <c r="AT679" i="1"/>
  <c r="AS679" i="1"/>
  <c r="AR679" i="1"/>
  <c r="AQ679" i="1"/>
  <c r="AP679" i="1"/>
  <c r="AO679" i="1"/>
  <c r="AE679" i="1"/>
  <c r="BS678" i="1"/>
  <c r="BR678" i="1"/>
  <c r="BQ678" i="1"/>
  <c r="BP678" i="1"/>
  <c r="BO678" i="1"/>
  <c r="BN678" i="1"/>
  <c r="BM678" i="1"/>
  <c r="BL678" i="1"/>
  <c r="BK678" i="1"/>
  <c r="BJ678" i="1"/>
  <c r="BI678" i="1"/>
  <c r="BH678" i="1"/>
  <c r="BG678" i="1"/>
  <c r="BF678" i="1"/>
  <c r="BE678" i="1"/>
  <c r="BD678" i="1"/>
  <c r="BC678" i="1"/>
  <c r="BB678" i="1"/>
  <c r="BA678" i="1"/>
  <c r="AZ678" i="1"/>
  <c r="AY678" i="1"/>
  <c r="AX678" i="1"/>
  <c r="AW678" i="1"/>
  <c r="AV678" i="1"/>
  <c r="AU678" i="1"/>
  <c r="AT678" i="1"/>
  <c r="AS678" i="1"/>
  <c r="AR678" i="1"/>
  <c r="AQ678" i="1"/>
  <c r="AP678" i="1"/>
  <c r="AO678" i="1"/>
  <c r="AE678" i="1"/>
  <c r="BS677" i="1"/>
  <c r="BR677" i="1"/>
  <c r="BQ677" i="1"/>
  <c r="BP677" i="1"/>
  <c r="BO677" i="1"/>
  <c r="BN677" i="1"/>
  <c r="BM677" i="1"/>
  <c r="BL677" i="1"/>
  <c r="BK677" i="1"/>
  <c r="BJ677" i="1"/>
  <c r="BI677" i="1"/>
  <c r="BH677" i="1"/>
  <c r="BG677" i="1"/>
  <c r="BF677" i="1"/>
  <c r="BE677" i="1"/>
  <c r="BD677" i="1"/>
  <c r="BC677" i="1"/>
  <c r="BB677" i="1"/>
  <c r="BA677" i="1"/>
  <c r="AZ677" i="1"/>
  <c r="AY677" i="1"/>
  <c r="AX677" i="1"/>
  <c r="AW677" i="1"/>
  <c r="AV677" i="1"/>
  <c r="AU677" i="1"/>
  <c r="AT677" i="1"/>
  <c r="AS677" i="1"/>
  <c r="AR677" i="1"/>
  <c r="AQ677" i="1"/>
  <c r="AP677" i="1"/>
  <c r="AO677" i="1"/>
  <c r="AE677" i="1"/>
  <c r="BS676" i="1"/>
  <c r="BR676" i="1"/>
  <c r="BQ676" i="1"/>
  <c r="BP676" i="1"/>
  <c r="BO676" i="1"/>
  <c r="BN676" i="1"/>
  <c r="BM676" i="1"/>
  <c r="BL676" i="1"/>
  <c r="BK676" i="1"/>
  <c r="BJ676" i="1"/>
  <c r="BI676" i="1"/>
  <c r="BH676" i="1"/>
  <c r="BG676" i="1"/>
  <c r="BF676" i="1"/>
  <c r="BE676" i="1"/>
  <c r="BD676" i="1"/>
  <c r="BC676" i="1"/>
  <c r="BB676" i="1"/>
  <c r="BA676" i="1"/>
  <c r="AZ676" i="1"/>
  <c r="AY676" i="1"/>
  <c r="AX676" i="1"/>
  <c r="AW676" i="1"/>
  <c r="AV676" i="1"/>
  <c r="AU676" i="1"/>
  <c r="AT676" i="1"/>
  <c r="AS676" i="1"/>
  <c r="AR676" i="1"/>
  <c r="AQ676" i="1"/>
  <c r="AP676" i="1"/>
  <c r="AO676" i="1"/>
  <c r="AE676" i="1"/>
  <c r="BS675" i="1"/>
  <c r="BR675" i="1"/>
  <c r="BQ675" i="1"/>
  <c r="BP675" i="1"/>
  <c r="BO675" i="1"/>
  <c r="BN675" i="1"/>
  <c r="BM675" i="1"/>
  <c r="BL675" i="1"/>
  <c r="BK675" i="1"/>
  <c r="BJ675" i="1"/>
  <c r="BI675" i="1"/>
  <c r="BH675" i="1"/>
  <c r="BG675" i="1"/>
  <c r="BF675" i="1"/>
  <c r="BE675" i="1"/>
  <c r="BD675" i="1"/>
  <c r="BC675" i="1"/>
  <c r="BB675" i="1"/>
  <c r="BA675" i="1"/>
  <c r="AZ675" i="1"/>
  <c r="AY675" i="1"/>
  <c r="AX675" i="1"/>
  <c r="AW675" i="1"/>
  <c r="AV675" i="1"/>
  <c r="AU675" i="1"/>
  <c r="AT675" i="1"/>
  <c r="AS675" i="1"/>
  <c r="AR675" i="1"/>
  <c r="AQ675" i="1"/>
  <c r="AP675" i="1"/>
  <c r="AO675" i="1"/>
  <c r="AE675" i="1"/>
  <c r="BS674" i="1"/>
  <c r="BR674" i="1"/>
  <c r="BQ674" i="1"/>
  <c r="BP674" i="1"/>
  <c r="BO674" i="1"/>
  <c r="BN674" i="1"/>
  <c r="BM674" i="1"/>
  <c r="BL674" i="1"/>
  <c r="BK674" i="1"/>
  <c r="BJ674" i="1"/>
  <c r="BI674" i="1"/>
  <c r="BH674" i="1"/>
  <c r="BG674" i="1"/>
  <c r="BF674" i="1"/>
  <c r="BE674" i="1"/>
  <c r="BD674" i="1"/>
  <c r="BC674" i="1"/>
  <c r="BB674" i="1"/>
  <c r="BA674" i="1"/>
  <c r="AZ674" i="1"/>
  <c r="AY674" i="1"/>
  <c r="AX674" i="1"/>
  <c r="AW674" i="1"/>
  <c r="AV674" i="1"/>
  <c r="AU674" i="1"/>
  <c r="AT674" i="1"/>
  <c r="AS674" i="1"/>
  <c r="AR674" i="1"/>
  <c r="AQ674" i="1"/>
  <c r="AP674" i="1"/>
  <c r="AO674" i="1"/>
  <c r="AE674" i="1"/>
  <c r="BS673" i="1"/>
  <c r="BR673" i="1"/>
  <c r="BQ673" i="1"/>
  <c r="BP673" i="1"/>
  <c r="BO673" i="1"/>
  <c r="BN673" i="1"/>
  <c r="BM673" i="1"/>
  <c r="BL673" i="1"/>
  <c r="BK673" i="1"/>
  <c r="BJ673" i="1"/>
  <c r="BI673" i="1"/>
  <c r="BH673" i="1"/>
  <c r="BG673" i="1"/>
  <c r="BF673" i="1"/>
  <c r="BE673" i="1"/>
  <c r="BD673" i="1"/>
  <c r="BC673" i="1"/>
  <c r="BB673" i="1"/>
  <c r="BA673" i="1"/>
  <c r="AZ673" i="1"/>
  <c r="AY673" i="1"/>
  <c r="AX673" i="1"/>
  <c r="AW673" i="1"/>
  <c r="AV673" i="1"/>
  <c r="AU673" i="1"/>
  <c r="AT673" i="1"/>
  <c r="AS673" i="1"/>
  <c r="AR673" i="1"/>
  <c r="AQ673" i="1"/>
  <c r="AP673" i="1"/>
  <c r="AO673" i="1"/>
  <c r="AE673" i="1"/>
  <c r="BS672" i="1"/>
  <c r="BR672" i="1"/>
  <c r="BQ672" i="1"/>
  <c r="BP672" i="1"/>
  <c r="BO672" i="1"/>
  <c r="BN672" i="1"/>
  <c r="BM672" i="1"/>
  <c r="BL672" i="1"/>
  <c r="BK672" i="1"/>
  <c r="BJ672" i="1"/>
  <c r="BI672" i="1"/>
  <c r="BH672" i="1"/>
  <c r="BG672" i="1"/>
  <c r="BF672" i="1"/>
  <c r="BE672" i="1"/>
  <c r="BD672" i="1"/>
  <c r="BC672" i="1"/>
  <c r="BB672" i="1"/>
  <c r="BA672" i="1"/>
  <c r="AZ672" i="1"/>
  <c r="AY672" i="1"/>
  <c r="AX672" i="1"/>
  <c r="AW672" i="1"/>
  <c r="AV672" i="1"/>
  <c r="AU672" i="1"/>
  <c r="AT672" i="1"/>
  <c r="AS672" i="1"/>
  <c r="AR672" i="1"/>
  <c r="AQ672" i="1"/>
  <c r="AP672" i="1"/>
  <c r="AO672" i="1"/>
  <c r="AE672" i="1"/>
  <c r="BS671" i="1"/>
  <c r="BR671" i="1"/>
  <c r="BQ671" i="1"/>
  <c r="BP671" i="1"/>
  <c r="BO671" i="1"/>
  <c r="BN671" i="1"/>
  <c r="BM671" i="1"/>
  <c r="BL671" i="1"/>
  <c r="BK671" i="1"/>
  <c r="BJ671" i="1"/>
  <c r="BI671" i="1"/>
  <c r="BH671" i="1"/>
  <c r="BG671" i="1"/>
  <c r="BF671" i="1"/>
  <c r="BE671" i="1"/>
  <c r="BD671" i="1"/>
  <c r="BC671" i="1"/>
  <c r="BB671" i="1"/>
  <c r="BA671" i="1"/>
  <c r="AZ671" i="1"/>
  <c r="AY671" i="1"/>
  <c r="AX671" i="1"/>
  <c r="AW671" i="1"/>
  <c r="AV671" i="1"/>
  <c r="AU671" i="1"/>
  <c r="AT671" i="1"/>
  <c r="AS671" i="1"/>
  <c r="AR671" i="1"/>
  <c r="AQ671" i="1"/>
  <c r="AP671" i="1"/>
  <c r="AO671" i="1"/>
  <c r="AE671" i="1"/>
  <c r="BS670" i="1"/>
  <c r="BR670" i="1"/>
  <c r="BQ670" i="1"/>
  <c r="BP670" i="1"/>
  <c r="BO670" i="1"/>
  <c r="BN670" i="1"/>
  <c r="BM670" i="1"/>
  <c r="BL670" i="1"/>
  <c r="BK670" i="1"/>
  <c r="BJ670" i="1"/>
  <c r="BI670" i="1"/>
  <c r="BH670" i="1"/>
  <c r="BG670" i="1"/>
  <c r="BF670" i="1"/>
  <c r="BE670" i="1"/>
  <c r="BD670" i="1"/>
  <c r="BC670" i="1"/>
  <c r="BB670" i="1"/>
  <c r="BA670" i="1"/>
  <c r="AZ670" i="1"/>
  <c r="AY670" i="1"/>
  <c r="AX670" i="1"/>
  <c r="AW670" i="1"/>
  <c r="AV670" i="1"/>
  <c r="AU670" i="1"/>
  <c r="AT670" i="1"/>
  <c r="AS670" i="1"/>
  <c r="AR670" i="1"/>
  <c r="AQ670" i="1"/>
  <c r="AP670" i="1"/>
  <c r="AO670" i="1"/>
  <c r="AE670" i="1"/>
  <c r="BS669" i="1"/>
  <c r="BR669" i="1"/>
  <c r="BQ669" i="1"/>
  <c r="BP669" i="1"/>
  <c r="BO669" i="1"/>
  <c r="BN669" i="1"/>
  <c r="BM669" i="1"/>
  <c r="BL669" i="1"/>
  <c r="BK669" i="1"/>
  <c r="BJ669" i="1"/>
  <c r="BI669" i="1"/>
  <c r="BH669" i="1"/>
  <c r="BG669" i="1"/>
  <c r="BF669" i="1"/>
  <c r="BE669" i="1"/>
  <c r="BD669" i="1"/>
  <c r="BC669" i="1"/>
  <c r="BB669" i="1"/>
  <c r="BA669" i="1"/>
  <c r="AZ669" i="1"/>
  <c r="AY669" i="1"/>
  <c r="AX669" i="1"/>
  <c r="AW669" i="1"/>
  <c r="AV669" i="1"/>
  <c r="AU669" i="1"/>
  <c r="AT669" i="1"/>
  <c r="AS669" i="1"/>
  <c r="AR669" i="1"/>
  <c r="AQ669" i="1"/>
  <c r="AP669" i="1"/>
  <c r="AO669" i="1"/>
  <c r="AE669" i="1"/>
  <c r="BS668" i="1"/>
  <c r="BR668" i="1"/>
  <c r="BQ668" i="1"/>
  <c r="BP668" i="1"/>
  <c r="BO668" i="1"/>
  <c r="BN668" i="1"/>
  <c r="BM668" i="1"/>
  <c r="BL668" i="1"/>
  <c r="BK668" i="1"/>
  <c r="BJ668" i="1"/>
  <c r="BI668" i="1"/>
  <c r="BH668" i="1"/>
  <c r="BG668" i="1"/>
  <c r="BF668" i="1"/>
  <c r="BE668" i="1"/>
  <c r="BD668" i="1"/>
  <c r="BC668" i="1"/>
  <c r="BB668" i="1"/>
  <c r="BA668" i="1"/>
  <c r="AZ668" i="1"/>
  <c r="AY668" i="1"/>
  <c r="AX668" i="1"/>
  <c r="AW668" i="1"/>
  <c r="AV668" i="1"/>
  <c r="AU668" i="1"/>
  <c r="AT668" i="1"/>
  <c r="AS668" i="1"/>
  <c r="AR668" i="1"/>
  <c r="AQ668" i="1"/>
  <c r="AP668" i="1"/>
  <c r="AO668" i="1"/>
  <c r="AE668" i="1"/>
  <c r="BS667" i="1"/>
  <c r="BR667" i="1"/>
  <c r="BQ667" i="1"/>
  <c r="BP667" i="1"/>
  <c r="BO667" i="1"/>
  <c r="BN667" i="1"/>
  <c r="BM667" i="1"/>
  <c r="BL667" i="1"/>
  <c r="BK667" i="1"/>
  <c r="BJ667" i="1"/>
  <c r="BI667" i="1"/>
  <c r="BH667" i="1"/>
  <c r="BG667" i="1"/>
  <c r="BF667" i="1"/>
  <c r="BE667" i="1"/>
  <c r="BD667" i="1"/>
  <c r="BC667" i="1"/>
  <c r="BB667" i="1"/>
  <c r="BA667" i="1"/>
  <c r="AZ667" i="1"/>
  <c r="AY667" i="1"/>
  <c r="AX667" i="1"/>
  <c r="AW667" i="1"/>
  <c r="AV667" i="1"/>
  <c r="AU667" i="1"/>
  <c r="AT667" i="1"/>
  <c r="AS667" i="1"/>
  <c r="AR667" i="1"/>
  <c r="AQ667" i="1"/>
  <c r="AP667" i="1"/>
  <c r="AO667" i="1"/>
  <c r="AE667" i="1"/>
  <c r="BS666" i="1"/>
  <c r="BR666" i="1"/>
  <c r="BQ666" i="1"/>
  <c r="BP666" i="1"/>
  <c r="BO666" i="1"/>
  <c r="BN666" i="1"/>
  <c r="BM666" i="1"/>
  <c r="BL666" i="1"/>
  <c r="BK666" i="1"/>
  <c r="BJ666" i="1"/>
  <c r="BI666" i="1"/>
  <c r="BH666" i="1"/>
  <c r="BG666" i="1"/>
  <c r="BF666" i="1"/>
  <c r="BE666" i="1"/>
  <c r="BD666" i="1"/>
  <c r="BC666" i="1"/>
  <c r="BB666" i="1"/>
  <c r="BA666" i="1"/>
  <c r="AZ666" i="1"/>
  <c r="AY666" i="1"/>
  <c r="AX666" i="1"/>
  <c r="AW666" i="1"/>
  <c r="AV666" i="1"/>
  <c r="AU666" i="1"/>
  <c r="AT666" i="1"/>
  <c r="AS666" i="1"/>
  <c r="AR666" i="1"/>
  <c r="AQ666" i="1"/>
  <c r="AP666" i="1"/>
  <c r="AO666" i="1"/>
  <c r="AE666" i="1"/>
  <c r="BS665" i="1"/>
  <c r="BR665" i="1"/>
  <c r="BQ665" i="1"/>
  <c r="BP665" i="1"/>
  <c r="BO665" i="1"/>
  <c r="BN665" i="1"/>
  <c r="BM665" i="1"/>
  <c r="BL665" i="1"/>
  <c r="BK665" i="1"/>
  <c r="BJ665" i="1"/>
  <c r="BI665" i="1"/>
  <c r="BH665" i="1"/>
  <c r="BG665" i="1"/>
  <c r="BF665" i="1"/>
  <c r="BE665" i="1"/>
  <c r="BD665" i="1"/>
  <c r="BC665" i="1"/>
  <c r="BB665" i="1"/>
  <c r="BA665" i="1"/>
  <c r="AZ665" i="1"/>
  <c r="AY665" i="1"/>
  <c r="AX665" i="1"/>
  <c r="AW665" i="1"/>
  <c r="AV665" i="1"/>
  <c r="AU665" i="1"/>
  <c r="AT665" i="1"/>
  <c r="AS665" i="1"/>
  <c r="AR665" i="1"/>
  <c r="AQ665" i="1"/>
  <c r="AP665" i="1"/>
  <c r="AO665" i="1"/>
  <c r="AE665" i="1"/>
  <c r="BS664" i="1"/>
  <c r="BR664" i="1"/>
  <c r="BQ664" i="1"/>
  <c r="BP664" i="1"/>
  <c r="BO664" i="1"/>
  <c r="BN664" i="1"/>
  <c r="BM664" i="1"/>
  <c r="BL664" i="1"/>
  <c r="BK664" i="1"/>
  <c r="BJ664" i="1"/>
  <c r="BI664" i="1"/>
  <c r="BH664" i="1"/>
  <c r="BG664" i="1"/>
  <c r="BF664" i="1"/>
  <c r="BE664" i="1"/>
  <c r="BD664" i="1"/>
  <c r="BC664" i="1"/>
  <c r="BB664" i="1"/>
  <c r="BA664" i="1"/>
  <c r="AZ664" i="1"/>
  <c r="AY664" i="1"/>
  <c r="AX664" i="1"/>
  <c r="AW664" i="1"/>
  <c r="AV664" i="1"/>
  <c r="AU664" i="1"/>
  <c r="AT664" i="1"/>
  <c r="AS664" i="1"/>
  <c r="AR664" i="1"/>
  <c r="AQ664" i="1"/>
  <c r="AP664" i="1"/>
  <c r="AO664" i="1"/>
  <c r="AE664" i="1"/>
  <c r="BS663" i="1"/>
  <c r="BR663" i="1"/>
  <c r="BQ663" i="1"/>
  <c r="BP663" i="1"/>
  <c r="BO663" i="1"/>
  <c r="BN663" i="1"/>
  <c r="BM663" i="1"/>
  <c r="BL663" i="1"/>
  <c r="BK663" i="1"/>
  <c r="BJ663" i="1"/>
  <c r="BI663" i="1"/>
  <c r="BH663" i="1"/>
  <c r="BG663" i="1"/>
  <c r="BF663" i="1"/>
  <c r="BE663" i="1"/>
  <c r="BD663" i="1"/>
  <c r="BC663" i="1"/>
  <c r="BB663" i="1"/>
  <c r="BA663" i="1"/>
  <c r="AZ663" i="1"/>
  <c r="AY663" i="1"/>
  <c r="AX663" i="1"/>
  <c r="AW663" i="1"/>
  <c r="AV663" i="1"/>
  <c r="AU663" i="1"/>
  <c r="AT663" i="1"/>
  <c r="AS663" i="1"/>
  <c r="AR663" i="1"/>
  <c r="AQ663" i="1"/>
  <c r="AP663" i="1"/>
  <c r="AO663" i="1"/>
  <c r="AE663" i="1"/>
  <c r="BS662" i="1"/>
  <c r="BR662" i="1"/>
  <c r="BQ662" i="1"/>
  <c r="BP662" i="1"/>
  <c r="BO662" i="1"/>
  <c r="BN662" i="1"/>
  <c r="BM662" i="1"/>
  <c r="BL662" i="1"/>
  <c r="BK662" i="1"/>
  <c r="BJ662" i="1"/>
  <c r="BI662" i="1"/>
  <c r="BH662" i="1"/>
  <c r="BG662" i="1"/>
  <c r="BF662" i="1"/>
  <c r="BE662" i="1"/>
  <c r="BD662" i="1"/>
  <c r="BC662" i="1"/>
  <c r="BB662" i="1"/>
  <c r="BA662" i="1"/>
  <c r="AZ662" i="1"/>
  <c r="AY662" i="1"/>
  <c r="AX662" i="1"/>
  <c r="AW662" i="1"/>
  <c r="AV662" i="1"/>
  <c r="AU662" i="1"/>
  <c r="AT662" i="1"/>
  <c r="AS662" i="1"/>
  <c r="AR662" i="1"/>
  <c r="AQ662" i="1"/>
  <c r="AP662" i="1"/>
  <c r="AO662" i="1"/>
  <c r="AE662" i="1"/>
  <c r="BS661" i="1"/>
  <c r="BR661" i="1"/>
  <c r="BQ661" i="1"/>
  <c r="BP661" i="1"/>
  <c r="BO661" i="1"/>
  <c r="BN661" i="1"/>
  <c r="BM661" i="1"/>
  <c r="BL661" i="1"/>
  <c r="BK661" i="1"/>
  <c r="BJ661" i="1"/>
  <c r="BI661" i="1"/>
  <c r="BH661" i="1"/>
  <c r="BG661" i="1"/>
  <c r="BF661" i="1"/>
  <c r="BE661" i="1"/>
  <c r="BD661" i="1"/>
  <c r="BC661" i="1"/>
  <c r="BB661" i="1"/>
  <c r="BA661" i="1"/>
  <c r="AZ661" i="1"/>
  <c r="AY661" i="1"/>
  <c r="AX661" i="1"/>
  <c r="AW661" i="1"/>
  <c r="AV661" i="1"/>
  <c r="AU661" i="1"/>
  <c r="AT661" i="1"/>
  <c r="AS661" i="1"/>
  <c r="AR661" i="1"/>
  <c r="AQ661" i="1"/>
  <c r="AP661" i="1"/>
  <c r="AO661" i="1"/>
  <c r="AE661" i="1"/>
  <c r="BS660" i="1"/>
  <c r="BR660" i="1"/>
  <c r="BQ660" i="1"/>
  <c r="BP660" i="1"/>
  <c r="BO660" i="1"/>
  <c r="BN660" i="1"/>
  <c r="BM660" i="1"/>
  <c r="BL660" i="1"/>
  <c r="BK660" i="1"/>
  <c r="BJ660" i="1"/>
  <c r="BI660" i="1"/>
  <c r="BH660" i="1"/>
  <c r="BG660" i="1"/>
  <c r="BF660" i="1"/>
  <c r="BE660" i="1"/>
  <c r="BD660" i="1"/>
  <c r="BC660" i="1"/>
  <c r="BB660" i="1"/>
  <c r="BA660" i="1"/>
  <c r="AZ660" i="1"/>
  <c r="AY660" i="1"/>
  <c r="AX660" i="1"/>
  <c r="AW660" i="1"/>
  <c r="AV660" i="1"/>
  <c r="AU660" i="1"/>
  <c r="AT660" i="1"/>
  <c r="AS660" i="1"/>
  <c r="AR660" i="1"/>
  <c r="AQ660" i="1"/>
  <c r="AP660" i="1"/>
  <c r="AO660" i="1"/>
  <c r="AE660" i="1"/>
  <c r="BS659" i="1"/>
  <c r="BR659" i="1"/>
  <c r="BQ659" i="1"/>
  <c r="BP659" i="1"/>
  <c r="BO659" i="1"/>
  <c r="BN659" i="1"/>
  <c r="BM659" i="1"/>
  <c r="BL659" i="1"/>
  <c r="BK659" i="1"/>
  <c r="BJ659" i="1"/>
  <c r="BI659" i="1"/>
  <c r="BH659" i="1"/>
  <c r="BG659" i="1"/>
  <c r="BF659" i="1"/>
  <c r="BE659" i="1"/>
  <c r="BD659" i="1"/>
  <c r="BC659" i="1"/>
  <c r="BB659" i="1"/>
  <c r="BA659" i="1"/>
  <c r="AZ659" i="1"/>
  <c r="AY659" i="1"/>
  <c r="AX659" i="1"/>
  <c r="AW659" i="1"/>
  <c r="AV659" i="1"/>
  <c r="AU659" i="1"/>
  <c r="AT659" i="1"/>
  <c r="AS659" i="1"/>
  <c r="AR659" i="1"/>
  <c r="AQ659" i="1"/>
  <c r="AP659" i="1"/>
  <c r="AO659" i="1"/>
  <c r="AE659" i="1"/>
  <c r="BS658" i="1"/>
  <c r="BR658" i="1"/>
  <c r="BQ658" i="1"/>
  <c r="BP658" i="1"/>
  <c r="BO658" i="1"/>
  <c r="BN658" i="1"/>
  <c r="BM658" i="1"/>
  <c r="BL658" i="1"/>
  <c r="BK658" i="1"/>
  <c r="BJ658" i="1"/>
  <c r="BI658" i="1"/>
  <c r="BH658" i="1"/>
  <c r="BG658" i="1"/>
  <c r="BF658" i="1"/>
  <c r="BE658" i="1"/>
  <c r="BD658" i="1"/>
  <c r="BC658" i="1"/>
  <c r="BB658" i="1"/>
  <c r="BA658" i="1"/>
  <c r="AZ658" i="1"/>
  <c r="AY658" i="1"/>
  <c r="AX658" i="1"/>
  <c r="AW658" i="1"/>
  <c r="AV658" i="1"/>
  <c r="AU658" i="1"/>
  <c r="AT658" i="1"/>
  <c r="AS658" i="1"/>
  <c r="AR658" i="1"/>
  <c r="AQ658" i="1"/>
  <c r="AP658" i="1"/>
  <c r="AO658" i="1"/>
  <c r="AE658" i="1"/>
  <c r="BS657" i="1"/>
  <c r="BR657" i="1"/>
  <c r="BQ657" i="1"/>
  <c r="BP657" i="1"/>
  <c r="BO657" i="1"/>
  <c r="BN657" i="1"/>
  <c r="BM657" i="1"/>
  <c r="BL657" i="1"/>
  <c r="BK657" i="1"/>
  <c r="BJ657" i="1"/>
  <c r="BI657" i="1"/>
  <c r="BH657" i="1"/>
  <c r="BG657" i="1"/>
  <c r="BF657" i="1"/>
  <c r="BE657" i="1"/>
  <c r="BD657" i="1"/>
  <c r="BC657" i="1"/>
  <c r="BB657" i="1"/>
  <c r="BA657" i="1"/>
  <c r="AZ657" i="1"/>
  <c r="AY657" i="1"/>
  <c r="AX657" i="1"/>
  <c r="AW657" i="1"/>
  <c r="AV657" i="1"/>
  <c r="AU657" i="1"/>
  <c r="AT657" i="1"/>
  <c r="AS657" i="1"/>
  <c r="AR657" i="1"/>
  <c r="AQ657" i="1"/>
  <c r="AP657" i="1"/>
  <c r="AO657" i="1"/>
  <c r="AE657" i="1"/>
  <c r="BS656" i="1"/>
  <c r="BR656" i="1"/>
  <c r="BQ656" i="1"/>
  <c r="BP656" i="1"/>
  <c r="BO656" i="1"/>
  <c r="BN656" i="1"/>
  <c r="BM656" i="1"/>
  <c r="BL656" i="1"/>
  <c r="BK656" i="1"/>
  <c r="BJ656" i="1"/>
  <c r="BI656" i="1"/>
  <c r="BH656" i="1"/>
  <c r="BG656" i="1"/>
  <c r="BF656" i="1"/>
  <c r="BE656" i="1"/>
  <c r="BD656" i="1"/>
  <c r="BC656" i="1"/>
  <c r="BB656" i="1"/>
  <c r="BA656" i="1"/>
  <c r="AZ656" i="1"/>
  <c r="AY656" i="1"/>
  <c r="AX656" i="1"/>
  <c r="AW656" i="1"/>
  <c r="AV656" i="1"/>
  <c r="AU656" i="1"/>
  <c r="AT656" i="1"/>
  <c r="AS656" i="1"/>
  <c r="AR656" i="1"/>
  <c r="AQ656" i="1"/>
  <c r="AP656" i="1"/>
  <c r="AO656" i="1"/>
  <c r="AE656" i="1"/>
  <c r="BS655" i="1"/>
  <c r="BR655" i="1"/>
  <c r="BQ655" i="1"/>
  <c r="BP655" i="1"/>
  <c r="BO655" i="1"/>
  <c r="BN655" i="1"/>
  <c r="BM655" i="1"/>
  <c r="BL655" i="1"/>
  <c r="BK655" i="1"/>
  <c r="BJ655" i="1"/>
  <c r="BI655" i="1"/>
  <c r="BH655" i="1"/>
  <c r="BG655" i="1"/>
  <c r="BF655" i="1"/>
  <c r="BE655" i="1"/>
  <c r="BD655" i="1"/>
  <c r="BC655" i="1"/>
  <c r="BB655" i="1"/>
  <c r="BA655" i="1"/>
  <c r="AZ655" i="1"/>
  <c r="AY655" i="1"/>
  <c r="AX655" i="1"/>
  <c r="AW655" i="1"/>
  <c r="AV655" i="1"/>
  <c r="AU655" i="1"/>
  <c r="AT655" i="1"/>
  <c r="AS655" i="1"/>
  <c r="AR655" i="1"/>
  <c r="AQ655" i="1"/>
  <c r="AP655" i="1"/>
  <c r="AO655" i="1"/>
  <c r="AE655" i="1"/>
  <c r="BS654" i="1"/>
  <c r="BR654" i="1"/>
  <c r="BQ654" i="1"/>
  <c r="BP654" i="1"/>
  <c r="BO654" i="1"/>
  <c r="BN654" i="1"/>
  <c r="BM654" i="1"/>
  <c r="BL654" i="1"/>
  <c r="BK654" i="1"/>
  <c r="BJ654" i="1"/>
  <c r="BI654" i="1"/>
  <c r="BH654" i="1"/>
  <c r="BG654" i="1"/>
  <c r="BF654" i="1"/>
  <c r="BE654" i="1"/>
  <c r="BD654" i="1"/>
  <c r="BC654" i="1"/>
  <c r="BB654" i="1"/>
  <c r="BA654" i="1"/>
  <c r="AZ654" i="1"/>
  <c r="AY654" i="1"/>
  <c r="AX654" i="1"/>
  <c r="AW654" i="1"/>
  <c r="AV654" i="1"/>
  <c r="AU654" i="1"/>
  <c r="AT654" i="1"/>
  <c r="AS654" i="1"/>
  <c r="AR654" i="1"/>
  <c r="AQ654" i="1"/>
  <c r="AP654" i="1"/>
  <c r="AO654" i="1"/>
  <c r="AE654" i="1"/>
  <c r="BS653" i="1"/>
  <c r="BR653" i="1"/>
  <c r="BQ653" i="1"/>
  <c r="BP653" i="1"/>
  <c r="BO653" i="1"/>
  <c r="BN653" i="1"/>
  <c r="BM653" i="1"/>
  <c r="BL653" i="1"/>
  <c r="BK653" i="1"/>
  <c r="BJ653" i="1"/>
  <c r="BI653" i="1"/>
  <c r="BH653" i="1"/>
  <c r="BG653" i="1"/>
  <c r="BF653" i="1"/>
  <c r="BE653" i="1"/>
  <c r="BD653" i="1"/>
  <c r="BC653" i="1"/>
  <c r="BB653" i="1"/>
  <c r="BA653" i="1"/>
  <c r="AZ653" i="1"/>
  <c r="AY653" i="1"/>
  <c r="AX653" i="1"/>
  <c r="AW653" i="1"/>
  <c r="AV653" i="1"/>
  <c r="AU653" i="1"/>
  <c r="AT653" i="1"/>
  <c r="AS653" i="1"/>
  <c r="AR653" i="1"/>
  <c r="AQ653" i="1"/>
  <c r="AP653" i="1"/>
  <c r="AO653" i="1"/>
  <c r="AE653" i="1"/>
  <c r="BS652" i="1"/>
  <c r="BR652" i="1"/>
  <c r="BQ652" i="1"/>
  <c r="BP652" i="1"/>
  <c r="BO652" i="1"/>
  <c r="BN652" i="1"/>
  <c r="BM652" i="1"/>
  <c r="BL652" i="1"/>
  <c r="BK652" i="1"/>
  <c r="BJ652" i="1"/>
  <c r="BI652" i="1"/>
  <c r="BH652" i="1"/>
  <c r="BG652" i="1"/>
  <c r="BF652" i="1"/>
  <c r="BE652" i="1"/>
  <c r="BD652" i="1"/>
  <c r="BC652" i="1"/>
  <c r="BB652" i="1"/>
  <c r="BA652" i="1"/>
  <c r="AZ652" i="1"/>
  <c r="AY652" i="1"/>
  <c r="AX652" i="1"/>
  <c r="AW652" i="1"/>
  <c r="AV652" i="1"/>
  <c r="AU652" i="1"/>
  <c r="AT652" i="1"/>
  <c r="AS652" i="1"/>
  <c r="AR652" i="1"/>
  <c r="AQ652" i="1"/>
  <c r="AP652" i="1"/>
  <c r="AO652" i="1"/>
  <c r="AE652" i="1"/>
  <c r="BS651" i="1"/>
  <c r="BR651" i="1"/>
  <c r="BQ651" i="1"/>
  <c r="BP651" i="1"/>
  <c r="BO651" i="1"/>
  <c r="BN651" i="1"/>
  <c r="BM651" i="1"/>
  <c r="BL651" i="1"/>
  <c r="BK651" i="1"/>
  <c r="BJ651" i="1"/>
  <c r="BI651" i="1"/>
  <c r="BH651" i="1"/>
  <c r="BG651" i="1"/>
  <c r="BF651" i="1"/>
  <c r="BE651" i="1"/>
  <c r="BD651" i="1"/>
  <c r="BC651" i="1"/>
  <c r="BB651" i="1"/>
  <c r="BA651" i="1"/>
  <c r="AZ651" i="1"/>
  <c r="AY651" i="1"/>
  <c r="AX651" i="1"/>
  <c r="AW651" i="1"/>
  <c r="AV651" i="1"/>
  <c r="AU651" i="1"/>
  <c r="AT651" i="1"/>
  <c r="AS651" i="1"/>
  <c r="AR651" i="1"/>
  <c r="AQ651" i="1"/>
  <c r="AP651" i="1"/>
  <c r="AO651" i="1"/>
  <c r="AE651" i="1"/>
  <c r="BS650" i="1"/>
  <c r="BR650" i="1"/>
  <c r="BQ650" i="1"/>
  <c r="BP650" i="1"/>
  <c r="BO650" i="1"/>
  <c r="BN650" i="1"/>
  <c r="BM650" i="1"/>
  <c r="BL650" i="1"/>
  <c r="BK650" i="1"/>
  <c r="BJ650" i="1"/>
  <c r="BI650" i="1"/>
  <c r="BH650" i="1"/>
  <c r="BG650" i="1"/>
  <c r="BF650" i="1"/>
  <c r="BE650" i="1"/>
  <c r="BD650" i="1"/>
  <c r="BC650" i="1"/>
  <c r="BB650" i="1"/>
  <c r="BA650" i="1"/>
  <c r="AZ650" i="1"/>
  <c r="AY650" i="1"/>
  <c r="AX650" i="1"/>
  <c r="AW650" i="1"/>
  <c r="AV650" i="1"/>
  <c r="AU650" i="1"/>
  <c r="AT650" i="1"/>
  <c r="AS650" i="1"/>
  <c r="AR650" i="1"/>
  <c r="AQ650" i="1"/>
  <c r="AP650" i="1"/>
  <c r="AO650" i="1"/>
  <c r="AE650" i="1"/>
  <c r="BS649" i="1"/>
  <c r="BR649" i="1"/>
  <c r="BQ649" i="1"/>
  <c r="BP649" i="1"/>
  <c r="BO649" i="1"/>
  <c r="BN649" i="1"/>
  <c r="BM649" i="1"/>
  <c r="BL649" i="1"/>
  <c r="BK649" i="1"/>
  <c r="BJ649" i="1"/>
  <c r="BI649" i="1"/>
  <c r="BH649" i="1"/>
  <c r="BG649" i="1"/>
  <c r="BF649" i="1"/>
  <c r="BE649" i="1"/>
  <c r="BD649" i="1"/>
  <c r="BC649" i="1"/>
  <c r="BB649" i="1"/>
  <c r="BA649" i="1"/>
  <c r="AZ649" i="1"/>
  <c r="AY649" i="1"/>
  <c r="AX649" i="1"/>
  <c r="AW649" i="1"/>
  <c r="AV649" i="1"/>
  <c r="AU649" i="1"/>
  <c r="AT649" i="1"/>
  <c r="AS649" i="1"/>
  <c r="AR649" i="1"/>
  <c r="AQ649" i="1"/>
  <c r="AP649" i="1"/>
  <c r="AO649" i="1"/>
  <c r="AE649" i="1"/>
  <c r="BS648" i="1"/>
  <c r="BR648" i="1"/>
  <c r="BQ648" i="1"/>
  <c r="BP648" i="1"/>
  <c r="BO648" i="1"/>
  <c r="BN648" i="1"/>
  <c r="BM648" i="1"/>
  <c r="BL648" i="1"/>
  <c r="BK648" i="1"/>
  <c r="BJ648" i="1"/>
  <c r="BI648" i="1"/>
  <c r="BH648" i="1"/>
  <c r="BG648" i="1"/>
  <c r="BF648" i="1"/>
  <c r="BE648" i="1"/>
  <c r="BD648" i="1"/>
  <c r="BC648" i="1"/>
  <c r="BB648" i="1"/>
  <c r="BA648" i="1"/>
  <c r="AZ648" i="1"/>
  <c r="AY648" i="1"/>
  <c r="AX648" i="1"/>
  <c r="AW648" i="1"/>
  <c r="AV648" i="1"/>
  <c r="AU648" i="1"/>
  <c r="AT648" i="1"/>
  <c r="AS648" i="1"/>
  <c r="AR648" i="1"/>
  <c r="AQ648" i="1"/>
  <c r="AP648" i="1"/>
  <c r="AO648" i="1"/>
  <c r="AE648" i="1"/>
  <c r="BS647" i="1"/>
  <c r="BR647" i="1"/>
  <c r="BQ647" i="1"/>
  <c r="BP647" i="1"/>
  <c r="BO647" i="1"/>
  <c r="BN647" i="1"/>
  <c r="BM647" i="1"/>
  <c r="BL647" i="1"/>
  <c r="BK647" i="1"/>
  <c r="BJ647" i="1"/>
  <c r="BI647" i="1"/>
  <c r="BH647" i="1"/>
  <c r="BG647" i="1"/>
  <c r="BF647" i="1"/>
  <c r="BE647" i="1"/>
  <c r="BD647" i="1"/>
  <c r="BC647" i="1"/>
  <c r="BB647" i="1"/>
  <c r="BA647" i="1"/>
  <c r="AZ647" i="1"/>
  <c r="AY647" i="1"/>
  <c r="AX647" i="1"/>
  <c r="AW647" i="1"/>
  <c r="AV647" i="1"/>
  <c r="AU647" i="1"/>
  <c r="AT647" i="1"/>
  <c r="AS647" i="1"/>
  <c r="AR647" i="1"/>
  <c r="AQ647" i="1"/>
  <c r="AP647" i="1"/>
  <c r="AO647" i="1"/>
  <c r="AE647" i="1"/>
  <c r="BS646" i="1"/>
  <c r="BR646" i="1"/>
  <c r="BQ646" i="1"/>
  <c r="BP646" i="1"/>
  <c r="BO646" i="1"/>
  <c r="BN646" i="1"/>
  <c r="BM646" i="1"/>
  <c r="BL646" i="1"/>
  <c r="BK646" i="1"/>
  <c r="BJ646" i="1"/>
  <c r="BI646" i="1"/>
  <c r="BH646" i="1"/>
  <c r="BG646" i="1"/>
  <c r="BF646" i="1"/>
  <c r="BE646" i="1"/>
  <c r="BD646" i="1"/>
  <c r="BC646" i="1"/>
  <c r="BB646" i="1"/>
  <c r="BA646" i="1"/>
  <c r="AZ646" i="1"/>
  <c r="AY646" i="1"/>
  <c r="AX646" i="1"/>
  <c r="AW646" i="1"/>
  <c r="AV646" i="1"/>
  <c r="AU646" i="1"/>
  <c r="AT646" i="1"/>
  <c r="AS646" i="1"/>
  <c r="AR646" i="1"/>
  <c r="AQ646" i="1"/>
  <c r="AP646" i="1"/>
  <c r="AO646" i="1"/>
  <c r="AE646" i="1"/>
  <c r="BS645" i="1"/>
  <c r="BR645" i="1"/>
  <c r="BQ645" i="1"/>
  <c r="BP645" i="1"/>
  <c r="BO645" i="1"/>
  <c r="BN645" i="1"/>
  <c r="BM645" i="1"/>
  <c r="BL645" i="1"/>
  <c r="BK645" i="1"/>
  <c r="BJ645" i="1"/>
  <c r="BI645" i="1"/>
  <c r="BH645" i="1"/>
  <c r="BG645" i="1"/>
  <c r="BF645" i="1"/>
  <c r="BE645" i="1"/>
  <c r="BD645" i="1"/>
  <c r="BC645" i="1"/>
  <c r="BB645" i="1"/>
  <c r="BA645" i="1"/>
  <c r="AZ645" i="1"/>
  <c r="AY645" i="1"/>
  <c r="AX645" i="1"/>
  <c r="AW645" i="1"/>
  <c r="AV645" i="1"/>
  <c r="AU645" i="1"/>
  <c r="AT645" i="1"/>
  <c r="AS645" i="1"/>
  <c r="AR645" i="1"/>
  <c r="AQ645" i="1"/>
  <c r="AP645" i="1"/>
  <c r="AO645" i="1"/>
  <c r="AE645" i="1"/>
  <c r="BS644" i="1"/>
  <c r="BR644" i="1"/>
  <c r="BQ644" i="1"/>
  <c r="BP644" i="1"/>
  <c r="BO644" i="1"/>
  <c r="BN644" i="1"/>
  <c r="BM644" i="1"/>
  <c r="BL644" i="1"/>
  <c r="BK644" i="1"/>
  <c r="BJ644" i="1"/>
  <c r="BI644" i="1"/>
  <c r="BH644" i="1"/>
  <c r="BG644" i="1"/>
  <c r="BF644" i="1"/>
  <c r="BE644" i="1"/>
  <c r="BD644" i="1"/>
  <c r="BC644" i="1"/>
  <c r="BB644" i="1"/>
  <c r="BA644" i="1"/>
  <c r="AZ644" i="1"/>
  <c r="AY644" i="1"/>
  <c r="AX644" i="1"/>
  <c r="AW644" i="1"/>
  <c r="AV644" i="1"/>
  <c r="AU644" i="1"/>
  <c r="AT644" i="1"/>
  <c r="AS644" i="1"/>
  <c r="AR644" i="1"/>
  <c r="AQ644" i="1"/>
  <c r="AP644" i="1"/>
  <c r="AO644" i="1"/>
  <c r="AE644" i="1"/>
  <c r="BS643" i="1"/>
  <c r="BR643" i="1"/>
  <c r="BQ643" i="1"/>
  <c r="BP643" i="1"/>
  <c r="BO643" i="1"/>
  <c r="BN643" i="1"/>
  <c r="BM643" i="1"/>
  <c r="BL643" i="1"/>
  <c r="BK643" i="1"/>
  <c r="BJ643" i="1"/>
  <c r="BI643" i="1"/>
  <c r="BH643" i="1"/>
  <c r="BG643" i="1"/>
  <c r="BF643" i="1"/>
  <c r="BE643" i="1"/>
  <c r="BD643" i="1"/>
  <c r="BC643" i="1"/>
  <c r="BB643" i="1"/>
  <c r="BA643" i="1"/>
  <c r="AZ643" i="1"/>
  <c r="AY643" i="1"/>
  <c r="AX643" i="1"/>
  <c r="AW643" i="1"/>
  <c r="AV643" i="1"/>
  <c r="AU643" i="1"/>
  <c r="AT643" i="1"/>
  <c r="AS643" i="1"/>
  <c r="AR643" i="1"/>
  <c r="AQ643" i="1"/>
  <c r="AP643" i="1"/>
  <c r="AO643" i="1"/>
  <c r="AE643" i="1"/>
  <c r="BS642" i="1"/>
  <c r="BR642" i="1"/>
  <c r="BQ642" i="1"/>
  <c r="BP642" i="1"/>
  <c r="BO642" i="1"/>
  <c r="BN642" i="1"/>
  <c r="BM642" i="1"/>
  <c r="BL642" i="1"/>
  <c r="BK642" i="1"/>
  <c r="BJ642" i="1"/>
  <c r="BI642" i="1"/>
  <c r="BH642" i="1"/>
  <c r="BG642" i="1"/>
  <c r="BF642" i="1"/>
  <c r="BE642" i="1"/>
  <c r="BD642" i="1"/>
  <c r="BC642" i="1"/>
  <c r="BB642" i="1"/>
  <c r="BA642" i="1"/>
  <c r="AZ642" i="1"/>
  <c r="AY642" i="1"/>
  <c r="AX642" i="1"/>
  <c r="AW642" i="1"/>
  <c r="AV642" i="1"/>
  <c r="AU642" i="1"/>
  <c r="AT642" i="1"/>
  <c r="AS642" i="1"/>
  <c r="AR642" i="1"/>
  <c r="AQ642" i="1"/>
  <c r="AP642" i="1"/>
  <c r="AO642" i="1"/>
  <c r="AE642" i="1"/>
  <c r="BS641" i="1"/>
  <c r="BR641" i="1"/>
  <c r="BQ641" i="1"/>
  <c r="BP641" i="1"/>
  <c r="BO641" i="1"/>
  <c r="BN641" i="1"/>
  <c r="BM641" i="1"/>
  <c r="BL641" i="1"/>
  <c r="BK641" i="1"/>
  <c r="BJ641" i="1"/>
  <c r="BI641" i="1"/>
  <c r="BH641" i="1"/>
  <c r="BG641" i="1"/>
  <c r="BF641" i="1"/>
  <c r="BE641" i="1"/>
  <c r="BD641" i="1"/>
  <c r="BC641" i="1"/>
  <c r="BB641" i="1"/>
  <c r="BA641" i="1"/>
  <c r="AZ641" i="1"/>
  <c r="AY641" i="1"/>
  <c r="AX641" i="1"/>
  <c r="AW641" i="1"/>
  <c r="AV641" i="1"/>
  <c r="AU641" i="1"/>
  <c r="AT641" i="1"/>
  <c r="AS641" i="1"/>
  <c r="AR641" i="1"/>
  <c r="AQ641" i="1"/>
  <c r="AP641" i="1"/>
  <c r="AO641" i="1"/>
  <c r="AE641" i="1"/>
  <c r="BS640" i="1"/>
  <c r="BR640" i="1"/>
  <c r="BQ640" i="1"/>
  <c r="BP640" i="1"/>
  <c r="BO640" i="1"/>
  <c r="BN640" i="1"/>
  <c r="BM640" i="1"/>
  <c r="BL640" i="1"/>
  <c r="BK640" i="1"/>
  <c r="BJ640" i="1"/>
  <c r="BI640" i="1"/>
  <c r="BH640" i="1"/>
  <c r="BG640" i="1"/>
  <c r="BF640" i="1"/>
  <c r="BE640" i="1"/>
  <c r="BD640" i="1"/>
  <c r="BC640" i="1"/>
  <c r="BB640" i="1"/>
  <c r="BA640" i="1"/>
  <c r="AZ640" i="1"/>
  <c r="AY640" i="1"/>
  <c r="AX640" i="1"/>
  <c r="AW640" i="1"/>
  <c r="AV640" i="1"/>
  <c r="AU640" i="1"/>
  <c r="AT640" i="1"/>
  <c r="AS640" i="1"/>
  <c r="AR640" i="1"/>
  <c r="AQ640" i="1"/>
  <c r="AP640" i="1"/>
  <c r="AO640" i="1"/>
  <c r="AE640" i="1"/>
  <c r="BS639" i="1"/>
  <c r="BR639" i="1"/>
  <c r="BQ639" i="1"/>
  <c r="BP639" i="1"/>
  <c r="BO639" i="1"/>
  <c r="BN639" i="1"/>
  <c r="BM639" i="1"/>
  <c r="BL639" i="1"/>
  <c r="BK639" i="1"/>
  <c r="BJ639" i="1"/>
  <c r="BI639" i="1"/>
  <c r="BH639" i="1"/>
  <c r="BG639" i="1"/>
  <c r="BF639" i="1"/>
  <c r="BE639" i="1"/>
  <c r="BD639" i="1"/>
  <c r="BC639" i="1"/>
  <c r="BB639" i="1"/>
  <c r="BA639" i="1"/>
  <c r="AZ639" i="1"/>
  <c r="AY639" i="1"/>
  <c r="AX639" i="1"/>
  <c r="AW639" i="1"/>
  <c r="AV639" i="1"/>
  <c r="AU639" i="1"/>
  <c r="AT639" i="1"/>
  <c r="AS639" i="1"/>
  <c r="AR639" i="1"/>
  <c r="AQ639" i="1"/>
  <c r="AP639" i="1"/>
  <c r="AO639" i="1"/>
  <c r="AE639" i="1"/>
  <c r="BS638" i="1"/>
  <c r="BR638" i="1"/>
  <c r="BQ638" i="1"/>
  <c r="BP638" i="1"/>
  <c r="BO638" i="1"/>
  <c r="BN638" i="1"/>
  <c r="BM638" i="1"/>
  <c r="BL638" i="1"/>
  <c r="BK638" i="1"/>
  <c r="BJ638" i="1"/>
  <c r="BI638" i="1"/>
  <c r="BH638" i="1"/>
  <c r="BG638" i="1"/>
  <c r="BF638" i="1"/>
  <c r="BE638" i="1"/>
  <c r="BD638" i="1"/>
  <c r="BC638" i="1"/>
  <c r="BB638" i="1"/>
  <c r="BA638" i="1"/>
  <c r="AZ638" i="1"/>
  <c r="AY638" i="1"/>
  <c r="AX638" i="1"/>
  <c r="AW638" i="1"/>
  <c r="AV638" i="1"/>
  <c r="AU638" i="1"/>
  <c r="AT638" i="1"/>
  <c r="AS638" i="1"/>
  <c r="AR638" i="1"/>
  <c r="AQ638" i="1"/>
  <c r="AP638" i="1"/>
  <c r="AO638" i="1"/>
  <c r="AE638" i="1"/>
  <c r="BS637" i="1"/>
  <c r="BR637" i="1"/>
  <c r="BQ637" i="1"/>
  <c r="BP637" i="1"/>
  <c r="BO637" i="1"/>
  <c r="BN637" i="1"/>
  <c r="BM637" i="1"/>
  <c r="BL637" i="1"/>
  <c r="BK637" i="1"/>
  <c r="BJ637" i="1"/>
  <c r="BI637" i="1"/>
  <c r="BH637" i="1"/>
  <c r="BG637" i="1"/>
  <c r="BF637" i="1"/>
  <c r="BE637" i="1"/>
  <c r="BD637" i="1"/>
  <c r="BC637" i="1"/>
  <c r="BB637" i="1"/>
  <c r="BA637" i="1"/>
  <c r="AZ637" i="1"/>
  <c r="AY637" i="1"/>
  <c r="AX637" i="1"/>
  <c r="AW637" i="1"/>
  <c r="AV637" i="1"/>
  <c r="AU637" i="1"/>
  <c r="AT637" i="1"/>
  <c r="AS637" i="1"/>
  <c r="AR637" i="1"/>
  <c r="AQ637" i="1"/>
  <c r="AP637" i="1"/>
  <c r="AO637" i="1"/>
  <c r="AE637" i="1"/>
  <c r="BS636" i="1"/>
  <c r="BR636" i="1"/>
  <c r="BQ636" i="1"/>
  <c r="BP636" i="1"/>
  <c r="BO636" i="1"/>
  <c r="BN636" i="1"/>
  <c r="BM636" i="1"/>
  <c r="BL636" i="1"/>
  <c r="BK636" i="1"/>
  <c r="BJ636" i="1"/>
  <c r="BI636" i="1"/>
  <c r="BH636" i="1"/>
  <c r="BG636" i="1"/>
  <c r="BF636" i="1"/>
  <c r="BE636" i="1"/>
  <c r="BD636" i="1"/>
  <c r="BC636" i="1"/>
  <c r="BB636" i="1"/>
  <c r="BA636" i="1"/>
  <c r="AZ636" i="1"/>
  <c r="AY636" i="1"/>
  <c r="AX636" i="1"/>
  <c r="AW636" i="1"/>
  <c r="AV636" i="1"/>
  <c r="AU636" i="1"/>
  <c r="AT636" i="1"/>
  <c r="AS636" i="1"/>
  <c r="AR636" i="1"/>
  <c r="AQ636" i="1"/>
  <c r="AP636" i="1"/>
  <c r="AO636" i="1"/>
  <c r="AE636" i="1"/>
  <c r="BS635" i="1"/>
  <c r="BR635" i="1"/>
  <c r="BQ635" i="1"/>
  <c r="BP635" i="1"/>
  <c r="BO635" i="1"/>
  <c r="BN635" i="1"/>
  <c r="BM635" i="1"/>
  <c r="BL635" i="1"/>
  <c r="BK635" i="1"/>
  <c r="BJ635" i="1"/>
  <c r="BI635" i="1"/>
  <c r="BH635" i="1"/>
  <c r="BG635" i="1"/>
  <c r="BF635" i="1"/>
  <c r="BE635" i="1"/>
  <c r="BD635" i="1"/>
  <c r="BC635" i="1"/>
  <c r="BB635" i="1"/>
  <c r="BA635" i="1"/>
  <c r="AZ635" i="1"/>
  <c r="AY635" i="1"/>
  <c r="AX635" i="1"/>
  <c r="AW635" i="1"/>
  <c r="AV635" i="1"/>
  <c r="AU635" i="1"/>
  <c r="AT635" i="1"/>
  <c r="AS635" i="1"/>
  <c r="AR635" i="1"/>
  <c r="AQ635" i="1"/>
  <c r="AP635" i="1"/>
  <c r="AO635" i="1"/>
  <c r="AE635" i="1"/>
  <c r="BS634" i="1"/>
  <c r="BR634" i="1"/>
  <c r="BQ634" i="1"/>
  <c r="BP634" i="1"/>
  <c r="BO634" i="1"/>
  <c r="BN634" i="1"/>
  <c r="BM634" i="1"/>
  <c r="BL634" i="1"/>
  <c r="BK634" i="1"/>
  <c r="BJ634" i="1"/>
  <c r="BI634" i="1"/>
  <c r="BH634" i="1"/>
  <c r="BG634" i="1"/>
  <c r="BF634" i="1"/>
  <c r="BE634" i="1"/>
  <c r="BD634" i="1"/>
  <c r="BC634" i="1"/>
  <c r="BB634" i="1"/>
  <c r="BA634" i="1"/>
  <c r="AZ634" i="1"/>
  <c r="AY634" i="1"/>
  <c r="AX634" i="1"/>
  <c r="AW634" i="1"/>
  <c r="AV634" i="1"/>
  <c r="AU634" i="1"/>
  <c r="AT634" i="1"/>
  <c r="AS634" i="1"/>
  <c r="AR634" i="1"/>
  <c r="AQ634" i="1"/>
  <c r="AP634" i="1"/>
  <c r="AO634" i="1"/>
  <c r="AE634" i="1"/>
  <c r="BS633" i="1"/>
  <c r="BR633" i="1"/>
  <c r="BQ633" i="1"/>
  <c r="BP633" i="1"/>
  <c r="BO633" i="1"/>
  <c r="BN633" i="1"/>
  <c r="BM633" i="1"/>
  <c r="BL633" i="1"/>
  <c r="BK633" i="1"/>
  <c r="BJ633" i="1"/>
  <c r="BI633" i="1"/>
  <c r="BH633" i="1"/>
  <c r="BG633" i="1"/>
  <c r="BF633" i="1"/>
  <c r="BE633" i="1"/>
  <c r="BD633" i="1"/>
  <c r="BC633" i="1"/>
  <c r="BB633" i="1"/>
  <c r="BA633" i="1"/>
  <c r="AZ633" i="1"/>
  <c r="AY633" i="1"/>
  <c r="AX633" i="1"/>
  <c r="AW633" i="1"/>
  <c r="AV633" i="1"/>
  <c r="AU633" i="1"/>
  <c r="AT633" i="1"/>
  <c r="AS633" i="1"/>
  <c r="AR633" i="1"/>
  <c r="AQ633" i="1"/>
  <c r="AP633" i="1"/>
  <c r="AO633" i="1"/>
  <c r="AE633" i="1"/>
  <c r="BS632" i="1"/>
  <c r="BR632" i="1"/>
  <c r="BQ632" i="1"/>
  <c r="BP632" i="1"/>
  <c r="BO632" i="1"/>
  <c r="BN632" i="1"/>
  <c r="BM632" i="1"/>
  <c r="BL632" i="1"/>
  <c r="BK632" i="1"/>
  <c r="BJ632" i="1"/>
  <c r="BI632" i="1"/>
  <c r="BH632" i="1"/>
  <c r="BG632" i="1"/>
  <c r="BF632" i="1"/>
  <c r="BE632" i="1"/>
  <c r="BD632" i="1"/>
  <c r="BC632" i="1"/>
  <c r="BB632" i="1"/>
  <c r="BA632" i="1"/>
  <c r="AZ632" i="1"/>
  <c r="AY632" i="1"/>
  <c r="AX632" i="1"/>
  <c r="AW632" i="1"/>
  <c r="AV632" i="1"/>
  <c r="AU632" i="1"/>
  <c r="AT632" i="1"/>
  <c r="AS632" i="1"/>
  <c r="AR632" i="1"/>
  <c r="AQ632" i="1"/>
  <c r="AP632" i="1"/>
  <c r="AO632" i="1"/>
  <c r="AE632" i="1"/>
  <c r="BS631" i="1"/>
  <c r="BR631" i="1"/>
  <c r="BQ631" i="1"/>
  <c r="BP631" i="1"/>
  <c r="BO631" i="1"/>
  <c r="BN631" i="1"/>
  <c r="BM631" i="1"/>
  <c r="BL631" i="1"/>
  <c r="BK631" i="1"/>
  <c r="BJ631" i="1"/>
  <c r="BI631" i="1"/>
  <c r="BH631" i="1"/>
  <c r="BG631" i="1"/>
  <c r="BF631" i="1"/>
  <c r="BE631" i="1"/>
  <c r="BD631" i="1"/>
  <c r="BC631" i="1"/>
  <c r="BB631" i="1"/>
  <c r="BA631" i="1"/>
  <c r="AZ631" i="1"/>
  <c r="AY631" i="1"/>
  <c r="AX631" i="1"/>
  <c r="AW631" i="1"/>
  <c r="AV631" i="1"/>
  <c r="AU631" i="1"/>
  <c r="AT631" i="1"/>
  <c r="AS631" i="1"/>
  <c r="AR631" i="1"/>
  <c r="AQ631" i="1"/>
  <c r="AP631" i="1"/>
  <c r="AO631" i="1"/>
  <c r="AE631" i="1"/>
  <c r="BS630" i="1"/>
  <c r="BR630" i="1"/>
  <c r="BQ630" i="1"/>
  <c r="BP630" i="1"/>
  <c r="BO630" i="1"/>
  <c r="BN630" i="1"/>
  <c r="BM630" i="1"/>
  <c r="BL630" i="1"/>
  <c r="BK630" i="1"/>
  <c r="BJ630" i="1"/>
  <c r="BI630" i="1"/>
  <c r="BH630" i="1"/>
  <c r="BG630" i="1"/>
  <c r="BF630" i="1"/>
  <c r="BE630" i="1"/>
  <c r="BD630" i="1"/>
  <c r="BC630" i="1"/>
  <c r="BB630" i="1"/>
  <c r="BA630" i="1"/>
  <c r="AZ630" i="1"/>
  <c r="AY630" i="1"/>
  <c r="AX630" i="1"/>
  <c r="AW630" i="1"/>
  <c r="AV630" i="1"/>
  <c r="AU630" i="1"/>
  <c r="AT630" i="1"/>
  <c r="AS630" i="1"/>
  <c r="AR630" i="1"/>
  <c r="AQ630" i="1"/>
  <c r="AP630" i="1"/>
  <c r="AO630" i="1"/>
  <c r="AE630" i="1"/>
  <c r="BS629" i="1"/>
  <c r="BR629" i="1"/>
  <c r="BQ629" i="1"/>
  <c r="BP629" i="1"/>
  <c r="BO629" i="1"/>
  <c r="BN629" i="1"/>
  <c r="BM629" i="1"/>
  <c r="BL629" i="1"/>
  <c r="BK629" i="1"/>
  <c r="BJ629" i="1"/>
  <c r="BI629" i="1"/>
  <c r="BH629" i="1"/>
  <c r="BG629" i="1"/>
  <c r="BF629" i="1"/>
  <c r="BE629" i="1"/>
  <c r="BD629" i="1"/>
  <c r="BC629" i="1"/>
  <c r="BB629" i="1"/>
  <c r="BA629" i="1"/>
  <c r="AZ629" i="1"/>
  <c r="AY629" i="1"/>
  <c r="AX629" i="1"/>
  <c r="AW629" i="1"/>
  <c r="AV629" i="1"/>
  <c r="AU629" i="1"/>
  <c r="AT629" i="1"/>
  <c r="AS629" i="1"/>
  <c r="AR629" i="1"/>
  <c r="AQ629" i="1"/>
  <c r="AP629" i="1"/>
  <c r="AO629" i="1"/>
  <c r="AE629" i="1"/>
  <c r="BS628" i="1"/>
  <c r="BR628" i="1"/>
  <c r="BQ628" i="1"/>
  <c r="BP628" i="1"/>
  <c r="BO628" i="1"/>
  <c r="BN628" i="1"/>
  <c r="BM628" i="1"/>
  <c r="BL628" i="1"/>
  <c r="BK628" i="1"/>
  <c r="BJ628" i="1"/>
  <c r="BI628" i="1"/>
  <c r="BH628" i="1"/>
  <c r="BG628" i="1"/>
  <c r="BF628" i="1"/>
  <c r="BE628" i="1"/>
  <c r="BD628" i="1"/>
  <c r="BC628" i="1"/>
  <c r="BB628" i="1"/>
  <c r="BA628" i="1"/>
  <c r="AZ628" i="1"/>
  <c r="AY628" i="1"/>
  <c r="AX628" i="1"/>
  <c r="AW628" i="1"/>
  <c r="AV628" i="1"/>
  <c r="AU628" i="1"/>
  <c r="AT628" i="1"/>
  <c r="AS628" i="1"/>
  <c r="AR628" i="1"/>
  <c r="AQ628" i="1"/>
  <c r="AP628" i="1"/>
  <c r="AO628" i="1"/>
  <c r="AE628" i="1"/>
  <c r="BS627" i="1"/>
  <c r="BR627" i="1"/>
  <c r="BQ627" i="1"/>
  <c r="BP627" i="1"/>
  <c r="BO627" i="1"/>
  <c r="BN627" i="1"/>
  <c r="BM627" i="1"/>
  <c r="BL627" i="1"/>
  <c r="BK627" i="1"/>
  <c r="BJ627" i="1"/>
  <c r="BI627" i="1"/>
  <c r="BH627" i="1"/>
  <c r="BG627" i="1"/>
  <c r="BF627" i="1"/>
  <c r="BE627" i="1"/>
  <c r="BD627" i="1"/>
  <c r="BC627" i="1"/>
  <c r="BB627" i="1"/>
  <c r="BA627" i="1"/>
  <c r="AZ627" i="1"/>
  <c r="AY627" i="1"/>
  <c r="AX627" i="1"/>
  <c r="AW627" i="1"/>
  <c r="AV627" i="1"/>
  <c r="AU627" i="1"/>
  <c r="AT627" i="1"/>
  <c r="AS627" i="1"/>
  <c r="AR627" i="1"/>
  <c r="AQ627" i="1"/>
  <c r="AP627" i="1"/>
  <c r="AO627" i="1"/>
  <c r="AE627" i="1"/>
  <c r="BS626" i="1"/>
  <c r="BR626" i="1"/>
  <c r="BQ626" i="1"/>
  <c r="BP626" i="1"/>
  <c r="BO626" i="1"/>
  <c r="BN626" i="1"/>
  <c r="BM626" i="1"/>
  <c r="BL626" i="1"/>
  <c r="BK626" i="1"/>
  <c r="BJ626" i="1"/>
  <c r="BI626" i="1"/>
  <c r="BH626" i="1"/>
  <c r="BG626" i="1"/>
  <c r="BF626" i="1"/>
  <c r="BE626" i="1"/>
  <c r="BD626" i="1"/>
  <c r="BC626" i="1"/>
  <c r="BB626" i="1"/>
  <c r="BA626" i="1"/>
  <c r="AZ626" i="1"/>
  <c r="AY626" i="1"/>
  <c r="AX626" i="1"/>
  <c r="AW626" i="1"/>
  <c r="AV626" i="1"/>
  <c r="AU626" i="1"/>
  <c r="AT626" i="1"/>
  <c r="AS626" i="1"/>
  <c r="AR626" i="1"/>
  <c r="AQ626" i="1"/>
  <c r="AP626" i="1"/>
  <c r="AO626" i="1"/>
  <c r="AE626" i="1"/>
  <c r="BS625" i="1"/>
  <c r="BR625" i="1"/>
  <c r="BQ625" i="1"/>
  <c r="BP625" i="1"/>
  <c r="BO625" i="1"/>
  <c r="BN625" i="1"/>
  <c r="BM625" i="1"/>
  <c r="BL625" i="1"/>
  <c r="BK625" i="1"/>
  <c r="BJ625" i="1"/>
  <c r="BI625" i="1"/>
  <c r="BH625" i="1"/>
  <c r="BG625" i="1"/>
  <c r="BF625" i="1"/>
  <c r="BE625" i="1"/>
  <c r="BD625" i="1"/>
  <c r="BC625" i="1"/>
  <c r="BB625" i="1"/>
  <c r="BA625" i="1"/>
  <c r="AZ625" i="1"/>
  <c r="AY625" i="1"/>
  <c r="AX625" i="1"/>
  <c r="AW625" i="1"/>
  <c r="AV625" i="1"/>
  <c r="AU625" i="1"/>
  <c r="AT625" i="1"/>
  <c r="AS625" i="1"/>
  <c r="AR625" i="1"/>
  <c r="AQ625" i="1"/>
  <c r="AP625" i="1"/>
  <c r="AO625" i="1"/>
  <c r="AE625" i="1"/>
  <c r="BS624" i="1"/>
  <c r="BR624" i="1"/>
  <c r="BQ624" i="1"/>
  <c r="BP624" i="1"/>
  <c r="BO624" i="1"/>
  <c r="BN624" i="1"/>
  <c r="BM624" i="1"/>
  <c r="BL624" i="1"/>
  <c r="BK624" i="1"/>
  <c r="BJ624" i="1"/>
  <c r="BI624" i="1"/>
  <c r="BH624" i="1"/>
  <c r="BG624" i="1"/>
  <c r="BF624" i="1"/>
  <c r="BE624" i="1"/>
  <c r="BD624" i="1"/>
  <c r="BC624" i="1"/>
  <c r="BB624" i="1"/>
  <c r="BA624" i="1"/>
  <c r="AZ624" i="1"/>
  <c r="AY624" i="1"/>
  <c r="AX624" i="1"/>
  <c r="AW624" i="1"/>
  <c r="AV624" i="1"/>
  <c r="AU624" i="1"/>
  <c r="AT624" i="1"/>
  <c r="AS624" i="1"/>
  <c r="AR624" i="1"/>
  <c r="AQ624" i="1"/>
  <c r="AP624" i="1"/>
  <c r="AO624" i="1"/>
  <c r="AE624" i="1"/>
  <c r="BS623" i="1"/>
  <c r="BR623" i="1"/>
  <c r="BQ623" i="1"/>
  <c r="BP623" i="1"/>
  <c r="BO623" i="1"/>
  <c r="BN623" i="1"/>
  <c r="BM623" i="1"/>
  <c r="BL623" i="1"/>
  <c r="BK623" i="1"/>
  <c r="BJ623" i="1"/>
  <c r="BI623" i="1"/>
  <c r="BH623" i="1"/>
  <c r="BG623" i="1"/>
  <c r="BF623" i="1"/>
  <c r="BE623" i="1"/>
  <c r="BD623" i="1"/>
  <c r="BC623" i="1"/>
  <c r="BB623" i="1"/>
  <c r="BA623" i="1"/>
  <c r="AZ623" i="1"/>
  <c r="AY623" i="1"/>
  <c r="AX623" i="1"/>
  <c r="AW623" i="1"/>
  <c r="AV623" i="1"/>
  <c r="AU623" i="1"/>
  <c r="AT623" i="1"/>
  <c r="AS623" i="1"/>
  <c r="AR623" i="1"/>
  <c r="AQ623" i="1"/>
  <c r="AP623" i="1"/>
  <c r="AO623" i="1"/>
  <c r="AE623" i="1"/>
  <c r="BS622" i="1"/>
  <c r="BR622" i="1"/>
  <c r="BQ622" i="1"/>
  <c r="BP622" i="1"/>
  <c r="BO622" i="1"/>
  <c r="BN622" i="1"/>
  <c r="BM622" i="1"/>
  <c r="BL622" i="1"/>
  <c r="BK622" i="1"/>
  <c r="BJ622" i="1"/>
  <c r="BI622" i="1"/>
  <c r="BH622" i="1"/>
  <c r="BG622" i="1"/>
  <c r="BF622" i="1"/>
  <c r="BE622" i="1"/>
  <c r="BD622" i="1"/>
  <c r="BC622" i="1"/>
  <c r="BB622" i="1"/>
  <c r="BA622" i="1"/>
  <c r="AZ622" i="1"/>
  <c r="AY622" i="1"/>
  <c r="AX622" i="1"/>
  <c r="AW622" i="1"/>
  <c r="AV622" i="1"/>
  <c r="AU622" i="1"/>
  <c r="AT622" i="1"/>
  <c r="AS622" i="1"/>
  <c r="AR622" i="1"/>
  <c r="AQ622" i="1"/>
  <c r="AP622" i="1"/>
  <c r="AO622" i="1"/>
  <c r="AE622" i="1"/>
  <c r="BS621" i="1"/>
  <c r="BR621" i="1"/>
  <c r="BQ621" i="1"/>
  <c r="BP621" i="1"/>
  <c r="BO621" i="1"/>
  <c r="BN621" i="1"/>
  <c r="BM621" i="1"/>
  <c r="BL621" i="1"/>
  <c r="BK621" i="1"/>
  <c r="BJ621" i="1"/>
  <c r="BI621" i="1"/>
  <c r="BH621" i="1"/>
  <c r="BG621" i="1"/>
  <c r="BF621" i="1"/>
  <c r="BE621" i="1"/>
  <c r="BD621" i="1"/>
  <c r="BC621" i="1"/>
  <c r="BB621" i="1"/>
  <c r="BA621" i="1"/>
  <c r="AZ621" i="1"/>
  <c r="AY621" i="1"/>
  <c r="AX621" i="1"/>
  <c r="AW621" i="1"/>
  <c r="AV621" i="1"/>
  <c r="AU621" i="1"/>
  <c r="AT621" i="1"/>
  <c r="AS621" i="1"/>
  <c r="AR621" i="1"/>
  <c r="AQ621" i="1"/>
  <c r="AP621" i="1"/>
  <c r="AO621" i="1"/>
  <c r="AE621" i="1"/>
  <c r="BS620" i="1"/>
  <c r="BR620" i="1"/>
  <c r="BQ620" i="1"/>
  <c r="BP620" i="1"/>
  <c r="BO620" i="1"/>
  <c r="BN620" i="1"/>
  <c r="BM620" i="1"/>
  <c r="BL620" i="1"/>
  <c r="BK620" i="1"/>
  <c r="BJ620" i="1"/>
  <c r="BI620" i="1"/>
  <c r="BH620" i="1"/>
  <c r="BG620" i="1"/>
  <c r="BF620" i="1"/>
  <c r="BE620" i="1"/>
  <c r="BD620" i="1"/>
  <c r="BC620" i="1"/>
  <c r="BB620" i="1"/>
  <c r="BA620" i="1"/>
  <c r="AZ620" i="1"/>
  <c r="AY620" i="1"/>
  <c r="AX620" i="1"/>
  <c r="AW620" i="1"/>
  <c r="AV620" i="1"/>
  <c r="AU620" i="1"/>
  <c r="AT620" i="1"/>
  <c r="AS620" i="1"/>
  <c r="AR620" i="1"/>
  <c r="AQ620" i="1"/>
  <c r="AP620" i="1"/>
  <c r="AO620" i="1"/>
  <c r="AE620" i="1"/>
  <c r="BS619" i="1"/>
  <c r="BR619" i="1"/>
  <c r="BQ619" i="1"/>
  <c r="BP619" i="1"/>
  <c r="BO619" i="1"/>
  <c r="BN619" i="1"/>
  <c r="BM619" i="1"/>
  <c r="BL619" i="1"/>
  <c r="BK619" i="1"/>
  <c r="BJ619" i="1"/>
  <c r="BI619" i="1"/>
  <c r="BH619" i="1"/>
  <c r="BG619" i="1"/>
  <c r="BF619" i="1"/>
  <c r="BE619" i="1"/>
  <c r="BD619" i="1"/>
  <c r="BC619" i="1"/>
  <c r="BB619" i="1"/>
  <c r="BA619" i="1"/>
  <c r="AZ619" i="1"/>
  <c r="AY619" i="1"/>
  <c r="AX619" i="1"/>
  <c r="AW619" i="1"/>
  <c r="AV619" i="1"/>
  <c r="AU619" i="1"/>
  <c r="AT619" i="1"/>
  <c r="AS619" i="1"/>
  <c r="AR619" i="1"/>
  <c r="AQ619" i="1"/>
  <c r="AP619" i="1"/>
  <c r="AO619" i="1"/>
  <c r="AE619" i="1"/>
  <c r="BS618" i="1"/>
  <c r="BR618" i="1"/>
  <c r="BQ618" i="1"/>
  <c r="BP618" i="1"/>
  <c r="BO618" i="1"/>
  <c r="BN618" i="1"/>
  <c r="BM618" i="1"/>
  <c r="BL618" i="1"/>
  <c r="BK618" i="1"/>
  <c r="BJ618" i="1"/>
  <c r="BI618" i="1"/>
  <c r="BH618" i="1"/>
  <c r="BG618" i="1"/>
  <c r="BF618" i="1"/>
  <c r="BE618" i="1"/>
  <c r="BD618" i="1"/>
  <c r="BC618" i="1"/>
  <c r="BB618" i="1"/>
  <c r="BA618" i="1"/>
  <c r="AZ618" i="1"/>
  <c r="AY618" i="1"/>
  <c r="AX618" i="1"/>
  <c r="AW618" i="1"/>
  <c r="AV618" i="1"/>
  <c r="AU618" i="1"/>
  <c r="AT618" i="1"/>
  <c r="AS618" i="1"/>
  <c r="AR618" i="1"/>
  <c r="AQ618" i="1"/>
  <c r="AP618" i="1"/>
  <c r="AO618" i="1"/>
  <c r="AE618" i="1"/>
  <c r="BS617" i="1"/>
  <c r="BR617" i="1"/>
  <c r="BQ617" i="1"/>
  <c r="BP617" i="1"/>
  <c r="BO617" i="1"/>
  <c r="BN617" i="1"/>
  <c r="BM617" i="1"/>
  <c r="BL617" i="1"/>
  <c r="BK617" i="1"/>
  <c r="BJ617" i="1"/>
  <c r="BI617" i="1"/>
  <c r="BH617" i="1"/>
  <c r="BG617" i="1"/>
  <c r="BF617" i="1"/>
  <c r="BE617" i="1"/>
  <c r="BD617" i="1"/>
  <c r="BC617" i="1"/>
  <c r="BB617" i="1"/>
  <c r="BA617" i="1"/>
  <c r="AZ617" i="1"/>
  <c r="AY617" i="1"/>
  <c r="AX617" i="1"/>
  <c r="AW617" i="1"/>
  <c r="AV617" i="1"/>
  <c r="AU617" i="1"/>
  <c r="AT617" i="1"/>
  <c r="AS617" i="1"/>
  <c r="AR617" i="1"/>
  <c r="AQ617" i="1"/>
  <c r="AP617" i="1"/>
  <c r="AO617" i="1"/>
  <c r="AE617" i="1"/>
  <c r="BS616" i="1"/>
  <c r="BR616" i="1"/>
  <c r="BQ616" i="1"/>
  <c r="BP616" i="1"/>
  <c r="BO616" i="1"/>
  <c r="BN616" i="1"/>
  <c r="BM616" i="1"/>
  <c r="BL616" i="1"/>
  <c r="BK616" i="1"/>
  <c r="BJ616" i="1"/>
  <c r="BI616" i="1"/>
  <c r="BH616" i="1"/>
  <c r="BG616" i="1"/>
  <c r="BF616" i="1"/>
  <c r="BE616" i="1"/>
  <c r="BD616" i="1"/>
  <c r="BC616" i="1"/>
  <c r="BB616" i="1"/>
  <c r="BA616" i="1"/>
  <c r="AZ616" i="1"/>
  <c r="AY616" i="1"/>
  <c r="AX616" i="1"/>
  <c r="AW616" i="1"/>
  <c r="AV616" i="1"/>
  <c r="AU616" i="1"/>
  <c r="AT616" i="1"/>
  <c r="AS616" i="1"/>
  <c r="AR616" i="1"/>
  <c r="AQ616" i="1"/>
  <c r="AP616" i="1"/>
  <c r="AO616" i="1"/>
  <c r="AE616" i="1"/>
  <c r="BS615" i="1"/>
  <c r="BR615" i="1"/>
  <c r="BQ615" i="1"/>
  <c r="BP615" i="1"/>
  <c r="BO615" i="1"/>
  <c r="BN615" i="1"/>
  <c r="BM615" i="1"/>
  <c r="BL615" i="1"/>
  <c r="BK615" i="1"/>
  <c r="BJ615" i="1"/>
  <c r="BI615" i="1"/>
  <c r="BH615" i="1"/>
  <c r="BG615" i="1"/>
  <c r="BF615" i="1"/>
  <c r="BE615" i="1"/>
  <c r="BD615" i="1"/>
  <c r="BC615" i="1"/>
  <c r="BB615" i="1"/>
  <c r="BA615" i="1"/>
  <c r="AZ615" i="1"/>
  <c r="AY615" i="1"/>
  <c r="AX615" i="1"/>
  <c r="AW615" i="1"/>
  <c r="AV615" i="1"/>
  <c r="AU615" i="1"/>
  <c r="AT615" i="1"/>
  <c r="AS615" i="1"/>
  <c r="AR615" i="1"/>
  <c r="AQ615" i="1"/>
  <c r="AP615" i="1"/>
  <c r="AO615" i="1"/>
  <c r="AE615" i="1"/>
  <c r="BS614" i="1"/>
  <c r="BR614" i="1"/>
  <c r="BQ614" i="1"/>
  <c r="BP614" i="1"/>
  <c r="BO614" i="1"/>
  <c r="BN614" i="1"/>
  <c r="BM614" i="1"/>
  <c r="BL614" i="1"/>
  <c r="BK614" i="1"/>
  <c r="BJ614" i="1"/>
  <c r="BI614" i="1"/>
  <c r="BH614" i="1"/>
  <c r="BG614" i="1"/>
  <c r="BF614" i="1"/>
  <c r="BE614" i="1"/>
  <c r="BD614" i="1"/>
  <c r="BC614" i="1"/>
  <c r="BB614" i="1"/>
  <c r="BA614" i="1"/>
  <c r="AZ614" i="1"/>
  <c r="AY614" i="1"/>
  <c r="AX614" i="1"/>
  <c r="AW614" i="1"/>
  <c r="AV614" i="1"/>
  <c r="AU614" i="1"/>
  <c r="AT614" i="1"/>
  <c r="AS614" i="1"/>
  <c r="AR614" i="1"/>
  <c r="AQ614" i="1"/>
  <c r="AP614" i="1"/>
  <c r="AO614" i="1"/>
  <c r="AE614" i="1"/>
  <c r="BS613" i="1"/>
  <c r="BR613" i="1"/>
  <c r="BQ613" i="1"/>
  <c r="BP613" i="1"/>
  <c r="BO613" i="1"/>
  <c r="BN613" i="1"/>
  <c r="BM613" i="1"/>
  <c r="BL613" i="1"/>
  <c r="BK613" i="1"/>
  <c r="BJ613" i="1"/>
  <c r="BI613" i="1"/>
  <c r="BH613" i="1"/>
  <c r="BG613" i="1"/>
  <c r="BF613" i="1"/>
  <c r="BE613" i="1"/>
  <c r="BD613" i="1"/>
  <c r="BC613" i="1"/>
  <c r="BB613" i="1"/>
  <c r="BA613" i="1"/>
  <c r="AZ613" i="1"/>
  <c r="AY613" i="1"/>
  <c r="AX613" i="1"/>
  <c r="AW613" i="1"/>
  <c r="AV613" i="1"/>
  <c r="AU613" i="1"/>
  <c r="AT613" i="1"/>
  <c r="AS613" i="1"/>
  <c r="AR613" i="1"/>
  <c r="AQ613" i="1"/>
  <c r="AP613" i="1"/>
  <c r="AO613" i="1"/>
  <c r="AE613" i="1"/>
  <c r="BS612" i="1"/>
  <c r="BR612" i="1"/>
  <c r="BQ612" i="1"/>
  <c r="BP612" i="1"/>
  <c r="BO612" i="1"/>
  <c r="BN612" i="1"/>
  <c r="BM612" i="1"/>
  <c r="BL612" i="1"/>
  <c r="BK612" i="1"/>
  <c r="BJ612" i="1"/>
  <c r="BI612" i="1"/>
  <c r="BH612" i="1"/>
  <c r="BG612" i="1"/>
  <c r="BF612" i="1"/>
  <c r="BE612" i="1"/>
  <c r="BD612" i="1"/>
  <c r="BC612" i="1"/>
  <c r="BB612" i="1"/>
  <c r="BA612" i="1"/>
  <c r="AZ612" i="1"/>
  <c r="AY612" i="1"/>
  <c r="AX612" i="1"/>
  <c r="AW612" i="1"/>
  <c r="AV612" i="1"/>
  <c r="AU612" i="1"/>
  <c r="AT612" i="1"/>
  <c r="AS612" i="1"/>
  <c r="AR612" i="1"/>
  <c r="AQ612" i="1"/>
  <c r="AP612" i="1"/>
  <c r="AO612" i="1"/>
  <c r="AE612" i="1"/>
  <c r="BS611" i="1"/>
  <c r="BR611" i="1"/>
  <c r="BQ611" i="1"/>
  <c r="BP611" i="1"/>
  <c r="BO611" i="1"/>
  <c r="BN611" i="1"/>
  <c r="BM611" i="1"/>
  <c r="BL611" i="1"/>
  <c r="BK611" i="1"/>
  <c r="BJ611" i="1"/>
  <c r="BI611" i="1"/>
  <c r="BH611" i="1"/>
  <c r="BG611" i="1"/>
  <c r="BF611" i="1"/>
  <c r="BE611" i="1"/>
  <c r="BD611" i="1"/>
  <c r="BC611" i="1"/>
  <c r="BB611" i="1"/>
  <c r="BA611" i="1"/>
  <c r="AZ611" i="1"/>
  <c r="AY611" i="1"/>
  <c r="AX611" i="1"/>
  <c r="AW611" i="1"/>
  <c r="AV611" i="1"/>
  <c r="AU611" i="1"/>
  <c r="AT611" i="1"/>
  <c r="AS611" i="1"/>
  <c r="AR611" i="1"/>
  <c r="AQ611" i="1"/>
  <c r="AP611" i="1"/>
  <c r="AO611" i="1"/>
  <c r="AE611" i="1"/>
  <c r="BS610" i="1"/>
  <c r="BR610" i="1"/>
  <c r="BQ610" i="1"/>
  <c r="BP610" i="1"/>
  <c r="BO610" i="1"/>
  <c r="BN610" i="1"/>
  <c r="BM610" i="1"/>
  <c r="BL610" i="1"/>
  <c r="BK610" i="1"/>
  <c r="BJ610" i="1"/>
  <c r="BI610" i="1"/>
  <c r="BH610" i="1"/>
  <c r="BG610" i="1"/>
  <c r="BF610" i="1"/>
  <c r="BE610" i="1"/>
  <c r="BD610" i="1"/>
  <c r="BC610" i="1"/>
  <c r="BB610" i="1"/>
  <c r="BA610" i="1"/>
  <c r="AZ610" i="1"/>
  <c r="AY610" i="1"/>
  <c r="AX610" i="1"/>
  <c r="AW610" i="1"/>
  <c r="AV610" i="1"/>
  <c r="AU610" i="1"/>
  <c r="AT610" i="1"/>
  <c r="AS610" i="1"/>
  <c r="AR610" i="1"/>
  <c r="AQ610" i="1"/>
  <c r="AP610" i="1"/>
  <c r="AO610" i="1"/>
  <c r="AE610" i="1"/>
  <c r="BS609" i="1"/>
  <c r="BR609" i="1"/>
  <c r="BQ609" i="1"/>
  <c r="BP609" i="1"/>
  <c r="BO609" i="1"/>
  <c r="BN609" i="1"/>
  <c r="BM609" i="1"/>
  <c r="BL609" i="1"/>
  <c r="BK609" i="1"/>
  <c r="BJ609" i="1"/>
  <c r="BI609" i="1"/>
  <c r="BH609" i="1"/>
  <c r="BG609" i="1"/>
  <c r="BF609" i="1"/>
  <c r="BE609" i="1"/>
  <c r="BD609" i="1"/>
  <c r="BC609" i="1"/>
  <c r="BB609" i="1"/>
  <c r="BA609" i="1"/>
  <c r="AZ609" i="1"/>
  <c r="AY609" i="1"/>
  <c r="AX609" i="1"/>
  <c r="AW609" i="1"/>
  <c r="AV609" i="1"/>
  <c r="AU609" i="1"/>
  <c r="AT609" i="1"/>
  <c r="AS609" i="1"/>
  <c r="AR609" i="1"/>
  <c r="AQ609" i="1"/>
  <c r="AP609" i="1"/>
  <c r="AO609" i="1"/>
  <c r="AE609" i="1"/>
  <c r="BS608" i="1"/>
  <c r="BR608" i="1"/>
  <c r="BQ608" i="1"/>
  <c r="BP608" i="1"/>
  <c r="BO608" i="1"/>
  <c r="BN608" i="1"/>
  <c r="BM608" i="1"/>
  <c r="BL608" i="1"/>
  <c r="BK608" i="1"/>
  <c r="BJ608" i="1"/>
  <c r="BI608" i="1"/>
  <c r="BH608" i="1"/>
  <c r="BG608" i="1"/>
  <c r="BF608" i="1"/>
  <c r="BE608" i="1"/>
  <c r="BD608" i="1"/>
  <c r="BC608" i="1"/>
  <c r="BB608" i="1"/>
  <c r="BA608" i="1"/>
  <c r="AZ608" i="1"/>
  <c r="AY608" i="1"/>
  <c r="AX608" i="1"/>
  <c r="AW608" i="1"/>
  <c r="AV608" i="1"/>
  <c r="AU608" i="1"/>
  <c r="AT608" i="1"/>
  <c r="AS608" i="1"/>
  <c r="AR608" i="1"/>
  <c r="AQ608" i="1"/>
  <c r="AP608" i="1"/>
  <c r="AO608" i="1"/>
  <c r="AE608" i="1"/>
  <c r="BS607" i="1"/>
  <c r="BR607" i="1"/>
  <c r="BQ607" i="1"/>
  <c r="BP607" i="1"/>
  <c r="BO607" i="1"/>
  <c r="BN607" i="1"/>
  <c r="BM607" i="1"/>
  <c r="BL607" i="1"/>
  <c r="BK607" i="1"/>
  <c r="BJ607" i="1"/>
  <c r="BI607" i="1"/>
  <c r="BH607" i="1"/>
  <c r="BG607" i="1"/>
  <c r="BF607" i="1"/>
  <c r="BE607" i="1"/>
  <c r="BD607" i="1"/>
  <c r="BC607" i="1"/>
  <c r="BB607" i="1"/>
  <c r="BA607" i="1"/>
  <c r="AZ607" i="1"/>
  <c r="AY607" i="1"/>
  <c r="AX607" i="1"/>
  <c r="AW607" i="1"/>
  <c r="AV607" i="1"/>
  <c r="AU607" i="1"/>
  <c r="AT607" i="1"/>
  <c r="AS607" i="1"/>
  <c r="AR607" i="1"/>
  <c r="AQ607" i="1"/>
  <c r="AP607" i="1"/>
  <c r="AO607" i="1"/>
  <c r="AE607" i="1"/>
  <c r="BS606" i="1"/>
  <c r="BR606" i="1"/>
  <c r="BQ606" i="1"/>
  <c r="BP606" i="1"/>
  <c r="BO606" i="1"/>
  <c r="BN606" i="1"/>
  <c r="BM606" i="1"/>
  <c r="BL606" i="1"/>
  <c r="BK606" i="1"/>
  <c r="BJ606" i="1"/>
  <c r="BI606" i="1"/>
  <c r="BH606" i="1"/>
  <c r="BG606" i="1"/>
  <c r="BF606" i="1"/>
  <c r="BE606" i="1"/>
  <c r="BD606" i="1"/>
  <c r="BC606" i="1"/>
  <c r="BB606" i="1"/>
  <c r="BA606" i="1"/>
  <c r="AZ606" i="1"/>
  <c r="AY606" i="1"/>
  <c r="AX606" i="1"/>
  <c r="AW606" i="1"/>
  <c r="AV606" i="1"/>
  <c r="AU606" i="1"/>
  <c r="AT606" i="1"/>
  <c r="AS606" i="1"/>
  <c r="AR606" i="1"/>
  <c r="AQ606" i="1"/>
  <c r="AP606" i="1"/>
  <c r="AO606" i="1"/>
  <c r="AE606" i="1"/>
  <c r="BS605" i="1"/>
  <c r="BR605" i="1"/>
  <c r="BQ605" i="1"/>
  <c r="BP605" i="1"/>
  <c r="BO605" i="1"/>
  <c r="BN605" i="1"/>
  <c r="BM605" i="1"/>
  <c r="BL605" i="1"/>
  <c r="BK605" i="1"/>
  <c r="BJ605" i="1"/>
  <c r="BI605" i="1"/>
  <c r="BH605" i="1"/>
  <c r="BG605" i="1"/>
  <c r="BF605" i="1"/>
  <c r="BE605" i="1"/>
  <c r="BD605" i="1"/>
  <c r="BC605" i="1"/>
  <c r="BB605" i="1"/>
  <c r="BA605" i="1"/>
  <c r="AZ605" i="1"/>
  <c r="AY605" i="1"/>
  <c r="AX605" i="1"/>
  <c r="AW605" i="1"/>
  <c r="AV605" i="1"/>
  <c r="AU605" i="1"/>
  <c r="AT605" i="1"/>
  <c r="AS605" i="1"/>
  <c r="AR605" i="1"/>
  <c r="AQ605" i="1"/>
  <c r="AP605" i="1"/>
  <c r="AO605" i="1"/>
  <c r="AE605" i="1"/>
  <c r="BS604" i="1"/>
  <c r="BR604" i="1"/>
  <c r="BQ604" i="1"/>
  <c r="BP604" i="1"/>
  <c r="BO604" i="1"/>
  <c r="BN604" i="1"/>
  <c r="BM604" i="1"/>
  <c r="BL604" i="1"/>
  <c r="BK604" i="1"/>
  <c r="BJ604" i="1"/>
  <c r="BI604" i="1"/>
  <c r="BH604" i="1"/>
  <c r="BG604" i="1"/>
  <c r="BF604" i="1"/>
  <c r="BE604" i="1"/>
  <c r="BD604" i="1"/>
  <c r="BC604" i="1"/>
  <c r="BB604" i="1"/>
  <c r="BA604" i="1"/>
  <c r="AZ604" i="1"/>
  <c r="AY604" i="1"/>
  <c r="AX604" i="1"/>
  <c r="AW604" i="1"/>
  <c r="AV604" i="1"/>
  <c r="AU604" i="1"/>
  <c r="AT604" i="1"/>
  <c r="AS604" i="1"/>
  <c r="AR604" i="1"/>
  <c r="AQ604" i="1"/>
  <c r="AP604" i="1"/>
  <c r="AO604" i="1"/>
  <c r="AE604" i="1"/>
  <c r="BS603" i="1"/>
  <c r="BR603" i="1"/>
  <c r="BQ603" i="1"/>
  <c r="BP603" i="1"/>
  <c r="BO603" i="1"/>
  <c r="BN603" i="1"/>
  <c r="BM603" i="1"/>
  <c r="BL603" i="1"/>
  <c r="BK603" i="1"/>
  <c r="BJ603" i="1"/>
  <c r="BI603" i="1"/>
  <c r="BH603" i="1"/>
  <c r="BG603" i="1"/>
  <c r="BF603" i="1"/>
  <c r="BE603" i="1"/>
  <c r="BD603" i="1"/>
  <c r="BC603" i="1"/>
  <c r="BB603" i="1"/>
  <c r="BA603" i="1"/>
  <c r="AZ603" i="1"/>
  <c r="AY603" i="1"/>
  <c r="AX603" i="1"/>
  <c r="AW603" i="1"/>
  <c r="AV603" i="1"/>
  <c r="AU603" i="1"/>
  <c r="AT603" i="1"/>
  <c r="AS603" i="1"/>
  <c r="AR603" i="1"/>
  <c r="AQ603" i="1"/>
  <c r="AP603" i="1"/>
  <c r="AO603" i="1"/>
  <c r="AE603" i="1"/>
  <c r="BS602" i="1"/>
  <c r="BR602" i="1"/>
  <c r="BQ602" i="1"/>
  <c r="BP602" i="1"/>
  <c r="BO602" i="1"/>
  <c r="BN602" i="1"/>
  <c r="BM602" i="1"/>
  <c r="BL602" i="1"/>
  <c r="BK602" i="1"/>
  <c r="BJ602" i="1"/>
  <c r="BI602" i="1"/>
  <c r="BH602" i="1"/>
  <c r="BG602" i="1"/>
  <c r="BF602" i="1"/>
  <c r="BE602" i="1"/>
  <c r="BD602" i="1"/>
  <c r="BC602" i="1"/>
  <c r="BB602" i="1"/>
  <c r="BA602" i="1"/>
  <c r="AZ602" i="1"/>
  <c r="AY602" i="1"/>
  <c r="AX602" i="1"/>
  <c r="AW602" i="1"/>
  <c r="AV602" i="1"/>
  <c r="AU602" i="1"/>
  <c r="AT602" i="1"/>
  <c r="AS602" i="1"/>
  <c r="AR602" i="1"/>
  <c r="AQ602" i="1"/>
  <c r="AP602" i="1"/>
  <c r="AO602" i="1"/>
  <c r="AE602" i="1"/>
  <c r="BS601" i="1"/>
  <c r="BR601" i="1"/>
  <c r="BQ601" i="1"/>
  <c r="BP601" i="1"/>
  <c r="BO601" i="1"/>
  <c r="BN601" i="1"/>
  <c r="BM601" i="1"/>
  <c r="BL601" i="1"/>
  <c r="BK601" i="1"/>
  <c r="BJ601" i="1"/>
  <c r="BI601" i="1"/>
  <c r="BH601" i="1"/>
  <c r="BG601" i="1"/>
  <c r="BF601" i="1"/>
  <c r="BE601" i="1"/>
  <c r="BD601" i="1"/>
  <c r="BC601" i="1"/>
  <c r="BB601" i="1"/>
  <c r="BA601" i="1"/>
  <c r="AZ601" i="1"/>
  <c r="AY601" i="1"/>
  <c r="AX601" i="1"/>
  <c r="AW601" i="1"/>
  <c r="AV601" i="1"/>
  <c r="AU601" i="1"/>
  <c r="AT601" i="1"/>
  <c r="AS601" i="1"/>
  <c r="AR601" i="1"/>
  <c r="AQ601" i="1"/>
  <c r="AP601" i="1"/>
  <c r="AO601" i="1"/>
  <c r="AE601" i="1"/>
  <c r="BS600" i="1"/>
  <c r="BR600" i="1"/>
  <c r="BQ600" i="1"/>
  <c r="BP600" i="1"/>
  <c r="BO600" i="1"/>
  <c r="BN600" i="1"/>
  <c r="BM600" i="1"/>
  <c r="BL600" i="1"/>
  <c r="BK600" i="1"/>
  <c r="BJ600" i="1"/>
  <c r="BI600" i="1"/>
  <c r="BH600" i="1"/>
  <c r="BG600" i="1"/>
  <c r="BF600" i="1"/>
  <c r="BE600" i="1"/>
  <c r="BD600" i="1"/>
  <c r="BC600" i="1"/>
  <c r="BB600" i="1"/>
  <c r="BA600" i="1"/>
  <c r="AZ600" i="1"/>
  <c r="AY600" i="1"/>
  <c r="AX600" i="1"/>
  <c r="AW600" i="1"/>
  <c r="AV600" i="1"/>
  <c r="AU600" i="1"/>
  <c r="AT600" i="1"/>
  <c r="AS600" i="1"/>
  <c r="AR600" i="1"/>
  <c r="AQ600" i="1"/>
  <c r="AP600" i="1"/>
  <c r="AO600" i="1"/>
  <c r="AE600" i="1"/>
  <c r="BS599" i="1"/>
  <c r="BR599" i="1"/>
  <c r="BQ599" i="1"/>
  <c r="BP599" i="1"/>
  <c r="BO599" i="1"/>
  <c r="BN599" i="1"/>
  <c r="BM599" i="1"/>
  <c r="BL599" i="1"/>
  <c r="BK599" i="1"/>
  <c r="BJ599" i="1"/>
  <c r="BI599" i="1"/>
  <c r="BH599" i="1"/>
  <c r="BG599" i="1"/>
  <c r="BF599" i="1"/>
  <c r="BE599" i="1"/>
  <c r="BD599" i="1"/>
  <c r="BC599" i="1"/>
  <c r="BB599" i="1"/>
  <c r="BA599" i="1"/>
  <c r="AZ599" i="1"/>
  <c r="AY599" i="1"/>
  <c r="AX599" i="1"/>
  <c r="AW599" i="1"/>
  <c r="AV599" i="1"/>
  <c r="AU599" i="1"/>
  <c r="AT599" i="1"/>
  <c r="AS599" i="1"/>
  <c r="AR599" i="1"/>
  <c r="AQ599" i="1"/>
  <c r="AP599" i="1"/>
  <c r="AO599" i="1"/>
  <c r="AE599" i="1"/>
  <c r="BS598" i="1"/>
  <c r="BR598" i="1"/>
  <c r="BQ598" i="1"/>
  <c r="BP598" i="1"/>
  <c r="BO598" i="1"/>
  <c r="BN598" i="1"/>
  <c r="BM598" i="1"/>
  <c r="BL598" i="1"/>
  <c r="BK598" i="1"/>
  <c r="BJ598" i="1"/>
  <c r="BI598" i="1"/>
  <c r="BH598" i="1"/>
  <c r="BG598" i="1"/>
  <c r="BF598" i="1"/>
  <c r="BE598" i="1"/>
  <c r="BD598" i="1"/>
  <c r="BC598" i="1"/>
  <c r="BB598" i="1"/>
  <c r="BA598" i="1"/>
  <c r="AZ598" i="1"/>
  <c r="AY598" i="1"/>
  <c r="AX598" i="1"/>
  <c r="AW598" i="1"/>
  <c r="AV598" i="1"/>
  <c r="AU598" i="1"/>
  <c r="AT598" i="1"/>
  <c r="AS598" i="1"/>
  <c r="AR598" i="1"/>
  <c r="AQ598" i="1"/>
  <c r="AP598" i="1"/>
  <c r="AO598" i="1"/>
  <c r="AE598" i="1"/>
  <c r="BS597" i="1"/>
  <c r="BR597" i="1"/>
  <c r="BQ597" i="1"/>
  <c r="BP597" i="1"/>
  <c r="BO597" i="1"/>
  <c r="BN597" i="1"/>
  <c r="BM597" i="1"/>
  <c r="BL597" i="1"/>
  <c r="BK597" i="1"/>
  <c r="BJ597" i="1"/>
  <c r="BI597" i="1"/>
  <c r="BH597" i="1"/>
  <c r="BG597" i="1"/>
  <c r="BF597" i="1"/>
  <c r="BE597" i="1"/>
  <c r="BD597" i="1"/>
  <c r="BC597" i="1"/>
  <c r="BB597" i="1"/>
  <c r="BA597" i="1"/>
  <c r="AZ597" i="1"/>
  <c r="AY597" i="1"/>
  <c r="AX597" i="1"/>
  <c r="AW597" i="1"/>
  <c r="AV597" i="1"/>
  <c r="AU597" i="1"/>
  <c r="AT597" i="1"/>
  <c r="AS597" i="1"/>
  <c r="AR597" i="1"/>
  <c r="AQ597" i="1"/>
  <c r="AP597" i="1"/>
  <c r="AO597" i="1"/>
  <c r="AE597" i="1"/>
  <c r="BS596" i="1"/>
  <c r="BR596" i="1"/>
  <c r="BQ596" i="1"/>
  <c r="BP596" i="1"/>
  <c r="BO596" i="1"/>
  <c r="BN596" i="1"/>
  <c r="BM596" i="1"/>
  <c r="BL596" i="1"/>
  <c r="BK596" i="1"/>
  <c r="BJ596" i="1"/>
  <c r="BI596" i="1"/>
  <c r="BH596" i="1"/>
  <c r="BG596" i="1"/>
  <c r="BF596" i="1"/>
  <c r="BE596" i="1"/>
  <c r="BD596" i="1"/>
  <c r="BC596" i="1"/>
  <c r="BB596" i="1"/>
  <c r="BA596" i="1"/>
  <c r="AZ596" i="1"/>
  <c r="AY596" i="1"/>
  <c r="AX596" i="1"/>
  <c r="AW596" i="1"/>
  <c r="AV596" i="1"/>
  <c r="AU596" i="1"/>
  <c r="AT596" i="1"/>
  <c r="AS596" i="1"/>
  <c r="AR596" i="1"/>
  <c r="AQ596" i="1"/>
  <c r="AP596" i="1"/>
  <c r="AO596" i="1"/>
  <c r="AE596" i="1"/>
  <c r="BS595" i="1"/>
  <c r="BR595" i="1"/>
  <c r="BQ595" i="1"/>
  <c r="BP595" i="1"/>
  <c r="BO595" i="1"/>
  <c r="BN595" i="1"/>
  <c r="BM595" i="1"/>
  <c r="BL595" i="1"/>
  <c r="BK595" i="1"/>
  <c r="BJ595" i="1"/>
  <c r="BI595" i="1"/>
  <c r="BH595" i="1"/>
  <c r="BG595" i="1"/>
  <c r="BF595" i="1"/>
  <c r="BE595" i="1"/>
  <c r="BD595" i="1"/>
  <c r="BC595" i="1"/>
  <c r="BB595" i="1"/>
  <c r="BA595" i="1"/>
  <c r="AZ595" i="1"/>
  <c r="AY595" i="1"/>
  <c r="AX595" i="1"/>
  <c r="AW595" i="1"/>
  <c r="AV595" i="1"/>
  <c r="AU595" i="1"/>
  <c r="AT595" i="1"/>
  <c r="AS595" i="1"/>
  <c r="AR595" i="1"/>
  <c r="AQ595" i="1"/>
  <c r="AP595" i="1"/>
  <c r="AO595" i="1"/>
  <c r="AE595" i="1"/>
  <c r="BS594" i="1"/>
  <c r="BR594" i="1"/>
  <c r="BQ594" i="1"/>
  <c r="BP594" i="1"/>
  <c r="BO594" i="1"/>
  <c r="BN594" i="1"/>
  <c r="BM594" i="1"/>
  <c r="BL594" i="1"/>
  <c r="BK594" i="1"/>
  <c r="BJ594" i="1"/>
  <c r="BI594" i="1"/>
  <c r="BH594" i="1"/>
  <c r="BG594" i="1"/>
  <c r="BF594" i="1"/>
  <c r="BE594" i="1"/>
  <c r="BD594" i="1"/>
  <c r="BC594" i="1"/>
  <c r="BB594" i="1"/>
  <c r="BA594" i="1"/>
  <c r="AZ594" i="1"/>
  <c r="AY594" i="1"/>
  <c r="AX594" i="1"/>
  <c r="AW594" i="1"/>
  <c r="AV594" i="1"/>
  <c r="AU594" i="1"/>
  <c r="AT594" i="1"/>
  <c r="AS594" i="1"/>
  <c r="AR594" i="1"/>
  <c r="AQ594" i="1"/>
  <c r="AP594" i="1"/>
  <c r="AO594" i="1"/>
  <c r="AE594" i="1"/>
  <c r="BS593" i="1"/>
  <c r="BR593" i="1"/>
  <c r="BQ593" i="1"/>
  <c r="BP593" i="1"/>
  <c r="BO593" i="1"/>
  <c r="BN593" i="1"/>
  <c r="BM593" i="1"/>
  <c r="BL593" i="1"/>
  <c r="BK593" i="1"/>
  <c r="BJ593" i="1"/>
  <c r="BI593" i="1"/>
  <c r="BH593" i="1"/>
  <c r="BG593" i="1"/>
  <c r="BF593" i="1"/>
  <c r="BE593" i="1"/>
  <c r="BD593" i="1"/>
  <c r="BC593" i="1"/>
  <c r="BB593" i="1"/>
  <c r="BA593" i="1"/>
  <c r="AZ593" i="1"/>
  <c r="AY593" i="1"/>
  <c r="AX593" i="1"/>
  <c r="AW593" i="1"/>
  <c r="AV593" i="1"/>
  <c r="AU593" i="1"/>
  <c r="AT593" i="1"/>
  <c r="AS593" i="1"/>
  <c r="AR593" i="1"/>
  <c r="AQ593" i="1"/>
  <c r="AP593" i="1"/>
  <c r="AO593" i="1"/>
  <c r="AE593" i="1"/>
  <c r="BS592" i="1"/>
  <c r="BR592" i="1"/>
  <c r="BQ592" i="1"/>
  <c r="BP592" i="1"/>
  <c r="BO592" i="1"/>
  <c r="BN592" i="1"/>
  <c r="BM592" i="1"/>
  <c r="BL592" i="1"/>
  <c r="BK592" i="1"/>
  <c r="BJ592" i="1"/>
  <c r="BI592" i="1"/>
  <c r="BH592" i="1"/>
  <c r="BG592" i="1"/>
  <c r="BF592" i="1"/>
  <c r="BE592" i="1"/>
  <c r="BD592" i="1"/>
  <c r="BC592" i="1"/>
  <c r="BB592" i="1"/>
  <c r="BA592" i="1"/>
  <c r="AZ592" i="1"/>
  <c r="AY592" i="1"/>
  <c r="AX592" i="1"/>
  <c r="AW592" i="1"/>
  <c r="AV592" i="1"/>
  <c r="AU592" i="1"/>
  <c r="AT592" i="1"/>
  <c r="AS592" i="1"/>
  <c r="AR592" i="1"/>
  <c r="AQ592" i="1"/>
  <c r="AP592" i="1"/>
  <c r="AO592" i="1"/>
  <c r="AE592" i="1"/>
  <c r="BS591" i="1"/>
  <c r="BR591" i="1"/>
  <c r="BQ591" i="1"/>
  <c r="BP591" i="1"/>
  <c r="BO591" i="1"/>
  <c r="BN591" i="1"/>
  <c r="BM591" i="1"/>
  <c r="BL591" i="1"/>
  <c r="BK591" i="1"/>
  <c r="BJ591" i="1"/>
  <c r="BI591" i="1"/>
  <c r="BH591" i="1"/>
  <c r="BG591" i="1"/>
  <c r="BF591" i="1"/>
  <c r="BE591" i="1"/>
  <c r="BD591" i="1"/>
  <c r="BC591" i="1"/>
  <c r="BB591" i="1"/>
  <c r="BA591" i="1"/>
  <c r="AZ591" i="1"/>
  <c r="AY591" i="1"/>
  <c r="AX591" i="1"/>
  <c r="AW591" i="1"/>
  <c r="AV591" i="1"/>
  <c r="AU591" i="1"/>
  <c r="AT591" i="1"/>
  <c r="AS591" i="1"/>
  <c r="AR591" i="1"/>
  <c r="AQ591" i="1"/>
  <c r="AP591" i="1"/>
  <c r="AO591" i="1"/>
  <c r="AE591" i="1"/>
  <c r="BS590" i="1"/>
  <c r="BR590" i="1"/>
  <c r="BQ590" i="1"/>
  <c r="BP590" i="1"/>
  <c r="BO590" i="1"/>
  <c r="BN590" i="1"/>
  <c r="BM590" i="1"/>
  <c r="BL590" i="1"/>
  <c r="BK590" i="1"/>
  <c r="BJ590" i="1"/>
  <c r="BI590" i="1"/>
  <c r="BH590" i="1"/>
  <c r="BG590" i="1"/>
  <c r="BF590" i="1"/>
  <c r="BE590" i="1"/>
  <c r="BD590" i="1"/>
  <c r="BC590" i="1"/>
  <c r="BB590" i="1"/>
  <c r="BA590" i="1"/>
  <c r="AZ590" i="1"/>
  <c r="AY590" i="1"/>
  <c r="AX590" i="1"/>
  <c r="AW590" i="1"/>
  <c r="AV590" i="1"/>
  <c r="AU590" i="1"/>
  <c r="AT590" i="1"/>
  <c r="AS590" i="1"/>
  <c r="AR590" i="1"/>
  <c r="AQ590" i="1"/>
  <c r="AP590" i="1"/>
  <c r="AO590" i="1"/>
  <c r="AE590" i="1"/>
  <c r="BS589" i="1"/>
  <c r="BR589" i="1"/>
  <c r="BQ589" i="1"/>
  <c r="BP589" i="1"/>
  <c r="BO589" i="1"/>
  <c r="BN589" i="1"/>
  <c r="BM589" i="1"/>
  <c r="BL589" i="1"/>
  <c r="BK589" i="1"/>
  <c r="BJ589" i="1"/>
  <c r="BI589" i="1"/>
  <c r="BH589" i="1"/>
  <c r="BG589" i="1"/>
  <c r="BF589" i="1"/>
  <c r="BE589" i="1"/>
  <c r="BD589" i="1"/>
  <c r="BC589" i="1"/>
  <c r="BB589" i="1"/>
  <c r="BA589" i="1"/>
  <c r="AZ589" i="1"/>
  <c r="AY589" i="1"/>
  <c r="AX589" i="1"/>
  <c r="AW589" i="1"/>
  <c r="AV589" i="1"/>
  <c r="AU589" i="1"/>
  <c r="AT589" i="1"/>
  <c r="AS589" i="1"/>
  <c r="AR589" i="1"/>
  <c r="AQ589" i="1"/>
  <c r="AP589" i="1"/>
  <c r="AO589" i="1"/>
  <c r="AE589" i="1"/>
  <c r="BS588" i="1"/>
  <c r="BR588" i="1"/>
  <c r="BQ588" i="1"/>
  <c r="BP588" i="1"/>
  <c r="BO588" i="1"/>
  <c r="BN588" i="1"/>
  <c r="BM588" i="1"/>
  <c r="BL588" i="1"/>
  <c r="BK588" i="1"/>
  <c r="BJ588" i="1"/>
  <c r="BI588" i="1"/>
  <c r="BH588" i="1"/>
  <c r="BG588" i="1"/>
  <c r="BF588" i="1"/>
  <c r="BE588" i="1"/>
  <c r="BD588" i="1"/>
  <c r="BC588" i="1"/>
  <c r="BB588" i="1"/>
  <c r="BA588" i="1"/>
  <c r="AZ588" i="1"/>
  <c r="AY588" i="1"/>
  <c r="AX588" i="1"/>
  <c r="AW588" i="1"/>
  <c r="AV588" i="1"/>
  <c r="AU588" i="1"/>
  <c r="AT588" i="1"/>
  <c r="AS588" i="1"/>
  <c r="AR588" i="1"/>
  <c r="AQ588" i="1"/>
  <c r="AP588" i="1"/>
  <c r="AO588" i="1"/>
  <c r="AE588" i="1"/>
  <c r="BS587" i="1"/>
  <c r="BR587" i="1"/>
  <c r="BQ587" i="1"/>
  <c r="BP587" i="1"/>
  <c r="BO587" i="1"/>
  <c r="BN587" i="1"/>
  <c r="BM587" i="1"/>
  <c r="BL587" i="1"/>
  <c r="BK587" i="1"/>
  <c r="BJ587" i="1"/>
  <c r="BI587" i="1"/>
  <c r="BH587" i="1"/>
  <c r="BG587" i="1"/>
  <c r="BF587" i="1"/>
  <c r="BE587" i="1"/>
  <c r="BD587" i="1"/>
  <c r="BC587" i="1"/>
  <c r="BB587" i="1"/>
  <c r="BA587" i="1"/>
  <c r="AZ587" i="1"/>
  <c r="AY587" i="1"/>
  <c r="AX587" i="1"/>
  <c r="AW587" i="1"/>
  <c r="AV587" i="1"/>
  <c r="AU587" i="1"/>
  <c r="AT587" i="1"/>
  <c r="AS587" i="1"/>
  <c r="AR587" i="1"/>
  <c r="AQ587" i="1"/>
  <c r="AP587" i="1"/>
  <c r="AO587" i="1"/>
  <c r="AE587" i="1"/>
  <c r="BS586" i="1"/>
  <c r="BR586" i="1"/>
  <c r="BQ586" i="1"/>
  <c r="BP586" i="1"/>
  <c r="BO586" i="1"/>
  <c r="BN586" i="1"/>
  <c r="BM586" i="1"/>
  <c r="BL586" i="1"/>
  <c r="BK586" i="1"/>
  <c r="BJ586" i="1"/>
  <c r="BI586" i="1"/>
  <c r="BH586" i="1"/>
  <c r="BG586" i="1"/>
  <c r="BF586" i="1"/>
  <c r="BE586" i="1"/>
  <c r="BD586" i="1"/>
  <c r="BC586" i="1"/>
  <c r="BB586" i="1"/>
  <c r="BA586" i="1"/>
  <c r="AZ586" i="1"/>
  <c r="AY586" i="1"/>
  <c r="AX586" i="1"/>
  <c r="AW586" i="1"/>
  <c r="AV586" i="1"/>
  <c r="AU586" i="1"/>
  <c r="AT586" i="1"/>
  <c r="AS586" i="1"/>
  <c r="AR586" i="1"/>
  <c r="AQ586" i="1"/>
  <c r="AP586" i="1"/>
  <c r="AO586" i="1"/>
  <c r="AE586" i="1"/>
  <c r="BS585" i="1"/>
  <c r="BR585" i="1"/>
  <c r="BQ585" i="1"/>
  <c r="BP585" i="1"/>
  <c r="BO585" i="1"/>
  <c r="BN585" i="1"/>
  <c r="BM585" i="1"/>
  <c r="BL585" i="1"/>
  <c r="BK585" i="1"/>
  <c r="BJ585" i="1"/>
  <c r="BI585" i="1"/>
  <c r="BH585" i="1"/>
  <c r="BG585" i="1"/>
  <c r="BF585" i="1"/>
  <c r="BE585" i="1"/>
  <c r="BD585" i="1"/>
  <c r="BC585" i="1"/>
  <c r="BB585" i="1"/>
  <c r="BA585" i="1"/>
  <c r="AZ585" i="1"/>
  <c r="AY585" i="1"/>
  <c r="AX585" i="1"/>
  <c r="AW585" i="1"/>
  <c r="AV585" i="1"/>
  <c r="AU585" i="1"/>
  <c r="AT585" i="1"/>
  <c r="AS585" i="1"/>
  <c r="AR585" i="1"/>
  <c r="AQ585" i="1"/>
  <c r="AP585" i="1"/>
  <c r="AO585" i="1"/>
  <c r="AE585" i="1"/>
  <c r="BS584" i="1"/>
  <c r="BR584" i="1"/>
  <c r="BQ584" i="1"/>
  <c r="BP584" i="1"/>
  <c r="BO584" i="1"/>
  <c r="BN584" i="1"/>
  <c r="BM584" i="1"/>
  <c r="BL584" i="1"/>
  <c r="BK584" i="1"/>
  <c r="BJ584" i="1"/>
  <c r="BI584" i="1"/>
  <c r="BH584" i="1"/>
  <c r="BG584" i="1"/>
  <c r="BF584" i="1"/>
  <c r="BE584" i="1"/>
  <c r="BD584" i="1"/>
  <c r="BC584" i="1"/>
  <c r="BB584" i="1"/>
  <c r="BA584" i="1"/>
  <c r="AZ584" i="1"/>
  <c r="AY584" i="1"/>
  <c r="AX584" i="1"/>
  <c r="AW584" i="1"/>
  <c r="AV584" i="1"/>
  <c r="AU584" i="1"/>
  <c r="AT584" i="1"/>
  <c r="AS584" i="1"/>
  <c r="AR584" i="1"/>
  <c r="AQ584" i="1"/>
  <c r="AP584" i="1"/>
  <c r="AO584" i="1"/>
  <c r="AE584" i="1"/>
  <c r="BS583" i="1"/>
  <c r="BR583" i="1"/>
  <c r="BQ583" i="1"/>
  <c r="BP583" i="1"/>
  <c r="BO583" i="1"/>
  <c r="BN583" i="1"/>
  <c r="BM583" i="1"/>
  <c r="BL583" i="1"/>
  <c r="BK583" i="1"/>
  <c r="BJ583" i="1"/>
  <c r="BI583" i="1"/>
  <c r="BH583" i="1"/>
  <c r="BG583" i="1"/>
  <c r="BF583" i="1"/>
  <c r="BE583" i="1"/>
  <c r="BD583" i="1"/>
  <c r="BC583" i="1"/>
  <c r="BB583" i="1"/>
  <c r="BA583" i="1"/>
  <c r="AZ583" i="1"/>
  <c r="AY583" i="1"/>
  <c r="AX583" i="1"/>
  <c r="AW583" i="1"/>
  <c r="AV583" i="1"/>
  <c r="AU583" i="1"/>
  <c r="AT583" i="1"/>
  <c r="AS583" i="1"/>
  <c r="AR583" i="1"/>
  <c r="AQ583" i="1"/>
  <c r="AP583" i="1"/>
  <c r="AO583" i="1"/>
  <c r="AE583" i="1"/>
  <c r="BS582" i="1"/>
  <c r="BR582" i="1"/>
  <c r="BQ582" i="1"/>
  <c r="BP582" i="1"/>
  <c r="BO582" i="1"/>
  <c r="BN582" i="1"/>
  <c r="BM582" i="1"/>
  <c r="BL582" i="1"/>
  <c r="BK582" i="1"/>
  <c r="BJ582" i="1"/>
  <c r="BI582" i="1"/>
  <c r="BH582" i="1"/>
  <c r="BG582" i="1"/>
  <c r="BF582" i="1"/>
  <c r="BE582" i="1"/>
  <c r="BD582" i="1"/>
  <c r="BC582" i="1"/>
  <c r="BB582" i="1"/>
  <c r="BA582" i="1"/>
  <c r="AZ582" i="1"/>
  <c r="AY582" i="1"/>
  <c r="AX582" i="1"/>
  <c r="AW582" i="1"/>
  <c r="AV582" i="1"/>
  <c r="AU582" i="1"/>
  <c r="AT582" i="1"/>
  <c r="AS582" i="1"/>
  <c r="AR582" i="1"/>
  <c r="AQ582" i="1"/>
  <c r="AP582" i="1"/>
  <c r="AO582" i="1"/>
  <c r="AE582" i="1"/>
  <c r="BS581" i="1"/>
  <c r="BR581" i="1"/>
  <c r="BQ581" i="1"/>
  <c r="BP581" i="1"/>
  <c r="BO581" i="1"/>
  <c r="BN581" i="1"/>
  <c r="BM581" i="1"/>
  <c r="BL581" i="1"/>
  <c r="BK581" i="1"/>
  <c r="BJ581" i="1"/>
  <c r="BI581" i="1"/>
  <c r="BH581" i="1"/>
  <c r="BG581" i="1"/>
  <c r="BF581" i="1"/>
  <c r="BE581" i="1"/>
  <c r="BD581" i="1"/>
  <c r="BC581" i="1"/>
  <c r="BB581" i="1"/>
  <c r="BA581" i="1"/>
  <c r="AZ581" i="1"/>
  <c r="AY581" i="1"/>
  <c r="AX581" i="1"/>
  <c r="AW581" i="1"/>
  <c r="AV581" i="1"/>
  <c r="AU581" i="1"/>
  <c r="AT581" i="1"/>
  <c r="AS581" i="1"/>
  <c r="AR581" i="1"/>
  <c r="AQ581" i="1"/>
  <c r="AP581" i="1"/>
  <c r="AO581" i="1"/>
  <c r="AE581" i="1"/>
  <c r="BS580" i="1"/>
  <c r="BR580" i="1"/>
  <c r="BQ580" i="1"/>
  <c r="BP580" i="1"/>
  <c r="BO580" i="1"/>
  <c r="BN580" i="1"/>
  <c r="BM580" i="1"/>
  <c r="BL580" i="1"/>
  <c r="BK580" i="1"/>
  <c r="BJ580" i="1"/>
  <c r="BI580" i="1"/>
  <c r="BH580" i="1"/>
  <c r="BG580" i="1"/>
  <c r="BF580" i="1"/>
  <c r="BE580" i="1"/>
  <c r="BD580" i="1"/>
  <c r="BC580" i="1"/>
  <c r="BB580" i="1"/>
  <c r="BA580" i="1"/>
  <c r="AZ580" i="1"/>
  <c r="AY580" i="1"/>
  <c r="AX580" i="1"/>
  <c r="AW580" i="1"/>
  <c r="AV580" i="1"/>
  <c r="AU580" i="1"/>
  <c r="AT580" i="1"/>
  <c r="AS580" i="1"/>
  <c r="AR580" i="1"/>
  <c r="AQ580" i="1"/>
  <c r="AP580" i="1"/>
  <c r="AO580" i="1"/>
  <c r="AE580" i="1"/>
  <c r="BS579" i="1"/>
  <c r="BR579" i="1"/>
  <c r="BQ579" i="1"/>
  <c r="BP579" i="1"/>
  <c r="BO579" i="1"/>
  <c r="BN579" i="1"/>
  <c r="BM579" i="1"/>
  <c r="BL579" i="1"/>
  <c r="BK579" i="1"/>
  <c r="BJ579" i="1"/>
  <c r="BI579" i="1"/>
  <c r="BH579" i="1"/>
  <c r="BG579" i="1"/>
  <c r="BF579" i="1"/>
  <c r="BE579" i="1"/>
  <c r="BD579" i="1"/>
  <c r="BC579" i="1"/>
  <c r="BB579" i="1"/>
  <c r="BA579" i="1"/>
  <c r="AZ579" i="1"/>
  <c r="AY579" i="1"/>
  <c r="AX579" i="1"/>
  <c r="AW579" i="1"/>
  <c r="AV579" i="1"/>
  <c r="AU579" i="1"/>
  <c r="AT579" i="1"/>
  <c r="AS579" i="1"/>
  <c r="AR579" i="1"/>
  <c r="AQ579" i="1"/>
  <c r="AP579" i="1"/>
  <c r="AO579" i="1"/>
  <c r="AE579" i="1"/>
  <c r="BS578" i="1"/>
  <c r="BR578" i="1"/>
  <c r="BQ578" i="1"/>
  <c r="BP578" i="1"/>
  <c r="BO578" i="1"/>
  <c r="BN578" i="1"/>
  <c r="BM578" i="1"/>
  <c r="BL578" i="1"/>
  <c r="BK578" i="1"/>
  <c r="BJ578" i="1"/>
  <c r="BI578" i="1"/>
  <c r="BH578" i="1"/>
  <c r="BG578" i="1"/>
  <c r="BF578" i="1"/>
  <c r="BE578" i="1"/>
  <c r="BD578" i="1"/>
  <c r="BC578" i="1"/>
  <c r="BB578" i="1"/>
  <c r="BA578" i="1"/>
  <c r="AZ578" i="1"/>
  <c r="AY578" i="1"/>
  <c r="AX578" i="1"/>
  <c r="AW578" i="1"/>
  <c r="AV578" i="1"/>
  <c r="AU578" i="1"/>
  <c r="AT578" i="1"/>
  <c r="AS578" i="1"/>
  <c r="AR578" i="1"/>
  <c r="AQ578" i="1"/>
  <c r="AP578" i="1"/>
  <c r="AO578" i="1"/>
  <c r="AE578" i="1"/>
  <c r="BS577" i="1"/>
  <c r="BR577" i="1"/>
  <c r="BQ577" i="1"/>
  <c r="BP577" i="1"/>
  <c r="BO577" i="1"/>
  <c r="BN577" i="1"/>
  <c r="BM577" i="1"/>
  <c r="BL577" i="1"/>
  <c r="BK577" i="1"/>
  <c r="BJ577" i="1"/>
  <c r="BI577" i="1"/>
  <c r="BH577" i="1"/>
  <c r="BG577" i="1"/>
  <c r="BF577" i="1"/>
  <c r="BE577" i="1"/>
  <c r="BD577" i="1"/>
  <c r="BC577" i="1"/>
  <c r="BB577" i="1"/>
  <c r="BA577" i="1"/>
  <c r="AZ577" i="1"/>
  <c r="AY577" i="1"/>
  <c r="AX577" i="1"/>
  <c r="AW577" i="1"/>
  <c r="AV577" i="1"/>
  <c r="AU577" i="1"/>
  <c r="AT577" i="1"/>
  <c r="AS577" i="1"/>
  <c r="AR577" i="1"/>
  <c r="AQ577" i="1"/>
  <c r="AP577" i="1"/>
  <c r="AO577" i="1"/>
  <c r="AE577" i="1"/>
  <c r="BS576" i="1"/>
  <c r="BR576" i="1"/>
  <c r="BQ576" i="1"/>
  <c r="BP576" i="1"/>
  <c r="BO576" i="1"/>
  <c r="BN576" i="1"/>
  <c r="BM576" i="1"/>
  <c r="BL576" i="1"/>
  <c r="BK576" i="1"/>
  <c r="BJ576" i="1"/>
  <c r="BI576" i="1"/>
  <c r="BH576" i="1"/>
  <c r="BG576" i="1"/>
  <c r="BF576" i="1"/>
  <c r="BE576" i="1"/>
  <c r="BD576" i="1"/>
  <c r="BC576" i="1"/>
  <c r="BB576" i="1"/>
  <c r="BA576" i="1"/>
  <c r="AZ576" i="1"/>
  <c r="AY576" i="1"/>
  <c r="AX576" i="1"/>
  <c r="AW576" i="1"/>
  <c r="AV576" i="1"/>
  <c r="AU576" i="1"/>
  <c r="AT576" i="1"/>
  <c r="AS576" i="1"/>
  <c r="AR576" i="1"/>
  <c r="AQ576" i="1"/>
  <c r="AP576" i="1"/>
  <c r="AO576" i="1"/>
  <c r="AE576" i="1"/>
  <c r="BS575" i="1"/>
  <c r="BR575" i="1"/>
  <c r="BQ575" i="1"/>
  <c r="BP575" i="1"/>
  <c r="BO575" i="1"/>
  <c r="BN575" i="1"/>
  <c r="BM575" i="1"/>
  <c r="BL575" i="1"/>
  <c r="BK575" i="1"/>
  <c r="BJ575" i="1"/>
  <c r="BI575" i="1"/>
  <c r="BH575" i="1"/>
  <c r="BG575" i="1"/>
  <c r="BF575" i="1"/>
  <c r="BE575" i="1"/>
  <c r="BD575" i="1"/>
  <c r="BC575" i="1"/>
  <c r="BB575" i="1"/>
  <c r="BA575" i="1"/>
  <c r="AZ575" i="1"/>
  <c r="AY575" i="1"/>
  <c r="AX575" i="1"/>
  <c r="AW575" i="1"/>
  <c r="AV575" i="1"/>
  <c r="AU575" i="1"/>
  <c r="AT575" i="1"/>
  <c r="AS575" i="1"/>
  <c r="AR575" i="1"/>
  <c r="AQ575" i="1"/>
  <c r="AP575" i="1"/>
  <c r="AO575" i="1"/>
  <c r="AE575" i="1"/>
  <c r="BS574" i="1"/>
  <c r="BR574" i="1"/>
  <c r="BQ574" i="1"/>
  <c r="BP574" i="1"/>
  <c r="BO574" i="1"/>
  <c r="BN574" i="1"/>
  <c r="BM574" i="1"/>
  <c r="BL574" i="1"/>
  <c r="BK574" i="1"/>
  <c r="BJ574" i="1"/>
  <c r="BI574" i="1"/>
  <c r="BH574" i="1"/>
  <c r="BG574" i="1"/>
  <c r="BF574" i="1"/>
  <c r="BE574" i="1"/>
  <c r="BD574" i="1"/>
  <c r="BC574" i="1"/>
  <c r="BB574" i="1"/>
  <c r="BA574" i="1"/>
  <c r="AZ574" i="1"/>
  <c r="AY574" i="1"/>
  <c r="AX574" i="1"/>
  <c r="AW574" i="1"/>
  <c r="AV574" i="1"/>
  <c r="AU574" i="1"/>
  <c r="AT574" i="1"/>
  <c r="AS574" i="1"/>
  <c r="AR574" i="1"/>
  <c r="AQ574" i="1"/>
  <c r="AP574" i="1"/>
  <c r="AO574" i="1"/>
  <c r="AE574" i="1"/>
  <c r="BS573" i="1"/>
  <c r="BR573" i="1"/>
  <c r="BQ573" i="1"/>
  <c r="BP573" i="1"/>
  <c r="BO573" i="1"/>
  <c r="BN573" i="1"/>
  <c r="BM573" i="1"/>
  <c r="BL573" i="1"/>
  <c r="BK573" i="1"/>
  <c r="BJ573" i="1"/>
  <c r="BI573" i="1"/>
  <c r="BH573" i="1"/>
  <c r="BG573" i="1"/>
  <c r="BF573" i="1"/>
  <c r="BE573" i="1"/>
  <c r="BD573" i="1"/>
  <c r="BC573" i="1"/>
  <c r="BB573" i="1"/>
  <c r="BA573" i="1"/>
  <c r="AZ573" i="1"/>
  <c r="AY573" i="1"/>
  <c r="AX573" i="1"/>
  <c r="AW573" i="1"/>
  <c r="AV573" i="1"/>
  <c r="AU573" i="1"/>
  <c r="AT573" i="1"/>
  <c r="AS573" i="1"/>
  <c r="AR573" i="1"/>
  <c r="AQ573" i="1"/>
  <c r="AP573" i="1"/>
  <c r="AO573" i="1"/>
  <c r="AE573" i="1"/>
  <c r="BS572" i="1"/>
  <c r="BR572" i="1"/>
  <c r="BQ572" i="1"/>
  <c r="BP572" i="1"/>
  <c r="BO572" i="1"/>
  <c r="BN572" i="1"/>
  <c r="BM572" i="1"/>
  <c r="BL572" i="1"/>
  <c r="BK572" i="1"/>
  <c r="BJ572" i="1"/>
  <c r="BI572" i="1"/>
  <c r="BH572" i="1"/>
  <c r="BG572" i="1"/>
  <c r="BF572" i="1"/>
  <c r="BE572" i="1"/>
  <c r="BD572" i="1"/>
  <c r="BC572" i="1"/>
  <c r="BB572" i="1"/>
  <c r="BA572" i="1"/>
  <c r="AZ572" i="1"/>
  <c r="AY572" i="1"/>
  <c r="AX572" i="1"/>
  <c r="AW572" i="1"/>
  <c r="AV572" i="1"/>
  <c r="AU572" i="1"/>
  <c r="AT572" i="1"/>
  <c r="AS572" i="1"/>
  <c r="AR572" i="1"/>
  <c r="AQ572" i="1"/>
  <c r="AP572" i="1"/>
  <c r="AO572" i="1"/>
  <c r="AE572" i="1"/>
  <c r="BS571" i="1"/>
  <c r="BR571" i="1"/>
  <c r="BQ571" i="1"/>
  <c r="BP571" i="1"/>
  <c r="BO571" i="1"/>
  <c r="BN571" i="1"/>
  <c r="BM571" i="1"/>
  <c r="BL571" i="1"/>
  <c r="BK571" i="1"/>
  <c r="BJ571" i="1"/>
  <c r="BI571" i="1"/>
  <c r="BH571" i="1"/>
  <c r="BG571" i="1"/>
  <c r="BF571" i="1"/>
  <c r="BE571" i="1"/>
  <c r="BD571" i="1"/>
  <c r="BC571" i="1"/>
  <c r="BB571" i="1"/>
  <c r="BA571" i="1"/>
  <c r="AZ571" i="1"/>
  <c r="AY571" i="1"/>
  <c r="AX571" i="1"/>
  <c r="AW571" i="1"/>
  <c r="AV571" i="1"/>
  <c r="AU571" i="1"/>
  <c r="AT571" i="1"/>
  <c r="AS571" i="1"/>
  <c r="AR571" i="1"/>
  <c r="AQ571" i="1"/>
  <c r="AP571" i="1"/>
  <c r="AO571" i="1"/>
  <c r="AE571" i="1"/>
  <c r="BS570" i="1"/>
  <c r="BR570" i="1"/>
  <c r="BQ570" i="1"/>
  <c r="BP570" i="1"/>
  <c r="BO570" i="1"/>
  <c r="BN570" i="1"/>
  <c r="BM570" i="1"/>
  <c r="BL570" i="1"/>
  <c r="BK570" i="1"/>
  <c r="BJ570" i="1"/>
  <c r="BI570" i="1"/>
  <c r="BH570" i="1"/>
  <c r="BG570" i="1"/>
  <c r="BF570" i="1"/>
  <c r="BE570" i="1"/>
  <c r="BD570" i="1"/>
  <c r="BC570" i="1"/>
  <c r="BB570" i="1"/>
  <c r="BA570" i="1"/>
  <c r="AZ570" i="1"/>
  <c r="AY570" i="1"/>
  <c r="AX570" i="1"/>
  <c r="AW570" i="1"/>
  <c r="AV570" i="1"/>
  <c r="AU570" i="1"/>
  <c r="AT570" i="1"/>
  <c r="AS570" i="1"/>
  <c r="AR570" i="1"/>
  <c r="AQ570" i="1"/>
  <c r="AP570" i="1"/>
  <c r="AO570" i="1"/>
  <c r="AE570" i="1"/>
  <c r="BS569" i="1"/>
  <c r="BR569" i="1"/>
  <c r="BQ569" i="1"/>
  <c r="BP569" i="1"/>
  <c r="BO569" i="1"/>
  <c r="BN569" i="1"/>
  <c r="BM569" i="1"/>
  <c r="BL569" i="1"/>
  <c r="BK569" i="1"/>
  <c r="BJ569" i="1"/>
  <c r="BI569" i="1"/>
  <c r="BH569" i="1"/>
  <c r="BG569" i="1"/>
  <c r="BF569" i="1"/>
  <c r="BE569" i="1"/>
  <c r="BD569" i="1"/>
  <c r="BC569" i="1"/>
  <c r="BB569" i="1"/>
  <c r="BA569" i="1"/>
  <c r="AZ569" i="1"/>
  <c r="AY569" i="1"/>
  <c r="AX569" i="1"/>
  <c r="AW569" i="1"/>
  <c r="AV569" i="1"/>
  <c r="AU569" i="1"/>
  <c r="AT569" i="1"/>
  <c r="AS569" i="1"/>
  <c r="AR569" i="1"/>
  <c r="AQ569" i="1"/>
  <c r="AP569" i="1"/>
  <c r="AO569" i="1"/>
  <c r="AE569" i="1"/>
  <c r="BS568" i="1"/>
  <c r="BR568" i="1"/>
  <c r="BQ568" i="1"/>
  <c r="BP568" i="1"/>
  <c r="BO568" i="1"/>
  <c r="BN568" i="1"/>
  <c r="BM568" i="1"/>
  <c r="BL568" i="1"/>
  <c r="BK568" i="1"/>
  <c r="BJ568" i="1"/>
  <c r="BI568" i="1"/>
  <c r="BH568" i="1"/>
  <c r="BG568" i="1"/>
  <c r="BF568" i="1"/>
  <c r="BE568" i="1"/>
  <c r="BD568" i="1"/>
  <c r="BC568" i="1"/>
  <c r="BB568" i="1"/>
  <c r="BA568" i="1"/>
  <c r="AZ568" i="1"/>
  <c r="AY568" i="1"/>
  <c r="AX568" i="1"/>
  <c r="AW568" i="1"/>
  <c r="AV568" i="1"/>
  <c r="AU568" i="1"/>
  <c r="AT568" i="1"/>
  <c r="AS568" i="1"/>
  <c r="AR568" i="1"/>
  <c r="AQ568" i="1"/>
  <c r="AP568" i="1"/>
  <c r="AO568" i="1"/>
  <c r="AE568" i="1"/>
  <c r="BS567" i="1"/>
  <c r="BR567" i="1"/>
  <c r="BQ567" i="1"/>
  <c r="BP567" i="1"/>
  <c r="BO567" i="1"/>
  <c r="BN567" i="1"/>
  <c r="BM567" i="1"/>
  <c r="BL567" i="1"/>
  <c r="BK567" i="1"/>
  <c r="BJ567" i="1"/>
  <c r="BI567" i="1"/>
  <c r="BH567" i="1"/>
  <c r="BG567" i="1"/>
  <c r="BF567" i="1"/>
  <c r="BE567" i="1"/>
  <c r="BD567" i="1"/>
  <c r="BC567" i="1"/>
  <c r="BB567" i="1"/>
  <c r="BA567" i="1"/>
  <c r="AZ567" i="1"/>
  <c r="AY567" i="1"/>
  <c r="AX567" i="1"/>
  <c r="AW567" i="1"/>
  <c r="AV567" i="1"/>
  <c r="AU567" i="1"/>
  <c r="AT567" i="1"/>
  <c r="AS567" i="1"/>
  <c r="AR567" i="1"/>
  <c r="AQ567" i="1"/>
  <c r="AP567" i="1"/>
  <c r="AO567" i="1"/>
  <c r="AE567" i="1"/>
  <c r="BS566" i="1"/>
  <c r="BR566" i="1"/>
  <c r="BQ566" i="1"/>
  <c r="BP566" i="1"/>
  <c r="BO566" i="1"/>
  <c r="BN566" i="1"/>
  <c r="BM566" i="1"/>
  <c r="BL566" i="1"/>
  <c r="BK566" i="1"/>
  <c r="BJ566" i="1"/>
  <c r="BI566" i="1"/>
  <c r="BH566" i="1"/>
  <c r="BG566" i="1"/>
  <c r="BF566" i="1"/>
  <c r="BE566" i="1"/>
  <c r="BD566" i="1"/>
  <c r="BC566" i="1"/>
  <c r="BB566" i="1"/>
  <c r="BA566" i="1"/>
  <c r="AZ566" i="1"/>
  <c r="AY566" i="1"/>
  <c r="AX566" i="1"/>
  <c r="AW566" i="1"/>
  <c r="AV566" i="1"/>
  <c r="AU566" i="1"/>
  <c r="AT566" i="1"/>
  <c r="AS566" i="1"/>
  <c r="AR566" i="1"/>
  <c r="AQ566" i="1"/>
  <c r="AP566" i="1"/>
  <c r="AO566" i="1"/>
  <c r="AE566" i="1"/>
  <c r="BS565" i="1"/>
  <c r="BR565" i="1"/>
  <c r="BQ565" i="1"/>
  <c r="BP565" i="1"/>
  <c r="BO565" i="1"/>
  <c r="BN565" i="1"/>
  <c r="BM565" i="1"/>
  <c r="BL565" i="1"/>
  <c r="BK565" i="1"/>
  <c r="BJ565" i="1"/>
  <c r="BI565" i="1"/>
  <c r="BH565" i="1"/>
  <c r="BG565" i="1"/>
  <c r="BF565" i="1"/>
  <c r="BE565" i="1"/>
  <c r="BD565" i="1"/>
  <c r="BC565" i="1"/>
  <c r="BB565" i="1"/>
  <c r="BA565" i="1"/>
  <c r="AZ565" i="1"/>
  <c r="AY565" i="1"/>
  <c r="AX565" i="1"/>
  <c r="AW565" i="1"/>
  <c r="AV565" i="1"/>
  <c r="AU565" i="1"/>
  <c r="AT565" i="1"/>
  <c r="AS565" i="1"/>
  <c r="AR565" i="1"/>
  <c r="AQ565" i="1"/>
  <c r="AP565" i="1"/>
  <c r="AO565" i="1"/>
  <c r="AE565" i="1"/>
  <c r="BS564" i="1"/>
  <c r="BR564" i="1"/>
  <c r="BQ564" i="1"/>
  <c r="BP564" i="1"/>
  <c r="BO564" i="1"/>
  <c r="BN564" i="1"/>
  <c r="BM564" i="1"/>
  <c r="BL564" i="1"/>
  <c r="BK564" i="1"/>
  <c r="BJ564" i="1"/>
  <c r="BI564" i="1"/>
  <c r="BH564" i="1"/>
  <c r="BG564" i="1"/>
  <c r="BF564" i="1"/>
  <c r="BE564" i="1"/>
  <c r="BD564" i="1"/>
  <c r="BC564" i="1"/>
  <c r="BB564" i="1"/>
  <c r="BA564" i="1"/>
  <c r="AZ564" i="1"/>
  <c r="AY564" i="1"/>
  <c r="AX564" i="1"/>
  <c r="AW564" i="1"/>
  <c r="AV564" i="1"/>
  <c r="AU564" i="1"/>
  <c r="AT564" i="1"/>
  <c r="AS564" i="1"/>
  <c r="AR564" i="1"/>
  <c r="AQ564" i="1"/>
  <c r="AP564" i="1"/>
  <c r="AO564" i="1"/>
  <c r="AE564" i="1"/>
  <c r="BS563" i="1"/>
  <c r="BR563" i="1"/>
  <c r="BQ563" i="1"/>
  <c r="BP563" i="1"/>
  <c r="BO563" i="1"/>
  <c r="BN563" i="1"/>
  <c r="BM563" i="1"/>
  <c r="BL563" i="1"/>
  <c r="BK563" i="1"/>
  <c r="BJ563" i="1"/>
  <c r="BI563" i="1"/>
  <c r="BH563" i="1"/>
  <c r="BG563" i="1"/>
  <c r="BF563" i="1"/>
  <c r="BE563" i="1"/>
  <c r="BD563" i="1"/>
  <c r="BC563" i="1"/>
  <c r="BB563" i="1"/>
  <c r="BA563" i="1"/>
  <c r="AZ563" i="1"/>
  <c r="AY563" i="1"/>
  <c r="AX563" i="1"/>
  <c r="AW563" i="1"/>
  <c r="AV563" i="1"/>
  <c r="AU563" i="1"/>
  <c r="AT563" i="1"/>
  <c r="AS563" i="1"/>
  <c r="AR563" i="1"/>
  <c r="AQ563" i="1"/>
  <c r="AP563" i="1"/>
  <c r="AO563" i="1"/>
  <c r="AE563" i="1"/>
  <c r="BS562" i="1"/>
  <c r="BR562" i="1"/>
  <c r="BQ562" i="1"/>
  <c r="BP562" i="1"/>
  <c r="BO562" i="1"/>
  <c r="BN562" i="1"/>
  <c r="BM562" i="1"/>
  <c r="BL562" i="1"/>
  <c r="BK562" i="1"/>
  <c r="BJ562" i="1"/>
  <c r="BI562" i="1"/>
  <c r="BH562" i="1"/>
  <c r="BG562" i="1"/>
  <c r="BF562" i="1"/>
  <c r="BE562" i="1"/>
  <c r="BD562" i="1"/>
  <c r="BC562" i="1"/>
  <c r="BB562" i="1"/>
  <c r="BA562" i="1"/>
  <c r="AZ562" i="1"/>
  <c r="AY562" i="1"/>
  <c r="AX562" i="1"/>
  <c r="AW562" i="1"/>
  <c r="AV562" i="1"/>
  <c r="AU562" i="1"/>
  <c r="AT562" i="1"/>
  <c r="AS562" i="1"/>
  <c r="AR562" i="1"/>
  <c r="AQ562" i="1"/>
  <c r="AP562" i="1"/>
  <c r="AO562" i="1"/>
  <c r="AE562" i="1"/>
  <c r="BS561" i="1"/>
  <c r="BR561" i="1"/>
  <c r="BQ561" i="1"/>
  <c r="BP561" i="1"/>
  <c r="BO561" i="1"/>
  <c r="BN561" i="1"/>
  <c r="BM561" i="1"/>
  <c r="BL561" i="1"/>
  <c r="BK561" i="1"/>
  <c r="BJ561" i="1"/>
  <c r="BI561" i="1"/>
  <c r="BH561" i="1"/>
  <c r="BG561" i="1"/>
  <c r="BF561" i="1"/>
  <c r="BE561" i="1"/>
  <c r="BD561" i="1"/>
  <c r="BC561" i="1"/>
  <c r="BB561" i="1"/>
  <c r="BA561" i="1"/>
  <c r="AZ561" i="1"/>
  <c r="AY561" i="1"/>
  <c r="AX561" i="1"/>
  <c r="AW561" i="1"/>
  <c r="AV561" i="1"/>
  <c r="AU561" i="1"/>
  <c r="AT561" i="1"/>
  <c r="AS561" i="1"/>
  <c r="AR561" i="1"/>
  <c r="AQ561" i="1"/>
  <c r="AP561" i="1"/>
  <c r="AO561" i="1"/>
  <c r="AE561" i="1"/>
  <c r="BS560" i="1"/>
  <c r="BR560" i="1"/>
  <c r="BQ560" i="1"/>
  <c r="BP560" i="1"/>
  <c r="BO560" i="1"/>
  <c r="BN560" i="1"/>
  <c r="BM560" i="1"/>
  <c r="BL560" i="1"/>
  <c r="BK560" i="1"/>
  <c r="BJ560" i="1"/>
  <c r="BI560" i="1"/>
  <c r="BH560" i="1"/>
  <c r="BG560" i="1"/>
  <c r="BF560" i="1"/>
  <c r="BE560" i="1"/>
  <c r="BD560" i="1"/>
  <c r="BC560" i="1"/>
  <c r="BB560" i="1"/>
  <c r="BA560" i="1"/>
  <c r="AZ560" i="1"/>
  <c r="AY560" i="1"/>
  <c r="AX560" i="1"/>
  <c r="AW560" i="1"/>
  <c r="AV560" i="1"/>
  <c r="AU560" i="1"/>
  <c r="AT560" i="1"/>
  <c r="AS560" i="1"/>
  <c r="AR560" i="1"/>
  <c r="AQ560" i="1"/>
  <c r="AP560" i="1"/>
  <c r="AO560" i="1"/>
  <c r="AE560" i="1"/>
  <c r="BS559" i="1"/>
  <c r="BR559" i="1"/>
  <c r="BQ559" i="1"/>
  <c r="BP559" i="1"/>
  <c r="BO559" i="1"/>
  <c r="BN559" i="1"/>
  <c r="BM559" i="1"/>
  <c r="BL559" i="1"/>
  <c r="BK559" i="1"/>
  <c r="BJ559" i="1"/>
  <c r="BI559" i="1"/>
  <c r="BH559" i="1"/>
  <c r="BG559" i="1"/>
  <c r="BF559" i="1"/>
  <c r="BE559" i="1"/>
  <c r="BD559" i="1"/>
  <c r="BC559" i="1"/>
  <c r="BB559" i="1"/>
  <c r="BA559" i="1"/>
  <c r="AZ559" i="1"/>
  <c r="AY559" i="1"/>
  <c r="AX559" i="1"/>
  <c r="AW559" i="1"/>
  <c r="AV559" i="1"/>
  <c r="AU559" i="1"/>
  <c r="AT559" i="1"/>
  <c r="AS559" i="1"/>
  <c r="AR559" i="1"/>
  <c r="AQ559" i="1"/>
  <c r="AP559" i="1"/>
  <c r="AO559" i="1"/>
  <c r="AE559" i="1"/>
  <c r="BS558" i="1"/>
  <c r="BR558" i="1"/>
  <c r="BQ558" i="1"/>
  <c r="BP558" i="1"/>
  <c r="BO558" i="1"/>
  <c r="BN558" i="1"/>
  <c r="BM558" i="1"/>
  <c r="BL558" i="1"/>
  <c r="BK558" i="1"/>
  <c r="BJ558" i="1"/>
  <c r="BI558" i="1"/>
  <c r="BH558" i="1"/>
  <c r="BG558" i="1"/>
  <c r="BF558" i="1"/>
  <c r="BE558" i="1"/>
  <c r="BD558" i="1"/>
  <c r="BC558" i="1"/>
  <c r="BB558" i="1"/>
  <c r="BA558" i="1"/>
  <c r="AZ558" i="1"/>
  <c r="AY558" i="1"/>
  <c r="AX558" i="1"/>
  <c r="AW558" i="1"/>
  <c r="AV558" i="1"/>
  <c r="AU558" i="1"/>
  <c r="AT558" i="1"/>
  <c r="AS558" i="1"/>
  <c r="AR558" i="1"/>
  <c r="AQ558" i="1"/>
  <c r="AP558" i="1"/>
  <c r="AO558" i="1"/>
  <c r="AE558" i="1"/>
  <c r="BS557" i="1"/>
  <c r="BR557" i="1"/>
  <c r="BQ557" i="1"/>
  <c r="BP557" i="1"/>
  <c r="BO557" i="1"/>
  <c r="BN557" i="1"/>
  <c r="BM557" i="1"/>
  <c r="BL557" i="1"/>
  <c r="BK557" i="1"/>
  <c r="BJ557" i="1"/>
  <c r="BI557" i="1"/>
  <c r="BH557" i="1"/>
  <c r="BG557" i="1"/>
  <c r="BF557" i="1"/>
  <c r="BE557" i="1"/>
  <c r="BD557" i="1"/>
  <c r="BC557" i="1"/>
  <c r="BB557" i="1"/>
  <c r="BA557" i="1"/>
  <c r="AZ557" i="1"/>
  <c r="AY557" i="1"/>
  <c r="AX557" i="1"/>
  <c r="AW557" i="1"/>
  <c r="AV557" i="1"/>
  <c r="AU557" i="1"/>
  <c r="AT557" i="1"/>
  <c r="AS557" i="1"/>
  <c r="AR557" i="1"/>
  <c r="AQ557" i="1"/>
  <c r="AP557" i="1"/>
  <c r="AO557" i="1"/>
  <c r="AE557" i="1"/>
  <c r="BS556" i="1"/>
  <c r="BR556" i="1"/>
  <c r="BQ556" i="1"/>
  <c r="BP556" i="1"/>
  <c r="BO556" i="1"/>
  <c r="BN556" i="1"/>
  <c r="BM556" i="1"/>
  <c r="BL556" i="1"/>
  <c r="BK556" i="1"/>
  <c r="BJ556" i="1"/>
  <c r="BI556" i="1"/>
  <c r="BH556" i="1"/>
  <c r="BG556" i="1"/>
  <c r="BF556" i="1"/>
  <c r="BE556" i="1"/>
  <c r="BD556" i="1"/>
  <c r="BC556" i="1"/>
  <c r="BB556" i="1"/>
  <c r="BA556" i="1"/>
  <c r="AZ556" i="1"/>
  <c r="AY556" i="1"/>
  <c r="AX556" i="1"/>
  <c r="AW556" i="1"/>
  <c r="AV556" i="1"/>
  <c r="AU556" i="1"/>
  <c r="AT556" i="1"/>
  <c r="AS556" i="1"/>
  <c r="AR556" i="1"/>
  <c r="AQ556" i="1"/>
  <c r="AP556" i="1"/>
  <c r="AO556" i="1"/>
  <c r="AE556" i="1"/>
  <c r="BS555" i="1"/>
  <c r="BR555" i="1"/>
  <c r="BQ555" i="1"/>
  <c r="BP555" i="1"/>
  <c r="BO555" i="1"/>
  <c r="BN555" i="1"/>
  <c r="BM555" i="1"/>
  <c r="BL555" i="1"/>
  <c r="BK555" i="1"/>
  <c r="BJ555" i="1"/>
  <c r="BI555" i="1"/>
  <c r="BH555" i="1"/>
  <c r="BG555" i="1"/>
  <c r="BF555" i="1"/>
  <c r="BE555" i="1"/>
  <c r="BD555" i="1"/>
  <c r="BC555" i="1"/>
  <c r="BB555" i="1"/>
  <c r="BA555" i="1"/>
  <c r="AZ555" i="1"/>
  <c r="AY555" i="1"/>
  <c r="AX555" i="1"/>
  <c r="AW555" i="1"/>
  <c r="AV555" i="1"/>
  <c r="AU555" i="1"/>
  <c r="AT555" i="1"/>
  <c r="AS555" i="1"/>
  <c r="AR555" i="1"/>
  <c r="AQ555" i="1"/>
  <c r="AP555" i="1"/>
  <c r="AO555" i="1"/>
  <c r="AE555" i="1"/>
  <c r="BS554" i="1"/>
  <c r="BR554" i="1"/>
  <c r="BQ554" i="1"/>
  <c r="BP554" i="1"/>
  <c r="BO554" i="1"/>
  <c r="BN554" i="1"/>
  <c r="BM554" i="1"/>
  <c r="BL554" i="1"/>
  <c r="BK554" i="1"/>
  <c r="BJ554" i="1"/>
  <c r="BI554" i="1"/>
  <c r="BH554" i="1"/>
  <c r="BG554" i="1"/>
  <c r="BF554" i="1"/>
  <c r="BE554" i="1"/>
  <c r="BD554" i="1"/>
  <c r="BC554" i="1"/>
  <c r="BB554" i="1"/>
  <c r="BA554" i="1"/>
  <c r="AZ554" i="1"/>
  <c r="AY554" i="1"/>
  <c r="AX554" i="1"/>
  <c r="AW554" i="1"/>
  <c r="AV554" i="1"/>
  <c r="AU554" i="1"/>
  <c r="AT554" i="1"/>
  <c r="AS554" i="1"/>
  <c r="AR554" i="1"/>
  <c r="AQ554" i="1"/>
  <c r="AP554" i="1"/>
  <c r="AO554" i="1"/>
  <c r="AE554" i="1"/>
  <c r="BS553" i="1"/>
  <c r="BR553" i="1"/>
  <c r="BQ553" i="1"/>
  <c r="BP553" i="1"/>
  <c r="BO553" i="1"/>
  <c r="BN553" i="1"/>
  <c r="BM553" i="1"/>
  <c r="BL553" i="1"/>
  <c r="BK553" i="1"/>
  <c r="BJ553" i="1"/>
  <c r="BI553" i="1"/>
  <c r="BH553" i="1"/>
  <c r="BG553" i="1"/>
  <c r="BF553" i="1"/>
  <c r="BE553" i="1"/>
  <c r="BD553" i="1"/>
  <c r="BC553" i="1"/>
  <c r="BB553" i="1"/>
  <c r="BA553" i="1"/>
  <c r="AZ553" i="1"/>
  <c r="AY553" i="1"/>
  <c r="AX553" i="1"/>
  <c r="AW553" i="1"/>
  <c r="AV553" i="1"/>
  <c r="AU553" i="1"/>
  <c r="AT553" i="1"/>
  <c r="AS553" i="1"/>
  <c r="AR553" i="1"/>
  <c r="AQ553" i="1"/>
  <c r="AP553" i="1"/>
  <c r="AO553" i="1"/>
  <c r="AE553" i="1"/>
  <c r="BS552" i="1"/>
  <c r="BR552" i="1"/>
  <c r="BQ552" i="1"/>
  <c r="BP552" i="1"/>
  <c r="BO552" i="1"/>
  <c r="BN552" i="1"/>
  <c r="BM552" i="1"/>
  <c r="BL552" i="1"/>
  <c r="BK552" i="1"/>
  <c r="BJ552" i="1"/>
  <c r="BI552" i="1"/>
  <c r="BH552" i="1"/>
  <c r="BG552" i="1"/>
  <c r="BF552" i="1"/>
  <c r="BE552" i="1"/>
  <c r="BD552" i="1"/>
  <c r="BC552" i="1"/>
  <c r="BB552" i="1"/>
  <c r="BA552" i="1"/>
  <c r="AZ552" i="1"/>
  <c r="AY552" i="1"/>
  <c r="AX552" i="1"/>
  <c r="AW552" i="1"/>
  <c r="AV552" i="1"/>
  <c r="AU552" i="1"/>
  <c r="AT552" i="1"/>
  <c r="AS552" i="1"/>
  <c r="AR552" i="1"/>
  <c r="AQ552" i="1"/>
  <c r="AP552" i="1"/>
  <c r="AO552" i="1"/>
  <c r="AE552" i="1"/>
  <c r="BS551" i="1"/>
  <c r="BR551" i="1"/>
  <c r="BQ551" i="1"/>
  <c r="BP551" i="1"/>
  <c r="BO551" i="1"/>
  <c r="BN551" i="1"/>
  <c r="BM551" i="1"/>
  <c r="BL551" i="1"/>
  <c r="BK551" i="1"/>
  <c r="BJ551" i="1"/>
  <c r="BI551" i="1"/>
  <c r="BH551" i="1"/>
  <c r="BG551" i="1"/>
  <c r="BF551" i="1"/>
  <c r="BE551" i="1"/>
  <c r="BD551" i="1"/>
  <c r="BC551" i="1"/>
  <c r="BB551" i="1"/>
  <c r="BA551" i="1"/>
  <c r="AZ551" i="1"/>
  <c r="AY551" i="1"/>
  <c r="AX551" i="1"/>
  <c r="AW551" i="1"/>
  <c r="AV551" i="1"/>
  <c r="AU551" i="1"/>
  <c r="AT551" i="1"/>
  <c r="AS551" i="1"/>
  <c r="AR551" i="1"/>
  <c r="AQ551" i="1"/>
  <c r="AP551" i="1"/>
  <c r="AO551" i="1"/>
  <c r="AE551" i="1"/>
  <c r="BS550" i="1"/>
  <c r="BR550" i="1"/>
  <c r="BQ550" i="1"/>
  <c r="BP550" i="1"/>
  <c r="BO550" i="1"/>
  <c r="BN550" i="1"/>
  <c r="BM550" i="1"/>
  <c r="BL550" i="1"/>
  <c r="BK550" i="1"/>
  <c r="BJ550" i="1"/>
  <c r="BI550" i="1"/>
  <c r="BH550" i="1"/>
  <c r="BG550" i="1"/>
  <c r="BF550" i="1"/>
  <c r="BE550" i="1"/>
  <c r="BD550" i="1"/>
  <c r="BC550" i="1"/>
  <c r="BB550" i="1"/>
  <c r="BA550" i="1"/>
  <c r="AZ550" i="1"/>
  <c r="AY550" i="1"/>
  <c r="AX550" i="1"/>
  <c r="AW550" i="1"/>
  <c r="AV550" i="1"/>
  <c r="AU550" i="1"/>
  <c r="AT550" i="1"/>
  <c r="AS550" i="1"/>
  <c r="AR550" i="1"/>
  <c r="AQ550" i="1"/>
  <c r="AP550" i="1"/>
  <c r="AO550" i="1"/>
  <c r="AE550" i="1"/>
  <c r="BS549" i="1"/>
  <c r="BR549" i="1"/>
  <c r="BQ549" i="1"/>
  <c r="BP549" i="1"/>
  <c r="BO549" i="1"/>
  <c r="BN549" i="1"/>
  <c r="BM549" i="1"/>
  <c r="BL549" i="1"/>
  <c r="BK549" i="1"/>
  <c r="BJ549" i="1"/>
  <c r="BI549" i="1"/>
  <c r="BH549" i="1"/>
  <c r="BG549" i="1"/>
  <c r="BF549" i="1"/>
  <c r="BE549" i="1"/>
  <c r="BD549" i="1"/>
  <c r="BC549" i="1"/>
  <c r="BB549" i="1"/>
  <c r="BA549" i="1"/>
  <c r="AZ549" i="1"/>
  <c r="AY549" i="1"/>
  <c r="AX549" i="1"/>
  <c r="AW549" i="1"/>
  <c r="AV549" i="1"/>
  <c r="AU549" i="1"/>
  <c r="AT549" i="1"/>
  <c r="AS549" i="1"/>
  <c r="AR549" i="1"/>
  <c r="AQ549" i="1"/>
  <c r="AP549" i="1"/>
  <c r="AO549" i="1"/>
  <c r="AE549" i="1"/>
  <c r="BS548" i="1"/>
  <c r="BR548" i="1"/>
  <c r="BQ548" i="1"/>
  <c r="BP548" i="1"/>
  <c r="BO548" i="1"/>
  <c r="BN548" i="1"/>
  <c r="BM548" i="1"/>
  <c r="BL548" i="1"/>
  <c r="BK548" i="1"/>
  <c r="BJ548" i="1"/>
  <c r="BI548" i="1"/>
  <c r="BH548" i="1"/>
  <c r="BG548" i="1"/>
  <c r="BF548" i="1"/>
  <c r="BE548" i="1"/>
  <c r="BD548" i="1"/>
  <c r="BC548" i="1"/>
  <c r="BB548" i="1"/>
  <c r="BA548" i="1"/>
  <c r="AZ548" i="1"/>
  <c r="AY548" i="1"/>
  <c r="AX548" i="1"/>
  <c r="AW548" i="1"/>
  <c r="AV548" i="1"/>
  <c r="AU548" i="1"/>
  <c r="AT548" i="1"/>
  <c r="AS548" i="1"/>
  <c r="AR548" i="1"/>
  <c r="AQ548" i="1"/>
  <c r="AP548" i="1"/>
  <c r="AO548" i="1"/>
  <c r="AE548" i="1"/>
  <c r="BS547" i="1"/>
  <c r="BR547" i="1"/>
  <c r="BQ547" i="1"/>
  <c r="BP547" i="1"/>
  <c r="BO547" i="1"/>
  <c r="BN547" i="1"/>
  <c r="BM547" i="1"/>
  <c r="BL547" i="1"/>
  <c r="BK547" i="1"/>
  <c r="BJ547" i="1"/>
  <c r="BI547" i="1"/>
  <c r="BH547" i="1"/>
  <c r="BG547" i="1"/>
  <c r="BF547" i="1"/>
  <c r="BE547" i="1"/>
  <c r="BD547" i="1"/>
  <c r="BC547" i="1"/>
  <c r="BB547" i="1"/>
  <c r="BA547" i="1"/>
  <c r="AZ547" i="1"/>
  <c r="AY547" i="1"/>
  <c r="AX547" i="1"/>
  <c r="AW547" i="1"/>
  <c r="AV547" i="1"/>
  <c r="AU547" i="1"/>
  <c r="AT547" i="1"/>
  <c r="AS547" i="1"/>
  <c r="AR547" i="1"/>
  <c r="AQ547" i="1"/>
  <c r="AP547" i="1"/>
  <c r="AO547" i="1"/>
  <c r="AE547" i="1"/>
  <c r="BS546" i="1"/>
  <c r="BR546" i="1"/>
  <c r="BQ546" i="1"/>
  <c r="BP546" i="1"/>
  <c r="BO546" i="1"/>
  <c r="BN546" i="1"/>
  <c r="BM546" i="1"/>
  <c r="BL546" i="1"/>
  <c r="BK546" i="1"/>
  <c r="BJ546" i="1"/>
  <c r="BI546" i="1"/>
  <c r="BH546" i="1"/>
  <c r="BG546" i="1"/>
  <c r="BF546" i="1"/>
  <c r="BE546" i="1"/>
  <c r="BD546" i="1"/>
  <c r="BC546" i="1"/>
  <c r="BB546" i="1"/>
  <c r="BA546" i="1"/>
  <c r="AZ546" i="1"/>
  <c r="AY546" i="1"/>
  <c r="AX546" i="1"/>
  <c r="AW546" i="1"/>
  <c r="AV546" i="1"/>
  <c r="AU546" i="1"/>
  <c r="AT546" i="1"/>
  <c r="AS546" i="1"/>
  <c r="AR546" i="1"/>
  <c r="AQ546" i="1"/>
  <c r="AP546" i="1"/>
  <c r="AO546" i="1"/>
  <c r="AE546" i="1"/>
  <c r="BS545" i="1"/>
  <c r="BR545" i="1"/>
  <c r="BQ545" i="1"/>
  <c r="BP545" i="1"/>
  <c r="BO545" i="1"/>
  <c r="BN545" i="1"/>
  <c r="BM545" i="1"/>
  <c r="BL545" i="1"/>
  <c r="BK545" i="1"/>
  <c r="BJ545" i="1"/>
  <c r="BI545" i="1"/>
  <c r="BH545" i="1"/>
  <c r="BG545" i="1"/>
  <c r="BF545" i="1"/>
  <c r="BE545" i="1"/>
  <c r="BD545" i="1"/>
  <c r="BC545" i="1"/>
  <c r="BB545" i="1"/>
  <c r="BA545" i="1"/>
  <c r="AZ545" i="1"/>
  <c r="AY545" i="1"/>
  <c r="AX545" i="1"/>
  <c r="AW545" i="1"/>
  <c r="AV545" i="1"/>
  <c r="AU545" i="1"/>
  <c r="AT545" i="1"/>
  <c r="AS545" i="1"/>
  <c r="AR545" i="1"/>
  <c r="AQ545" i="1"/>
  <c r="AP545" i="1"/>
  <c r="AO545" i="1"/>
  <c r="AE545" i="1"/>
  <c r="BS544" i="1"/>
  <c r="BR544" i="1"/>
  <c r="BQ544" i="1"/>
  <c r="BP544" i="1"/>
  <c r="BO544" i="1"/>
  <c r="BN544" i="1"/>
  <c r="BM544" i="1"/>
  <c r="BL544" i="1"/>
  <c r="BK544" i="1"/>
  <c r="BJ544" i="1"/>
  <c r="BI544" i="1"/>
  <c r="BH544" i="1"/>
  <c r="BG544" i="1"/>
  <c r="BF544" i="1"/>
  <c r="BE544" i="1"/>
  <c r="BD544" i="1"/>
  <c r="BC544" i="1"/>
  <c r="BB544" i="1"/>
  <c r="BA544" i="1"/>
  <c r="AZ544" i="1"/>
  <c r="AY544" i="1"/>
  <c r="AX544" i="1"/>
  <c r="AW544" i="1"/>
  <c r="AV544" i="1"/>
  <c r="AU544" i="1"/>
  <c r="AT544" i="1"/>
  <c r="AS544" i="1"/>
  <c r="AR544" i="1"/>
  <c r="AQ544" i="1"/>
  <c r="AP544" i="1"/>
  <c r="AO544" i="1"/>
  <c r="AE544" i="1"/>
  <c r="BS543" i="1"/>
  <c r="BR543" i="1"/>
  <c r="BQ543" i="1"/>
  <c r="BP543" i="1"/>
  <c r="BO543" i="1"/>
  <c r="BN543" i="1"/>
  <c r="BM543" i="1"/>
  <c r="BL543" i="1"/>
  <c r="BK543" i="1"/>
  <c r="BJ543" i="1"/>
  <c r="BI543" i="1"/>
  <c r="BH543" i="1"/>
  <c r="BG543" i="1"/>
  <c r="BF543" i="1"/>
  <c r="BE543" i="1"/>
  <c r="BD543" i="1"/>
  <c r="BC543" i="1"/>
  <c r="BB543" i="1"/>
  <c r="BA543" i="1"/>
  <c r="AZ543" i="1"/>
  <c r="AY543" i="1"/>
  <c r="AX543" i="1"/>
  <c r="AW543" i="1"/>
  <c r="AV543" i="1"/>
  <c r="AU543" i="1"/>
  <c r="AT543" i="1"/>
  <c r="AS543" i="1"/>
  <c r="AR543" i="1"/>
  <c r="AQ543" i="1"/>
  <c r="AP543" i="1"/>
  <c r="AO543" i="1"/>
  <c r="AE543" i="1"/>
  <c r="BS542" i="1"/>
  <c r="BR542" i="1"/>
  <c r="BQ542" i="1"/>
  <c r="BP542" i="1"/>
  <c r="BO542" i="1"/>
  <c r="BN542" i="1"/>
  <c r="BM542" i="1"/>
  <c r="BL542" i="1"/>
  <c r="BK542" i="1"/>
  <c r="BJ542" i="1"/>
  <c r="BI542" i="1"/>
  <c r="BH542" i="1"/>
  <c r="BG542" i="1"/>
  <c r="BF542" i="1"/>
  <c r="BE542" i="1"/>
  <c r="BD542" i="1"/>
  <c r="BC542" i="1"/>
  <c r="BB542" i="1"/>
  <c r="BA542" i="1"/>
  <c r="AZ542" i="1"/>
  <c r="AY542" i="1"/>
  <c r="AX542" i="1"/>
  <c r="AW542" i="1"/>
  <c r="AV542" i="1"/>
  <c r="AU542" i="1"/>
  <c r="AT542" i="1"/>
  <c r="AS542" i="1"/>
  <c r="AR542" i="1"/>
  <c r="AQ542" i="1"/>
  <c r="AP542" i="1"/>
  <c r="AO542" i="1"/>
  <c r="AE542" i="1"/>
  <c r="BS541" i="1"/>
  <c r="BR541" i="1"/>
  <c r="BQ541" i="1"/>
  <c r="BP541" i="1"/>
  <c r="BO541" i="1"/>
  <c r="BN541" i="1"/>
  <c r="BM541" i="1"/>
  <c r="BL541" i="1"/>
  <c r="BK541" i="1"/>
  <c r="BJ541" i="1"/>
  <c r="BI541" i="1"/>
  <c r="BH541" i="1"/>
  <c r="BG541" i="1"/>
  <c r="BF541" i="1"/>
  <c r="BE541" i="1"/>
  <c r="BD541" i="1"/>
  <c r="BC541" i="1"/>
  <c r="BB541" i="1"/>
  <c r="BA541" i="1"/>
  <c r="AZ541" i="1"/>
  <c r="AY541" i="1"/>
  <c r="AX541" i="1"/>
  <c r="AW541" i="1"/>
  <c r="AV541" i="1"/>
  <c r="AU541" i="1"/>
  <c r="AT541" i="1"/>
  <c r="AS541" i="1"/>
  <c r="AR541" i="1"/>
  <c r="AQ541" i="1"/>
  <c r="AP541" i="1"/>
  <c r="AO541" i="1"/>
  <c r="AE541" i="1"/>
  <c r="BS540" i="1"/>
  <c r="BR540" i="1"/>
  <c r="BQ540" i="1"/>
  <c r="BP540" i="1"/>
  <c r="BO540" i="1"/>
  <c r="BN540" i="1"/>
  <c r="BM540" i="1"/>
  <c r="BL540" i="1"/>
  <c r="BK540" i="1"/>
  <c r="BJ540" i="1"/>
  <c r="BI540" i="1"/>
  <c r="BH540" i="1"/>
  <c r="BG540" i="1"/>
  <c r="BF540" i="1"/>
  <c r="BE540" i="1"/>
  <c r="BD540" i="1"/>
  <c r="BC540" i="1"/>
  <c r="BB540" i="1"/>
  <c r="BA540" i="1"/>
  <c r="AZ540" i="1"/>
  <c r="AY540" i="1"/>
  <c r="AX540" i="1"/>
  <c r="AW540" i="1"/>
  <c r="AV540" i="1"/>
  <c r="AU540" i="1"/>
  <c r="AT540" i="1"/>
  <c r="AS540" i="1"/>
  <c r="AR540" i="1"/>
  <c r="AQ540" i="1"/>
  <c r="AP540" i="1"/>
  <c r="AO540" i="1"/>
  <c r="AE540" i="1"/>
  <c r="BS539" i="1"/>
  <c r="BR539" i="1"/>
  <c r="BQ539" i="1"/>
  <c r="BP539" i="1"/>
  <c r="BO539" i="1"/>
  <c r="BN539" i="1"/>
  <c r="BM539" i="1"/>
  <c r="BL539" i="1"/>
  <c r="BK539" i="1"/>
  <c r="BJ539" i="1"/>
  <c r="BI539" i="1"/>
  <c r="BH539" i="1"/>
  <c r="BG539" i="1"/>
  <c r="BF539" i="1"/>
  <c r="BE539" i="1"/>
  <c r="BD539" i="1"/>
  <c r="BC539" i="1"/>
  <c r="BB539" i="1"/>
  <c r="BA539" i="1"/>
  <c r="AZ539" i="1"/>
  <c r="AY539" i="1"/>
  <c r="AX539" i="1"/>
  <c r="AW539" i="1"/>
  <c r="AV539" i="1"/>
  <c r="AU539" i="1"/>
  <c r="AT539" i="1"/>
  <c r="AS539" i="1"/>
  <c r="AR539" i="1"/>
  <c r="AQ539" i="1"/>
  <c r="AP539" i="1"/>
  <c r="AO539" i="1"/>
  <c r="AE539" i="1"/>
  <c r="BS538" i="1"/>
  <c r="BR538" i="1"/>
  <c r="BQ538" i="1"/>
  <c r="BP538" i="1"/>
  <c r="BO538" i="1"/>
  <c r="BN538" i="1"/>
  <c r="BM538" i="1"/>
  <c r="BL538" i="1"/>
  <c r="BK538" i="1"/>
  <c r="BJ538" i="1"/>
  <c r="BI538" i="1"/>
  <c r="BH538" i="1"/>
  <c r="BG538" i="1"/>
  <c r="BF538" i="1"/>
  <c r="BE538" i="1"/>
  <c r="BD538" i="1"/>
  <c r="BC538" i="1"/>
  <c r="BB538" i="1"/>
  <c r="BA538" i="1"/>
  <c r="AZ538" i="1"/>
  <c r="AY538" i="1"/>
  <c r="AX538" i="1"/>
  <c r="AW538" i="1"/>
  <c r="AV538" i="1"/>
  <c r="AU538" i="1"/>
  <c r="AT538" i="1"/>
  <c r="AS538" i="1"/>
  <c r="AR538" i="1"/>
  <c r="AQ538" i="1"/>
  <c r="AP538" i="1"/>
  <c r="AO538" i="1"/>
  <c r="AE538" i="1"/>
  <c r="BS537" i="1"/>
  <c r="BR537" i="1"/>
  <c r="BQ537" i="1"/>
  <c r="BP537" i="1"/>
  <c r="BO537" i="1"/>
  <c r="BN537" i="1"/>
  <c r="BM537" i="1"/>
  <c r="BL537" i="1"/>
  <c r="BK537" i="1"/>
  <c r="BJ537" i="1"/>
  <c r="BI537" i="1"/>
  <c r="BH537" i="1"/>
  <c r="BG537" i="1"/>
  <c r="BF537" i="1"/>
  <c r="BE537" i="1"/>
  <c r="BD537" i="1"/>
  <c r="BC537" i="1"/>
  <c r="BB537" i="1"/>
  <c r="BA537" i="1"/>
  <c r="AZ537" i="1"/>
  <c r="AY537" i="1"/>
  <c r="AX537" i="1"/>
  <c r="AW537" i="1"/>
  <c r="AV537" i="1"/>
  <c r="AU537" i="1"/>
  <c r="AT537" i="1"/>
  <c r="AS537" i="1"/>
  <c r="AR537" i="1"/>
  <c r="AQ537" i="1"/>
  <c r="AP537" i="1"/>
  <c r="AO537" i="1"/>
  <c r="AE537" i="1"/>
  <c r="BS536" i="1"/>
  <c r="BR536" i="1"/>
  <c r="BQ536" i="1"/>
  <c r="BP536" i="1"/>
  <c r="BO536" i="1"/>
  <c r="BN536" i="1"/>
  <c r="BM536" i="1"/>
  <c r="BL536" i="1"/>
  <c r="BK536" i="1"/>
  <c r="BJ536" i="1"/>
  <c r="BI536" i="1"/>
  <c r="BH536" i="1"/>
  <c r="BG536" i="1"/>
  <c r="BF536" i="1"/>
  <c r="BE536" i="1"/>
  <c r="BD536" i="1"/>
  <c r="BC536" i="1"/>
  <c r="BB536" i="1"/>
  <c r="BA536" i="1"/>
  <c r="AZ536" i="1"/>
  <c r="AY536" i="1"/>
  <c r="AX536" i="1"/>
  <c r="AW536" i="1"/>
  <c r="AV536" i="1"/>
  <c r="AU536" i="1"/>
  <c r="AT536" i="1"/>
  <c r="AS536" i="1"/>
  <c r="AR536" i="1"/>
  <c r="AQ536" i="1"/>
  <c r="AP536" i="1"/>
  <c r="AO536" i="1"/>
  <c r="AE536" i="1"/>
  <c r="BS535" i="1"/>
  <c r="BR535" i="1"/>
  <c r="BQ535" i="1"/>
  <c r="BP535" i="1"/>
  <c r="BO535" i="1"/>
  <c r="BN535" i="1"/>
  <c r="BM535" i="1"/>
  <c r="BL535" i="1"/>
  <c r="BK535" i="1"/>
  <c r="BJ535" i="1"/>
  <c r="BI535" i="1"/>
  <c r="BH535" i="1"/>
  <c r="BG535" i="1"/>
  <c r="BF535" i="1"/>
  <c r="BE535" i="1"/>
  <c r="BD535" i="1"/>
  <c r="BC535" i="1"/>
  <c r="BB535" i="1"/>
  <c r="BA535" i="1"/>
  <c r="AZ535" i="1"/>
  <c r="AY535" i="1"/>
  <c r="AX535" i="1"/>
  <c r="AW535" i="1"/>
  <c r="AV535" i="1"/>
  <c r="AU535" i="1"/>
  <c r="AT535" i="1"/>
  <c r="AS535" i="1"/>
  <c r="AR535" i="1"/>
  <c r="AQ535" i="1"/>
  <c r="AP535" i="1"/>
  <c r="AO535" i="1"/>
  <c r="AE535" i="1"/>
  <c r="BS534" i="1"/>
  <c r="BR534" i="1"/>
  <c r="BQ534" i="1"/>
  <c r="BP534" i="1"/>
  <c r="BO534" i="1"/>
  <c r="BN534" i="1"/>
  <c r="BM534" i="1"/>
  <c r="BL534" i="1"/>
  <c r="BK534" i="1"/>
  <c r="BJ534" i="1"/>
  <c r="BI534" i="1"/>
  <c r="BH534" i="1"/>
  <c r="BG534" i="1"/>
  <c r="BF534" i="1"/>
  <c r="BE534" i="1"/>
  <c r="BD534" i="1"/>
  <c r="BC534" i="1"/>
  <c r="BB534" i="1"/>
  <c r="BA534" i="1"/>
  <c r="AZ534" i="1"/>
  <c r="AY534" i="1"/>
  <c r="AX534" i="1"/>
  <c r="AW534" i="1"/>
  <c r="AV534" i="1"/>
  <c r="AU534" i="1"/>
  <c r="AT534" i="1"/>
  <c r="AS534" i="1"/>
  <c r="AR534" i="1"/>
  <c r="AQ534" i="1"/>
  <c r="AP534" i="1"/>
  <c r="AO534" i="1"/>
  <c r="AE534" i="1"/>
  <c r="BS533" i="1"/>
  <c r="BR533" i="1"/>
  <c r="BQ533" i="1"/>
  <c r="BP533" i="1"/>
  <c r="BO533" i="1"/>
  <c r="BN533" i="1"/>
  <c r="BM533" i="1"/>
  <c r="BL533" i="1"/>
  <c r="BK533" i="1"/>
  <c r="BJ533" i="1"/>
  <c r="BI533" i="1"/>
  <c r="BH533" i="1"/>
  <c r="BG533" i="1"/>
  <c r="BF533" i="1"/>
  <c r="BE533" i="1"/>
  <c r="BD533" i="1"/>
  <c r="BC533" i="1"/>
  <c r="BB533" i="1"/>
  <c r="BA533" i="1"/>
  <c r="AZ533" i="1"/>
  <c r="AY533" i="1"/>
  <c r="AX533" i="1"/>
  <c r="AW533" i="1"/>
  <c r="AV533" i="1"/>
  <c r="AU533" i="1"/>
  <c r="AT533" i="1"/>
  <c r="AS533" i="1"/>
  <c r="AR533" i="1"/>
  <c r="AQ533" i="1"/>
  <c r="AP533" i="1"/>
  <c r="AO533" i="1"/>
  <c r="AE533" i="1"/>
  <c r="BS532" i="1"/>
  <c r="BR532" i="1"/>
  <c r="BQ532" i="1"/>
  <c r="BP532" i="1"/>
  <c r="BO532" i="1"/>
  <c r="BN532" i="1"/>
  <c r="BM532" i="1"/>
  <c r="BL532" i="1"/>
  <c r="BK532" i="1"/>
  <c r="BJ532" i="1"/>
  <c r="BI532" i="1"/>
  <c r="BH532" i="1"/>
  <c r="BG532" i="1"/>
  <c r="BF532" i="1"/>
  <c r="BE532" i="1"/>
  <c r="BD532" i="1"/>
  <c r="BC532" i="1"/>
  <c r="BB532" i="1"/>
  <c r="BA532" i="1"/>
  <c r="AZ532" i="1"/>
  <c r="AY532" i="1"/>
  <c r="AX532" i="1"/>
  <c r="AW532" i="1"/>
  <c r="AV532" i="1"/>
  <c r="AU532" i="1"/>
  <c r="AT532" i="1"/>
  <c r="AS532" i="1"/>
  <c r="AR532" i="1"/>
  <c r="AQ532" i="1"/>
  <c r="AP532" i="1"/>
  <c r="AO532" i="1"/>
  <c r="AE532" i="1"/>
  <c r="BS531" i="1"/>
  <c r="BR531" i="1"/>
  <c r="BQ531" i="1"/>
  <c r="BP531" i="1"/>
  <c r="BO531" i="1"/>
  <c r="BN531" i="1"/>
  <c r="BM531" i="1"/>
  <c r="BL531" i="1"/>
  <c r="BK531" i="1"/>
  <c r="BJ531" i="1"/>
  <c r="BI531" i="1"/>
  <c r="BH531" i="1"/>
  <c r="BG531" i="1"/>
  <c r="BF531" i="1"/>
  <c r="BE531" i="1"/>
  <c r="BD531" i="1"/>
  <c r="BC531" i="1"/>
  <c r="BB531" i="1"/>
  <c r="BA531" i="1"/>
  <c r="AZ531" i="1"/>
  <c r="AY531" i="1"/>
  <c r="AX531" i="1"/>
  <c r="AW531" i="1"/>
  <c r="AV531" i="1"/>
  <c r="AU531" i="1"/>
  <c r="AT531" i="1"/>
  <c r="AS531" i="1"/>
  <c r="AR531" i="1"/>
  <c r="AQ531" i="1"/>
  <c r="AP531" i="1"/>
  <c r="AO531" i="1"/>
  <c r="AE531" i="1"/>
  <c r="BS530" i="1"/>
  <c r="BR530" i="1"/>
  <c r="BQ530" i="1"/>
  <c r="BP530" i="1"/>
  <c r="BO530" i="1"/>
  <c r="BN530" i="1"/>
  <c r="BM530" i="1"/>
  <c r="BL530" i="1"/>
  <c r="BK530" i="1"/>
  <c r="BJ530" i="1"/>
  <c r="BI530" i="1"/>
  <c r="BH530" i="1"/>
  <c r="BG530" i="1"/>
  <c r="BF530" i="1"/>
  <c r="BE530" i="1"/>
  <c r="BD530" i="1"/>
  <c r="BC530" i="1"/>
  <c r="BB530" i="1"/>
  <c r="BA530" i="1"/>
  <c r="AZ530" i="1"/>
  <c r="AY530" i="1"/>
  <c r="AX530" i="1"/>
  <c r="AW530" i="1"/>
  <c r="AV530" i="1"/>
  <c r="AU530" i="1"/>
  <c r="AT530" i="1"/>
  <c r="AS530" i="1"/>
  <c r="AR530" i="1"/>
  <c r="AQ530" i="1"/>
  <c r="AP530" i="1"/>
  <c r="AO530" i="1"/>
  <c r="AE530" i="1"/>
  <c r="BS529" i="1"/>
  <c r="BR529" i="1"/>
  <c r="BQ529" i="1"/>
  <c r="BP529" i="1"/>
  <c r="BO529" i="1"/>
  <c r="BN529" i="1"/>
  <c r="BM529" i="1"/>
  <c r="BL529" i="1"/>
  <c r="BK529" i="1"/>
  <c r="BJ529" i="1"/>
  <c r="BI529" i="1"/>
  <c r="BH529" i="1"/>
  <c r="BG529" i="1"/>
  <c r="BF529" i="1"/>
  <c r="BE529" i="1"/>
  <c r="BD529" i="1"/>
  <c r="BC529" i="1"/>
  <c r="BB529" i="1"/>
  <c r="BA529" i="1"/>
  <c r="AZ529" i="1"/>
  <c r="AY529" i="1"/>
  <c r="AX529" i="1"/>
  <c r="AW529" i="1"/>
  <c r="AV529" i="1"/>
  <c r="AU529" i="1"/>
  <c r="AT529" i="1"/>
  <c r="AS529" i="1"/>
  <c r="AR529" i="1"/>
  <c r="AQ529" i="1"/>
  <c r="AP529" i="1"/>
  <c r="AO529" i="1"/>
  <c r="AE529" i="1"/>
  <c r="BS528" i="1"/>
  <c r="BR528" i="1"/>
  <c r="BQ528" i="1"/>
  <c r="BP528" i="1"/>
  <c r="BO528" i="1"/>
  <c r="BN528" i="1"/>
  <c r="BM528" i="1"/>
  <c r="BL528" i="1"/>
  <c r="BK528" i="1"/>
  <c r="BJ528" i="1"/>
  <c r="BI528" i="1"/>
  <c r="BH528" i="1"/>
  <c r="BG528" i="1"/>
  <c r="BF528" i="1"/>
  <c r="BE528" i="1"/>
  <c r="BD528" i="1"/>
  <c r="BC528" i="1"/>
  <c r="BB528" i="1"/>
  <c r="BA528" i="1"/>
  <c r="AZ528" i="1"/>
  <c r="AY528" i="1"/>
  <c r="AX528" i="1"/>
  <c r="AW528" i="1"/>
  <c r="AV528" i="1"/>
  <c r="AU528" i="1"/>
  <c r="AT528" i="1"/>
  <c r="AS528" i="1"/>
  <c r="AR528" i="1"/>
  <c r="AQ528" i="1"/>
  <c r="AP528" i="1"/>
  <c r="AO528" i="1"/>
  <c r="AE528" i="1"/>
  <c r="BS527" i="1"/>
  <c r="BR527" i="1"/>
  <c r="BQ527" i="1"/>
  <c r="BP527" i="1"/>
  <c r="BO527" i="1"/>
  <c r="BN527" i="1"/>
  <c r="BM527" i="1"/>
  <c r="BL527" i="1"/>
  <c r="BK527" i="1"/>
  <c r="BJ527" i="1"/>
  <c r="BI527" i="1"/>
  <c r="BH527" i="1"/>
  <c r="BG527" i="1"/>
  <c r="BF527" i="1"/>
  <c r="BE527" i="1"/>
  <c r="BD527" i="1"/>
  <c r="BC527" i="1"/>
  <c r="BB527" i="1"/>
  <c r="BA527" i="1"/>
  <c r="AZ527" i="1"/>
  <c r="AY527" i="1"/>
  <c r="AX527" i="1"/>
  <c r="AW527" i="1"/>
  <c r="AV527" i="1"/>
  <c r="AU527" i="1"/>
  <c r="AT527" i="1"/>
  <c r="AS527" i="1"/>
  <c r="AR527" i="1"/>
  <c r="AQ527" i="1"/>
  <c r="AP527" i="1"/>
  <c r="AO527" i="1"/>
  <c r="AE527" i="1"/>
  <c r="BS526" i="1"/>
  <c r="BR526" i="1"/>
  <c r="BQ526" i="1"/>
  <c r="BP526" i="1"/>
  <c r="BO526" i="1"/>
  <c r="BN526" i="1"/>
  <c r="BM526" i="1"/>
  <c r="BL526" i="1"/>
  <c r="BK526" i="1"/>
  <c r="BJ526" i="1"/>
  <c r="BI526" i="1"/>
  <c r="BH526" i="1"/>
  <c r="BG526" i="1"/>
  <c r="BF526" i="1"/>
  <c r="BE526" i="1"/>
  <c r="BD526" i="1"/>
  <c r="BC526" i="1"/>
  <c r="BB526" i="1"/>
  <c r="BA526" i="1"/>
  <c r="AZ526" i="1"/>
  <c r="AY526" i="1"/>
  <c r="AX526" i="1"/>
  <c r="AW526" i="1"/>
  <c r="AV526" i="1"/>
  <c r="AU526" i="1"/>
  <c r="AT526" i="1"/>
  <c r="AS526" i="1"/>
  <c r="AR526" i="1"/>
  <c r="AQ526" i="1"/>
  <c r="AP526" i="1"/>
  <c r="AO526" i="1"/>
  <c r="AE526" i="1"/>
  <c r="BS525" i="1"/>
  <c r="BR525" i="1"/>
  <c r="BQ525" i="1"/>
  <c r="BP525" i="1"/>
  <c r="BO525" i="1"/>
  <c r="BN525" i="1"/>
  <c r="BM525" i="1"/>
  <c r="BL525" i="1"/>
  <c r="BK525" i="1"/>
  <c r="BJ525" i="1"/>
  <c r="BI525" i="1"/>
  <c r="BH525" i="1"/>
  <c r="BG525" i="1"/>
  <c r="BF525" i="1"/>
  <c r="BE525" i="1"/>
  <c r="BD525" i="1"/>
  <c r="BC525" i="1"/>
  <c r="BB525" i="1"/>
  <c r="BA525" i="1"/>
  <c r="AZ525" i="1"/>
  <c r="AY525" i="1"/>
  <c r="AX525" i="1"/>
  <c r="AW525" i="1"/>
  <c r="AV525" i="1"/>
  <c r="AU525" i="1"/>
  <c r="AT525" i="1"/>
  <c r="AS525" i="1"/>
  <c r="AR525" i="1"/>
  <c r="AQ525" i="1"/>
  <c r="AP525" i="1"/>
  <c r="AO525" i="1"/>
  <c r="AE525" i="1"/>
  <c r="BS524" i="1"/>
  <c r="BR524" i="1"/>
  <c r="BQ524" i="1"/>
  <c r="BP524" i="1"/>
  <c r="BO524" i="1"/>
  <c r="BN524" i="1"/>
  <c r="BM524" i="1"/>
  <c r="BL524" i="1"/>
  <c r="BK524" i="1"/>
  <c r="BJ524" i="1"/>
  <c r="BI524" i="1"/>
  <c r="BH524" i="1"/>
  <c r="BG524" i="1"/>
  <c r="BF524" i="1"/>
  <c r="BE524" i="1"/>
  <c r="BD524" i="1"/>
  <c r="BC524" i="1"/>
  <c r="BB524" i="1"/>
  <c r="BA524" i="1"/>
  <c r="AZ524" i="1"/>
  <c r="AY524" i="1"/>
  <c r="AX524" i="1"/>
  <c r="AW524" i="1"/>
  <c r="AV524" i="1"/>
  <c r="AU524" i="1"/>
  <c r="AT524" i="1"/>
  <c r="AS524" i="1"/>
  <c r="AR524" i="1"/>
  <c r="AQ524" i="1"/>
  <c r="AP524" i="1"/>
  <c r="AO524" i="1"/>
  <c r="AE524" i="1"/>
  <c r="BS523" i="1"/>
  <c r="BR523" i="1"/>
  <c r="BQ523" i="1"/>
  <c r="BP523" i="1"/>
  <c r="BO523" i="1"/>
  <c r="BN523" i="1"/>
  <c r="BM523" i="1"/>
  <c r="BL523" i="1"/>
  <c r="BK523" i="1"/>
  <c r="BJ523" i="1"/>
  <c r="BI523" i="1"/>
  <c r="BH523" i="1"/>
  <c r="BG523" i="1"/>
  <c r="BF523" i="1"/>
  <c r="BE523" i="1"/>
  <c r="BD523" i="1"/>
  <c r="BC523" i="1"/>
  <c r="BB523" i="1"/>
  <c r="BA523" i="1"/>
  <c r="AZ523" i="1"/>
  <c r="AY523" i="1"/>
  <c r="AX523" i="1"/>
  <c r="AW523" i="1"/>
  <c r="AV523" i="1"/>
  <c r="AU523" i="1"/>
  <c r="AT523" i="1"/>
  <c r="AS523" i="1"/>
  <c r="AR523" i="1"/>
  <c r="AQ523" i="1"/>
  <c r="AP523" i="1"/>
  <c r="AO523" i="1"/>
  <c r="AE523" i="1"/>
  <c r="BS522" i="1"/>
  <c r="BR522" i="1"/>
  <c r="BQ522" i="1"/>
  <c r="BP522" i="1"/>
  <c r="BO522" i="1"/>
  <c r="BN522" i="1"/>
  <c r="BM522" i="1"/>
  <c r="BL522" i="1"/>
  <c r="BK522" i="1"/>
  <c r="BJ522" i="1"/>
  <c r="BI522" i="1"/>
  <c r="BH522" i="1"/>
  <c r="BG522" i="1"/>
  <c r="BF522" i="1"/>
  <c r="BE522" i="1"/>
  <c r="BD522" i="1"/>
  <c r="BC522" i="1"/>
  <c r="BB522" i="1"/>
  <c r="BA522" i="1"/>
  <c r="AZ522" i="1"/>
  <c r="AY522" i="1"/>
  <c r="AX522" i="1"/>
  <c r="AW522" i="1"/>
  <c r="AV522" i="1"/>
  <c r="AU522" i="1"/>
  <c r="AT522" i="1"/>
  <c r="AS522" i="1"/>
  <c r="AR522" i="1"/>
  <c r="AQ522" i="1"/>
  <c r="AP522" i="1"/>
  <c r="AO522" i="1"/>
  <c r="AE522" i="1"/>
  <c r="BS521" i="1"/>
  <c r="BR521" i="1"/>
  <c r="BQ521" i="1"/>
  <c r="BP521" i="1"/>
  <c r="BO521" i="1"/>
  <c r="BN521" i="1"/>
  <c r="BM521" i="1"/>
  <c r="BL521" i="1"/>
  <c r="BK521" i="1"/>
  <c r="BJ521" i="1"/>
  <c r="BI521" i="1"/>
  <c r="BH521" i="1"/>
  <c r="BG521" i="1"/>
  <c r="BF521" i="1"/>
  <c r="BE521" i="1"/>
  <c r="BD521" i="1"/>
  <c r="BC521" i="1"/>
  <c r="BB521" i="1"/>
  <c r="BA521" i="1"/>
  <c r="AZ521" i="1"/>
  <c r="AY521" i="1"/>
  <c r="AX521" i="1"/>
  <c r="AW521" i="1"/>
  <c r="AV521" i="1"/>
  <c r="AU521" i="1"/>
  <c r="AT521" i="1"/>
  <c r="AS521" i="1"/>
  <c r="AR521" i="1"/>
  <c r="AQ521" i="1"/>
  <c r="AP521" i="1"/>
  <c r="AO521" i="1"/>
  <c r="AE521" i="1"/>
  <c r="BS520" i="1"/>
  <c r="BR520" i="1"/>
  <c r="BQ520" i="1"/>
  <c r="BP520" i="1"/>
  <c r="BO520" i="1"/>
  <c r="BN520" i="1"/>
  <c r="BM520" i="1"/>
  <c r="BL520" i="1"/>
  <c r="BK520" i="1"/>
  <c r="BJ520" i="1"/>
  <c r="BI520" i="1"/>
  <c r="BH520" i="1"/>
  <c r="BG520" i="1"/>
  <c r="BF520" i="1"/>
  <c r="BE520" i="1"/>
  <c r="BD520" i="1"/>
  <c r="BC520" i="1"/>
  <c r="BB520" i="1"/>
  <c r="BA520" i="1"/>
  <c r="AZ520" i="1"/>
  <c r="AY520" i="1"/>
  <c r="AX520" i="1"/>
  <c r="AW520" i="1"/>
  <c r="AV520" i="1"/>
  <c r="AU520" i="1"/>
  <c r="AT520" i="1"/>
  <c r="AS520" i="1"/>
  <c r="AR520" i="1"/>
  <c r="AQ520" i="1"/>
  <c r="AP520" i="1"/>
  <c r="AO520" i="1"/>
  <c r="AE520" i="1"/>
  <c r="BS519" i="1"/>
  <c r="BR519" i="1"/>
  <c r="BQ519" i="1"/>
  <c r="BP519" i="1"/>
  <c r="BO519" i="1"/>
  <c r="BN519" i="1"/>
  <c r="BM519" i="1"/>
  <c r="BL519" i="1"/>
  <c r="BK519" i="1"/>
  <c r="BJ519" i="1"/>
  <c r="BI519" i="1"/>
  <c r="BH519" i="1"/>
  <c r="BG519" i="1"/>
  <c r="BF519" i="1"/>
  <c r="BE519" i="1"/>
  <c r="BD519" i="1"/>
  <c r="BC519" i="1"/>
  <c r="BB519" i="1"/>
  <c r="BA519" i="1"/>
  <c r="AZ519" i="1"/>
  <c r="AY519" i="1"/>
  <c r="AX519" i="1"/>
  <c r="AW519" i="1"/>
  <c r="AV519" i="1"/>
  <c r="AU519" i="1"/>
  <c r="AT519" i="1"/>
  <c r="AS519" i="1"/>
  <c r="AR519" i="1"/>
  <c r="AQ519" i="1"/>
  <c r="AP519" i="1"/>
  <c r="AO519" i="1"/>
  <c r="AE519" i="1"/>
  <c r="BS518" i="1"/>
  <c r="BR518" i="1"/>
  <c r="BQ518" i="1"/>
  <c r="BP518" i="1"/>
  <c r="BO518" i="1"/>
  <c r="BN518" i="1"/>
  <c r="BM518" i="1"/>
  <c r="BL518" i="1"/>
  <c r="BK518" i="1"/>
  <c r="BJ518" i="1"/>
  <c r="BI518" i="1"/>
  <c r="BH518" i="1"/>
  <c r="BG518" i="1"/>
  <c r="BF518" i="1"/>
  <c r="BE518" i="1"/>
  <c r="BD518" i="1"/>
  <c r="BC518" i="1"/>
  <c r="BB518" i="1"/>
  <c r="BA518" i="1"/>
  <c r="AZ518" i="1"/>
  <c r="AY518" i="1"/>
  <c r="AX518" i="1"/>
  <c r="AW518" i="1"/>
  <c r="AV518" i="1"/>
  <c r="AU518" i="1"/>
  <c r="AT518" i="1"/>
  <c r="AS518" i="1"/>
  <c r="AR518" i="1"/>
  <c r="AQ518" i="1"/>
  <c r="AP518" i="1"/>
  <c r="AO518" i="1"/>
  <c r="AE518" i="1"/>
  <c r="BS517" i="1"/>
  <c r="BR517" i="1"/>
  <c r="BQ517" i="1"/>
  <c r="BP517" i="1"/>
  <c r="BO517" i="1"/>
  <c r="BN517" i="1"/>
  <c r="BM517" i="1"/>
  <c r="BL517" i="1"/>
  <c r="BK517" i="1"/>
  <c r="BJ517" i="1"/>
  <c r="BI517" i="1"/>
  <c r="BH517" i="1"/>
  <c r="BG517" i="1"/>
  <c r="BF517" i="1"/>
  <c r="BE517" i="1"/>
  <c r="BD517" i="1"/>
  <c r="BC517" i="1"/>
  <c r="BB517" i="1"/>
  <c r="BA517" i="1"/>
  <c r="AZ517" i="1"/>
  <c r="AY517" i="1"/>
  <c r="AX517" i="1"/>
  <c r="AW517" i="1"/>
  <c r="AV517" i="1"/>
  <c r="AU517" i="1"/>
  <c r="AT517" i="1"/>
  <c r="AS517" i="1"/>
  <c r="AR517" i="1"/>
  <c r="AQ517" i="1"/>
  <c r="AP517" i="1"/>
  <c r="AO517" i="1"/>
  <c r="AE517" i="1"/>
  <c r="BS516" i="1"/>
  <c r="BR516" i="1"/>
  <c r="BQ516" i="1"/>
  <c r="BP516" i="1"/>
  <c r="BO516" i="1"/>
  <c r="BN516" i="1"/>
  <c r="BM516" i="1"/>
  <c r="BL516" i="1"/>
  <c r="BK516" i="1"/>
  <c r="BJ516" i="1"/>
  <c r="BI516" i="1"/>
  <c r="BH516" i="1"/>
  <c r="BG516" i="1"/>
  <c r="BF516" i="1"/>
  <c r="BE516" i="1"/>
  <c r="BD516" i="1"/>
  <c r="BC516" i="1"/>
  <c r="BB516" i="1"/>
  <c r="BA516" i="1"/>
  <c r="AZ516" i="1"/>
  <c r="AY516" i="1"/>
  <c r="AX516" i="1"/>
  <c r="AW516" i="1"/>
  <c r="AV516" i="1"/>
  <c r="AU516" i="1"/>
  <c r="AT516" i="1"/>
  <c r="AS516" i="1"/>
  <c r="AR516" i="1"/>
  <c r="AQ516" i="1"/>
  <c r="AP516" i="1"/>
  <c r="AO516" i="1"/>
  <c r="AE516" i="1"/>
  <c r="BS515" i="1"/>
  <c r="BR515" i="1"/>
  <c r="BQ515" i="1"/>
  <c r="BP515" i="1"/>
  <c r="BO515" i="1"/>
  <c r="BN515" i="1"/>
  <c r="BM515" i="1"/>
  <c r="BL515" i="1"/>
  <c r="BK515" i="1"/>
  <c r="BJ515" i="1"/>
  <c r="BI515" i="1"/>
  <c r="BH515" i="1"/>
  <c r="BG515" i="1"/>
  <c r="BF515" i="1"/>
  <c r="BE515" i="1"/>
  <c r="BD515" i="1"/>
  <c r="BC515" i="1"/>
  <c r="BB515" i="1"/>
  <c r="BA515" i="1"/>
  <c r="AZ515" i="1"/>
  <c r="AY515" i="1"/>
  <c r="AX515" i="1"/>
  <c r="AW515" i="1"/>
  <c r="AV515" i="1"/>
  <c r="AU515" i="1"/>
  <c r="AT515" i="1"/>
  <c r="AS515" i="1"/>
  <c r="AR515" i="1"/>
  <c r="AQ515" i="1"/>
  <c r="AP515" i="1"/>
  <c r="AO515" i="1"/>
  <c r="AE515" i="1"/>
  <c r="BS514" i="1"/>
  <c r="BR514" i="1"/>
  <c r="BQ514" i="1"/>
  <c r="BP514" i="1"/>
  <c r="BO514" i="1"/>
  <c r="BN514" i="1"/>
  <c r="BM514" i="1"/>
  <c r="BL514" i="1"/>
  <c r="BK514" i="1"/>
  <c r="BJ514" i="1"/>
  <c r="BI514" i="1"/>
  <c r="BH514" i="1"/>
  <c r="BG514" i="1"/>
  <c r="BF514" i="1"/>
  <c r="BE514" i="1"/>
  <c r="BD514" i="1"/>
  <c r="BC514" i="1"/>
  <c r="BB514" i="1"/>
  <c r="BA514" i="1"/>
  <c r="AZ514" i="1"/>
  <c r="AY514" i="1"/>
  <c r="AX514" i="1"/>
  <c r="AW514" i="1"/>
  <c r="AV514" i="1"/>
  <c r="AU514" i="1"/>
  <c r="AT514" i="1"/>
  <c r="AS514" i="1"/>
  <c r="AR514" i="1"/>
  <c r="AQ514" i="1"/>
  <c r="AP514" i="1"/>
  <c r="AO514" i="1"/>
  <c r="AE514" i="1"/>
  <c r="BS513" i="1"/>
  <c r="BR513" i="1"/>
  <c r="BQ513" i="1"/>
  <c r="BP513" i="1"/>
  <c r="BO513" i="1"/>
  <c r="BN513" i="1"/>
  <c r="BM513" i="1"/>
  <c r="BL513" i="1"/>
  <c r="BK513" i="1"/>
  <c r="BJ513" i="1"/>
  <c r="BI513" i="1"/>
  <c r="BH513" i="1"/>
  <c r="BG513" i="1"/>
  <c r="BF513" i="1"/>
  <c r="BE513" i="1"/>
  <c r="BD513" i="1"/>
  <c r="BC513" i="1"/>
  <c r="BB513" i="1"/>
  <c r="BA513" i="1"/>
  <c r="AZ513" i="1"/>
  <c r="AY513" i="1"/>
  <c r="AX513" i="1"/>
  <c r="AW513" i="1"/>
  <c r="AV513" i="1"/>
  <c r="AU513" i="1"/>
  <c r="AT513" i="1"/>
  <c r="AS513" i="1"/>
  <c r="AR513" i="1"/>
  <c r="AQ513" i="1"/>
  <c r="AP513" i="1"/>
  <c r="AO513" i="1"/>
  <c r="AE513" i="1"/>
  <c r="BS512" i="1"/>
  <c r="BR512" i="1"/>
  <c r="BQ512" i="1"/>
  <c r="BP512" i="1"/>
  <c r="BO512" i="1"/>
  <c r="BN512" i="1"/>
  <c r="BM512" i="1"/>
  <c r="BL512" i="1"/>
  <c r="BK512" i="1"/>
  <c r="BJ512" i="1"/>
  <c r="BI512" i="1"/>
  <c r="BH512" i="1"/>
  <c r="BG512" i="1"/>
  <c r="BF512" i="1"/>
  <c r="BE512" i="1"/>
  <c r="BD512" i="1"/>
  <c r="BC512" i="1"/>
  <c r="BB512" i="1"/>
  <c r="BA512" i="1"/>
  <c r="AZ512" i="1"/>
  <c r="AY512" i="1"/>
  <c r="AX512" i="1"/>
  <c r="AW512" i="1"/>
  <c r="AV512" i="1"/>
  <c r="AU512" i="1"/>
  <c r="AT512" i="1"/>
  <c r="AS512" i="1"/>
  <c r="AR512" i="1"/>
  <c r="AQ512" i="1"/>
  <c r="AP512" i="1"/>
  <c r="AO512" i="1"/>
  <c r="AE512" i="1"/>
  <c r="BS511" i="1"/>
  <c r="BR511" i="1"/>
  <c r="BQ511" i="1"/>
  <c r="BP511" i="1"/>
  <c r="BO511" i="1"/>
  <c r="BN511" i="1"/>
  <c r="BM511" i="1"/>
  <c r="BL511" i="1"/>
  <c r="BK511" i="1"/>
  <c r="BJ511" i="1"/>
  <c r="BI511" i="1"/>
  <c r="BH511" i="1"/>
  <c r="BG511" i="1"/>
  <c r="BF511" i="1"/>
  <c r="BE511" i="1"/>
  <c r="BD511" i="1"/>
  <c r="BC511" i="1"/>
  <c r="BB511" i="1"/>
  <c r="BA511" i="1"/>
  <c r="AZ511" i="1"/>
  <c r="AY511" i="1"/>
  <c r="AX511" i="1"/>
  <c r="AW511" i="1"/>
  <c r="AV511" i="1"/>
  <c r="AU511" i="1"/>
  <c r="AT511" i="1"/>
  <c r="AS511" i="1"/>
  <c r="AR511" i="1"/>
  <c r="AQ511" i="1"/>
  <c r="AP511" i="1"/>
  <c r="AO511" i="1"/>
  <c r="AE511" i="1"/>
  <c r="BS510" i="1"/>
  <c r="BR510" i="1"/>
  <c r="BQ510" i="1"/>
  <c r="BP510" i="1"/>
  <c r="BO510" i="1"/>
  <c r="BN510" i="1"/>
  <c r="BM510" i="1"/>
  <c r="BL510" i="1"/>
  <c r="BK510" i="1"/>
  <c r="BJ510" i="1"/>
  <c r="BI510" i="1"/>
  <c r="BH510" i="1"/>
  <c r="BG510" i="1"/>
  <c r="BF510" i="1"/>
  <c r="BE510" i="1"/>
  <c r="BD510" i="1"/>
  <c r="BC510" i="1"/>
  <c r="BB510" i="1"/>
  <c r="BA510" i="1"/>
  <c r="AZ510" i="1"/>
  <c r="AY510" i="1"/>
  <c r="AX510" i="1"/>
  <c r="AW510" i="1"/>
  <c r="AV510" i="1"/>
  <c r="AU510" i="1"/>
  <c r="AT510" i="1"/>
  <c r="AS510" i="1"/>
  <c r="AR510" i="1"/>
  <c r="AQ510" i="1"/>
  <c r="AP510" i="1"/>
  <c r="AO510" i="1"/>
  <c r="AE510" i="1"/>
  <c r="BS509" i="1"/>
  <c r="BR509" i="1"/>
  <c r="BQ509" i="1"/>
  <c r="BP509" i="1"/>
  <c r="BO509" i="1"/>
  <c r="BN509" i="1"/>
  <c r="BM509" i="1"/>
  <c r="BL509" i="1"/>
  <c r="BK509" i="1"/>
  <c r="BJ509" i="1"/>
  <c r="BI509" i="1"/>
  <c r="BH509" i="1"/>
  <c r="BG509" i="1"/>
  <c r="BF509" i="1"/>
  <c r="BE509" i="1"/>
  <c r="BD509" i="1"/>
  <c r="BC509" i="1"/>
  <c r="BB509" i="1"/>
  <c r="BA509" i="1"/>
  <c r="AZ509" i="1"/>
  <c r="AY509" i="1"/>
  <c r="AX509" i="1"/>
  <c r="AW509" i="1"/>
  <c r="AV509" i="1"/>
  <c r="AU509" i="1"/>
  <c r="AT509" i="1"/>
  <c r="AS509" i="1"/>
  <c r="AR509" i="1"/>
  <c r="AQ509" i="1"/>
  <c r="AP509" i="1"/>
  <c r="AO509" i="1"/>
  <c r="AE509" i="1"/>
  <c r="BS508" i="1"/>
  <c r="BR508" i="1"/>
  <c r="BQ508" i="1"/>
  <c r="BP508" i="1"/>
  <c r="BO508" i="1"/>
  <c r="BN508" i="1"/>
  <c r="BM508" i="1"/>
  <c r="BL508" i="1"/>
  <c r="BK508" i="1"/>
  <c r="BJ508" i="1"/>
  <c r="BI508" i="1"/>
  <c r="BH508" i="1"/>
  <c r="BG508" i="1"/>
  <c r="BF508" i="1"/>
  <c r="BE508" i="1"/>
  <c r="BD508" i="1"/>
  <c r="BC508" i="1"/>
  <c r="BB508" i="1"/>
  <c r="BA508" i="1"/>
  <c r="AZ508" i="1"/>
  <c r="AY508" i="1"/>
  <c r="AX508" i="1"/>
  <c r="AW508" i="1"/>
  <c r="AV508" i="1"/>
  <c r="AU508" i="1"/>
  <c r="AT508" i="1"/>
  <c r="AS508" i="1"/>
  <c r="AR508" i="1"/>
  <c r="AQ508" i="1"/>
  <c r="AP508" i="1"/>
  <c r="AO508" i="1"/>
  <c r="AE508" i="1"/>
  <c r="BS507" i="1"/>
  <c r="BR507" i="1"/>
  <c r="BQ507" i="1"/>
  <c r="BP507" i="1"/>
  <c r="BO507" i="1"/>
  <c r="BN507" i="1"/>
  <c r="BM507" i="1"/>
  <c r="BL507" i="1"/>
  <c r="BK507" i="1"/>
  <c r="BJ507" i="1"/>
  <c r="BI507" i="1"/>
  <c r="BH507" i="1"/>
  <c r="BG507" i="1"/>
  <c r="BF507" i="1"/>
  <c r="BE507" i="1"/>
  <c r="BD507" i="1"/>
  <c r="BC507" i="1"/>
  <c r="BB507" i="1"/>
  <c r="BA507" i="1"/>
  <c r="AZ507" i="1"/>
  <c r="AY507" i="1"/>
  <c r="AX507" i="1"/>
  <c r="AW507" i="1"/>
  <c r="AV507" i="1"/>
  <c r="AU507" i="1"/>
  <c r="AT507" i="1"/>
  <c r="AS507" i="1"/>
  <c r="AR507" i="1"/>
  <c r="AQ507" i="1"/>
  <c r="AP507" i="1"/>
  <c r="AO507" i="1"/>
  <c r="AE507" i="1"/>
  <c r="BS506" i="1"/>
  <c r="BR506" i="1"/>
  <c r="BQ506" i="1"/>
  <c r="BP506" i="1"/>
  <c r="BO506" i="1"/>
  <c r="BN506" i="1"/>
  <c r="BM506" i="1"/>
  <c r="BL506" i="1"/>
  <c r="BK506" i="1"/>
  <c r="BJ506" i="1"/>
  <c r="BI506" i="1"/>
  <c r="BH506" i="1"/>
  <c r="BG506" i="1"/>
  <c r="BF506" i="1"/>
  <c r="BE506" i="1"/>
  <c r="BD506" i="1"/>
  <c r="BC506" i="1"/>
  <c r="BB506" i="1"/>
  <c r="BA506" i="1"/>
  <c r="AZ506" i="1"/>
  <c r="AY506" i="1"/>
  <c r="AX506" i="1"/>
  <c r="AW506" i="1"/>
  <c r="AV506" i="1"/>
  <c r="AU506" i="1"/>
  <c r="AT506" i="1"/>
  <c r="AS506" i="1"/>
  <c r="AR506" i="1"/>
  <c r="AQ506" i="1"/>
  <c r="AP506" i="1"/>
  <c r="AO506" i="1"/>
  <c r="AE506" i="1"/>
  <c r="BS505" i="1"/>
  <c r="BR505" i="1"/>
  <c r="BQ505" i="1"/>
  <c r="BP505" i="1"/>
  <c r="BO505" i="1"/>
  <c r="BN505" i="1"/>
  <c r="BM505" i="1"/>
  <c r="BL505" i="1"/>
  <c r="BK505" i="1"/>
  <c r="BJ505" i="1"/>
  <c r="BI505" i="1"/>
  <c r="BH505" i="1"/>
  <c r="BG505" i="1"/>
  <c r="BF505" i="1"/>
  <c r="BE505" i="1"/>
  <c r="BD505" i="1"/>
  <c r="BC505" i="1"/>
  <c r="BB505" i="1"/>
  <c r="BA505" i="1"/>
  <c r="AZ505" i="1"/>
  <c r="AY505" i="1"/>
  <c r="AX505" i="1"/>
  <c r="AW505" i="1"/>
  <c r="AV505" i="1"/>
  <c r="AU505" i="1"/>
  <c r="AT505" i="1"/>
  <c r="AS505" i="1"/>
  <c r="AR505" i="1"/>
  <c r="AQ505" i="1"/>
  <c r="AP505" i="1"/>
  <c r="AO505" i="1"/>
  <c r="AE505" i="1"/>
  <c r="BS504" i="1"/>
  <c r="BR504" i="1"/>
  <c r="BQ504" i="1"/>
  <c r="BP504" i="1"/>
  <c r="BO504" i="1"/>
  <c r="BN504" i="1"/>
  <c r="BM504" i="1"/>
  <c r="BL504" i="1"/>
  <c r="BK504" i="1"/>
  <c r="BJ504" i="1"/>
  <c r="BI504" i="1"/>
  <c r="BH504" i="1"/>
  <c r="BG504" i="1"/>
  <c r="BF504" i="1"/>
  <c r="BE504" i="1"/>
  <c r="BD504" i="1"/>
  <c r="BC504" i="1"/>
  <c r="BB504" i="1"/>
  <c r="BA504" i="1"/>
  <c r="AZ504" i="1"/>
  <c r="AY504" i="1"/>
  <c r="AX504" i="1"/>
  <c r="AW504" i="1"/>
  <c r="AV504" i="1"/>
  <c r="AU504" i="1"/>
  <c r="AT504" i="1"/>
  <c r="AS504" i="1"/>
  <c r="AR504" i="1"/>
  <c r="AQ504" i="1"/>
  <c r="AP504" i="1"/>
  <c r="AO504" i="1"/>
  <c r="AE504" i="1"/>
  <c r="BS503" i="1"/>
  <c r="BR503" i="1"/>
  <c r="BQ503" i="1"/>
  <c r="BP503" i="1"/>
  <c r="BO503" i="1"/>
  <c r="BN503" i="1"/>
  <c r="BM503" i="1"/>
  <c r="BL503" i="1"/>
  <c r="BK503" i="1"/>
  <c r="BJ503" i="1"/>
  <c r="BI503" i="1"/>
  <c r="BH503" i="1"/>
  <c r="BG503" i="1"/>
  <c r="BF503" i="1"/>
  <c r="BE503" i="1"/>
  <c r="BD503" i="1"/>
  <c r="BC503" i="1"/>
  <c r="BB503" i="1"/>
  <c r="BA503" i="1"/>
  <c r="AZ503" i="1"/>
  <c r="AY503" i="1"/>
  <c r="AX503" i="1"/>
  <c r="AW503" i="1"/>
  <c r="AV503" i="1"/>
  <c r="AU503" i="1"/>
  <c r="AT503" i="1"/>
  <c r="AS503" i="1"/>
  <c r="AR503" i="1"/>
  <c r="AQ503" i="1"/>
  <c r="AP503" i="1"/>
  <c r="AO503" i="1"/>
  <c r="AE503" i="1"/>
  <c r="BS502" i="1"/>
  <c r="BR502" i="1"/>
  <c r="BQ502" i="1"/>
  <c r="BP502" i="1"/>
  <c r="BO502" i="1"/>
  <c r="BN502" i="1"/>
  <c r="BM502" i="1"/>
  <c r="BL502" i="1"/>
  <c r="BK502" i="1"/>
  <c r="BJ502" i="1"/>
  <c r="BI502" i="1"/>
  <c r="BH502" i="1"/>
  <c r="BG502" i="1"/>
  <c r="BF502" i="1"/>
  <c r="BE502" i="1"/>
  <c r="BD502" i="1"/>
  <c r="BC502" i="1"/>
  <c r="BB502" i="1"/>
  <c r="BA502" i="1"/>
  <c r="AZ502" i="1"/>
  <c r="AY502" i="1"/>
  <c r="AX502" i="1"/>
  <c r="AW502" i="1"/>
  <c r="AV502" i="1"/>
  <c r="AU502" i="1"/>
  <c r="AT502" i="1"/>
  <c r="AS502" i="1"/>
  <c r="AR502" i="1"/>
  <c r="AQ502" i="1"/>
  <c r="AP502" i="1"/>
  <c r="AO502" i="1"/>
  <c r="AE502" i="1"/>
  <c r="BS501" i="1"/>
  <c r="BR501" i="1"/>
  <c r="BQ501" i="1"/>
  <c r="BP501" i="1"/>
  <c r="BO501" i="1"/>
  <c r="BN501" i="1"/>
  <c r="BM501" i="1"/>
  <c r="BL501" i="1"/>
  <c r="BK501" i="1"/>
  <c r="BJ501" i="1"/>
  <c r="BI501" i="1"/>
  <c r="BH501" i="1"/>
  <c r="BG501" i="1"/>
  <c r="BF501" i="1"/>
  <c r="BE501" i="1"/>
  <c r="BD501" i="1"/>
  <c r="BC501" i="1"/>
  <c r="BB501" i="1"/>
  <c r="BA501" i="1"/>
  <c r="AZ501" i="1"/>
  <c r="AY501" i="1"/>
  <c r="AX501" i="1"/>
  <c r="AW501" i="1"/>
  <c r="AV501" i="1"/>
  <c r="AU501" i="1"/>
  <c r="AT501" i="1"/>
  <c r="AS501" i="1"/>
  <c r="AR501" i="1"/>
  <c r="AQ501" i="1"/>
  <c r="AP501" i="1"/>
  <c r="AO501" i="1"/>
  <c r="AE501" i="1"/>
  <c r="BS500" i="1"/>
  <c r="BR500" i="1"/>
  <c r="BQ500" i="1"/>
  <c r="BP500" i="1"/>
  <c r="BO500" i="1"/>
  <c r="BN500" i="1"/>
  <c r="BM500" i="1"/>
  <c r="BL500" i="1"/>
  <c r="BK500" i="1"/>
  <c r="BJ500" i="1"/>
  <c r="BI500" i="1"/>
  <c r="BH500" i="1"/>
  <c r="BG500" i="1"/>
  <c r="BF500" i="1"/>
  <c r="BE500" i="1"/>
  <c r="BD500" i="1"/>
  <c r="BC500" i="1"/>
  <c r="BB500" i="1"/>
  <c r="BA500" i="1"/>
  <c r="AZ500" i="1"/>
  <c r="AY500" i="1"/>
  <c r="AX500" i="1"/>
  <c r="AW500" i="1"/>
  <c r="AV500" i="1"/>
  <c r="AU500" i="1"/>
  <c r="AT500" i="1"/>
  <c r="AS500" i="1"/>
  <c r="AR500" i="1"/>
  <c r="AQ500" i="1"/>
  <c r="AP500" i="1"/>
  <c r="AO500" i="1"/>
  <c r="AE500" i="1"/>
  <c r="BS499" i="1"/>
  <c r="BR499" i="1"/>
  <c r="BQ499" i="1"/>
  <c r="BP499" i="1"/>
  <c r="BO499" i="1"/>
  <c r="BN499" i="1"/>
  <c r="BM499" i="1"/>
  <c r="BL499" i="1"/>
  <c r="BK499" i="1"/>
  <c r="BJ499" i="1"/>
  <c r="BI499" i="1"/>
  <c r="BH499" i="1"/>
  <c r="BG499" i="1"/>
  <c r="BF499" i="1"/>
  <c r="BE499" i="1"/>
  <c r="BD499" i="1"/>
  <c r="BC499" i="1"/>
  <c r="BB499" i="1"/>
  <c r="BA499" i="1"/>
  <c r="AZ499" i="1"/>
  <c r="AY499" i="1"/>
  <c r="AX499" i="1"/>
  <c r="AW499" i="1"/>
  <c r="AV499" i="1"/>
  <c r="AU499" i="1"/>
  <c r="AT499" i="1"/>
  <c r="AS499" i="1"/>
  <c r="AR499" i="1"/>
  <c r="AQ499" i="1"/>
  <c r="AP499" i="1"/>
  <c r="AO499" i="1"/>
  <c r="AE499" i="1"/>
  <c r="BS498" i="1"/>
  <c r="BR498" i="1"/>
  <c r="BQ498" i="1"/>
  <c r="BP498" i="1"/>
  <c r="BO498" i="1"/>
  <c r="BN498" i="1"/>
  <c r="BM498" i="1"/>
  <c r="BL498" i="1"/>
  <c r="BK498" i="1"/>
  <c r="BJ498" i="1"/>
  <c r="BI498" i="1"/>
  <c r="BH498" i="1"/>
  <c r="BG498" i="1"/>
  <c r="BF498" i="1"/>
  <c r="BE498" i="1"/>
  <c r="BD498" i="1"/>
  <c r="BC498" i="1"/>
  <c r="BB498" i="1"/>
  <c r="BA498" i="1"/>
  <c r="AZ498" i="1"/>
  <c r="AY498" i="1"/>
  <c r="AX498" i="1"/>
  <c r="AW498" i="1"/>
  <c r="AV498" i="1"/>
  <c r="AU498" i="1"/>
  <c r="AT498" i="1"/>
  <c r="AS498" i="1"/>
  <c r="AR498" i="1"/>
  <c r="AQ498" i="1"/>
  <c r="AP498" i="1"/>
  <c r="AO498" i="1"/>
  <c r="AE498" i="1"/>
  <c r="BS497" i="1"/>
  <c r="BR497" i="1"/>
  <c r="BQ497" i="1"/>
  <c r="BP497" i="1"/>
  <c r="BO497" i="1"/>
  <c r="BN497" i="1"/>
  <c r="BM497" i="1"/>
  <c r="BL497" i="1"/>
  <c r="BK497" i="1"/>
  <c r="BJ497" i="1"/>
  <c r="BI497" i="1"/>
  <c r="BH497" i="1"/>
  <c r="BG497" i="1"/>
  <c r="BF497" i="1"/>
  <c r="BE497" i="1"/>
  <c r="BD497" i="1"/>
  <c r="BC497" i="1"/>
  <c r="BB497" i="1"/>
  <c r="BA497" i="1"/>
  <c r="AZ497" i="1"/>
  <c r="AY497" i="1"/>
  <c r="AX497" i="1"/>
  <c r="AW497" i="1"/>
  <c r="AV497" i="1"/>
  <c r="AU497" i="1"/>
  <c r="AT497" i="1"/>
  <c r="AS497" i="1"/>
  <c r="AR497" i="1"/>
  <c r="AQ497" i="1"/>
  <c r="AP497" i="1"/>
  <c r="AO497" i="1"/>
  <c r="AE497" i="1"/>
  <c r="BS496" i="1"/>
  <c r="BR496" i="1"/>
  <c r="BQ496" i="1"/>
  <c r="BP496" i="1"/>
  <c r="BO496" i="1"/>
  <c r="BN496" i="1"/>
  <c r="BM496" i="1"/>
  <c r="BL496" i="1"/>
  <c r="BK496" i="1"/>
  <c r="BJ496" i="1"/>
  <c r="BI496" i="1"/>
  <c r="BH496" i="1"/>
  <c r="BG496" i="1"/>
  <c r="BF496" i="1"/>
  <c r="BE496" i="1"/>
  <c r="BD496" i="1"/>
  <c r="BC496" i="1"/>
  <c r="BB496" i="1"/>
  <c r="BA496" i="1"/>
  <c r="AZ496" i="1"/>
  <c r="AY496" i="1"/>
  <c r="AX496" i="1"/>
  <c r="AW496" i="1"/>
  <c r="AV496" i="1"/>
  <c r="AU496" i="1"/>
  <c r="AT496" i="1"/>
  <c r="AS496" i="1"/>
  <c r="AR496" i="1"/>
  <c r="AQ496" i="1"/>
  <c r="AP496" i="1"/>
  <c r="AO496" i="1"/>
  <c r="AE496" i="1"/>
  <c r="BS495" i="1"/>
  <c r="BR495" i="1"/>
  <c r="BQ495" i="1"/>
  <c r="BP495" i="1"/>
  <c r="BO495" i="1"/>
  <c r="BN495" i="1"/>
  <c r="BM495" i="1"/>
  <c r="BL495" i="1"/>
  <c r="BK495" i="1"/>
  <c r="BJ495" i="1"/>
  <c r="BI495" i="1"/>
  <c r="BH495" i="1"/>
  <c r="BG495" i="1"/>
  <c r="BF495" i="1"/>
  <c r="BE495" i="1"/>
  <c r="BD495" i="1"/>
  <c r="BC495" i="1"/>
  <c r="BB495" i="1"/>
  <c r="BA495" i="1"/>
  <c r="AZ495" i="1"/>
  <c r="AY495" i="1"/>
  <c r="AX495" i="1"/>
  <c r="AW495" i="1"/>
  <c r="AV495" i="1"/>
  <c r="AU495" i="1"/>
  <c r="AT495" i="1"/>
  <c r="AS495" i="1"/>
  <c r="AR495" i="1"/>
  <c r="AQ495" i="1"/>
  <c r="AP495" i="1"/>
  <c r="AO495" i="1"/>
  <c r="AE495" i="1"/>
  <c r="BS494" i="1"/>
  <c r="BR494" i="1"/>
  <c r="BQ494" i="1"/>
  <c r="BP494" i="1"/>
  <c r="BO494" i="1"/>
  <c r="BN494" i="1"/>
  <c r="BM494" i="1"/>
  <c r="BL494" i="1"/>
  <c r="BK494" i="1"/>
  <c r="BJ494" i="1"/>
  <c r="BI494" i="1"/>
  <c r="BH494" i="1"/>
  <c r="BG494" i="1"/>
  <c r="BF494" i="1"/>
  <c r="BE494" i="1"/>
  <c r="BD494" i="1"/>
  <c r="BC494" i="1"/>
  <c r="BB494" i="1"/>
  <c r="BA494" i="1"/>
  <c r="AZ494" i="1"/>
  <c r="AY494" i="1"/>
  <c r="AX494" i="1"/>
  <c r="AW494" i="1"/>
  <c r="AV494" i="1"/>
  <c r="AU494" i="1"/>
  <c r="AT494" i="1"/>
  <c r="AS494" i="1"/>
  <c r="AR494" i="1"/>
  <c r="AQ494" i="1"/>
  <c r="AP494" i="1"/>
  <c r="AO494" i="1"/>
  <c r="AE494" i="1"/>
  <c r="BS493" i="1"/>
  <c r="BR493" i="1"/>
  <c r="BQ493" i="1"/>
  <c r="BP493" i="1"/>
  <c r="BO493" i="1"/>
  <c r="BN493" i="1"/>
  <c r="BM493" i="1"/>
  <c r="BL493" i="1"/>
  <c r="BK493" i="1"/>
  <c r="BJ493" i="1"/>
  <c r="BI493" i="1"/>
  <c r="BH493" i="1"/>
  <c r="BG493" i="1"/>
  <c r="BF493" i="1"/>
  <c r="BE493" i="1"/>
  <c r="BD493" i="1"/>
  <c r="BC493" i="1"/>
  <c r="BB493" i="1"/>
  <c r="BA493" i="1"/>
  <c r="AZ493" i="1"/>
  <c r="AY493" i="1"/>
  <c r="AX493" i="1"/>
  <c r="AW493" i="1"/>
  <c r="AV493" i="1"/>
  <c r="AU493" i="1"/>
  <c r="AT493" i="1"/>
  <c r="AS493" i="1"/>
  <c r="AR493" i="1"/>
  <c r="AQ493" i="1"/>
  <c r="AP493" i="1"/>
  <c r="AO493" i="1"/>
  <c r="AE493" i="1"/>
  <c r="BS492" i="1"/>
  <c r="BR492" i="1"/>
  <c r="BQ492" i="1"/>
  <c r="BP492" i="1"/>
  <c r="BO492" i="1"/>
  <c r="BN492" i="1"/>
  <c r="BM492" i="1"/>
  <c r="BL492" i="1"/>
  <c r="BK492" i="1"/>
  <c r="BJ492" i="1"/>
  <c r="BI492" i="1"/>
  <c r="BH492" i="1"/>
  <c r="BG492" i="1"/>
  <c r="BF492" i="1"/>
  <c r="BE492" i="1"/>
  <c r="BD492" i="1"/>
  <c r="BC492" i="1"/>
  <c r="BB492" i="1"/>
  <c r="BA492" i="1"/>
  <c r="AZ492" i="1"/>
  <c r="AY492" i="1"/>
  <c r="AX492" i="1"/>
  <c r="AW492" i="1"/>
  <c r="AV492" i="1"/>
  <c r="AU492" i="1"/>
  <c r="AT492" i="1"/>
  <c r="AS492" i="1"/>
  <c r="AR492" i="1"/>
  <c r="AQ492" i="1"/>
  <c r="AP492" i="1"/>
  <c r="AO492" i="1"/>
  <c r="AE492" i="1"/>
  <c r="BS491" i="1"/>
  <c r="BR491" i="1"/>
  <c r="BQ491" i="1"/>
  <c r="BP491" i="1"/>
  <c r="BO491" i="1"/>
  <c r="BN491" i="1"/>
  <c r="BM491" i="1"/>
  <c r="BL491" i="1"/>
  <c r="BK491" i="1"/>
  <c r="BJ491" i="1"/>
  <c r="BI491" i="1"/>
  <c r="BH491" i="1"/>
  <c r="BG491" i="1"/>
  <c r="BF491" i="1"/>
  <c r="BE491" i="1"/>
  <c r="BD491" i="1"/>
  <c r="BC491" i="1"/>
  <c r="BB491" i="1"/>
  <c r="BA491" i="1"/>
  <c r="AZ491" i="1"/>
  <c r="AY491" i="1"/>
  <c r="AX491" i="1"/>
  <c r="AW491" i="1"/>
  <c r="AV491" i="1"/>
  <c r="AU491" i="1"/>
  <c r="AT491" i="1"/>
  <c r="AS491" i="1"/>
  <c r="AR491" i="1"/>
  <c r="AQ491" i="1"/>
  <c r="AP491" i="1"/>
  <c r="AO491" i="1"/>
  <c r="AE491" i="1"/>
  <c r="BS490" i="1"/>
  <c r="BR490" i="1"/>
  <c r="BQ490" i="1"/>
  <c r="BP490" i="1"/>
  <c r="BO490" i="1"/>
  <c r="BN490" i="1"/>
  <c r="BM490" i="1"/>
  <c r="BL490" i="1"/>
  <c r="BK490" i="1"/>
  <c r="BJ490" i="1"/>
  <c r="BI490" i="1"/>
  <c r="BH490" i="1"/>
  <c r="BG490" i="1"/>
  <c r="BF490" i="1"/>
  <c r="BE490" i="1"/>
  <c r="BD490" i="1"/>
  <c r="BC490" i="1"/>
  <c r="BB490" i="1"/>
  <c r="BA490" i="1"/>
  <c r="AZ490" i="1"/>
  <c r="AY490" i="1"/>
  <c r="AX490" i="1"/>
  <c r="AW490" i="1"/>
  <c r="AV490" i="1"/>
  <c r="AU490" i="1"/>
  <c r="AT490" i="1"/>
  <c r="AS490" i="1"/>
  <c r="AR490" i="1"/>
  <c r="AQ490" i="1"/>
  <c r="AP490" i="1"/>
  <c r="AO490" i="1"/>
  <c r="AE490" i="1"/>
  <c r="BS489" i="1"/>
  <c r="BR489" i="1"/>
  <c r="BQ489" i="1"/>
  <c r="BP489" i="1"/>
  <c r="BO489" i="1"/>
  <c r="BN489" i="1"/>
  <c r="BM489" i="1"/>
  <c r="BL489" i="1"/>
  <c r="BK489" i="1"/>
  <c r="BJ489" i="1"/>
  <c r="BI489" i="1"/>
  <c r="BH489" i="1"/>
  <c r="BG489" i="1"/>
  <c r="BF489" i="1"/>
  <c r="BE489" i="1"/>
  <c r="BD489" i="1"/>
  <c r="BC489" i="1"/>
  <c r="BB489" i="1"/>
  <c r="BA489" i="1"/>
  <c r="AZ489" i="1"/>
  <c r="AY489" i="1"/>
  <c r="AX489" i="1"/>
  <c r="AW489" i="1"/>
  <c r="AV489" i="1"/>
  <c r="AU489" i="1"/>
  <c r="AT489" i="1"/>
  <c r="AS489" i="1"/>
  <c r="AR489" i="1"/>
  <c r="AQ489" i="1"/>
  <c r="AP489" i="1"/>
  <c r="AO489" i="1"/>
  <c r="AE489" i="1"/>
  <c r="BS488" i="1"/>
  <c r="BR488" i="1"/>
  <c r="BQ488" i="1"/>
  <c r="BP488" i="1"/>
  <c r="BO488" i="1"/>
  <c r="BN488" i="1"/>
  <c r="BM488" i="1"/>
  <c r="BL488" i="1"/>
  <c r="BK488" i="1"/>
  <c r="BJ488" i="1"/>
  <c r="BI488" i="1"/>
  <c r="BH488" i="1"/>
  <c r="BG488" i="1"/>
  <c r="BF488" i="1"/>
  <c r="BE488" i="1"/>
  <c r="BD488" i="1"/>
  <c r="BC488" i="1"/>
  <c r="BB488" i="1"/>
  <c r="BA488" i="1"/>
  <c r="AZ488" i="1"/>
  <c r="AY488" i="1"/>
  <c r="AX488" i="1"/>
  <c r="AW488" i="1"/>
  <c r="AV488" i="1"/>
  <c r="AU488" i="1"/>
  <c r="AT488" i="1"/>
  <c r="AS488" i="1"/>
  <c r="AR488" i="1"/>
  <c r="AQ488" i="1"/>
  <c r="AP488" i="1"/>
  <c r="AO488" i="1"/>
  <c r="AE488" i="1"/>
  <c r="BS487" i="1"/>
  <c r="BR487" i="1"/>
  <c r="BQ487" i="1"/>
  <c r="BP487" i="1"/>
  <c r="BO487" i="1"/>
  <c r="BN487" i="1"/>
  <c r="BM487" i="1"/>
  <c r="BL487" i="1"/>
  <c r="BK487" i="1"/>
  <c r="BJ487" i="1"/>
  <c r="BI487" i="1"/>
  <c r="BH487" i="1"/>
  <c r="BG487" i="1"/>
  <c r="BF487" i="1"/>
  <c r="BE487" i="1"/>
  <c r="BD487" i="1"/>
  <c r="BC487" i="1"/>
  <c r="BB487" i="1"/>
  <c r="BA487" i="1"/>
  <c r="AZ487" i="1"/>
  <c r="AY487" i="1"/>
  <c r="AX487" i="1"/>
  <c r="AW487" i="1"/>
  <c r="AV487" i="1"/>
  <c r="AU487" i="1"/>
  <c r="AT487" i="1"/>
  <c r="AS487" i="1"/>
  <c r="AR487" i="1"/>
  <c r="AQ487" i="1"/>
  <c r="AP487" i="1"/>
  <c r="AO487" i="1"/>
  <c r="AE487" i="1"/>
  <c r="BS486" i="1"/>
  <c r="BR486" i="1"/>
  <c r="BQ486" i="1"/>
  <c r="BP486" i="1"/>
  <c r="BO486" i="1"/>
  <c r="BN486" i="1"/>
  <c r="BM486" i="1"/>
  <c r="BL486" i="1"/>
  <c r="BK486" i="1"/>
  <c r="BJ486" i="1"/>
  <c r="BI486" i="1"/>
  <c r="BH486" i="1"/>
  <c r="BG486" i="1"/>
  <c r="BF486" i="1"/>
  <c r="BE486" i="1"/>
  <c r="BD486" i="1"/>
  <c r="BC486" i="1"/>
  <c r="BB486" i="1"/>
  <c r="BA486" i="1"/>
  <c r="AZ486" i="1"/>
  <c r="AY486" i="1"/>
  <c r="AX486" i="1"/>
  <c r="AW486" i="1"/>
  <c r="AV486" i="1"/>
  <c r="AU486" i="1"/>
  <c r="AT486" i="1"/>
  <c r="AS486" i="1"/>
  <c r="AR486" i="1"/>
  <c r="AQ486" i="1"/>
  <c r="AP486" i="1"/>
  <c r="AO486" i="1"/>
  <c r="AE486" i="1"/>
  <c r="BS485" i="1"/>
  <c r="BR485" i="1"/>
  <c r="BQ485" i="1"/>
  <c r="BP485" i="1"/>
  <c r="BO485" i="1"/>
  <c r="BN485" i="1"/>
  <c r="BM485" i="1"/>
  <c r="BL485" i="1"/>
  <c r="BK485" i="1"/>
  <c r="BJ485" i="1"/>
  <c r="BI485" i="1"/>
  <c r="BH485" i="1"/>
  <c r="BG485" i="1"/>
  <c r="BF485" i="1"/>
  <c r="BE485" i="1"/>
  <c r="BD485" i="1"/>
  <c r="BC485" i="1"/>
  <c r="BB485" i="1"/>
  <c r="BA485" i="1"/>
  <c r="AZ485" i="1"/>
  <c r="AY485" i="1"/>
  <c r="AX485" i="1"/>
  <c r="AW485" i="1"/>
  <c r="AV485" i="1"/>
  <c r="AU485" i="1"/>
  <c r="AT485" i="1"/>
  <c r="AS485" i="1"/>
  <c r="AR485" i="1"/>
  <c r="AQ485" i="1"/>
  <c r="AP485" i="1"/>
  <c r="AO485" i="1"/>
  <c r="AE485" i="1"/>
  <c r="BS484" i="1"/>
  <c r="BR484" i="1"/>
  <c r="BQ484" i="1"/>
  <c r="BP484" i="1"/>
  <c r="BO484" i="1"/>
  <c r="BN484" i="1"/>
  <c r="BM484" i="1"/>
  <c r="BL484" i="1"/>
  <c r="BK484" i="1"/>
  <c r="BJ484" i="1"/>
  <c r="BI484" i="1"/>
  <c r="BH484" i="1"/>
  <c r="BG484" i="1"/>
  <c r="BF484" i="1"/>
  <c r="BE484" i="1"/>
  <c r="BD484" i="1"/>
  <c r="BC484" i="1"/>
  <c r="BB484" i="1"/>
  <c r="BA484" i="1"/>
  <c r="AZ484" i="1"/>
  <c r="AY484" i="1"/>
  <c r="AX484" i="1"/>
  <c r="AW484" i="1"/>
  <c r="AV484" i="1"/>
  <c r="AU484" i="1"/>
  <c r="AT484" i="1"/>
  <c r="AS484" i="1"/>
  <c r="AR484" i="1"/>
  <c r="AQ484" i="1"/>
  <c r="AP484" i="1"/>
  <c r="AO484" i="1"/>
  <c r="AE484" i="1"/>
  <c r="BS483" i="1"/>
  <c r="BR483" i="1"/>
  <c r="BQ483" i="1"/>
  <c r="BP483" i="1"/>
  <c r="BO483" i="1"/>
  <c r="BN483" i="1"/>
  <c r="BM483" i="1"/>
  <c r="BL483" i="1"/>
  <c r="BK483" i="1"/>
  <c r="BJ483" i="1"/>
  <c r="BI483" i="1"/>
  <c r="BH483" i="1"/>
  <c r="BG483" i="1"/>
  <c r="BF483" i="1"/>
  <c r="BE483" i="1"/>
  <c r="BD483" i="1"/>
  <c r="BC483" i="1"/>
  <c r="BB483" i="1"/>
  <c r="BA483" i="1"/>
  <c r="AZ483" i="1"/>
  <c r="AY483" i="1"/>
  <c r="AX483" i="1"/>
  <c r="AW483" i="1"/>
  <c r="AV483" i="1"/>
  <c r="AU483" i="1"/>
  <c r="AT483" i="1"/>
  <c r="AS483" i="1"/>
  <c r="AR483" i="1"/>
  <c r="AQ483" i="1"/>
  <c r="AP483" i="1"/>
  <c r="AO483" i="1"/>
  <c r="AE483" i="1"/>
  <c r="BS482" i="1"/>
  <c r="BR482" i="1"/>
  <c r="BQ482" i="1"/>
  <c r="BP482" i="1"/>
  <c r="BO482" i="1"/>
  <c r="BN482" i="1"/>
  <c r="BM482" i="1"/>
  <c r="BL482" i="1"/>
  <c r="BK482" i="1"/>
  <c r="BJ482" i="1"/>
  <c r="BI482" i="1"/>
  <c r="BH482" i="1"/>
  <c r="BG482" i="1"/>
  <c r="BF482" i="1"/>
  <c r="BE482" i="1"/>
  <c r="BD482" i="1"/>
  <c r="BC482" i="1"/>
  <c r="BB482" i="1"/>
  <c r="BA482" i="1"/>
  <c r="AZ482" i="1"/>
  <c r="AY482" i="1"/>
  <c r="AX482" i="1"/>
  <c r="AW482" i="1"/>
  <c r="AV482" i="1"/>
  <c r="AU482" i="1"/>
  <c r="AT482" i="1"/>
  <c r="AS482" i="1"/>
  <c r="AR482" i="1"/>
  <c r="AQ482" i="1"/>
  <c r="AP482" i="1"/>
  <c r="AO482" i="1"/>
  <c r="AE482" i="1"/>
  <c r="BS481" i="1"/>
  <c r="BR481" i="1"/>
  <c r="BQ481" i="1"/>
  <c r="BP481" i="1"/>
  <c r="BO481" i="1"/>
  <c r="BN481" i="1"/>
  <c r="BM481" i="1"/>
  <c r="BL481" i="1"/>
  <c r="BK481" i="1"/>
  <c r="BJ481" i="1"/>
  <c r="BI481" i="1"/>
  <c r="BH481" i="1"/>
  <c r="BG481" i="1"/>
  <c r="BF481" i="1"/>
  <c r="BE481" i="1"/>
  <c r="BD481" i="1"/>
  <c r="BC481" i="1"/>
  <c r="BB481" i="1"/>
  <c r="BA481" i="1"/>
  <c r="AZ481" i="1"/>
  <c r="AY481" i="1"/>
  <c r="AX481" i="1"/>
  <c r="AW481" i="1"/>
  <c r="AV481" i="1"/>
  <c r="AU481" i="1"/>
  <c r="AT481" i="1"/>
  <c r="AS481" i="1"/>
  <c r="AR481" i="1"/>
  <c r="AQ481" i="1"/>
  <c r="AP481" i="1"/>
  <c r="AO481" i="1"/>
  <c r="AE481" i="1"/>
  <c r="BS480" i="1"/>
  <c r="BR480" i="1"/>
  <c r="BQ480" i="1"/>
  <c r="BP480" i="1"/>
  <c r="BO480" i="1"/>
  <c r="BN480" i="1"/>
  <c r="BM480" i="1"/>
  <c r="BL480" i="1"/>
  <c r="BK480" i="1"/>
  <c r="BJ480" i="1"/>
  <c r="BI480" i="1"/>
  <c r="BH480" i="1"/>
  <c r="BG480" i="1"/>
  <c r="BF480" i="1"/>
  <c r="BE480" i="1"/>
  <c r="BD480" i="1"/>
  <c r="BC480" i="1"/>
  <c r="BB480" i="1"/>
  <c r="BA480" i="1"/>
  <c r="AZ480" i="1"/>
  <c r="AY480" i="1"/>
  <c r="AX480" i="1"/>
  <c r="AW480" i="1"/>
  <c r="AV480" i="1"/>
  <c r="AU480" i="1"/>
  <c r="AT480" i="1"/>
  <c r="AS480" i="1"/>
  <c r="AR480" i="1"/>
  <c r="AQ480" i="1"/>
  <c r="AP480" i="1"/>
  <c r="AO480" i="1"/>
  <c r="AE480" i="1"/>
  <c r="BS479" i="1"/>
  <c r="BR479" i="1"/>
  <c r="BQ479" i="1"/>
  <c r="BP479" i="1"/>
  <c r="BO479" i="1"/>
  <c r="BN479" i="1"/>
  <c r="BM479" i="1"/>
  <c r="BL479" i="1"/>
  <c r="BK479" i="1"/>
  <c r="BJ479" i="1"/>
  <c r="BI479" i="1"/>
  <c r="BH479" i="1"/>
  <c r="BG479" i="1"/>
  <c r="BF479" i="1"/>
  <c r="BE479" i="1"/>
  <c r="BD479" i="1"/>
  <c r="BC479" i="1"/>
  <c r="BB479" i="1"/>
  <c r="BA479" i="1"/>
  <c r="AZ479" i="1"/>
  <c r="AY479" i="1"/>
  <c r="AX479" i="1"/>
  <c r="AW479" i="1"/>
  <c r="AV479" i="1"/>
  <c r="AU479" i="1"/>
  <c r="AT479" i="1"/>
  <c r="AS479" i="1"/>
  <c r="AR479" i="1"/>
  <c r="AQ479" i="1"/>
  <c r="AP479" i="1"/>
  <c r="AO479" i="1"/>
  <c r="AE479" i="1"/>
  <c r="BS478" i="1"/>
  <c r="BR478" i="1"/>
  <c r="BQ478" i="1"/>
  <c r="BP478" i="1"/>
  <c r="BO478" i="1"/>
  <c r="BN478" i="1"/>
  <c r="BM478" i="1"/>
  <c r="BL478" i="1"/>
  <c r="BK478" i="1"/>
  <c r="BJ478" i="1"/>
  <c r="BI478" i="1"/>
  <c r="BH478" i="1"/>
  <c r="BG478" i="1"/>
  <c r="BF478" i="1"/>
  <c r="BE478" i="1"/>
  <c r="BD478" i="1"/>
  <c r="BC478" i="1"/>
  <c r="BB478" i="1"/>
  <c r="BA478" i="1"/>
  <c r="AZ478" i="1"/>
  <c r="AY478" i="1"/>
  <c r="AX478" i="1"/>
  <c r="AW478" i="1"/>
  <c r="AV478" i="1"/>
  <c r="AU478" i="1"/>
  <c r="AT478" i="1"/>
  <c r="AS478" i="1"/>
  <c r="AR478" i="1"/>
  <c r="AQ478" i="1"/>
  <c r="AP478" i="1"/>
  <c r="AO478" i="1"/>
  <c r="AE478" i="1"/>
  <c r="BS477" i="1"/>
  <c r="BR477" i="1"/>
  <c r="BQ477" i="1"/>
  <c r="BP477" i="1"/>
  <c r="BO477" i="1"/>
  <c r="BN477" i="1"/>
  <c r="BM477" i="1"/>
  <c r="BL477" i="1"/>
  <c r="BK477" i="1"/>
  <c r="BJ477" i="1"/>
  <c r="BI477" i="1"/>
  <c r="BH477" i="1"/>
  <c r="BG477" i="1"/>
  <c r="BF477" i="1"/>
  <c r="BE477" i="1"/>
  <c r="BD477" i="1"/>
  <c r="BC477" i="1"/>
  <c r="BB477" i="1"/>
  <c r="BA477" i="1"/>
  <c r="AZ477" i="1"/>
  <c r="AY477" i="1"/>
  <c r="AX477" i="1"/>
  <c r="AW477" i="1"/>
  <c r="AV477" i="1"/>
  <c r="AU477" i="1"/>
  <c r="AT477" i="1"/>
  <c r="AS477" i="1"/>
  <c r="AR477" i="1"/>
  <c r="AQ477" i="1"/>
  <c r="AP477" i="1"/>
  <c r="AO477" i="1"/>
  <c r="AE477" i="1"/>
  <c r="BS476" i="1"/>
  <c r="BR476" i="1"/>
  <c r="BQ476" i="1"/>
  <c r="BP476" i="1"/>
  <c r="BO476" i="1"/>
  <c r="BN476" i="1"/>
  <c r="BM476" i="1"/>
  <c r="BL476" i="1"/>
  <c r="BK476" i="1"/>
  <c r="BJ476" i="1"/>
  <c r="BI476" i="1"/>
  <c r="BH476" i="1"/>
  <c r="BG476" i="1"/>
  <c r="BF476" i="1"/>
  <c r="BE476" i="1"/>
  <c r="BD476" i="1"/>
  <c r="BC476" i="1"/>
  <c r="BB476" i="1"/>
  <c r="BA476" i="1"/>
  <c r="AZ476" i="1"/>
  <c r="AY476" i="1"/>
  <c r="AX476" i="1"/>
  <c r="AW476" i="1"/>
  <c r="AV476" i="1"/>
  <c r="AU476" i="1"/>
  <c r="AT476" i="1"/>
  <c r="AS476" i="1"/>
  <c r="AR476" i="1"/>
  <c r="AQ476" i="1"/>
  <c r="AP476" i="1"/>
  <c r="AO476" i="1"/>
  <c r="AE476" i="1"/>
  <c r="BS475" i="1"/>
  <c r="BR475" i="1"/>
  <c r="BQ475" i="1"/>
  <c r="BP475" i="1"/>
  <c r="BO475" i="1"/>
  <c r="BN475" i="1"/>
  <c r="BM475" i="1"/>
  <c r="BL475" i="1"/>
  <c r="BK475" i="1"/>
  <c r="BJ475" i="1"/>
  <c r="BI475" i="1"/>
  <c r="BH475" i="1"/>
  <c r="BG475" i="1"/>
  <c r="BF475" i="1"/>
  <c r="BE475" i="1"/>
  <c r="BD475" i="1"/>
  <c r="BC475" i="1"/>
  <c r="BB475" i="1"/>
  <c r="BA475" i="1"/>
  <c r="AZ475" i="1"/>
  <c r="AY475" i="1"/>
  <c r="AX475" i="1"/>
  <c r="AW475" i="1"/>
  <c r="AV475" i="1"/>
  <c r="AU475" i="1"/>
  <c r="AT475" i="1"/>
  <c r="AS475" i="1"/>
  <c r="AR475" i="1"/>
  <c r="AQ475" i="1"/>
  <c r="AP475" i="1"/>
  <c r="AO475" i="1"/>
  <c r="AE475" i="1"/>
  <c r="BS474" i="1"/>
  <c r="BR474" i="1"/>
  <c r="BQ474" i="1"/>
  <c r="BP474" i="1"/>
  <c r="BO474" i="1"/>
  <c r="BN474" i="1"/>
  <c r="BM474" i="1"/>
  <c r="BL474" i="1"/>
  <c r="BK474" i="1"/>
  <c r="BJ474" i="1"/>
  <c r="BI474" i="1"/>
  <c r="BH474" i="1"/>
  <c r="BG474" i="1"/>
  <c r="BF474" i="1"/>
  <c r="BE474" i="1"/>
  <c r="BD474" i="1"/>
  <c r="BC474" i="1"/>
  <c r="BB474" i="1"/>
  <c r="BA474" i="1"/>
  <c r="AZ474" i="1"/>
  <c r="AY474" i="1"/>
  <c r="AX474" i="1"/>
  <c r="AW474" i="1"/>
  <c r="AV474" i="1"/>
  <c r="AU474" i="1"/>
  <c r="AT474" i="1"/>
  <c r="AS474" i="1"/>
  <c r="AR474" i="1"/>
  <c r="AQ474" i="1"/>
  <c r="AP474" i="1"/>
  <c r="AO474" i="1"/>
  <c r="AE474" i="1"/>
  <c r="BS473" i="1"/>
  <c r="BR473" i="1"/>
  <c r="BQ473" i="1"/>
  <c r="BP473" i="1"/>
  <c r="BO473" i="1"/>
  <c r="BN473" i="1"/>
  <c r="BM473" i="1"/>
  <c r="BL473" i="1"/>
  <c r="BK473" i="1"/>
  <c r="BJ473" i="1"/>
  <c r="BI473" i="1"/>
  <c r="BH473" i="1"/>
  <c r="BG473" i="1"/>
  <c r="BF473" i="1"/>
  <c r="BE473" i="1"/>
  <c r="BD473" i="1"/>
  <c r="BC473" i="1"/>
  <c r="BB473" i="1"/>
  <c r="BA473" i="1"/>
  <c r="AZ473" i="1"/>
  <c r="AY473" i="1"/>
  <c r="AX473" i="1"/>
  <c r="AW473" i="1"/>
  <c r="AV473" i="1"/>
  <c r="AU473" i="1"/>
  <c r="AT473" i="1"/>
  <c r="AS473" i="1"/>
  <c r="AR473" i="1"/>
  <c r="AQ473" i="1"/>
  <c r="AP473" i="1"/>
  <c r="AO473" i="1"/>
  <c r="AE473" i="1"/>
  <c r="BS472" i="1"/>
  <c r="BR472" i="1"/>
  <c r="BQ472" i="1"/>
  <c r="BP472" i="1"/>
  <c r="BO472" i="1"/>
  <c r="BN472" i="1"/>
  <c r="BM472" i="1"/>
  <c r="BL472" i="1"/>
  <c r="BK472" i="1"/>
  <c r="BJ472" i="1"/>
  <c r="BI472" i="1"/>
  <c r="BH472" i="1"/>
  <c r="BG472" i="1"/>
  <c r="BF472" i="1"/>
  <c r="BE472" i="1"/>
  <c r="BD472" i="1"/>
  <c r="BC472" i="1"/>
  <c r="BB472" i="1"/>
  <c r="BA472" i="1"/>
  <c r="AZ472" i="1"/>
  <c r="AY472" i="1"/>
  <c r="AX472" i="1"/>
  <c r="AW472" i="1"/>
  <c r="AV472" i="1"/>
  <c r="AU472" i="1"/>
  <c r="AT472" i="1"/>
  <c r="AS472" i="1"/>
  <c r="AR472" i="1"/>
  <c r="AQ472" i="1"/>
  <c r="AP472" i="1"/>
  <c r="AO472" i="1"/>
  <c r="AE472" i="1"/>
  <c r="BS471" i="1"/>
  <c r="BR471" i="1"/>
  <c r="BQ471" i="1"/>
  <c r="BP471" i="1"/>
  <c r="BO471" i="1"/>
  <c r="BN471" i="1"/>
  <c r="BM471" i="1"/>
  <c r="BL471" i="1"/>
  <c r="BK471" i="1"/>
  <c r="BJ471" i="1"/>
  <c r="BI471" i="1"/>
  <c r="BH471" i="1"/>
  <c r="BG471" i="1"/>
  <c r="BF471" i="1"/>
  <c r="BE471" i="1"/>
  <c r="BD471" i="1"/>
  <c r="BC471" i="1"/>
  <c r="BB471" i="1"/>
  <c r="BA471" i="1"/>
  <c r="AZ471" i="1"/>
  <c r="AY471" i="1"/>
  <c r="AX471" i="1"/>
  <c r="AW471" i="1"/>
  <c r="AV471" i="1"/>
  <c r="AU471" i="1"/>
  <c r="AT471" i="1"/>
  <c r="AS471" i="1"/>
  <c r="AR471" i="1"/>
  <c r="AQ471" i="1"/>
  <c r="AP471" i="1"/>
  <c r="AO471" i="1"/>
  <c r="AE471" i="1"/>
  <c r="BS470" i="1"/>
  <c r="BR470" i="1"/>
  <c r="BQ470" i="1"/>
  <c r="BP470" i="1"/>
  <c r="BO470" i="1"/>
  <c r="BN470" i="1"/>
  <c r="BM470" i="1"/>
  <c r="BL470" i="1"/>
  <c r="BK470" i="1"/>
  <c r="BJ470" i="1"/>
  <c r="BI470" i="1"/>
  <c r="BH470" i="1"/>
  <c r="BG470" i="1"/>
  <c r="BF470" i="1"/>
  <c r="BE470" i="1"/>
  <c r="BD470" i="1"/>
  <c r="BC470" i="1"/>
  <c r="BB470" i="1"/>
  <c r="BA470" i="1"/>
  <c r="AZ470" i="1"/>
  <c r="AY470" i="1"/>
  <c r="AX470" i="1"/>
  <c r="AW470" i="1"/>
  <c r="AV470" i="1"/>
  <c r="AU470" i="1"/>
  <c r="AT470" i="1"/>
  <c r="AS470" i="1"/>
  <c r="AR470" i="1"/>
  <c r="AQ470" i="1"/>
  <c r="AP470" i="1"/>
  <c r="AO470" i="1"/>
  <c r="AE470" i="1"/>
  <c r="BS469" i="1"/>
  <c r="BR469" i="1"/>
  <c r="BQ469" i="1"/>
  <c r="BP469" i="1"/>
  <c r="BO469" i="1"/>
  <c r="BN469" i="1"/>
  <c r="BM469" i="1"/>
  <c r="BL469" i="1"/>
  <c r="BK469" i="1"/>
  <c r="BJ469" i="1"/>
  <c r="BI469" i="1"/>
  <c r="BH469" i="1"/>
  <c r="BG469" i="1"/>
  <c r="BF469" i="1"/>
  <c r="BE469" i="1"/>
  <c r="BD469" i="1"/>
  <c r="BC469" i="1"/>
  <c r="BB469" i="1"/>
  <c r="BA469" i="1"/>
  <c r="AZ469" i="1"/>
  <c r="AY469" i="1"/>
  <c r="AX469" i="1"/>
  <c r="AW469" i="1"/>
  <c r="AV469" i="1"/>
  <c r="AU469" i="1"/>
  <c r="AT469" i="1"/>
  <c r="AS469" i="1"/>
  <c r="AR469" i="1"/>
  <c r="AQ469" i="1"/>
  <c r="AP469" i="1"/>
  <c r="AO469" i="1"/>
  <c r="AE469" i="1"/>
  <c r="BS468" i="1"/>
  <c r="BR468" i="1"/>
  <c r="BQ468" i="1"/>
  <c r="BP468" i="1"/>
  <c r="BO468" i="1"/>
  <c r="BN468" i="1"/>
  <c r="BM468" i="1"/>
  <c r="BL468" i="1"/>
  <c r="BK468" i="1"/>
  <c r="BJ468" i="1"/>
  <c r="BI468" i="1"/>
  <c r="BH468" i="1"/>
  <c r="BG468" i="1"/>
  <c r="BF468" i="1"/>
  <c r="BE468" i="1"/>
  <c r="BD468" i="1"/>
  <c r="BC468" i="1"/>
  <c r="BB468" i="1"/>
  <c r="BA468" i="1"/>
  <c r="AZ468" i="1"/>
  <c r="AY468" i="1"/>
  <c r="AX468" i="1"/>
  <c r="AW468" i="1"/>
  <c r="AV468" i="1"/>
  <c r="AU468" i="1"/>
  <c r="AT468" i="1"/>
  <c r="AS468" i="1"/>
  <c r="AR468" i="1"/>
  <c r="AQ468" i="1"/>
  <c r="AP468" i="1"/>
  <c r="AO468" i="1"/>
  <c r="AE468" i="1"/>
  <c r="BS467" i="1"/>
  <c r="BR467" i="1"/>
  <c r="BQ467" i="1"/>
  <c r="BP467" i="1"/>
  <c r="BO467" i="1"/>
  <c r="BN467" i="1"/>
  <c r="BM467" i="1"/>
  <c r="BL467" i="1"/>
  <c r="BK467" i="1"/>
  <c r="BJ467" i="1"/>
  <c r="BI467" i="1"/>
  <c r="BH467" i="1"/>
  <c r="BG467" i="1"/>
  <c r="BF467" i="1"/>
  <c r="BE467" i="1"/>
  <c r="BD467" i="1"/>
  <c r="BC467" i="1"/>
  <c r="BB467" i="1"/>
  <c r="BA467" i="1"/>
  <c r="AZ467" i="1"/>
  <c r="AY467" i="1"/>
  <c r="AX467" i="1"/>
  <c r="AW467" i="1"/>
  <c r="AV467" i="1"/>
  <c r="AU467" i="1"/>
  <c r="AT467" i="1"/>
  <c r="AS467" i="1"/>
  <c r="AR467" i="1"/>
  <c r="AQ467" i="1"/>
  <c r="AP467" i="1"/>
  <c r="AO467" i="1"/>
  <c r="AE467" i="1"/>
  <c r="BS466" i="1"/>
  <c r="BR466" i="1"/>
  <c r="BQ466" i="1"/>
  <c r="BP466" i="1"/>
  <c r="BO466" i="1"/>
  <c r="BN466" i="1"/>
  <c r="BM466" i="1"/>
  <c r="BL466" i="1"/>
  <c r="BK466" i="1"/>
  <c r="BJ466" i="1"/>
  <c r="BI466" i="1"/>
  <c r="BH466" i="1"/>
  <c r="BG466" i="1"/>
  <c r="BF466" i="1"/>
  <c r="BE466" i="1"/>
  <c r="BD466" i="1"/>
  <c r="BC466" i="1"/>
  <c r="BB466" i="1"/>
  <c r="BA466" i="1"/>
  <c r="AZ466" i="1"/>
  <c r="AY466" i="1"/>
  <c r="AX466" i="1"/>
  <c r="AW466" i="1"/>
  <c r="AV466" i="1"/>
  <c r="AU466" i="1"/>
  <c r="AT466" i="1"/>
  <c r="AS466" i="1"/>
  <c r="AR466" i="1"/>
  <c r="AQ466" i="1"/>
  <c r="AP466" i="1"/>
  <c r="AO466" i="1"/>
  <c r="AE466" i="1"/>
  <c r="BS465" i="1"/>
  <c r="BR465" i="1"/>
  <c r="BQ465" i="1"/>
  <c r="BP465" i="1"/>
  <c r="BO465" i="1"/>
  <c r="BN465" i="1"/>
  <c r="BM465" i="1"/>
  <c r="BL465" i="1"/>
  <c r="BK465" i="1"/>
  <c r="BJ465" i="1"/>
  <c r="BI465" i="1"/>
  <c r="BH465" i="1"/>
  <c r="BG465" i="1"/>
  <c r="BF465" i="1"/>
  <c r="BE465" i="1"/>
  <c r="BD465" i="1"/>
  <c r="BC465" i="1"/>
  <c r="BB465" i="1"/>
  <c r="BA465" i="1"/>
  <c r="AZ465" i="1"/>
  <c r="AY465" i="1"/>
  <c r="AX465" i="1"/>
  <c r="AW465" i="1"/>
  <c r="AV465" i="1"/>
  <c r="AU465" i="1"/>
  <c r="AT465" i="1"/>
  <c r="AS465" i="1"/>
  <c r="AR465" i="1"/>
  <c r="AQ465" i="1"/>
  <c r="AP465" i="1"/>
  <c r="AO465" i="1"/>
  <c r="AE465" i="1"/>
  <c r="BS464" i="1"/>
  <c r="BR464" i="1"/>
  <c r="BQ464" i="1"/>
  <c r="BP464" i="1"/>
  <c r="BO464" i="1"/>
  <c r="BN464" i="1"/>
  <c r="BM464" i="1"/>
  <c r="BL464" i="1"/>
  <c r="BK464" i="1"/>
  <c r="BJ464" i="1"/>
  <c r="BI464" i="1"/>
  <c r="BH464" i="1"/>
  <c r="BG464" i="1"/>
  <c r="BF464" i="1"/>
  <c r="BE464" i="1"/>
  <c r="BD464" i="1"/>
  <c r="BC464" i="1"/>
  <c r="BB464" i="1"/>
  <c r="BA464" i="1"/>
  <c r="AZ464" i="1"/>
  <c r="AY464" i="1"/>
  <c r="AX464" i="1"/>
  <c r="AW464" i="1"/>
  <c r="AV464" i="1"/>
  <c r="AU464" i="1"/>
  <c r="AT464" i="1"/>
  <c r="AS464" i="1"/>
  <c r="AR464" i="1"/>
  <c r="AQ464" i="1"/>
  <c r="AP464" i="1"/>
  <c r="AO464" i="1"/>
  <c r="AE464" i="1"/>
  <c r="BS463" i="1"/>
  <c r="BR463" i="1"/>
  <c r="BQ463" i="1"/>
  <c r="BP463" i="1"/>
  <c r="BO463" i="1"/>
  <c r="BN463" i="1"/>
  <c r="BM463" i="1"/>
  <c r="BL463" i="1"/>
  <c r="BK463" i="1"/>
  <c r="BJ463" i="1"/>
  <c r="BI463" i="1"/>
  <c r="BH463" i="1"/>
  <c r="BG463" i="1"/>
  <c r="BF463" i="1"/>
  <c r="BE463" i="1"/>
  <c r="BD463" i="1"/>
  <c r="BC463" i="1"/>
  <c r="BB463" i="1"/>
  <c r="BA463" i="1"/>
  <c r="AZ463" i="1"/>
  <c r="AY463" i="1"/>
  <c r="AX463" i="1"/>
  <c r="AW463" i="1"/>
  <c r="AV463" i="1"/>
  <c r="AU463" i="1"/>
  <c r="AT463" i="1"/>
  <c r="AS463" i="1"/>
  <c r="AR463" i="1"/>
  <c r="AQ463" i="1"/>
  <c r="AP463" i="1"/>
  <c r="AO463" i="1"/>
  <c r="AE463" i="1"/>
  <c r="BS462" i="1"/>
  <c r="BR462" i="1"/>
  <c r="BQ462" i="1"/>
  <c r="BP462" i="1"/>
  <c r="BO462" i="1"/>
  <c r="BN462" i="1"/>
  <c r="BM462" i="1"/>
  <c r="BL462" i="1"/>
  <c r="BK462" i="1"/>
  <c r="BJ462" i="1"/>
  <c r="BI462" i="1"/>
  <c r="BH462" i="1"/>
  <c r="BG462" i="1"/>
  <c r="BF462" i="1"/>
  <c r="BE462" i="1"/>
  <c r="BD462" i="1"/>
  <c r="BC462" i="1"/>
  <c r="BB462" i="1"/>
  <c r="BA462" i="1"/>
  <c r="AZ462" i="1"/>
  <c r="AY462" i="1"/>
  <c r="AX462" i="1"/>
  <c r="AW462" i="1"/>
  <c r="AV462" i="1"/>
  <c r="AU462" i="1"/>
  <c r="AT462" i="1"/>
  <c r="AS462" i="1"/>
  <c r="AR462" i="1"/>
  <c r="AQ462" i="1"/>
  <c r="AP462" i="1"/>
  <c r="AO462" i="1"/>
  <c r="AE462" i="1"/>
  <c r="BS461" i="1"/>
  <c r="BR461" i="1"/>
  <c r="BQ461" i="1"/>
  <c r="BP461" i="1"/>
  <c r="BO461" i="1"/>
  <c r="BN461" i="1"/>
  <c r="BM461" i="1"/>
  <c r="BL461" i="1"/>
  <c r="BK461" i="1"/>
  <c r="BJ461" i="1"/>
  <c r="BI461" i="1"/>
  <c r="BH461" i="1"/>
  <c r="BG461" i="1"/>
  <c r="BF461" i="1"/>
  <c r="BE461" i="1"/>
  <c r="BD461" i="1"/>
  <c r="BC461" i="1"/>
  <c r="BB461" i="1"/>
  <c r="BA461" i="1"/>
  <c r="AZ461" i="1"/>
  <c r="AY461" i="1"/>
  <c r="AX461" i="1"/>
  <c r="AW461" i="1"/>
  <c r="AV461" i="1"/>
  <c r="AU461" i="1"/>
  <c r="AT461" i="1"/>
  <c r="AS461" i="1"/>
  <c r="AR461" i="1"/>
  <c r="AQ461" i="1"/>
  <c r="AP461" i="1"/>
  <c r="AO461" i="1"/>
  <c r="AE461" i="1"/>
  <c r="BS460" i="1"/>
  <c r="BR460" i="1"/>
  <c r="BQ460" i="1"/>
  <c r="BP460" i="1"/>
  <c r="BO460" i="1"/>
  <c r="BN460" i="1"/>
  <c r="BM460" i="1"/>
  <c r="BL460" i="1"/>
  <c r="BK460" i="1"/>
  <c r="BJ460" i="1"/>
  <c r="BI460" i="1"/>
  <c r="BH460" i="1"/>
  <c r="BG460" i="1"/>
  <c r="BF460" i="1"/>
  <c r="BE460" i="1"/>
  <c r="BD460" i="1"/>
  <c r="BC460" i="1"/>
  <c r="BB460" i="1"/>
  <c r="BA460" i="1"/>
  <c r="AZ460" i="1"/>
  <c r="AY460" i="1"/>
  <c r="AX460" i="1"/>
  <c r="AW460" i="1"/>
  <c r="AV460" i="1"/>
  <c r="AU460" i="1"/>
  <c r="AT460" i="1"/>
  <c r="AS460" i="1"/>
  <c r="AR460" i="1"/>
  <c r="AQ460" i="1"/>
  <c r="AP460" i="1"/>
  <c r="AO460" i="1"/>
  <c r="AE460" i="1"/>
  <c r="BS459" i="1"/>
  <c r="BR459" i="1"/>
  <c r="BQ459" i="1"/>
  <c r="BP459" i="1"/>
  <c r="BO459" i="1"/>
  <c r="BN459" i="1"/>
  <c r="BM459" i="1"/>
  <c r="BL459" i="1"/>
  <c r="BK459" i="1"/>
  <c r="BJ459" i="1"/>
  <c r="BI459" i="1"/>
  <c r="BH459" i="1"/>
  <c r="BG459" i="1"/>
  <c r="BF459" i="1"/>
  <c r="BE459" i="1"/>
  <c r="BD459" i="1"/>
  <c r="BC459" i="1"/>
  <c r="BB459" i="1"/>
  <c r="BA459" i="1"/>
  <c r="AZ459" i="1"/>
  <c r="AY459" i="1"/>
  <c r="AX459" i="1"/>
  <c r="AW459" i="1"/>
  <c r="AV459" i="1"/>
  <c r="AU459" i="1"/>
  <c r="AT459" i="1"/>
  <c r="AS459" i="1"/>
  <c r="AR459" i="1"/>
  <c r="AQ459" i="1"/>
  <c r="AP459" i="1"/>
  <c r="AO459" i="1"/>
  <c r="AE459" i="1"/>
  <c r="BS458" i="1"/>
  <c r="BR458" i="1"/>
  <c r="BQ458" i="1"/>
  <c r="BP458" i="1"/>
  <c r="BO458" i="1"/>
  <c r="BN458" i="1"/>
  <c r="BM458" i="1"/>
  <c r="BL458" i="1"/>
  <c r="BK458" i="1"/>
  <c r="BJ458" i="1"/>
  <c r="BI458" i="1"/>
  <c r="BH458" i="1"/>
  <c r="BG458" i="1"/>
  <c r="BF458" i="1"/>
  <c r="BE458" i="1"/>
  <c r="BD458" i="1"/>
  <c r="BC458" i="1"/>
  <c r="BB458" i="1"/>
  <c r="BA458" i="1"/>
  <c r="AZ458" i="1"/>
  <c r="AY458" i="1"/>
  <c r="AX458" i="1"/>
  <c r="AW458" i="1"/>
  <c r="AV458" i="1"/>
  <c r="AU458" i="1"/>
  <c r="AT458" i="1"/>
  <c r="AS458" i="1"/>
  <c r="AR458" i="1"/>
  <c r="AQ458" i="1"/>
  <c r="AP458" i="1"/>
  <c r="AO458" i="1"/>
  <c r="AE458" i="1"/>
  <c r="BS457" i="1"/>
  <c r="BR457" i="1"/>
  <c r="BQ457" i="1"/>
  <c r="BP457" i="1"/>
  <c r="BO457" i="1"/>
  <c r="BN457" i="1"/>
  <c r="BM457" i="1"/>
  <c r="BL457" i="1"/>
  <c r="BK457" i="1"/>
  <c r="BJ457" i="1"/>
  <c r="BI457" i="1"/>
  <c r="BH457" i="1"/>
  <c r="BG457" i="1"/>
  <c r="BF457" i="1"/>
  <c r="BE457" i="1"/>
  <c r="BD457" i="1"/>
  <c r="BC457" i="1"/>
  <c r="BB457" i="1"/>
  <c r="BA457" i="1"/>
  <c r="AZ457" i="1"/>
  <c r="AY457" i="1"/>
  <c r="AX457" i="1"/>
  <c r="AW457" i="1"/>
  <c r="AV457" i="1"/>
  <c r="AU457" i="1"/>
  <c r="AT457" i="1"/>
  <c r="AS457" i="1"/>
  <c r="AR457" i="1"/>
  <c r="AQ457" i="1"/>
  <c r="AP457" i="1"/>
  <c r="AO457" i="1"/>
  <c r="AE457" i="1"/>
  <c r="BS456" i="1"/>
  <c r="BR456" i="1"/>
  <c r="BQ456" i="1"/>
  <c r="BP456" i="1"/>
  <c r="BO456" i="1"/>
  <c r="BN456" i="1"/>
  <c r="BM456" i="1"/>
  <c r="BL456" i="1"/>
  <c r="BK456" i="1"/>
  <c r="BJ456" i="1"/>
  <c r="BI456" i="1"/>
  <c r="BH456" i="1"/>
  <c r="BG456" i="1"/>
  <c r="BF456" i="1"/>
  <c r="BE456" i="1"/>
  <c r="BD456" i="1"/>
  <c r="BC456" i="1"/>
  <c r="BB456" i="1"/>
  <c r="BA456" i="1"/>
  <c r="AZ456" i="1"/>
  <c r="AY456" i="1"/>
  <c r="AX456" i="1"/>
  <c r="AW456" i="1"/>
  <c r="AV456" i="1"/>
  <c r="AU456" i="1"/>
  <c r="AT456" i="1"/>
  <c r="AS456" i="1"/>
  <c r="AR456" i="1"/>
  <c r="AQ456" i="1"/>
  <c r="AP456" i="1"/>
  <c r="AO456" i="1"/>
  <c r="AE456" i="1"/>
  <c r="BS455" i="1"/>
  <c r="BR455" i="1"/>
  <c r="BQ455" i="1"/>
  <c r="BP455" i="1"/>
  <c r="BO455" i="1"/>
  <c r="BN455" i="1"/>
  <c r="BM455" i="1"/>
  <c r="BL455" i="1"/>
  <c r="BK455" i="1"/>
  <c r="BJ455" i="1"/>
  <c r="BI455" i="1"/>
  <c r="BH455" i="1"/>
  <c r="BG455" i="1"/>
  <c r="BF455" i="1"/>
  <c r="BE455" i="1"/>
  <c r="BD455" i="1"/>
  <c r="BC455" i="1"/>
  <c r="BB455" i="1"/>
  <c r="BA455" i="1"/>
  <c r="AZ455" i="1"/>
  <c r="AY455" i="1"/>
  <c r="AX455" i="1"/>
  <c r="AW455" i="1"/>
  <c r="AV455" i="1"/>
  <c r="AU455" i="1"/>
  <c r="AT455" i="1"/>
  <c r="AS455" i="1"/>
  <c r="AR455" i="1"/>
  <c r="AQ455" i="1"/>
  <c r="AP455" i="1"/>
  <c r="AO455" i="1"/>
  <c r="AE455" i="1"/>
  <c r="BS454" i="1"/>
  <c r="BR454" i="1"/>
  <c r="BQ454" i="1"/>
  <c r="BP454" i="1"/>
  <c r="BO454" i="1"/>
  <c r="BN454" i="1"/>
  <c r="BM454" i="1"/>
  <c r="BL454" i="1"/>
  <c r="BK454" i="1"/>
  <c r="BJ454" i="1"/>
  <c r="BI454" i="1"/>
  <c r="BH454" i="1"/>
  <c r="BG454" i="1"/>
  <c r="BF454" i="1"/>
  <c r="BE454" i="1"/>
  <c r="BD454" i="1"/>
  <c r="BC454" i="1"/>
  <c r="BB454" i="1"/>
  <c r="BA454" i="1"/>
  <c r="AZ454" i="1"/>
  <c r="AY454" i="1"/>
  <c r="AX454" i="1"/>
  <c r="AW454" i="1"/>
  <c r="AV454" i="1"/>
  <c r="AU454" i="1"/>
  <c r="AT454" i="1"/>
  <c r="AS454" i="1"/>
  <c r="AR454" i="1"/>
  <c r="AQ454" i="1"/>
  <c r="AP454" i="1"/>
  <c r="AO454" i="1"/>
  <c r="AE454" i="1"/>
  <c r="BS453" i="1"/>
  <c r="BR453" i="1"/>
  <c r="BQ453" i="1"/>
  <c r="BP453" i="1"/>
  <c r="BO453" i="1"/>
  <c r="BN453" i="1"/>
  <c r="BM453" i="1"/>
  <c r="BL453" i="1"/>
  <c r="BK453" i="1"/>
  <c r="BJ453" i="1"/>
  <c r="BI453" i="1"/>
  <c r="BH453" i="1"/>
  <c r="BG453" i="1"/>
  <c r="BF453" i="1"/>
  <c r="BE453" i="1"/>
  <c r="BD453" i="1"/>
  <c r="BC453" i="1"/>
  <c r="BB453" i="1"/>
  <c r="BA453" i="1"/>
  <c r="AZ453" i="1"/>
  <c r="AY453" i="1"/>
  <c r="AX453" i="1"/>
  <c r="AW453" i="1"/>
  <c r="AV453" i="1"/>
  <c r="AU453" i="1"/>
  <c r="AT453" i="1"/>
  <c r="AS453" i="1"/>
  <c r="AR453" i="1"/>
  <c r="AQ453" i="1"/>
  <c r="AP453" i="1"/>
  <c r="AO453" i="1"/>
  <c r="AE453" i="1"/>
  <c r="BS452" i="1"/>
  <c r="BR452" i="1"/>
  <c r="BQ452" i="1"/>
  <c r="BP452" i="1"/>
  <c r="BO452" i="1"/>
  <c r="BN452" i="1"/>
  <c r="BM452" i="1"/>
  <c r="BL452" i="1"/>
  <c r="BK452" i="1"/>
  <c r="BJ452" i="1"/>
  <c r="BI452" i="1"/>
  <c r="BH452" i="1"/>
  <c r="BG452" i="1"/>
  <c r="BF452" i="1"/>
  <c r="BE452" i="1"/>
  <c r="BD452" i="1"/>
  <c r="BC452" i="1"/>
  <c r="BB452" i="1"/>
  <c r="BA452" i="1"/>
  <c r="AZ452" i="1"/>
  <c r="AY452" i="1"/>
  <c r="AX452" i="1"/>
  <c r="AW452" i="1"/>
  <c r="AV452" i="1"/>
  <c r="AU452" i="1"/>
  <c r="AT452" i="1"/>
  <c r="AS452" i="1"/>
  <c r="AR452" i="1"/>
  <c r="AQ452" i="1"/>
  <c r="AP452" i="1"/>
  <c r="AO452" i="1"/>
  <c r="AE452" i="1"/>
  <c r="BS451" i="1"/>
  <c r="BR451" i="1"/>
  <c r="BQ451" i="1"/>
  <c r="BP451" i="1"/>
  <c r="BO451" i="1"/>
  <c r="BN451" i="1"/>
  <c r="BM451" i="1"/>
  <c r="BL451" i="1"/>
  <c r="BK451" i="1"/>
  <c r="BJ451" i="1"/>
  <c r="BI451" i="1"/>
  <c r="BH451" i="1"/>
  <c r="BG451" i="1"/>
  <c r="BF451" i="1"/>
  <c r="BE451" i="1"/>
  <c r="BD451" i="1"/>
  <c r="BC451" i="1"/>
  <c r="BB451" i="1"/>
  <c r="BA451" i="1"/>
  <c r="AZ451" i="1"/>
  <c r="AY451" i="1"/>
  <c r="AX451" i="1"/>
  <c r="AW451" i="1"/>
  <c r="AV451" i="1"/>
  <c r="AU451" i="1"/>
  <c r="AT451" i="1"/>
  <c r="AS451" i="1"/>
  <c r="AR451" i="1"/>
  <c r="AQ451" i="1"/>
  <c r="AP451" i="1"/>
  <c r="AO451" i="1"/>
  <c r="AE451" i="1"/>
  <c r="BS450" i="1"/>
  <c r="BR450" i="1"/>
  <c r="BQ450" i="1"/>
  <c r="BP450" i="1"/>
  <c r="BO450" i="1"/>
  <c r="BN450" i="1"/>
  <c r="BM450" i="1"/>
  <c r="BL450" i="1"/>
  <c r="BK450" i="1"/>
  <c r="BJ450" i="1"/>
  <c r="BI450" i="1"/>
  <c r="BH450" i="1"/>
  <c r="BG450" i="1"/>
  <c r="BF450" i="1"/>
  <c r="BE450" i="1"/>
  <c r="BD450" i="1"/>
  <c r="BC450" i="1"/>
  <c r="BB450" i="1"/>
  <c r="BA450" i="1"/>
  <c r="AZ450" i="1"/>
  <c r="AY450" i="1"/>
  <c r="AX450" i="1"/>
  <c r="AW450" i="1"/>
  <c r="AV450" i="1"/>
  <c r="AU450" i="1"/>
  <c r="AT450" i="1"/>
  <c r="AS450" i="1"/>
  <c r="AR450" i="1"/>
  <c r="AQ450" i="1"/>
  <c r="AP450" i="1"/>
  <c r="AO450" i="1"/>
  <c r="AE450" i="1"/>
  <c r="BS449" i="1"/>
  <c r="BR449" i="1"/>
  <c r="BQ449" i="1"/>
  <c r="BP449" i="1"/>
  <c r="BO449" i="1"/>
  <c r="BN449" i="1"/>
  <c r="BM449" i="1"/>
  <c r="BL449" i="1"/>
  <c r="BK449" i="1"/>
  <c r="BJ449" i="1"/>
  <c r="BI449" i="1"/>
  <c r="BH449" i="1"/>
  <c r="BG449" i="1"/>
  <c r="BF449" i="1"/>
  <c r="BE449" i="1"/>
  <c r="BD449" i="1"/>
  <c r="BC449" i="1"/>
  <c r="BB449" i="1"/>
  <c r="BA449" i="1"/>
  <c r="AZ449" i="1"/>
  <c r="AY449" i="1"/>
  <c r="AX449" i="1"/>
  <c r="AW449" i="1"/>
  <c r="AV449" i="1"/>
  <c r="AU449" i="1"/>
  <c r="AT449" i="1"/>
  <c r="AS449" i="1"/>
  <c r="AR449" i="1"/>
  <c r="AQ449" i="1"/>
  <c r="AP449" i="1"/>
  <c r="AO449" i="1"/>
  <c r="AE449" i="1"/>
  <c r="BS448" i="1"/>
  <c r="BR448" i="1"/>
  <c r="BQ448" i="1"/>
  <c r="BP448" i="1"/>
  <c r="BO448" i="1"/>
  <c r="BN448" i="1"/>
  <c r="BM448" i="1"/>
  <c r="BL448" i="1"/>
  <c r="BK448" i="1"/>
  <c r="BJ448" i="1"/>
  <c r="BI448" i="1"/>
  <c r="BH448" i="1"/>
  <c r="BG448" i="1"/>
  <c r="BF448" i="1"/>
  <c r="BE448" i="1"/>
  <c r="BD448" i="1"/>
  <c r="BC448" i="1"/>
  <c r="BB448" i="1"/>
  <c r="BA448" i="1"/>
  <c r="AZ448" i="1"/>
  <c r="AY448" i="1"/>
  <c r="AX448" i="1"/>
  <c r="AW448" i="1"/>
  <c r="AV448" i="1"/>
  <c r="AU448" i="1"/>
  <c r="AT448" i="1"/>
  <c r="AS448" i="1"/>
  <c r="AR448" i="1"/>
  <c r="AQ448" i="1"/>
  <c r="AP448" i="1"/>
  <c r="AO448" i="1"/>
  <c r="AE448" i="1"/>
  <c r="BS447" i="1"/>
  <c r="BR447" i="1"/>
  <c r="BQ447" i="1"/>
  <c r="BP447" i="1"/>
  <c r="BO447" i="1"/>
  <c r="BN447" i="1"/>
  <c r="BM447" i="1"/>
  <c r="BL447" i="1"/>
  <c r="BK447" i="1"/>
  <c r="BJ447" i="1"/>
  <c r="BI447" i="1"/>
  <c r="BH447" i="1"/>
  <c r="BG447" i="1"/>
  <c r="BF447" i="1"/>
  <c r="BE447" i="1"/>
  <c r="BD447" i="1"/>
  <c r="BC447" i="1"/>
  <c r="BB447" i="1"/>
  <c r="BA447" i="1"/>
  <c r="AZ447" i="1"/>
  <c r="AY447" i="1"/>
  <c r="AX447" i="1"/>
  <c r="AW447" i="1"/>
  <c r="AV447" i="1"/>
  <c r="AU447" i="1"/>
  <c r="AT447" i="1"/>
  <c r="AS447" i="1"/>
  <c r="AR447" i="1"/>
  <c r="AQ447" i="1"/>
  <c r="AP447" i="1"/>
  <c r="AO447" i="1"/>
  <c r="AE447" i="1"/>
  <c r="BS446" i="1"/>
  <c r="BR446" i="1"/>
  <c r="BQ446" i="1"/>
  <c r="BP446" i="1"/>
  <c r="BO446" i="1"/>
  <c r="BN446" i="1"/>
  <c r="BM446" i="1"/>
  <c r="BL446" i="1"/>
  <c r="BK446" i="1"/>
  <c r="BJ446" i="1"/>
  <c r="BI446" i="1"/>
  <c r="BH446" i="1"/>
  <c r="BG446" i="1"/>
  <c r="BF446" i="1"/>
  <c r="BE446" i="1"/>
  <c r="BD446" i="1"/>
  <c r="BC446" i="1"/>
  <c r="BB446" i="1"/>
  <c r="BA446" i="1"/>
  <c r="AZ446" i="1"/>
  <c r="AY446" i="1"/>
  <c r="AX446" i="1"/>
  <c r="AW446" i="1"/>
  <c r="AV446" i="1"/>
  <c r="AU446" i="1"/>
  <c r="AT446" i="1"/>
  <c r="AS446" i="1"/>
  <c r="AR446" i="1"/>
  <c r="AQ446" i="1"/>
  <c r="AP446" i="1"/>
  <c r="AO446" i="1"/>
  <c r="AE446" i="1"/>
  <c r="BS445" i="1"/>
  <c r="BR445" i="1"/>
  <c r="BQ445" i="1"/>
  <c r="BP445" i="1"/>
  <c r="BO445" i="1"/>
  <c r="BN445" i="1"/>
  <c r="BM445" i="1"/>
  <c r="BL445" i="1"/>
  <c r="BK445" i="1"/>
  <c r="BJ445" i="1"/>
  <c r="BI445" i="1"/>
  <c r="BH445" i="1"/>
  <c r="BG445" i="1"/>
  <c r="BF445" i="1"/>
  <c r="BE445" i="1"/>
  <c r="BD445" i="1"/>
  <c r="BC445" i="1"/>
  <c r="BB445" i="1"/>
  <c r="BA445" i="1"/>
  <c r="AZ445" i="1"/>
  <c r="AY445" i="1"/>
  <c r="AX445" i="1"/>
  <c r="AW445" i="1"/>
  <c r="AV445" i="1"/>
  <c r="AU445" i="1"/>
  <c r="AT445" i="1"/>
  <c r="AS445" i="1"/>
  <c r="AR445" i="1"/>
  <c r="AQ445" i="1"/>
  <c r="AP445" i="1"/>
  <c r="AO445" i="1"/>
  <c r="AE445" i="1"/>
  <c r="BS444" i="1"/>
  <c r="BR444" i="1"/>
  <c r="BQ444" i="1"/>
  <c r="BP444" i="1"/>
  <c r="BO444" i="1"/>
  <c r="BN444" i="1"/>
  <c r="BM444" i="1"/>
  <c r="BL444" i="1"/>
  <c r="BK444" i="1"/>
  <c r="BJ444" i="1"/>
  <c r="BI444" i="1"/>
  <c r="BH444" i="1"/>
  <c r="BG444" i="1"/>
  <c r="BF444" i="1"/>
  <c r="BE444" i="1"/>
  <c r="BD444" i="1"/>
  <c r="BC444" i="1"/>
  <c r="BB444" i="1"/>
  <c r="BA444" i="1"/>
  <c r="AZ444" i="1"/>
  <c r="AY444" i="1"/>
  <c r="AX444" i="1"/>
  <c r="AW444" i="1"/>
  <c r="AV444" i="1"/>
  <c r="AU444" i="1"/>
  <c r="AT444" i="1"/>
  <c r="AS444" i="1"/>
  <c r="AR444" i="1"/>
  <c r="AQ444" i="1"/>
  <c r="AP444" i="1"/>
  <c r="AO444" i="1"/>
  <c r="AE444" i="1"/>
  <c r="BS443" i="1"/>
  <c r="BR443" i="1"/>
  <c r="BQ443" i="1"/>
  <c r="BP443" i="1"/>
  <c r="BO443" i="1"/>
  <c r="BN443" i="1"/>
  <c r="BM443" i="1"/>
  <c r="BL443" i="1"/>
  <c r="BK443" i="1"/>
  <c r="BJ443" i="1"/>
  <c r="BI443" i="1"/>
  <c r="BH443" i="1"/>
  <c r="BG443" i="1"/>
  <c r="BF443" i="1"/>
  <c r="BE443" i="1"/>
  <c r="BD443" i="1"/>
  <c r="BC443" i="1"/>
  <c r="BB443" i="1"/>
  <c r="BA443" i="1"/>
  <c r="AZ443" i="1"/>
  <c r="AY443" i="1"/>
  <c r="AX443" i="1"/>
  <c r="AW443" i="1"/>
  <c r="AV443" i="1"/>
  <c r="AU443" i="1"/>
  <c r="AT443" i="1"/>
  <c r="AS443" i="1"/>
  <c r="AR443" i="1"/>
  <c r="AQ443" i="1"/>
  <c r="AP443" i="1"/>
  <c r="AO443" i="1"/>
  <c r="AE443" i="1"/>
  <c r="BS442" i="1"/>
  <c r="BR442" i="1"/>
  <c r="BQ442" i="1"/>
  <c r="BP442" i="1"/>
  <c r="BO442" i="1"/>
  <c r="BN442" i="1"/>
  <c r="BM442" i="1"/>
  <c r="BL442" i="1"/>
  <c r="BK442" i="1"/>
  <c r="BJ442" i="1"/>
  <c r="BI442" i="1"/>
  <c r="BH442" i="1"/>
  <c r="BG442" i="1"/>
  <c r="BF442" i="1"/>
  <c r="BE442" i="1"/>
  <c r="BD442" i="1"/>
  <c r="BC442" i="1"/>
  <c r="BB442" i="1"/>
  <c r="BA442" i="1"/>
  <c r="AZ442" i="1"/>
  <c r="AY442" i="1"/>
  <c r="AX442" i="1"/>
  <c r="AW442" i="1"/>
  <c r="AV442" i="1"/>
  <c r="AU442" i="1"/>
  <c r="AT442" i="1"/>
  <c r="AS442" i="1"/>
  <c r="AR442" i="1"/>
  <c r="AQ442" i="1"/>
  <c r="AP442" i="1"/>
  <c r="AO442" i="1"/>
  <c r="AE442" i="1"/>
  <c r="BS441" i="1"/>
  <c r="BR441" i="1"/>
  <c r="BQ441" i="1"/>
  <c r="BP441" i="1"/>
  <c r="BO441" i="1"/>
  <c r="BN441" i="1"/>
  <c r="BM441" i="1"/>
  <c r="BL441" i="1"/>
  <c r="BK441" i="1"/>
  <c r="BJ441" i="1"/>
  <c r="BI441" i="1"/>
  <c r="BH441" i="1"/>
  <c r="BG441" i="1"/>
  <c r="BF441" i="1"/>
  <c r="BE441" i="1"/>
  <c r="BD441" i="1"/>
  <c r="BC441" i="1"/>
  <c r="BB441" i="1"/>
  <c r="BA441" i="1"/>
  <c r="AZ441" i="1"/>
  <c r="AY441" i="1"/>
  <c r="AX441" i="1"/>
  <c r="AW441" i="1"/>
  <c r="AV441" i="1"/>
  <c r="AU441" i="1"/>
  <c r="AT441" i="1"/>
  <c r="AS441" i="1"/>
  <c r="AR441" i="1"/>
  <c r="AQ441" i="1"/>
  <c r="AP441" i="1"/>
  <c r="AO441" i="1"/>
  <c r="AE441" i="1"/>
  <c r="BS440" i="1"/>
  <c r="BR440" i="1"/>
  <c r="BQ440" i="1"/>
  <c r="BP440" i="1"/>
  <c r="BO440" i="1"/>
  <c r="BN440" i="1"/>
  <c r="BM440" i="1"/>
  <c r="BL440" i="1"/>
  <c r="BK440" i="1"/>
  <c r="BJ440" i="1"/>
  <c r="BI440" i="1"/>
  <c r="BH440" i="1"/>
  <c r="BG440" i="1"/>
  <c r="BF440" i="1"/>
  <c r="BE440" i="1"/>
  <c r="BD440" i="1"/>
  <c r="BC440" i="1"/>
  <c r="BB440" i="1"/>
  <c r="BA440" i="1"/>
  <c r="AZ440" i="1"/>
  <c r="AY440" i="1"/>
  <c r="AX440" i="1"/>
  <c r="AW440" i="1"/>
  <c r="AV440" i="1"/>
  <c r="AU440" i="1"/>
  <c r="AT440" i="1"/>
  <c r="AS440" i="1"/>
  <c r="AR440" i="1"/>
  <c r="AQ440" i="1"/>
  <c r="AP440" i="1"/>
  <c r="AO440" i="1"/>
  <c r="AE440" i="1"/>
  <c r="BS439" i="1"/>
  <c r="BR439" i="1"/>
  <c r="BQ439" i="1"/>
  <c r="BP439" i="1"/>
  <c r="BO439" i="1"/>
  <c r="BN439" i="1"/>
  <c r="BM439" i="1"/>
  <c r="BL439" i="1"/>
  <c r="BK439" i="1"/>
  <c r="BJ439" i="1"/>
  <c r="BI439" i="1"/>
  <c r="BH439" i="1"/>
  <c r="BG439" i="1"/>
  <c r="BF439" i="1"/>
  <c r="BE439" i="1"/>
  <c r="BD439" i="1"/>
  <c r="BC439" i="1"/>
  <c r="BB439" i="1"/>
  <c r="BA439" i="1"/>
  <c r="AZ439" i="1"/>
  <c r="AY439" i="1"/>
  <c r="AX439" i="1"/>
  <c r="AW439" i="1"/>
  <c r="AV439" i="1"/>
  <c r="AU439" i="1"/>
  <c r="AT439" i="1"/>
  <c r="AS439" i="1"/>
  <c r="AR439" i="1"/>
  <c r="AQ439" i="1"/>
  <c r="AP439" i="1"/>
  <c r="AO439" i="1"/>
  <c r="AE439" i="1"/>
  <c r="BS438" i="1"/>
  <c r="BR438" i="1"/>
  <c r="BQ438" i="1"/>
  <c r="BP438" i="1"/>
  <c r="BO438" i="1"/>
  <c r="BN438" i="1"/>
  <c r="BM438" i="1"/>
  <c r="BL438" i="1"/>
  <c r="BK438" i="1"/>
  <c r="BJ438" i="1"/>
  <c r="BI438" i="1"/>
  <c r="BH438" i="1"/>
  <c r="BG438" i="1"/>
  <c r="BF438" i="1"/>
  <c r="BE438" i="1"/>
  <c r="BD438" i="1"/>
  <c r="BC438" i="1"/>
  <c r="BB438" i="1"/>
  <c r="BA438" i="1"/>
  <c r="AZ438" i="1"/>
  <c r="AY438" i="1"/>
  <c r="AX438" i="1"/>
  <c r="AW438" i="1"/>
  <c r="AV438" i="1"/>
  <c r="AU438" i="1"/>
  <c r="AT438" i="1"/>
  <c r="AS438" i="1"/>
  <c r="AR438" i="1"/>
  <c r="AQ438" i="1"/>
  <c r="AP438" i="1"/>
  <c r="AO438" i="1"/>
  <c r="AE438" i="1"/>
  <c r="BS437" i="1"/>
  <c r="BR437" i="1"/>
  <c r="BQ437" i="1"/>
  <c r="BP437" i="1"/>
  <c r="BO437" i="1"/>
  <c r="BN437" i="1"/>
  <c r="BM437" i="1"/>
  <c r="BL437" i="1"/>
  <c r="BK437" i="1"/>
  <c r="BJ437" i="1"/>
  <c r="BI437" i="1"/>
  <c r="BH437" i="1"/>
  <c r="BG437" i="1"/>
  <c r="BF437" i="1"/>
  <c r="BE437" i="1"/>
  <c r="BD437" i="1"/>
  <c r="BC437" i="1"/>
  <c r="BB437" i="1"/>
  <c r="BA437" i="1"/>
  <c r="AZ437" i="1"/>
  <c r="AY437" i="1"/>
  <c r="AX437" i="1"/>
  <c r="AW437" i="1"/>
  <c r="AV437" i="1"/>
  <c r="AU437" i="1"/>
  <c r="AT437" i="1"/>
  <c r="AS437" i="1"/>
  <c r="AR437" i="1"/>
  <c r="AQ437" i="1"/>
  <c r="AP437" i="1"/>
  <c r="AO437" i="1"/>
  <c r="AE437" i="1"/>
  <c r="BS436" i="1"/>
  <c r="BR436" i="1"/>
  <c r="BQ436" i="1"/>
  <c r="BP436" i="1"/>
  <c r="BO436" i="1"/>
  <c r="BN436" i="1"/>
  <c r="BM436" i="1"/>
  <c r="BL436" i="1"/>
  <c r="BK436" i="1"/>
  <c r="BJ436" i="1"/>
  <c r="BI436" i="1"/>
  <c r="BH436" i="1"/>
  <c r="BG436" i="1"/>
  <c r="BF436" i="1"/>
  <c r="BE436" i="1"/>
  <c r="BD436" i="1"/>
  <c r="BC436" i="1"/>
  <c r="BB436" i="1"/>
  <c r="BA436" i="1"/>
  <c r="AZ436" i="1"/>
  <c r="AY436" i="1"/>
  <c r="AX436" i="1"/>
  <c r="AW436" i="1"/>
  <c r="AV436" i="1"/>
  <c r="AU436" i="1"/>
  <c r="AT436" i="1"/>
  <c r="AS436" i="1"/>
  <c r="AR436" i="1"/>
  <c r="AQ436" i="1"/>
  <c r="AP436" i="1"/>
  <c r="AO436" i="1"/>
  <c r="AE436" i="1"/>
  <c r="BS435" i="1"/>
  <c r="BR435" i="1"/>
  <c r="BQ435" i="1"/>
  <c r="BP435" i="1"/>
  <c r="BO435" i="1"/>
  <c r="BN435" i="1"/>
  <c r="BM435" i="1"/>
  <c r="BL435" i="1"/>
  <c r="BK435" i="1"/>
  <c r="BJ435" i="1"/>
  <c r="BI435" i="1"/>
  <c r="BH435" i="1"/>
  <c r="BG435" i="1"/>
  <c r="BF435" i="1"/>
  <c r="BE435" i="1"/>
  <c r="BD435" i="1"/>
  <c r="BC435" i="1"/>
  <c r="BB435" i="1"/>
  <c r="BA435" i="1"/>
  <c r="AZ435" i="1"/>
  <c r="AY435" i="1"/>
  <c r="AX435" i="1"/>
  <c r="AW435" i="1"/>
  <c r="AV435" i="1"/>
  <c r="AU435" i="1"/>
  <c r="AT435" i="1"/>
  <c r="AS435" i="1"/>
  <c r="AR435" i="1"/>
  <c r="AQ435" i="1"/>
  <c r="AP435" i="1"/>
  <c r="AO435" i="1"/>
  <c r="AE435" i="1"/>
  <c r="BS434" i="1"/>
  <c r="BR434" i="1"/>
  <c r="BQ434" i="1"/>
  <c r="BP434" i="1"/>
  <c r="BO434" i="1"/>
  <c r="BN434" i="1"/>
  <c r="BM434" i="1"/>
  <c r="BL434" i="1"/>
  <c r="BK434" i="1"/>
  <c r="BJ434" i="1"/>
  <c r="BI434" i="1"/>
  <c r="BH434" i="1"/>
  <c r="BG434" i="1"/>
  <c r="BF434" i="1"/>
  <c r="BE434" i="1"/>
  <c r="BD434" i="1"/>
  <c r="BC434" i="1"/>
  <c r="BB434" i="1"/>
  <c r="BA434" i="1"/>
  <c r="AZ434" i="1"/>
  <c r="AY434" i="1"/>
  <c r="AX434" i="1"/>
  <c r="AW434" i="1"/>
  <c r="AV434" i="1"/>
  <c r="AU434" i="1"/>
  <c r="AT434" i="1"/>
  <c r="AS434" i="1"/>
  <c r="AR434" i="1"/>
  <c r="AQ434" i="1"/>
  <c r="AP434" i="1"/>
  <c r="AO434" i="1"/>
  <c r="AE434" i="1"/>
  <c r="BS433" i="1"/>
  <c r="BR433" i="1"/>
  <c r="BQ433" i="1"/>
  <c r="BP433" i="1"/>
  <c r="BO433" i="1"/>
  <c r="BN433" i="1"/>
  <c r="BM433" i="1"/>
  <c r="BL433" i="1"/>
  <c r="BK433" i="1"/>
  <c r="BJ433" i="1"/>
  <c r="BI433" i="1"/>
  <c r="BH433" i="1"/>
  <c r="BG433" i="1"/>
  <c r="BF433" i="1"/>
  <c r="BE433" i="1"/>
  <c r="BD433" i="1"/>
  <c r="BC433" i="1"/>
  <c r="BB433" i="1"/>
  <c r="BA433" i="1"/>
  <c r="AZ433" i="1"/>
  <c r="AY433" i="1"/>
  <c r="AX433" i="1"/>
  <c r="AW433" i="1"/>
  <c r="AV433" i="1"/>
  <c r="AU433" i="1"/>
  <c r="AT433" i="1"/>
  <c r="AS433" i="1"/>
  <c r="AR433" i="1"/>
  <c r="AQ433" i="1"/>
  <c r="AP433" i="1"/>
  <c r="AO433" i="1"/>
  <c r="AE433" i="1"/>
  <c r="BS432" i="1"/>
  <c r="BR432" i="1"/>
  <c r="BQ432" i="1"/>
  <c r="BP432" i="1"/>
  <c r="BO432" i="1"/>
  <c r="BN432" i="1"/>
  <c r="BM432" i="1"/>
  <c r="BL432" i="1"/>
  <c r="BK432" i="1"/>
  <c r="BJ432" i="1"/>
  <c r="BI432" i="1"/>
  <c r="BH432" i="1"/>
  <c r="BG432" i="1"/>
  <c r="BF432" i="1"/>
  <c r="BE432" i="1"/>
  <c r="BD432" i="1"/>
  <c r="BC432" i="1"/>
  <c r="BB432" i="1"/>
  <c r="BA432" i="1"/>
  <c r="AZ432" i="1"/>
  <c r="AY432" i="1"/>
  <c r="AX432" i="1"/>
  <c r="AW432" i="1"/>
  <c r="AV432" i="1"/>
  <c r="AU432" i="1"/>
  <c r="AT432" i="1"/>
  <c r="AS432" i="1"/>
  <c r="AR432" i="1"/>
  <c r="AQ432" i="1"/>
  <c r="AP432" i="1"/>
  <c r="AO432" i="1"/>
  <c r="AE432" i="1"/>
  <c r="BS431" i="1"/>
  <c r="BR431" i="1"/>
  <c r="BQ431" i="1"/>
  <c r="BP431" i="1"/>
  <c r="BO431" i="1"/>
  <c r="BN431" i="1"/>
  <c r="BM431" i="1"/>
  <c r="BL431" i="1"/>
  <c r="BK431" i="1"/>
  <c r="BJ431" i="1"/>
  <c r="BI431" i="1"/>
  <c r="BH431" i="1"/>
  <c r="BG431" i="1"/>
  <c r="BF431" i="1"/>
  <c r="BE431" i="1"/>
  <c r="BD431" i="1"/>
  <c r="BC431" i="1"/>
  <c r="BB431" i="1"/>
  <c r="BA431" i="1"/>
  <c r="AZ431" i="1"/>
  <c r="AY431" i="1"/>
  <c r="AX431" i="1"/>
  <c r="AW431" i="1"/>
  <c r="AV431" i="1"/>
  <c r="AU431" i="1"/>
  <c r="AT431" i="1"/>
  <c r="AS431" i="1"/>
  <c r="AR431" i="1"/>
  <c r="AQ431" i="1"/>
  <c r="AP431" i="1"/>
  <c r="AO431" i="1"/>
  <c r="AE431" i="1"/>
  <c r="BS430" i="1"/>
  <c r="BR430" i="1"/>
  <c r="BQ430" i="1"/>
  <c r="BP430" i="1"/>
  <c r="BO430" i="1"/>
  <c r="BN430" i="1"/>
  <c r="BM430" i="1"/>
  <c r="BL430" i="1"/>
  <c r="BK430" i="1"/>
  <c r="BJ430" i="1"/>
  <c r="BI430" i="1"/>
  <c r="BH430" i="1"/>
  <c r="BG430" i="1"/>
  <c r="BF430" i="1"/>
  <c r="BE430" i="1"/>
  <c r="BD430" i="1"/>
  <c r="BC430" i="1"/>
  <c r="BB430" i="1"/>
  <c r="BA430" i="1"/>
  <c r="AZ430" i="1"/>
  <c r="AY430" i="1"/>
  <c r="AX430" i="1"/>
  <c r="AW430" i="1"/>
  <c r="AV430" i="1"/>
  <c r="AU430" i="1"/>
  <c r="AT430" i="1"/>
  <c r="AS430" i="1"/>
  <c r="AR430" i="1"/>
  <c r="AQ430" i="1"/>
  <c r="AP430" i="1"/>
  <c r="AO430" i="1"/>
  <c r="AE430" i="1"/>
  <c r="BS429" i="1"/>
  <c r="BR429" i="1"/>
  <c r="BQ429" i="1"/>
  <c r="BP429" i="1"/>
  <c r="BO429" i="1"/>
  <c r="BN429" i="1"/>
  <c r="BM429" i="1"/>
  <c r="BL429" i="1"/>
  <c r="BK429" i="1"/>
  <c r="BJ429" i="1"/>
  <c r="BI429" i="1"/>
  <c r="BH429" i="1"/>
  <c r="BG429" i="1"/>
  <c r="BF429" i="1"/>
  <c r="BE429" i="1"/>
  <c r="BD429" i="1"/>
  <c r="BC429" i="1"/>
  <c r="BB429" i="1"/>
  <c r="BA429" i="1"/>
  <c r="AZ429" i="1"/>
  <c r="AY429" i="1"/>
  <c r="AX429" i="1"/>
  <c r="AW429" i="1"/>
  <c r="AV429" i="1"/>
  <c r="AU429" i="1"/>
  <c r="AT429" i="1"/>
  <c r="AS429" i="1"/>
  <c r="AR429" i="1"/>
  <c r="AQ429" i="1"/>
  <c r="AP429" i="1"/>
  <c r="AO429" i="1"/>
  <c r="AE429" i="1"/>
  <c r="BS428" i="1"/>
  <c r="BR428" i="1"/>
  <c r="BQ428" i="1"/>
  <c r="BP428" i="1"/>
  <c r="BO428" i="1"/>
  <c r="BN428" i="1"/>
  <c r="BM428" i="1"/>
  <c r="BL428" i="1"/>
  <c r="BK428" i="1"/>
  <c r="BJ428" i="1"/>
  <c r="BI428" i="1"/>
  <c r="BH428" i="1"/>
  <c r="BG428" i="1"/>
  <c r="BF428" i="1"/>
  <c r="BE428" i="1"/>
  <c r="BD428" i="1"/>
  <c r="BC428" i="1"/>
  <c r="BB428" i="1"/>
  <c r="BA428" i="1"/>
  <c r="AZ428" i="1"/>
  <c r="AY428" i="1"/>
  <c r="AX428" i="1"/>
  <c r="AW428" i="1"/>
  <c r="AV428" i="1"/>
  <c r="AU428" i="1"/>
  <c r="AT428" i="1"/>
  <c r="AS428" i="1"/>
  <c r="AR428" i="1"/>
  <c r="AQ428" i="1"/>
  <c r="AP428" i="1"/>
  <c r="AO428" i="1"/>
  <c r="AE428" i="1"/>
  <c r="BS427" i="1"/>
  <c r="BR427" i="1"/>
  <c r="BQ427" i="1"/>
  <c r="BP427" i="1"/>
  <c r="BO427" i="1"/>
  <c r="BN427" i="1"/>
  <c r="BM427" i="1"/>
  <c r="BL427" i="1"/>
  <c r="BK427" i="1"/>
  <c r="BJ427" i="1"/>
  <c r="BI427" i="1"/>
  <c r="BH427" i="1"/>
  <c r="BG427" i="1"/>
  <c r="BF427" i="1"/>
  <c r="BE427" i="1"/>
  <c r="BD427" i="1"/>
  <c r="BC427" i="1"/>
  <c r="BB427" i="1"/>
  <c r="BA427" i="1"/>
  <c r="AZ427" i="1"/>
  <c r="AY427" i="1"/>
  <c r="AX427" i="1"/>
  <c r="AW427" i="1"/>
  <c r="AV427" i="1"/>
  <c r="AU427" i="1"/>
  <c r="AT427" i="1"/>
  <c r="AS427" i="1"/>
  <c r="AR427" i="1"/>
  <c r="AQ427" i="1"/>
  <c r="AP427" i="1"/>
  <c r="AO427" i="1"/>
  <c r="AE427" i="1"/>
  <c r="BS426" i="1"/>
  <c r="BR426" i="1"/>
  <c r="BQ426" i="1"/>
  <c r="BP426" i="1"/>
  <c r="BO426" i="1"/>
  <c r="BN426" i="1"/>
  <c r="BM426" i="1"/>
  <c r="BL426" i="1"/>
  <c r="BK426" i="1"/>
  <c r="BJ426" i="1"/>
  <c r="BI426" i="1"/>
  <c r="BH426" i="1"/>
  <c r="BG426" i="1"/>
  <c r="BF426" i="1"/>
  <c r="BE426" i="1"/>
  <c r="BD426" i="1"/>
  <c r="BC426" i="1"/>
  <c r="BB426" i="1"/>
  <c r="BA426" i="1"/>
  <c r="AZ426" i="1"/>
  <c r="AY426" i="1"/>
  <c r="AX426" i="1"/>
  <c r="AW426" i="1"/>
  <c r="AV426" i="1"/>
  <c r="AU426" i="1"/>
  <c r="AT426" i="1"/>
  <c r="AS426" i="1"/>
  <c r="AR426" i="1"/>
  <c r="AQ426" i="1"/>
  <c r="AP426" i="1"/>
  <c r="AO426" i="1"/>
  <c r="AE426" i="1"/>
  <c r="BS425" i="1"/>
  <c r="BR425" i="1"/>
  <c r="BQ425" i="1"/>
  <c r="BP425" i="1"/>
  <c r="BO425" i="1"/>
  <c r="BN425" i="1"/>
  <c r="BM425" i="1"/>
  <c r="BL425" i="1"/>
  <c r="BK425" i="1"/>
  <c r="BJ425" i="1"/>
  <c r="BI425" i="1"/>
  <c r="BH425" i="1"/>
  <c r="BG425" i="1"/>
  <c r="BF425" i="1"/>
  <c r="BE425" i="1"/>
  <c r="BD425" i="1"/>
  <c r="BC425" i="1"/>
  <c r="BB425" i="1"/>
  <c r="BA425" i="1"/>
  <c r="AZ425" i="1"/>
  <c r="AY425" i="1"/>
  <c r="AX425" i="1"/>
  <c r="AW425" i="1"/>
  <c r="AV425" i="1"/>
  <c r="AU425" i="1"/>
  <c r="AT425" i="1"/>
  <c r="AS425" i="1"/>
  <c r="AR425" i="1"/>
  <c r="AQ425" i="1"/>
  <c r="AP425" i="1"/>
  <c r="AO425" i="1"/>
  <c r="AE425" i="1"/>
  <c r="BS424" i="1"/>
  <c r="BR424" i="1"/>
  <c r="BQ424" i="1"/>
  <c r="BP424" i="1"/>
  <c r="BO424" i="1"/>
  <c r="BN424" i="1"/>
  <c r="BM424" i="1"/>
  <c r="BL424" i="1"/>
  <c r="BK424" i="1"/>
  <c r="BJ424" i="1"/>
  <c r="BI424" i="1"/>
  <c r="BH424" i="1"/>
  <c r="BG424" i="1"/>
  <c r="BF424" i="1"/>
  <c r="BE424" i="1"/>
  <c r="BD424" i="1"/>
  <c r="BC424" i="1"/>
  <c r="BB424" i="1"/>
  <c r="BA424" i="1"/>
  <c r="AZ424" i="1"/>
  <c r="AY424" i="1"/>
  <c r="AX424" i="1"/>
  <c r="AW424" i="1"/>
  <c r="AV424" i="1"/>
  <c r="AU424" i="1"/>
  <c r="AT424" i="1"/>
  <c r="AS424" i="1"/>
  <c r="AR424" i="1"/>
  <c r="AQ424" i="1"/>
  <c r="AP424" i="1"/>
  <c r="AO424" i="1"/>
  <c r="AE424" i="1"/>
  <c r="BS423" i="1"/>
  <c r="BR423" i="1"/>
  <c r="BQ423" i="1"/>
  <c r="BP423" i="1"/>
  <c r="BO423" i="1"/>
  <c r="BN423" i="1"/>
  <c r="BM423" i="1"/>
  <c r="BL423" i="1"/>
  <c r="BK423" i="1"/>
  <c r="BJ423" i="1"/>
  <c r="BI423" i="1"/>
  <c r="BH423" i="1"/>
  <c r="BG423" i="1"/>
  <c r="BF423" i="1"/>
  <c r="BE423" i="1"/>
  <c r="BD423" i="1"/>
  <c r="BC423" i="1"/>
  <c r="BB423" i="1"/>
  <c r="BA423" i="1"/>
  <c r="AZ423" i="1"/>
  <c r="AY423" i="1"/>
  <c r="AX423" i="1"/>
  <c r="AW423" i="1"/>
  <c r="AV423" i="1"/>
  <c r="AU423" i="1"/>
  <c r="AT423" i="1"/>
  <c r="AS423" i="1"/>
  <c r="AR423" i="1"/>
  <c r="AQ423" i="1"/>
  <c r="AP423" i="1"/>
  <c r="AO423" i="1"/>
  <c r="AE423" i="1"/>
  <c r="BS422" i="1"/>
  <c r="BR422" i="1"/>
  <c r="BQ422" i="1"/>
  <c r="BP422" i="1"/>
  <c r="BO422" i="1"/>
  <c r="BN422" i="1"/>
  <c r="BM422" i="1"/>
  <c r="BL422" i="1"/>
  <c r="BK422" i="1"/>
  <c r="BJ422" i="1"/>
  <c r="BI422" i="1"/>
  <c r="BH422" i="1"/>
  <c r="BG422" i="1"/>
  <c r="BF422" i="1"/>
  <c r="BE422" i="1"/>
  <c r="BD422" i="1"/>
  <c r="BC422" i="1"/>
  <c r="BB422" i="1"/>
  <c r="BA422" i="1"/>
  <c r="AZ422" i="1"/>
  <c r="AY422" i="1"/>
  <c r="AX422" i="1"/>
  <c r="AW422" i="1"/>
  <c r="AV422" i="1"/>
  <c r="AU422" i="1"/>
  <c r="AT422" i="1"/>
  <c r="AS422" i="1"/>
  <c r="AR422" i="1"/>
  <c r="AQ422" i="1"/>
  <c r="AP422" i="1"/>
  <c r="AO422" i="1"/>
  <c r="AE422" i="1"/>
  <c r="BS421" i="1"/>
  <c r="BR421" i="1"/>
  <c r="BQ421" i="1"/>
  <c r="BP421" i="1"/>
  <c r="BO421" i="1"/>
  <c r="BN421" i="1"/>
  <c r="BM421" i="1"/>
  <c r="BL421" i="1"/>
  <c r="BK421" i="1"/>
  <c r="BJ421" i="1"/>
  <c r="BI421" i="1"/>
  <c r="BH421" i="1"/>
  <c r="BG421" i="1"/>
  <c r="BF421" i="1"/>
  <c r="BE421" i="1"/>
  <c r="BD421" i="1"/>
  <c r="BC421" i="1"/>
  <c r="BB421" i="1"/>
  <c r="BA421" i="1"/>
  <c r="AZ421" i="1"/>
  <c r="AY421" i="1"/>
  <c r="AX421" i="1"/>
  <c r="AW421" i="1"/>
  <c r="AV421" i="1"/>
  <c r="AU421" i="1"/>
  <c r="AT421" i="1"/>
  <c r="AS421" i="1"/>
  <c r="AR421" i="1"/>
  <c r="AQ421" i="1"/>
  <c r="AP421" i="1"/>
  <c r="AO421" i="1"/>
  <c r="AE421" i="1"/>
  <c r="BS420" i="1"/>
  <c r="BR420" i="1"/>
  <c r="BQ420" i="1"/>
  <c r="BP420" i="1"/>
  <c r="BO420" i="1"/>
  <c r="BN420" i="1"/>
  <c r="BM420" i="1"/>
  <c r="BL420" i="1"/>
  <c r="BK420" i="1"/>
  <c r="BJ420" i="1"/>
  <c r="BI420" i="1"/>
  <c r="BH420" i="1"/>
  <c r="BG420" i="1"/>
  <c r="BF420" i="1"/>
  <c r="BE420" i="1"/>
  <c r="BD420" i="1"/>
  <c r="BC420" i="1"/>
  <c r="BB420" i="1"/>
  <c r="BA420" i="1"/>
  <c r="AZ420" i="1"/>
  <c r="AY420" i="1"/>
  <c r="AX420" i="1"/>
  <c r="AW420" i="1"/>
  <c r="AV420" i="1"/>
  <c r="AU420" i="1"/>
  <c r="AT420" i="1"/>
  <c r="AS420" i="1"/>
  <c r="AR420" i="1"/>
  <c r="AQ420" i="1"/>
  <c r="AP420" i="1"/>
  <c r="AO420" i="1"/>
  <c r="AE420" i="1"/>
  <c r="BS419" i="1"/>
  <c r="BR419" i="1"/>
  <c r="BQ419" i="1"/>
  <c r="BP419" i="1"/>
  <c r="BO419" i="1"/>
  <c r="BN419" i="1"/>
  <c r="BM419" i="1"/>
  <c r="BL419" i="1"/>
  <c r="BK419" i="1"/>
  <c r="BJ419" i="1"/>
  <c r="BI419" i="1"/>
  <c r="BH419" i="1"/>
  <c r="BG419" i="1"/>
  <c r="BF419" i="1"/>
  <c r="BE419" i="1"/>
  <c r="BD419" i="1"/>
  <c r="BC419" i="1"/>
  <c r="BB419" i="1"/>
  <c r="BA419" i="1"/>
  <c r="AZ419" i="1"/>
  <c r="AY419" i="1"/>
  <c r="AX419" i="1"/>
  <c r="AW419" i="1"/>
  <c r="AV419" i="1"/>
  <c r="AU419" i="1"/>
  <c r="AT419" i="1"/>
  <c r="AS419" i="1"/>
  <c r="AR419" i="1"/>
  <c r="AQ419" i="1"/>
  <c r="AP419" i="1"/>
  <c r="AO419" i="1"/>
  <c r="AE419" i="1"/>
  <c r="BS418" i="1"/>
  <c r="BR418" i="1"/>
  <c r="BQ418" i="1"/>
  <c r="BP418" i="1"/>
  <c r="BO418" i="1"/>
  <c r="BN418" i="1"/>
  <c r="BM418" i="1"/>
  <c r="BL418" i="1"/>
  <c r="BK418" i="1"/>
  <c r="BJ418" i="1"/>
  <c r="BI418" i="1"/>
  <c r="BH418" i="1"/>
  <c r="BG418" i="1"/>
  <c r="BF418" i="1"/>
  <c r="BE418" i="1"/>
  <c r="BD418" i="1"/>
  <c r="BC418" i="1"/>
  <c r="BB418" i="1"/>
  <c r="BA418" i="1"/>
  <c r="AZ418" i="1"/>
  <c r="AY418" i="1"/>
  <c r="AX418" i="1"/>
  <c r="AW418" i="1"/>
  <c r="AV418" i="1"/>
  <c r="AU418" i="1"/>
  <c r="AT418" i="1"/>
  <c r="AS418" i="1"/>
  <c r="AR418" i="1"/>
  <c r="AQ418" i="1"/>
  <c r="AP418" i="1"/>
  <c r="AO418" i="1"/>
  <c r="AE418" i="1"/>
  <c r="BS417" i="1"/>
  <c r="BR417" i="1"/>
  <c r="BQ417" i="1"/>
  <c r="BP417" i="1"/>
  <c r="BO417" i="1"/>
  <c r="BN417" i="1"/>
  <c r="BM417" i="1"/>
  <c r="BL417" i="1"/>
  <c r="BK417" i="1"/>
  <c r="BJ417" i="1"/>
  <c r="BI417" i="1"/>
  <c r="BH417" i="1"/>
  <c r="BG417" i="1"/>
  <c r="BF417" i="1"/>
  <c r="BE417" i="1"/>
  <c r="BD417" i="1"/>
  <c r="BC417" i="1"/>
  <c r="BB417" i="1"/>
  <c r="BA417" i="1"/>
  <c r="AZ417" i="1"/>
  <c r="AY417" i="1"/>
  <c r="AX417" i="1"/>
  <c r="AW417" i="1"/>
  <c r="AV417" i="1"/>
  <c r="AU417" i="1"/>
  <c r="AT417" i="1"/>
  <c r="AS417" i="1"/>
  <c r="AR417" i="1"/>
  <c r="AQ417" i="1"/>
  <c r="AP417" i="1"/>
  <c r="AO417" i="1"/>
  <c r="AE417" i="1"/>
  <c r="BS416" i="1"/>
  <c r="BR416" i="1"/>
  <c r="BQ416" i="1"/>
  <c r="BP416" i="1"/>
  <c r="BO416" i="1"/>
  <c r="BN416" i="1"/>
  <c r="BM416" i="1"/>
  <c r="BL416" i="1"/>
  <c r="BK416" i="1"/>
  <c r="BJ416" i="1"/>
  <c r="BI416" i="1"/>
  <c r="BH416" i="1"/>
  <c r="BG416" i="1"/>
  <c r="BF416" i="1"/>
  <c r="BE416" i="1"/>
  <c r="BD416" i="1"/>
  <c r="BC416" i="1"/>
  <c r="BB416" i="1"/>
  <c r="BA416" i="1"/>
  <c r="AZ416" i="1"/>
  <c r="AY416" i="1"/>
  <c r="AX416" i="1"/>
  <c r="AW416" i="1"/>
  <c r="AV416" i="1"/>
  <c r="AU416" i="1"/>
  <c r="AT416" i="1"/>
  <c r="AS416" i="1"/>
  <c r="AR416" i="1"/>
  <c r="AQ416" i="1"/>
  <c r="AP416" i="1"/>
  <c r="AO416" i="1"/>
  <c r="AE416" i="1"/>
  <c r="BS415" i="1"/>
  <c r="BR415" i="1"/>
  <c r="BQ415" i="1"/>
  <c r="BP415" i="1"/>
  <c r="BO415" i="1"/>
  <c r="BN415" i="1"/>
  <c r="BM415" i="1"/>
  <c r="BL415" i="1"/>
  <c r="BK415" i="1"/>
  <c r="BJ415" i="1"/>
  <c r="BI415" i="1"/>
  <c r="BH415" i="1"/>
  <c r="BG415" i="1"/>
  <c r="BF415" i="1"/>
  <c r="BE415" i="1"/>
  <c r="BD415" i="1"/>
  <c r="BC415" i="1"/>
  <c r="BB415" i="1"/>
  <c r="BA415" i="1"/>
  <c r="AZ415" i="1"/>
  <c r="AY415" i="1"/>
  <c r="AX415" i="1"/>
  <c r="AW415" i="1"/>
  <c r="AV415" i="1"/>
  <c r="AU415" i="1"/>
  <c r="AT415" i="1"/>
  <c r="AS415" i="1"/>
  <c r="AR415" i="1"/>
  <c r="AQ415" i="1"/>
  <c r="AP415" i="1"/>
  <c r="AO415" i="1"/>
  <c r="AE415" i="1"/>
  <c r="BS414" i="1"/>
  <c r="BR414" i="1"/>
  <c r="BQ414" i="1"/>
  <c r="BP414" i="1"/>
  <c r="BO414" i="1"/>
  <c r="BN414" i="1"/>
  <c r="BM414" i="1"/>
  <c r="BL414" i="1"/>
  <c r="BK414" i="1"/>
  <c r="BJ414" i="1"/>
  <c r="BI414" i="1"/>
  <c r="BH414" i="1"/>
  <c r="BG414" i="1"/>
  <c r="BF414" i="1"/>
  <c r="BE414" i="1"/>
  <c r="BD414" i="1"/>
  <c r="BC414" i="1"/>
  <c r="BB414" i="1"/>
  <c r="BA414" i="1"/>
  <c r="AZ414" i="1"/>
  <c r="AY414" i="1"/>
  <c r="AX414" i="1"/>
  <c r="AW414" i="1"/>
  <c r="AV414" i="1"/>
  <c r="AU414" i="1"/>
  <c r="AT414" i="1"/>
  <c r="AS414" i="1"/>
  <c r="AR414" i="1"/>
  <c r="AQ414" i="1"/>
  <c r="AP414" i="1"/>
  <c r="AO414" i="1"/>
  <c r="AE414" i="1"/>
  <c r="BS413" i="1"/>
  <c r="BR413" i="1"/>
  <c r="BQ413" i="1"/>
  <c r="BP413" i="1"/>
  <c r="BO413" i="1"/>
  <c r="BN413" i="1"/>
  <c r="BM413" i="1"/>
  <c r="BL413" i="1"/>
  <c r="BK413" i="1"/>
  <c r="BJ413" i="1"/>
  <c r="BI413" i="1"/>
  <c r="BH413" i="1"/>
  <c r="BG413" i="1"/>
  <c r="BF413" i="1"/>
  <c r="BE413" i="1"/>
  <c r="BD413" i="1"/>
  <c r="BC413" i="1"/>
  <c r="BB413" i="1"/>
  <c r="BA413" i="1"/>
  <c r="AZ413" i="1"/>
  <c r="AY413" i="1"/>
  <c r="AX413" i="1"/>
  <c r="AW413" i="1"/>
  <c r="AV413" i="1"/>
  <c r="AU413" i="1"/>
  <c r="AT413" i="1"/>
  <c r="AS413" i="1"/>
  <c r="AR413" i="1"/>
  <c r="AQ413" i="1"/>
  <c r="AP413" i="1"/>
  <c r="AO413" i="1"/>
  <c r="AE413" i="1"/>
  <c r="BS412" i="1"/>
  <c r="BR412" i="1"/>
  <c r="BQ412" i="1"/>
  <c r="BP412" i="1"/>
  <c r="BO412" i="1"/>
  <c r="BN412" i="1"/>
  <c r="BM412" i="1"/>
  <c r="BL412" i="1"/>
  <c r="BK412" i="1"/>
  <c r="BJ412" i="1"/>
  <c r="BI412" i="1"/>
  <c r="BH412" i="1"/>
  <c r="BG412" i="1"/>
  <c r="BF412" i="1"/>
  <c r="BE412" i="1"/>
  <c r="BD412" i="1"/>
  <c r="BC412" i="1"/>
  <c r="BB412" i="1"/>
  <c r="BA412" i="1"/>
  <c r="AZ412" i="1"/>
  <c r="AY412" i="1"/>
  <c r="AX412" i="1"/>
  <c r="AW412" i="1"/>
  <c r="AV412" i="1"/>
  <c r="AU412" i="1"/>
  <c r="AT412" i="1"/>
  <c r="AS412" i="1"/>
  <c r="AR412" i="1"/>
  <c r="AQ412" i="1"/>
  <c r="AP412" i="1"/>
  <c r="AO412" i="1"/>
  <c r="AE412" i="1"/>
  <c r="BS411" i="1"/>
  <c r="BR411" i="1"/>
  <c r="BQ411" i="1"/>
  <c r="BP411" i="1"/>
  <c r="BO411" i="1"/>
  <c r="BN411" i="1"/>
  <c r="BM411" i="1"/>
  <c r="BL411" i="1"/>
  <c r="BK411" i="1"/>
  <c r="BJ411" i="1"/>
  <c r="BI411" i="1"/>
  <c r="BH411" i="1"/>
  <c r="BG411" i="1"/>
  <c r="BF411" i="1"/>
  <c r="BE411" i="1"/>
  <c r="BD411" i="1"/>
  <c r="BC411" i="1"/>
  <c r="BB411" i="1"/>
  <c r="BA411" i="1"/>
  <c r="AZ411" i="1"/>
  <c r="AY411" i="1"/>
  <c r="AX411" i="1"/>
  <c r="AW411" i="1"/>
  <c r="AV411" i="1"/>
  <c r="AU411" i="1"/>
  <c r="AT411" i="1"/>
  <c r="AS411" i="1"/>
  <c r="AR411" i="1"/>
  <c r="AQ411" i="1"/>
  <c r="AP411" i="1"/>
  <c r="AO411" i="1"/>
  <c r="AE411" i="1"/>
  <c r="BS410" i="1"/>
  <c r="BR410" i="1"/>
  <c r="BQ410" i="1"/>
  <c r="BP410" i="1"/>
  <c r="BO410" i="1"/>
  <c r="BN410" i="1"/>
  <c r="BM410" i="1"/>
  <c r="BL410" i="1"/>
  <c r="BK410" i="1"/>
  <c r="BJ410" i="1"/>
  <c r="BI410" i="1"/>
  <c r="BH410" i="1"/>
  <c r="BG410" i="1"/>
  <c r="BF410" i="1"/>
  <c r="BE410" i="1"/>
  <c r="BD410" i="1"/>
  <c r="BC410" i="1"/>
  <c r="BB410" i="1"/>
  <c r="BA410" i="1"/>
  <c r="AZ410" i="1"/>
  <c r="AY410" i="1"/>
  <c r="AX410" i="1"/>
  <c r="AW410" i="1"/>
  <c r="AV410" i="1"/>
  <c r="AU410" i="1"/>
  <c r="AT410" i="1"/>
  <c r="AS410" i="1"/>
  <c r="AR410" i="1"/>
  <c r="AQ410" i="1"/>
  <c r="AP410" i="1"/>
  <c r="AO410" i="1"/>
  <c r="AE410" i="1"/>
  <c r="BS409" i="1"/>
  <c r="BR409" i="1"/>
  <c r="BQ409" i="1"/>
  <c r="BP409" i="1"/>
  <c r="BO409" i="1"/>
  <c r="BN409" i="1"/>
  <c r="BM409" i="1"/>
  <c r="BL409" i="1"/>
  <c r="BK409" i="1"/>
  <c r="BJ409" i="1"/>
  <c r="BI409" i="1"/>
  <c r="BH409" i="1"/>
  <c r="BG409" i="1"/>
  <c r="BF409" i="1"/>
  <c r="BE409" i="1"/>
  <c r="BD409" i="1"/>
  <c r="BC409" i="1"/>
  <c r="BB409" i="1"/>
  <c r="BA409" i="1"/>
  <c r="AZ409" i="1"/>
  <c r="AY409" i="1"/>
  <c r="AX409" i="1"/>
  <c r="AW409" i="1"/>
  <c r="AV409" i="1"/>
  <c r="AU409" i="1"/>
  <c r="AT409" i="1"/>
  <c r="AS409" i="1"/>
  <c r="AR409" i="1"/>
  <c r="AQ409" i="1"/>
  <c r="AP409" i="1"/>
  <c r="AO409" i="1"/>
  <c r="AE409" i="1"/>
  <c r="BS408" i="1"/>
  <c r="BR408" i="1"/>
  <c r="BQ408" i="1"/>
  <c r="BP408" i="1"/>
  <c r="BO408" i="1"/>
  <c r="BN408" i="1"/>
  <c r="BM408" i="1"/>
  <c r="BL408" i="1"/>
  <c r="BK408" i="1"/>
  <c r="BJ408" i="1"/>
  <c r="BI408" i="1"/>
  <c r="BH408" i="1"/>
  <c r="BG408" i="1"/>
  <c r="BF408" i="1"/>
  <c r="BE408" i="1"/>
  <c r="BD408" i="1"/>
  <c r="BC408" i="1"/>
  <c r="BB408" i="1"/>
  <c r="BA408" i="1"/>
  <c r="AZ408" i="1"/>
  <c r="AY408" i="1"/>
  <c r="AX408" i="1"/>
  <c r="AW408" i="1"/>
  <c r="AV408" i="1"/>
  <c r="AU408" i="1"/>
  <c r="AT408" i="1"/>
  <c r="AS408" i="1"/>
  <c r="AR408" i="1"/>
  <c r="AQ408" i="1"/>
  <c r="AP408" i="1"/>
  <c r="AO408" i="1"/>
  <c r="AE408" i="1"/>
  <c r="BS407" i="1"/>
  <c r="BR407" i="1"/>
  <c r="BQ407" i="1"/>
  <c r="BP407" i="1"/>
  <c r="BO407" i="1"/>
  <c r="BN407" i="1"/>
  <c r="BM407" i="1"/>
  <c r="BL407" i="1"/>
  <c r="BK407" i="1"/>
  <c r="BJ407" i="1"/>
  <c r="BI407" i="1"/>
  <c r="BH407" i="1"/>
  <c r="BG407" i="1"/>
  <c r="BF407" i="1"/>
  <c r="BE407" i="1"/>
  <c r="BD407" i="1"/>
  <c r="BC407" i="1"/>
  <c r="BB407" i="1"/>
  <c r="BA407" i="1"/>
  <c r="AZ407" i="1"/>
  <c r="AY407" i="1"/>
  <c r="AX407" i="1"/>
  <c r="AW407" i="1"/>
  <c r="AV407" i="1"/>
  <c r="AU407" i="1"/>
  <c r="AT407" i="1"/>
  <c r="AS407" i="1"/>
  <c r="AR407" i="1"/>
  <c r="AQ407" i="1"/>
  <c r="AP407" i="1"/>
  <c r="AO407" i="1"/>
  <c r="AE407" i="1"/>
  <c r="BS406" i="1"/>
  <c r="BR406" i="1"/>
  <c r="BQ406" i="1"/>
  <c r="BP406" i="1"/>
  <c r="BO406" i="1"/>
  <c r="BN406" i="1"/>
  <c r="BM406" i="1"/>
  <c r="BL406" i="1"/>
  <c r="BK406" i="1"/>
  <c r="BJ406" i="1"/>
  <c r="BI406" i="1"/>
  <c r="BH406" i="1"/>
  <c r="BG406" i="1"/>
  <c r="BF406" i="1"/>
  <c r="BE406" i="1"/>
  <c r="BD406" i="1"/>
  <c r="BC406" i="1"/>
  <c r="BB406" i="1"/>
  <c r="BA406" i="1"/>
  <c r="AZ406" i="1"/>
  <c r="AY406" i="1"/>
  <c r="AX406" i="1"/>
  <c r="AW406" i="1"/>
  <c r="AV406" i="1"/>
  <c r="AU406" i="1"/>
  <c r="AT406" i="1"/>
  <c r="AS406" i="1"/>
  <c r="AR406" i="1"/>
  <c r="AQ406" i="1"/>
  <c r="AP406" i="1"/>
  <c r="AO406" i="1"/>
  <c r="AE406" i="1"/>
  <c r="BS405" i="1"/>
  <c r="BR405" i="1"/>
  <c r="BQ405" i="1"/>
  <c r="BP405" i="1"/>
  <c r="BO405" i="1"/>
  <c r="BN405" i="1"/>
  <c r="BM405" i="1"/>
  <c r="BL405" i="1"/>
  <c r="BK405" i="1"/>
  <c r="BJ405" i="1"/>
  <c r="BI405" i="1"/>
  <c r="BH405" i="1"/>
  <c r="BG405" i="1"/>
  <c r="BF405" i="1"/>
  <c r="BE405" i="1"/>
  <c r="BD405" i="1"/>
  <c r="BC405" i="1"/>
  <c r="BB405" i="1"/>
  <c r="BA405" i="1"/>
  <c r="AZ405" i="1"/>
  <c r="AY405" i="1"/>
  <c r="AX405" i="1"/>
  <c r="AW405" i="1"/>
  <c r="AV405" i="1"/>
  <c r="AU405" i="1"/>
  <c r="AT405" i="1"/>
  <c r="AS405" i="1"/>
  <c r="AR405" i="1"/>
  <c r="AQ405" i="1"/>
  <c r="AP405" i="1"/>
  <c r="AO405" i="1"/>
  <c r="AE405" i="1"/>
  <c r="BS404" i="1"/>
  <c r="BR404" i="1"/>
  <c r="BQ404" i="1"/>
  <c r="BP404" i="1"/>
  <c r="BO404" i="1"/>
  <c r="BN404" i="1"/>
  <c r="BM404" i="1"/>
  <c r="BL404" i="1"/>
  <c r="BK404" i="1"/>
  <c r="BJ404" i="1"/>
  <c r="BI404" i="1"/>
  <c r="BH404" i="1"/>
  <c r="BG404" i="1"/>
  <c r="BF404" i="1"/>
  <c r="BE404" i="1"/>
  <c r="BD404" i="1"/>
  <c r="BC404" i="1"/>
  <c r="BB404" i="1"/>
  <c r="BA404" i="1"/>
  <c r="AZ404" i="1"/>
  <c r="AY404" i="1"/>
  <c r="AX404" i="1"/>
  <c r="AW404" i="1"/>
  <c r="AV404" i="1"/>
  <c r="AU404" i="1"/>
  <c r="AT404" i="1"/>
  <c r="AS404" i="1"/>
  <c r="AR404" i="1"/>
  <c r="AQ404" i="1"/>
  <c r="AP404" i="1"/>
  <c r="AO404" i="1"/>
  <c r="AE404" i="1"/>
  <c r="BS403" i="1"/>
  <c r="BR403" i="1"/>
  <c r="BQ403" i="1"/>
  <c r="BP403" i="1"/>
  <c r="BO403" i="1"/>
  <c r="BN403" i="1"/>
  <c r="BM403" i="1"/>
  <c r="BL403" i="1"/>
  <c r="BK403" i="1"/>
  <c r="BJ403" i="1"/>
  <c r="BI403" i="1"/>
  <c r="BH403" i="1"/>
  <c r="BG403" i="1"/>
  <c r="BF403" i="1"/>
  <c r="BE403" i="1"/>
  <c r="BD403" i="1"/>
  <c r="BC403" i="1"/>
  <c r="BB403" i="1"/>
  <c r="BA403" i="1"/>
  <c r="AZ403" i="1"/>
  <c r="AY403" i="1"/>
  <c r="AX403" i="1"/>
  <c r="AW403" i="1"/>
  <c r="AV403" i="1"/>
  <c r="AU403" i="1"/>
  <c r="AT403" i="1"/>
  <c r="AS403" i="1"/>
  <c r="AR403" i="1"/>
  <c r="AQ403" i="1"/>
  <c r="AP403" i="1"/>
  <c r="AO403" i="1"/>
  <c r="AE403" i="1"/>
  <c r="BS402" i="1"/>
  <c r="BR402" i="1"/>
  <c r="BQ402" i="1"/>
  <c r="BP402" i="1"/>
  <c r="BO402" i="1"/>
  <c r="BN402" i="1"/>
  <c r="BM402" i="1"/>
  <c r="BL402" i="1"/>
  <c r="BK402" i="1"/>
  <c r="BJ402" i="1"/>
  <c r="BI402" i="1"/>
  <c r="BH402" i="1"/>
  <c r="BG402" i="1"/>
  <c r="BF402" i="1"/>
  <c r="BE402" i="1"/>
  <c r="BD402" i="1"/>
  <c r="BC402" i="1"/>
  <c r="BB402" i="1"/>
  <c r="BA402" i="1"/>
  <c r="AZ402" i="1"/>
  <c r="AY402" i="1"/>
  <c r="AX402" i="1"/>
  <c r="AW402" i="1"/>
  <c r="AV402" i="1"/>
  <c r="AU402" i="1"/>
  <c r="AT402" i="1"/>
  <c r="AS402" i="1"/>
  <c r="AR402" i="1"/>
  <c r="AQ402" i="1"/>
  <c r="AP402" i="1"/>
  <c r="AO402" i="1"/>
  <c r="AE402" i="1"/>
  <c r="BS401" i="1"/>
  <c r="BR401" i="1"/>
  <c r="BQ401" i="1"/>
  <c r="BP401" i="1"/>
  <c r="BO401" i="1"/>
  <c r="BN401" i="1"/>
  <c r="BM401" i="1"/>
  <c r="BL401" i="1"/>
  <c r="BK401" i="1"/>
  <c r="BJ401" i="1"/>
  <c r="BI401" i="1"/>
  <c r="BH401" i="1"/>
  <c r="BG401" i="1"/>
  <c r="BF401" i="1"/>
  <c r="BE401" i="1"/>
  <c r="BD401" i="1"/>
  <c r="BC401" i="1"/>
  <c r="BB401" i="1"/>
  <c r="BA401" i="1"/>
  <c r="AZ401" i="1"/>
  <c r="AY401" i="1"/>
  <c r="AX401" i="1"/>
  <c r="AW401" i="1"/>
  <c r="AV401" i="1"/>
  <c r="AU401" i="1"/>
  <c r="AT401" i="1"/>
  <c r="AS401" i="1"/>
  <c r="AR401" i="1"/>
  <c r="AQ401" i="1"/>
  <c r="AP401" i="1"/>
  <c r="AO401" i="1"/>
  <c r="AE401" i="1"/>
  <c r="BS400" i="1"/>
  <c r="BR400" i="1"/>
  <c r="BQ400" i="1"/>
  <c r="BP400" i="1"/>
  <c r="BO400" i="1"/>
  <c r="BN400" i="1"/>
  <c r="BM400" i="1"/>
  <c r="BL400" i="1"/>
  <c r="BK400" i="1"/>
  <c r="BJ400" i="1"/>
  <c r="BI400" i="1"/>
  <c r="BH400" i="1"/>
  <c r="BG400" i="1"/>
  <c r="BF400" i="1"/>
  <c r="BE400" i="1"/>
  <c r="BD400" i="1"/>
  <c r="BC400" i="1"/>
  <c r="BB400" i="1"/>
  <c r="BA400" i="1"/>
  <c r="AZ400" i="1"/>
  <c r="AY400" i="1"/>
  <c r="AX400" i="1"/>
  <c r="AW400" i="1"/>
  <c r="AV400" i="1"/>
  <c r="AU400" i="1"/>
  <c r="AT400" i="1"/>
  <c r="AS400" i="1"/>
  <c r="AR400" i="1"/>
  <c r="AQ400" i="1"/>
  <c r="AP400" i="1"/>
  <c r="AO400" i="1"/>
  <c r="AE400" i="1"/>
  <c r="BS399" i="1"/>
  <c r="BR399" i="1"/>
  <c r="BQ399" i="1"/>
  <c r="BP399" i="1"/>
  <c r="BO399" i="1"/>
  <c r="BN399" i="1"/>
  <c r="BM399" i="1"/>
  <c r="BL399" i="1"/>
  <c r="BK399" i="1"/>
  <c r="BJ399" i="1"/>
  <c r="BI399" i="1"/>
  <c r="BH399" i="1"/>
  <c r="BG399" i="1"/>
  <c r="BF399" i="1"/>
  <c r="BE399" i="1"/>
  <c r="BD399" i="1"/>
  <c r="BC399" i="1"/>
  <c r="BB399" i="1"/>
  <c r="BA399" i="1"/>
  <c r="AZ399" i="1"/>
  <c r="AY399" i="1"/>
  <c r="AX399" i="1"/>
  <c r="AW399" i="1"/>
  <c r="AV399" i="1"/>
  <c r="AU399" i="1"/>
  <c r="AT399" i="1"/>
  <c r="AS399" i="1"/>
  <c r="AR399" i="1"/>
  <c r="AQ399" i="1"/>
  <c r="AP399" i="1"/>
  <c r="AO399" i="1"/>
  <c r="AE399" i="1"/>
  <c r="BS398" i="1"/>
  <c r="BR398" i="1"/>
  <c r="BQ398" i="1"/>
  <c r="BP398" i="1"/>
  <c r="BO398" i="1"/>
  <c r="BN398" i="1"/>
  <c r="BM398" i="1"/>
  <c r="BL398" i="1"/>
  <c r="BK398" i="1"/>
  <c r="BJ398" i="1"/>
  <c r="BI398" i="1"/>
  <c r="BH398" i="1"/>
  <c r="BG398" i="1"/>
  <c r="BF398" i="1"/>
  <c r="BE398" i="1"/>
  <c r="BD398" i="1"/>
  <c r="BC398" i="1"/>
  <c r="BB398" i="1"/>
  <c r="BA398" i="1"/>
  <c r="AZ398" i="1"/>
  <c r="AY398" i="1"/>
  <c r="AX398" i="1"/>
  <c r="AW398" i="1"/>
  <c r="AV398" i="1"/>
  <c r="AU398" i="1"/>
  <c r="AT398" i="1"/>
  <c r="AS398" i="1"/>
  <c r="AR398" i="1"/>
  <c r="AQ398" i="1"/>
  <c r="AP398" i="1"/>
  <c r="AO398" i="1"/>
  <c r="AE398" i="1"/>
  <c r="BS397" i="1"/>
  <c r="BR397" i="1"/>
  <c r="BQ397" i="1"/>
  <c r="BP397" i="1"/>
  <c r="BO397" i="1"/>
  <c r="BN397" i="1"/>
  <c r="BM397" i="1"/>
  <c r="BL397" i="1"/>
  <c r="BK397" i="1"/>
  <c r="BJ397" i="1"/>
  <c r="BI397" i="1"/>
  <c r="BH397" i="1"/>
  <c r="BG397" i="1"/>
  <c r="BF397" i="1"/>
  <c r="BE397" i="1"/>
  <c r="BD397" i="1"/>
  <c r="BC397" i="1"/>
  <c r="BB397" i="1"/>
  <c r="BA397" i="1"/>
  <c r="AZ397" i="1"/>
  <c r="AY397" i="1"/>
  <c r="AX397" i="1"/>
  <c r="AW397" i="1"/>
  <c r="AV397" i="1"/>
  <c r="AU397" i="1"/>
  <c r="AT397" i="1"/>
  <c r="AS397" i="1"/>
  <c r="AR397" i="1"/>
  <c r="AQ397" i="1"/>
  <c r="AP397" i="1"/>
  <c r="AO397" i="1"/>
  <c r="AE397" i="1"/>
  <c r="BS396" i="1"/>
  <c r="BR396" i="1"/>
  <c r="BQ396" i="1"/>
  <c r="BP396" i="1"/>
  <c r="BO396" i="1"/>
  <c r="BN396" i="1"/>
  <c r="BM396" i="1"/>
  <c r="BL396" i="1"/>
  <c r="BK396" i="1"/>
  <c r="BJ396" i="1"/>
  <c r="BI396" i="1"/>
  <c r="BH396" i="1"/>
  <c r="BG396" i="1"/>
  <c r="BF396" i="1"/>
  <c r="BE396" i="1"/>
  <c r="BD396" i="1"/>
  <c r="BC396" i="1"/>
  <c r="BB396" i="1"/>
  <c r="BA396" i="1"/>
  <c r="AZ396" i="1"/>
  <c r="AY396" i="1"/>
  <c r="AX396" i="1"/>
  <c r="AW396" i="1"/>
  <c r="AV396" i="1"/>
  <c r="AU396" i="1"/>
  <c r="AT396" i="1"/>
  <c r="AS396" i="1"/>
  <c r="AR396" i="1"/>
  <c r="AQ396" i="1"/>
  <c r="AP396" i="1"/>
  <c r="AO396" i="1"/>
  <c r="AE396" i="1"/>
  <c r="BS395" i="1"/>
  <c r="BR395" i="1"/>
  <c r="BQ395" i="1"/>
  <c r="BP395" i="1"/>
  <c r="BO395" i="1"/>
  <c r="BN395" i="1"/>
  <c r="BM395" i="1"/>
  <c r="BL395" i="1"/>
  <c r="BK395" i="1"/>
  <c r="BJ395" i="1"/>
  <c r="BI395" i="1"/>
  <c r="BH395" i="1"/>
  <c r="BG395" i="1"/>
  <c r="BF395" i="1"/>
  <c r="BE395" i="1"/>
  <c r="BD395" i="1"/>
  <c r="BC395" i="1"/>
  <c r="BB395" i="1"/>
  <c r="BA395" i="1"/>
  <c r="AZ395" i="1"/>
  <c r="AY395" i="1"/>
  <c r="AX395" i="1"/>
  <c r="AW395" i="1"/>
  <c r="AV395" i="1"/>
  <c r="AU395" i="1"/>
  <c r="AT395" i="1"/>
  <c r="AS395" i="1"/>
  <c r="AR395" i="1"/>
  <c r="AQ395" i="1"/>
  <c r="AP395" i="1"/>
  <c r="AO395" i="1"/>
  <c r="AE395" i="1"/>
  <c r="BS394" i="1"/>
  <c r="BR394" i="1"/>
  <c r="BQ394" i="1"/>
  <c r="BP394" i="1"/>
  <c r="BO394" i="1"/>
  <c r="BN394" i="1"/>
  <c r="BM394" i="1"/>
  <c r="BL394" i="1"/>
  <c r="BK394" i="1"/>
  <c r="BJ394" i="1"/>
  <c r="BI394" i="1"/>
  <c r="BH394" i="1"/>
  <c r="BG394" i="1"/>
  <c r="BF394" i="1"/>
  <c r="BE394" i="1"/>
  <c r="BD394" i="1"/>
  <c r="BC394" i="1"/>
  <c r="BB394" i="1"/>
  <c r="BA394" i="1"/>
  <c r="AZ394" i="1"/>
  <c r="AY394" i="1"/>
  <c r="AX394" i="1"/>
  <c r="AW394" i="1"/>
  <c r="AV394" i="1"/>
  <c r="AU394" i="1"/>
  <c r="AT394" i="1"/>
  <c r="AS394" i="1"/>
  <c r="AR394" i="1"/>
  <c r="AQ394" i="1"/>
  <c r="AP394" i="1"/>
  <c r="AO394" i="1"/>
  <c r="AE394" i="1"/>
  <c r="BS393" i="1"/>
  <c r="BR393" i="1"/>
  <c r="BQ393" i="1"/>
  <c r="BP393" i="1"/>
  <c r="BO393" i="1"/>
  <c r="BN393" i="1"/>
  <c r="BM393" i="1"/>
  <c r="BL393" i="1"/>
  <c r="BK393" i="1"/>
  <c r="BJ393" i="1"/>
  <c r="BI393" i="1"/>
  <c r="BH393" i="1"/>
  <c r="BG393" i="1"/>
  <c r="BF393" i="1"/>
  <c r="BE393" i="1"/>
  <c r="BD393" i="1"/>
  <c r="BC393" i="1"/>
  <c r="BB393" i="1"/>
  <c r="BA393" i="1"/>
  <c r="AZ393" i="1"/>
  <c r="AY393" i="1"/>
  <c r="AX393" i="1"/>
  <c r="AW393" i="1"/>
  <c r="AV393" i="1"/>
  <c r="AU393" i="1"/>
  <c r="AT393" i="1"/>
  <c r="AS393" i="1"/>
  <c r="AR393" i="1"/>
  <c r="AQ393" i="1"/>
  <c r="AP393" i="1"/>
  <c r="AO393" i="1"/>
  <c r="AE393" i="1"/>
  <c r="BS392" i="1"/>
  <c r="BR392" i="1"/>
  <c r="BQ392" i="1"/>
  <c r="BP392" i="1"/>
  <c r="BO392" i="1"/>
  <c r="BN392" i="1"/>
  <c r="BM392" i="1"/>
  <c r="BL392" i="1"/>
  <c r="BK392" i="1"/>
  <c r="BJ392" i="1"/>
  <c r="BI392" i="1"/>
  <c r="BH392" i="1"/>
  <c r="BG392" i="1"/>
  <c r="BF392" i="1"/>
  <c r="BE392" i="1"/>
  <c r="BD392" i="1"/>
  <c r="BC392" i="1"/>
  <c r="BB392" i="1"/>
  <c r="BA392" i="1"/>
  <c r="AZ392" i="1"/>
  <c r="AY392" i="1"/>
  <c r="AX392" i="1"/>
  <c r="AW392" i="1"/>
  <c r="AV392" i="1"/>
  <c r="AU392" i="1"/>
  <c r="AT392" i="1"/>
  <c r="AS392" i="1"/>
  <c r="AR392" i="1"/>
  <c r="AQ392" i="1"/>
  <c r="AP392" i="1"/>
  <c r="AO392" i="1"/>
  <c r="AE392" i="1"/>
  <c r="BS391" i="1"/>
  <c r="BR391" i="1"/>
  <c r="BQ391" i="1"/>
  <c r="BP391" i="1"/>
  <c r="BO391" i="1"/>
  <c r="BN391" i="1"/>
  <c r="BM391" i="1"/>
  <c r="BL391" i="1"/>
  <c r="BK391" i="1"/>
  <c r="BJ391" i="1"/>
  <c r="BI391" i="1"/>
  <c r="BH391" i="1"/>
  <c r="BG391" i="1"/>
  <c r="BF391" i="1"/>
  <c r="BE391" i="1"/>
  <c r="BD391" i="1"/>
  <c r="BC391" i="1"/>
  <c r="BB391" i="1"/>
  <c r="BA391" i="1"/>
  <c r="AZ391" i="1"/>
  <c r="AY391" i="1"/>
  <c r="AX391" i="1"/>
  <c r="AW391" i="1"/>
  <c r="AV391" i="1"/>
  <c r="AU391" i="1"/>
  <c r="AT391" i="1"/>
  <c r="AS391" i="1"/>
  <c r="AR391" i="1"/>
  <c r="AQ391" i="1"/>
  <c r="AP391" i="1"/>
  <c r="AO391" i="1"/>
  <c r="AE391" i="1"/>
  <c r="BS390" i="1"/>
  <c r="BR390" i="1"/>
  <c r="BQ390" i="1"/>
  <c r="BP390" i="1"/>
  <c r="BO390" i="1"/>
  <c r="BN390" i="1"/>
  <c r="BM390" i="1"/>
  <c r="BL390" i="1"/>
  <c r="BK390" i="1"/>
  <c r="BJ390" i="1"/>
  <c r="BI390" i="1"/>
  <c r="BH390" i="1"/>
  <c r="BG390" i="1"/>
  <c r="BF390" i="1"/>
  <c r="BE390" i="1"/>
  <c r="BD390" i="1"/>
  <c r="BC390" i="1"/>
  <c r="BB390" i="1"/>
  <c r="BA390" i="1"/>
  <c r="AZ390" i="1"/>
  <c r="AY390" i="1"/>
  <c r="AX390" i="1"/>
  <c r="AW390" i="1"/>
  <c r="AV390" i="1"/>
  <c r="AU390" i="1"/>
  <c r="AT390" i="1"/>
  <c r="AS390" i="1"/>
  <c r="AR390" i="1"/>
  <c r="AQ390" i="1"/>
  <c r="AP390" i="1"/>
  <c r="AO390" i="1"/>
  <c r="AE390" i="1"/>
  <c r="BS389" i="1"/>
  <c r="BR389" i="1"/>
  <c r="BQ389" i="1"/>
  <c r="BP389" i="1"/>
  <c r="BO389" i="1"/>
  <c r="BN389" i="1"/>
  <c r="BM389" i="1"/>
  <c r="BL389" i="1"/>
  <c r="BK389" i="1"/>
  <c r="BJ389" i="1"/>
  <c r="BI389" i="1"/>
  <c r="BH389" i="1"/>
  <c r="BG389" i="1"/>
  <c r="BF389" i="1"/>
  <c r="BE389" i="1"/>
  <c r="BD389" i="1"/>
  <c r="BC389" i="1"/>
  <c r="BB389" i="1"/>
  <c r="BA389" i="1"/>
  <c r="AZ389" i="1"/>
  <c r="AY389" i="1"/>
  <c r="AX389" i="1"/>
  <c r="AW389" i="1"/>
  <c r="AV389" i="1"/>
  <c r="AU389" i="1"/>
  <c r="AT389" i="1"/>
  <c r="AS389" i="1"/>
  <c r="AR389" i="1"/>
  <c r="AQ389" i="1"/>
  <c r="AP389" i="1"/>
  <c r="AO389" i="1"/>
  <c r="AE389" i="1"/>
  <c r="BS388" i="1"/>
  <c r="BR388" i="1"/>
  <c r="BQ388" i="1"/>
  <c r="BP388" i="1"/>
  <c r="BO388" i="1"/>
  <c r="BN388" i="1"/>
  <c r="BM388" i="1"/>
  <c r="BL388" i="1"/>
  <c r="BK388" i="1"/>
  <c r="BJ388" i="1"/>
  <c r="BI388" i="1"/>
  <c r="BH388" i="1"/>
  <c r="BG388" i="1"/>
  <c r="BF388" i="1"/>
  <c r="BE388" i="1"/>
  <c r="BD388" i="1"/>
  <c r="BC388" i="1"/>
  <c r="BB388" i="1"/>
  <c r="BA388" i="1"/>
  <c r="AZ388" i="1"/>
  <c r="AY388" i="1"/>
  <c r="AX388" i="1"/>
  <c r="AW388" i="1"/>
  <c r="AV388" i="1"/>
  <c r="AU388" i="1"/>
  <c r="AT388" i="1"/>
  <c r="AS388" i="1"/>
  <c r="AR388" i="1"/>
  <c r="AQ388" i="1"/>
  <c r="AP388" i="1"/>
  <c r="AO388" i="1"/>
  <c r="AE388" i="1"/>
  <c r="BS387" i="1"/>
  <c r="BR387" i="1"/>
  <c r="BQ387" i="1"/>
  <c r="BP387" i="1"/>
  <c r="BO387" i="1"/>
  <c r="BN387" i="1"/>
  <c r="BM387" i="1"/>
  <c r="BL387" i="1"/>
  <c r="BK387" i="1"/>
  <c r="BJ387" i="1"/>
  <c r="BI387" i="1"/>
  <c r="BH387" i="1"/>
  <c r="BG387" i="1"/>
  <c r="BF387" i="1"/>
  <c r="BE387" i="1"/>
  <c r="BD387" i="1"/>
  <c r="BC387" i="1"/>
  <c r="BB387" i="1"/>
  <c r="BA387" i="1"/>
  <c r="AZ387" i="1"/>
  <c r="AY387" i="1"/>
  <c r="AX387" i="1"/>
  <c r="AW387" i="1"/>
  <c r="AV387" i="1"/>
  <c r="AU387" i="1"/>
  <c r="AT387" i="1"/>
  <c r="AS387" i="1"/>
  <c r="AR387" i="1"/>
  <c r="AQ387" i="1"/>
  <c r="AP387" i="1"/>
  <c r="AO387" i="1"/>
  <c r="AE387" i="1"/>
  <c r="BS386" i="1"/>
  <c r="BR386" i="1"/>
  <c r="BQ386" i="1"/>
  <c r="BP386" i="1"/>
  <c r="BO386" i="1"/>
  <c r="BN386" i="1"/>
  <c r="BM386" i="1"/>
  <c r="BL386" i="1"/>
  <c r="BK386" i="1"/>
  <c r="BJ386" i="1"/>
  <c r="BI386" i="1"/>
  <c r="BH386" i="1"/>
  <c r="BG386" i="1"/>
  <c r="BF386" i="1"/>
  <c r="BE386" i="1"/>
  <c r="BD386" i="1"/>
  <c r="BC386" i="1"/>
  <c r="BB386" i="1"/>
  <c r="BA386" i="1"/>
  <c r="AZ386" i="1"/>
  <c r="AY386" i="1"/>
  <c r="AX386" i="1"/>
  <c r="AW386" i="1"/>
  <c r="AV386" i="1"/>
  <c r="AU386" i="1"/>
  <c r="AT386" i="1"/>
  <c r="AS386" i="1"/>
  <c r="AR386" i="1"/>
  <c r="AQ386" i="1"/>
  <c r="AP386" i="1"/>
  <c r="AO386" i="1"/>
  <c r="AE386" i="1"/>
  <c r="BS385" i="1"/>
  <c r="BR385" i="1"/>
  <c r="BQ385" i="1"/>
  <c r="BP385" i="1"/>
  <c r="BO385" i="1"/>
  <c r="BN385" i="1"/>
  <c r="BM385" i="1"/>
  <c r="BL385" i="1"/>
  <c r="BK385" i="1"/>
  <c r="BJ385" i="1"/>
  <c r="BI385" i="1"/>
  <c r="BH385" i="1"/>
  <c r="BG385" i="1"/>
  <c r="BF385" i="1"/>
  <c r="BE385" i="1"/>
  <c r="BD385" i="1"/>
  <c r="BC385" i="1"/>
  <c r="BB385" i="1"/>
  <c r="BA385" i="1"/>
  <c r="AZ385" i="1"/>
  <c r="AY385" i="1"/>
  <c r="AX385" i="1"/>
  <c r="AW385" i="1"/>
  <c r="AV385" i="1"/>
  <c r="AU385" i="1"/>
  <c r="AT385" i="1"/>
  <c r="AS385" i="1"/>
  <c r="AR385" i="1"/>
  <c r="AQ385" i="1"/>
  <c r="AP385" i="1"/>
  <c r="AO385" i="1"/>
  <c r="AE385" i="1"/>
  <c r="BS384" i="1"/>
  <c r="BR384" i="1"/>
  <c r="BQ384" i="1"/>
  <c r="BP384" i="1"/>
  <c r="BO384" i="1"/>
  <c r="BN384" i="1"/>
  <c r="BM384" i="1"/>
  <c r="BL384" i="1"/>
  <c r="BK384" i="1"/>
  <c r="BJ384" i="1"/>
  <c r="BI384" i="1"/>
  <c r="BH384" i="1"/>
  <c r="BG384" i="1"/>
  <c r="BF384" i="1"/>
  <c r="BE384" i="1"/>
  <c r="BD384" i="1"/>
  <c r="BC384" i="1"/>
  <c r="BB384" i="1"/>
  <c r="BA384" i="1"/>
  <c r="AZ384" i="1"/>
  <c r="AY384" i="1"/>
  <c r="AX384" i="1"/>
  <c r="AW384" i="1"/>
  <c r="AV384" i="1"/>
  <c r="AU384" i="1"/>
  <c r="AT384" i="1"/>
  <c r="AS384" i="1"/>
  <c r="AR384" i="1"/>
  <c r="AQ384" i="1"/>
  <c r="AP384" i="1"/>
  <c r="AO384" i="1"/>
  <c r="AE384" i="1"/>
  <c r="BS383" i="1"/>
  <c r="BR383" i="1"/>
  <c r="BQ383" i="1"/>
  <c r="BP383" i="1"/>
  <c r="BO383" i="1"/>
  <c r="BN383" i="1"/>
  <c r="BM383" i="1"/>
  <c r="BL383" i="1"/>
  <c r="BK383" i="1"/>
  <c r="BJ383" i="1"/>
  <c r="BI383" i="1"/>
  <c r="BH383" i="1"/>
  <c r="BG383" i="1"/>
  <c r="BF383" i="1"/>
  <c r="BE383" i="1"/>
  <c r="BD383" i="1"/>
  <c r="BC383" i="1"/>
  <c r="BB383" i="1"/>
  <c r="BA383" i="1"/>
  <c r="AZ383" i="1"/>
  <c r="AY383" i="1"/>
  <c r="AX383" i="1"/>
  <c r="AW383" i="1"/>
  <c r="AV383" i="1"/>
  <c r="AU383" i="1"/>
  <c r="AT383" i="1"/>
  <c r="AS383" i="1"/>
  <c r="AR383" i="1"/>
  <c r="AQ383" i="1"/>
  <c r="AP383" i="1"/>
  <c r="AO383" i="1"/>
  <c r="AE383" i="1"/>
  <c r="BS382" i="1"/>
  <c r="BR382" i="1"/>
  <c r="BQ382" i="1"/>
  <c r="BP382" i="1"/>
  <c r="BO382" i="1"/>
  <c r="BN382" i="1"/>
  <c r="BM382" i="1"/>
  <c r="BL382" i="1"/>
  <c r="BK382" i="1"/>
  <c r="BJ382" i="1"/>
  <c r="BI382" i="1"/>
  <c r="BH382" i="1"/>
  <c r="BG382" i="1"/>
  <c r="BF382" i="1"/>
  <c r="BE382" i="1"/>
  <c r="BD382" i="1"/>
  <c r="BC382" i="1"/>
  <c r="BB382" i="1"/>
  <c r="BA382" i="1"/>
  <c r="AZ382" i="1"/>
  <c r="AY382" i="1"/>
  <c r="AX382" i="1"/>
  <c r="AW382" i="1"/>
  <c r="AV382" i="1"/>
  <c r="AU382" i="1"/>
  <c r="AT382" i="1"/>
  <c r="AS382" i="1"/>
  <c r="AR382" i="1"/>
  <c r="AQ382" i="1"/>
  <c r="AP382" i="1"/>
  <c r="AO382" i="1"/>
  <c r="AE382" i="1"/>
  <c r="BS381" i="1"/>
  <c r="BR381" i="1"/>
  <c r="BQ381" i="1"/>
  <c r="BP381" i="1"/>
  <c r="BO381" i="1"/>
  <c r="BN381" i="1"/>
  <c r="BM381" i="1"/>
  <c r="BL381" i="1"/>
  <c r="BK381" i="1"/>
  <c r="BJ381" i="1"/>
  <c r="BI381" i="1"/>
  <c r="BH381" i="1"/>
  <c r="BG381" i="1"/>
  <c r="BF381" i="1"/>
  <c r="BE381" i="1"/>
  <c r="BD381" i="1"/>
  <c r="BC381" i="1"/>
  <c r="BB381" i="1"/>
  <c r="BA381" i="1"/>
  <c r="AZ381" i="1"/>
  <c r="AY381" i="1"/>
  <c r="AX381" i="1"/>
  <c r="AW381" i="1"/>
  <c r="AV381" i="1"/>
  <c r="AU381" i="1"/>
  <c r="AT381" i="1"/>
  <c r="AS381" i="1"/>
  <c r="AR381" i="1"/>
  <c r="AQ381" i="1"/>
  <c r="AP381" i="1"/>
  <c r="AO381" i="1"/>
  <c r="AE381" i="1"/>
  <c r="BS380" i="1"/>
  <c r="BR380" i="1"/>
  <c r="BQ380" i="1"/>
  <c r="BP380" i="1"/>
  <c r="BO380" i="1"/>
  <c r="BN380" i="1"/>
  <c r="BM380" i="1"/>
  <c r="BL380" i="1"/>
  <c r="BK380" i="1"/>
  <c r="BJ380" i="1"/>
  <c r="BI380" i="1"/>
  <c r="BH380" i="1"/>
  <c r="BG380" i="1"/>
  <c r="BF380" i="1"/>
  <c r="BE380" i="1"/>
  <c r="BD380" i="1"/>
  <c r="BC380" i="1"/>
  <c r="BB380" i="1"/>
  <c r="BA380" i="1"/>
  <c r="AZ380" i="1"/>
  <c r="AY380" i="1"/>
  <c r="AX380" i="1"/>
  <c r="AW380" i="1"/>
  <c r="AV380" i="1"/>
  <c r="AU380" i="1"/>
  <c r="AT380" i="1"/>
  <c r="AS380" i="1"/>
  <c r="AR380" i="1"/>
  <c r="AQ380" i="1"/>
  <c r="AP380" i="1"/>
  <c r="AO380" i="1"/>
  <c r="AE380" i="1"/>
  <c r="BS379" i="1"/>
  <c r="BR379" i="1"/>
  <c r="BQ379" i="1"/>
  <c r="BP379" i="1"/>
  <c r="BO379" i="1"/>
  <c r="BN379" i="1"/>
  <c r="BM379" i="1"/>
  <c r="BL379" i="1"/>
  <c r="BK379" i="1"/>
  <c r="BJ379" i="1"/>
  <c r="BI379" i="1"/>
  <c r="BH379" i="1"/>
  <c r="BG379" i="1"/>
  <c r="BF379" i="1"/>
  <c r="BE379" i="1"/>
  <c r="BD379" i="1"/>
  <c r="BC379" i="1"/>
  <c r="BB379" i="1"/>
  <c r="BA379" i="1"/>
  <c r="AZ379" i="1"/>
  <c r="AY379" i="1"/>
  <c r="AX379" i="1"/>
  <c r="AW379" i="1"/>
  <c r="AV379" i="1"/>
  <c r="AU379" i="1"/>
  <c r="AT379" i="1"/>
  <c r="AS379" i="1"/>
  <c r="AR379" i="1"/>
  <c r="AQ379" i="1"/>
  <c r="AP379" i="1"/>
  <c r="AO379" i="1"/>
  <c r="AE379" i="1"/>
  <c r="BS378" i="1"/>
  <c r="BR378" i="1"/>
  <c r="BQ378" i="1"/>
  <c r="BP378" i="1"/>
  <c r="BO378" i="1"/>
  <c r="BN378" i="1"/>
  <c r="BM378" i="1"/>
  <c r="BL378" i="1"/>
  <c r="BK378" i="1"/>
  <c r="BJ378" i="1"/>
  <c r="BI378" i="1"/>
  <c r="BH378" i="1"/>
  <c r="BG378" i="1"/>
  <c r="BF378" i="1"/>
  <c r="BE378" i="1"/>
  <c r="BD378" i="1"/>
  <c r="BC378" i="1"/>
  <c r="BB378" i="1"/>
  <c r="BA378" i="1"/>
  <c r="AZ378" i="1"/>
  <c r="AY378" i="1"/>
  <c r="AX378" i="1"/>
  <c r="AW378" i="1"/>
  <c r="AV378" i="1"/>
  <c r="AU378" i="1"/>
  <c r="AT378" i="1"/>
  <c r="AS378" i="1"/>
  <c r="AR378" i="1"/>
  <c r="AQ378" i="1"/>
  <c r="AP378" i="1"/>
  <c r="AO378" i="1"/>
  <c r="AE378" i="1"/>
  <c r="BS377" i="1"/>
  <c r="BR377" i="1"/>
  <c r="BQ377" i="1"/>
  <c r="BP377" i="1"/>
  <c r="BO377" i="1"/>
  <c r="BN377" i="1"/>
  <c r="BM377" i="1"/>
  <c r="BL377" i="1"/>
  <c r="BK377" i="1"/>
  <c r="BJ377" i="1"/>
  <c r="BI377" i="1"/>
  <c r="BH377" i="1"/>
  <c r="BG377" i="1"/>
  <c r="BF377" i="1"/>
  <c r="BE377" i="1"/>
  <c r="BD377" i="1"/>
  <c r="BC377" i="1"/>
  <c r="BB377" i="1"/>
  <c r="BA377" i="1"/>
  <c r="AZ377" i="1"/>
  <c r="AY377" i="1"/>
  <c r="AX377" i="1"/>
  <c r="AW377" i="1"/>
  <c r="AV377" i="1"/>
  <c r="AU377" i="1"/>
  <c r="AT377" i="1"/>
  <c r="AS377" i="1"/>
  <c r="AR377" i="1"/>
  <c r="AQ377" i="1"/>
  <c r="AP377" i="1"/>
  <c r="AO377" i="1"/>
  <c r="AE377" i="1"/>
  <c r="BS376" i="1"/>
  <c r="BR376" i="1"/>
  <c r="BQ376" i="1"/>
  <c r="BP376" i="1"/>
  <c r="BO376" i="1"/>
  <c r="BN376" i="1"/>
  <c r="BM376" i="1"/>
  <c r="BL376" i="1"/>
  <c r="BK376" i="1"/>
  <c r="BJ376" i="1"/>
  <c r="BI376" i="1"/>
  <c r="BH376" i="1"/>
  <c r="BG376" i="1"/>
  <c r="BF376" i="1"/>
  <c r="BE376" i="1"/>
  <c r="BD376" i="1"/>
  <c r="BC376" i="1"/>
  <c r="BB376" i="1"/>
  <c r="BA376" i="1"/>
  <c r="AZ376" i="1"/>
  <c r="AY376" i="1"/>
  <c r="AX376" i="1"/>
  <c r="AW376" i="1"/>
  <c r="AV376" i="1"/>
  <c r="AU376" i="1"/>
  <c r="AT376" i="1"/>
  <c r="AS376" i="1"/>
  <c r="AR376" i="1"/>
  <c r="AQ376" i="1"/>
  <c r="AP376" i="1"/>
  <c r="AO376" i="1"/>
  <c r="AE376" i="1"/>
  <c r="BS375" i="1"/>
  <c r="BR375" i="1"/>
  <c r="BQ375" i="1"/>
  <c r="BP375" i="1"/>
  <c r="BO375" i="1"/>
  <c r="BN375" i="1"/>
  <c r="BM375" i="1"/>
  <c r="BL375" i="1"/>
  <c r="BK375" i="1"/>
  <c r="BJ375" i="1"/>
  <c r="BI375" i="1"/>
  <c r="BH375" i="1"/>
  <c r="BG375" i="1"/>
  <c r="BF375" i="1"/>
  <c r="BE375" i="1"/>
  <c r="BD375" i="1"/>
  <c r="BC375" i="1"/>
  <c r="BB375" i="1"/>
  <c r="BA375" i="1"/>
  <c r="AZ375" i="1"/>
  <c r="AY375" i="1"/>
  <c r="AX375" i="1"/>
  <c r="AW375" i="1"/>
  <c r="AV375" i="1"/>
  <c r="AU375" i="1"/>
  <c r="AT375" i="1"/>
  <c r="AS375" i="1"/>
  <c r="AR375" i="1"/>
  <c r="AQ375" i="1"/>
  <c r="AP375" i="1"/>
  <c r="AO375" i="1"/>
  <c r="AE375" i="1"/>
  <c r="BS374" i="1"/>
  <c r="BR374" i="1"/>
  <c r="BQ374" i="1"/>
  <c r="BP374" i="1"/>
  <c r="BO374" i="1"/>
  <c r="BN374" i="1"/>
  <c r="BM374" i="1"/>
  <c r="BL374" i="1"/>
  <c r="BK374" i="1"/>
  <c r="BJ374" i="1"/>
  <c r="BI374" i="1"/>
  <c r="BH374" i="1"/>
  <c r="BG374" i="1"/>
  <c r="BF374" i="1"/>
  <c r="BE374" i="1"/>
  <c r="BD374" i="1"/>
  <c r="BC374" i="1"/>
  <c r="BB374" i="1"/>
  <c r="BA374" i="1"/>
  <c r="AZ374" i="1"/>
  <c r="AY374" i="1"/>
  <c r="AX374" i="1"/>
  <c r="AW374" i="1"/>
  <c r="AV374" i="1"/>
  <c r="AU374" i="1"/>
  <c r="AT374" i="1"/>
  <c r="AS374" i="1"/>
  <c r="AR374" i="1"/>
  <c r="AQ374" i="1"/>
  <c r="AP374" i="1"/>
  <c r="AO374" i="1"/>
  <c r="AE374" i="1"/>
  <c r="BS373" i="1"/>
  <c r="BR373" i="1"/>
  <c r="BQ373" i="1"/>
  <c r="BP373" i="1"/>
  <c r="BO373" i="1"/>
  <c r="BN373" i="1"/>
  <c r="BM373" i="1"/>
  <c r="BL373" i="1"/>
  <c r="BK373" i="1"/>
  <c r="BJ373" i="1"/>
  <c r="BI373" i="1"/>
  <c r="BH373" i="1"/>
  <c r="BG373" i="1"/>
  <c r="BF373" i="1"/>
  <c r="BE373" i="1"/>
  <c r="BD373" i="1"/>
  <c r="BC373" i="1"/>
  <c r="BB373" i="1"/>
  <c r="BA373" i="1"/>
  <c r="AZ373" i="1"/>
  <c r="AY373" i="1"/>
  <c r="AX373" i="1"/>
  <c r="AW373" i="1"/>
  <c r="AV373" i="1"/>
  <c r="AU373" i="1"/>
  <c r="AT373" i="1"/>
  <c r="AS373" i="1"/>
  <c r="AR373" i="1"/>
  <c r="AQ373" i="1"/>
  <c r="AP373" i="1"/>
  <c r="AO373" i="1"/>
  <c r="AE373" i="1"/>
  <c r="BS372" i="1"/>
  <c r="BR372" i="1"/>
  <c r="BQ372" i="1"/>
  <c r="BP372" i="1"/>
  <c r="BO372" i="1"/>
  <c r="BN372" i="1"/>
  <c r="BM372" i="1"/>
  <c r="BL372" i="1"/>
  <c r="BK372" i="1"/>
  <c r="BJ372" i="1"/>
  <c r="BI372" i="1"/>
  <c r="BH372" i="1"/>
  <c r="BG372" i="1"/>
  <c r="BF372" i="1"/>
  <c r="BE372" i="1"/>
  <c r="BD372" i="1"/>
  <c r="BC372" i="1"/>
  <c r="BB372" i="1"/>
  <c r="BA372" i="1"/>
  <c r="AZ372" i="1"/>
  <c r="AY372" i="1"/>
  <c r="AX372" i="1"/>
  <c r="AW372" i="1"/>
  <c r="AV372" i="1"/>
  <c r="AU372" i="1"/>
  <c r="AT372" i="1"/>
  <c r="AS372" i="1"/>
  <c r="AR372" i="1"/>
  <c r="AQ372" i="1"/>
  <c r="AP372" i="1"/>
  <c r="AO372" i="1"/>
  <c r="AE372" i="1"/>
  <c r="BS371" i="1"/>
  <c r="BR371" i="1"/>
  <c r="BQ371" i="1"/>
  <c r="BP371" i="1"/>
  <c r="BO371" i="1"/>
  <c r="BN371" i="1"/>
  <c r="BM371" i="1"/>
  <c r="BL371" i="1"/>
  <c r="BK371" i="1"/>
  <c r="BJ371" i="1"/>
  <c r="BI371" i="1"/>
  <c r="BH371" i="1"/>
  <c r="BG371" i="1"/>
  <c r="BF371" i="1"/>
  <c r="BE371" i="1"/>
  <c r="BD371" i="1"/>
  <c r="BC371" i="1"/>
  <c r="BB371" i="1"/>
  <c r="BA371" i="1"/>
  <c r="AZ371" i="1"/>
  <c r="AY371" i="1"/>
  <c r="AX371" i="1"/>
  <c r="AW371" i="1"/>
  <c r="AV371" i="1"/>
  <c r="AU371" i="1"/>
  <c r="AT371" i="1"/>
  <c r="AS371" i="1"/>
  <c r="AR371" i="1"/>
  <c r="AQ371" i="1"/>
  <c r="AP371" i="1"/>
  <c r="AO371" i="1"/>
  <c r="AE371" i="1"/>
  <c r="BS370" i="1"/>
  <c r="BR370" i="1"/>
  <c r="BQ370" i="1"/>
  <c r="BP370" i="1"/>
  <c r="BO370" i="1"/>
  <c r="BN370" i="1"/>
  <c r="BM370" i="1"/>
  <c r="BL370" i="1"/>
  <c r="BK370" i="1"/>
  <c r="BJ370" i="1"/>
  <c r="BI370" i="1"/>
  <c r="BH370" i="1"/>
  <c r="BG370" i="1"/>
  <c r="BF370" i="1"/>
  <c r="BE370" i="1"/>
  <c r="BD370" i="1"/>
  <c r="BC370" i="1"/>
  <c r="BB370" i="1"/>
  <c r="BA370" i="1"/>
  <c r="AZ370" i="1"/>
  <c r="AY370" i="1"/>
  <c r="AX370" i="1"/>
  <c r="AW370" i="1"/>
  <c r="AV370" i="1"/>
  <c r="AU370" i="1"/>
  <c r="AT370" i="1"/>
  <c r="AS370" i="1"/>
  <c r="AR370" i="1"/>
  <c r="AQ370" i="1"/>
  <c r="AP370" i="1"/>
  <c r="AO370" i="1"/>
  <c r="AE370" i="1"/>
  <c r="BS369" i="1"/>
  <c r="BR369" i="1"/>
  <c r="BQ369" i="1"/>
  <c r="BP369" i="1"/>
  <c r="BO369" i="1"/>
  <c r="BN369" i="1"/>
  <c r="BM369" i="1"/>
  <c r="BL369" i="1"/>
  <c r="BK369" i="1"/>
  <c r="BJ369" i="1"/>
  <c r="BI369" i="1"/>
  <c r="BH369" i="1"/>
  <c r="BG369" i="1"/>
  <c r="BF369" i="1"/>
  <c r="BE369" i="1"/>
  <c r="BD369" i="1"/>
  <c r="BC369" i="1"/>
  <c r="BB369" i="1"/>
  <c r="BA369" i="1"/>
  <c r="AZ369" i="1"/>
  <c r="AY369" i="1"/>
  <c r="AX369" i="1"/>
  <c r="AW369" i="1"/>
  <c r="AV369" i="1"/>
  <c r="AU369" i="1"/>
  <c r="AT369" i="1"/>
  <c r="AS369" i="1"/>
  <c r="AR369" i="1"/>
  <c r="AQ369" i="1"/>
  <c r="AP369" i="1"/>
  <c r="AO369" i="1"/>
  <c r="AE369" i="1"/>
  <c r="BS368" i="1"/>
  <c r="BR368" i="1"/>
  <c r="BQ368" i="1"/>
  <c r="BP368" i="1"/>
  <c r="BO368" i="1"/>
  <c r="BN368" i="1"/>
  <c r="BM368" i="1"/>
  <c r="BL368" i="1"/>
  <c r="BK368" i="1"/>
  <c r="BJ368" i="1"/>
  <c r="BI368" i="1"/>
  <c r="BH368" i="1"/>
  <c r="BG368" i="1"/>
  <c r="BF368" i="1"/>
  <c r="BE368" i="1"/>
  <c r="BD368" i="1"/>
  <c r="BC368" i="1"/>
  <c r="BB368" i="1"/>
  <c r="BA368" i="1"/>
  <c r="AZ368" i="1"/>
  <c r="AY368" i="1"/>
  <c r="AX368" i="1"/>
  <c r="AW368" i="1"/>
  <c r="AV368" i="1"/>
  <c r="AU368" i="1"/>
  <c r="AT368" i="1"/>
  <c r="AS368" i="1"/>
  <c r="AR368" i="1"/>
  <c r="AQ368" i="1"/>
  <c r="AP368" i="1"/>
  <c r="AO368" i="1"/>
  <c r="AE368" i="1"/>
  <c r="BS367" i="1"/>
  <c r="BR367" i="1"/>
  <c r="BQ367" i="1"/>
  <c r="BP367" i="1"/>
  <c r="BO367" i="1"/>
  <c r="BN367" i="1"/>
  <c r="BM367" i="1"/>
  <c r="BL367" i="1"/>
  <c r="BK367" i="1"/>
  <c r="BJ367" i="1"/>
  <c r="BI367" i="1"/>
  <c r="BH367" i="1"/>
  <c r="BG367" i="1"/>
  <c r="BF367" i="1"/>
  <c r="BE367" i="1"/>
  <c r="BD367" i="1"/>
  <c r="BC367" i="1"/>
  <c r="BB367" i="1"/>
  <c r="BA367" i="1"/>
  <c r="AZ367" i="1"/>
  <c r="AY367" i="1"/>
  <c r="AX367" i="1"/>
  <c r="AW367" i="1"/>
  <c r="AV367" i="1"/>
  <c r="AU367" i="1"/>
  <c r="AT367" i="1"/>
  <c r="AS367" i="1"/>
  <c r="AR367" i="1"/>
  <c r="AQ367" i="1"/>
  <c r="AP367" i="1"/>
  <c r="AO367" i="1"/>
  <c r="AE367" i="1"/>
  <c r="BS366" i="1"/>
  <c r="BR366" i="1"/>
  <c r="BQ366" i="1"/>
  <c r="BP366" i="1"/>
  <c r="BO366" i="1"/>
  <c r="BN366" i="1"/>
  <c r="BM366" i="1"/>
  <c r="BL366" i="1"/>
  <c r="BK366" i="1"/>
  <c r="BJ366" i="1"/>
  <c r="BI366" i="1"/>
  <c r="BH366" i="1"/>
  <c r="BG366" i="1"/>
  <c r="BF366" i="1"/>
  <c r="BE366" i="1"/>
  <c r="BD366" i="1"/>
  <c r="BC366" i="1"/>
  <c r="BB366" i="1"/>
  <c r="BA366" i="1"/>
  <c r="AZ366" i="1"/>
  <c r="AY366" i="1"/>
  <c r="AX366" i="1"/>
  <c r="AW366" i="1"/>
  <c r="AV366" i="1"/>
  <c r="AU366" i="1"/>
  <c r="AT366" i="1"/>
  <c r="AS366" i="1"/>
  <c r="AR366" i="1"/>
  <c r="AQ366" i="1"/>
  <c r="AP366" i="1"/>
  <c r="AO366" i="1"/>
  <c r="AE366" i="1"/>
  <c r="BS365" i="1"/>
  <c r="BR365" i="1"/>
  <c r="BQ365" i="1"/>
  <c r="BP365" i="1"/>
  <c r="BO365" i="1"/>
  <c r="BN365" i="1"/>
  <c r="BM365" i="1"/>
  <c r="BL365" i="1"/>
  <c r="BK365" i="1"/>
  <c r="BJ365" i="1"/>
  <c r="BI365" i="1"/>
  <c r="BH365" i="1"/>
  <c r="BG365" i="1"/>
  <c r="BF365" i="1"/>
  <c r="BE365" i="1"/>
  <c r="BD365" i="1"/>
  <c r="BC365" i="1"/>
  <c r="BB365" i="1"/>
  <c r="BA365" i="1"/>
  <c r="AZ365" i="1"/>
  <c r="AY365" i="1"/>
  <c r="AX365" i="1"/>
  <c r="AW365" i="1"/>
  <c r="AV365" i="1"/>
  <c r="AU365" i="1"/>
  <c r="AT365" i="1"/>
  <c r="AS365" i="1"/>
  <c r="AR365" i="1"/>
  <c r="AQ365" i="1"/>
  <c r="AP365" i="1"/>
  <c r="AO365" i="1"/>
  <c r="AE365" i="1"/>
  <c r="BS364" i="1"/>
  <c r="BR364" i="1"/>
  <c r="BQ364" i="1"/>
  <c r="BP364" i="1"/>
  <c r="BO364" i="1"/>
  <c r="BN364" i="1"/>
  <c r="BM364" i="1"/>
  <c r="BL364" i="1"/>
  <c r="BK364" i="1"/>
  <c r="BJ364" i="1"/>
  <c r="BI364" i="1"/>
  <c r="BH364" i="1"/>
  <c r="BG364" i="1"/>
  <c r="BF364" i="1"/>
  <c r="BE364" i="1"/>
  <c r="BD364" i="1"/>
  <c r="BC364" i="1"/>
  <c r="BB364" i="1"/>
  <c r="BA364" i="1"/>
  <c r="AZ364" i="1"/>
  <c r="AY364" i="1"/>
  <c r="AX364" i="1"/>
  <c r="AW364" i="1"/>
  <c r="AV364" i="1"/>
  <c r="AU364" i="1"/>
  <c r="AT364" i="1"/>
  <c r="AS364" i="1"/>
  <c r="AR364" i="1"/>
  <c r="AQ364" i="1"/>
  <c r="AP364" i="1"/>
  <c r="AO364" i="1"/>
  <c r="AE364" i="1"/>
  <c r="BS363" i="1"/>
  <c r="BR363" i="1"/>
  <c r="BQ363" i="1"/>
  <c r="BP363" i="1"/>
  <c r="BO363" i="1"/>
  <c r="BN363" i="1"/>
  <c r="BM363" i="1"/>
  <c r="BL363" i="1"/>
  <c r="BK363" i="1"/>
  <c r="BJ363" i="1"/>
  <c r="BI363" i="1"/>
  <c r="BH363" i="1"/>
  <c r="BG363" i="1"/>
  <c r="BF363" i="1"/>
  <c r="BE363" i="1"/>
  <c r="BD363" i="1"/>
  <c r="BC363" i="1"/>
  <c r="BB363" i="1"/>
  <c r="BA363" i="1"/>
  <c r="AZ363" i="1"/>
  <c r="AY363" i="1"/>
  <c r="AX363" i="1"/>
  <c r="AW363" i="1"/>
  <c r="AV363" i="1"/>
  <c r="AU363" i="1"/>
  <c r="AT363" i="1"/>
  <c r="AS363" i="1"/>
  <c r="AR363" i="1"/>
  <c r="AQ363" i="1"/>
  <c r="AP363" i="1"/>
  <c r="AO363" i="1"/>
  <c r="AE363" i="1"/>
  <c r="BS362" i="1"/>
  <c r="BR362" i="1"/>
  <c r="BQ362" i="1"/>
  <c r="BP362" i="1"/>
  <c r="BO362" i="1"/>
  <c r="BN362" i="1"/>
  <c r="BM362" i="1"/>
  <c r="BL362" i="1"/>
  <c r="BK362" i="1"/>
  <c r="BJ362" i="1"/>
  <c r="BI362" i="1"/>
  <c r="BH362" i="1"/>
  <c r="BG362" i="1"/>
  <c r="BF362" i="1"/>
  <c r="BE362" i="1"/>
  <c r="BD362" i="1"/>
  <c r="BC362" i="1"/>
  <c r="BB362" i="1"/>
  <c r="BA362" i="1"/>
  <c r="AZ362" i="1"/>
  <c r="AY362" i="1"/>
  <c r="AX362" i="1"/>
  <c r="AW362" i="1"/>
  <c r="AV362" i="1"/>
  <c r="AU362" i="1"/>
  <c r="AT362" i="1"/>
  <c r="AS362" i="1"/>
  <c r="AR362" i="1"/>
  <c r="AQ362" i="1"/>
  <c r="AP362" i="1"/>
  <c r="AO362" i="1"/>
  <c r="AE362" i="1"/>
  <c r="BS361" i="1"/>
  <c r="BR361" i="1"/>
  <c r="BQ361" i="1"/>
  <c r="BP361" i="1"/>
  <c r="BO361" i="1"/>
  <c r="BN361" i="1"/>
  <c r="BM361" i="1"/>
  <c r="BL361" i="1"/>
  <c r="BK361" i="1"/>
  <c r="BJ361" i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AT361" i="1"/>
  <c r="AS361" i="1"/>
  <c r="AR361" i="1"/>
  <c r="AQ361" i="1"/>
  <c r="AP361" i="1"/>
  <c r="AO361" i="1"/>
  <c r="AE361" i="1"/>
  <c r="BS360" i="1"/>
  <c r="BR360" i="1"/>
  <c r="BQ360" i="1"/>
  <c r="BP360" i="1"/>
  <c r="BO360" i="1"/>
  <c r="BN360" i="1"/>
  <c r="BM360" i="1"/>
  <c r="BL360" i="1"/>
  <c r="BK360" i="1"/>
  <c r="BJ360" i="1"/>
  <c r="BI360" i="1"/>
  <c r="BH360" i="1"/>
  <c r="BG360" i="1"/>
  <c r="BF360" i="1"/>
  <c r="BE360" i="1"/>
  <c r="BD360" i="1"/>
  <c r="BC360" i="1"/>
  <c r="BB360" i="1"/>
  <c r="BA360" i="1"/>
  <c r="AZ360" i="1"/>
  <c r="AY360" i="1"/>
  <c r="AX360" i="1"/>
  <c r="AW360" i="1"/>
  <c r="AV360" i="1"/>
  <c r="AU360" i="1"/>
  <c r="AT360" i="1"/>
  <c r="AS360" i="1"/>
  <c r="AR360" i="1"/>
  <c r="AQ360" i="1"/>
  <c r="AP360" i="1"/>
  <c r="AO360" i="1"/>
  <c r="AE360" i="1"/>
  <c r="BS359" i="1"/>
  <c r="BR359" i="1"/>
  <c r="BQ359" i="1"/>
  <c r="BP359" i="1"/>
  <c r="BO359" i="1"/>
  <c r="BN359" i="1"/>
  <c r="BM359" i="1"/>
  <c r="BL359" i="1"/>
  <c r="BK359" i="1"/>
  <c r="BJ359" i="1"/>
  <c r="BI359" i="1"/>
  <c r="BH359" i="1"/>
  <c r="BG359" i="1"/>
  <c r="BF359" i="1"/>
  <c r="BE359" i="1"/>
  <c r="BD359" i="1"/>
  <c r="BC359" i="1"/>
  <c r="BB359" i="1"/>
  <c r="BA359" i="1"/>
  <c r="AZ359" i="1"/>
  <c r="AY359" i="1"/>
  <c r="AX359" i="1"/>
  <c r="AW359" i="1"/>
  <c r="AV359" i="1"/>
  <c r="AU359" i="1"/>
  <c r="AT359" i="1"/>
  <c r="AS359" i="1"/>
  <c r="AR359" i="1"/>
  <c r="AQ359" i="1"/>
  <c r="AP359" i="1"/>
  <c r="AO359" i="1"/>
  <c r="AE359" i="1"/>
  <c r="BS358" i="1"/>
  <c r="BR358" i="1"/>
  <c r="BQ358" i="1"/>
  <c r="BP358" i="1"/>
  <c r="BO358" i="1"/>
  <c r="BN358" i="1"/>
  <c r="BM358" i="1"/>
  <c r="BL358" i="1"/>
  <c r="BK358" i="1"/>
  <c r="BJ358" i="1"/>
  <c r="BI358" i="1"/>
  <c r="BH358" i="1"/>
  <c r="BG358" i="1"/>
  <c r="BF358" i="1"/>
  <c r="BE358" i="1"/>
  <c r="BD358" i="1"/>
  <c r="BC358" i="1"/>
  <c r="BB358" i="1"/>
  <c r="BA358" i="1"/>
  <c r="AZ358" i="1"/>
  <c r="AY358" i="1"/>
  <c r="AX358" i="1"/>
  <c r="AW358" i="1"/>
  <c r="AV358" i="1"/>
  <c r="AU358" i="1"/>
  <c r="AT358" i="1"/>
  <c r="AS358" i="1"/>
  <c r="AR358" i="1"/>
  <c r="AQ358" i="1"/>
  <c r="AP358" i="1"/>
  <c r="AO358" i="1"/>
  <c r="AE358" i="1"/>
  <c r="BS357" i="1"/>
  <c r="BR357" i="1"/>
  <c r="BQ357" i="1"/>
  <c r="BP357" i="1"/>
  <c r="BO357" i="1"/>
  <c r="BN357" i="1"/>
  <c r="BM357" i="1"/>
  <c r="BL357" i="1"/>
  <c r="BK357" i="1"/>
  <c r="BJ357" i="1"/>
  <c r="BI357" i="1"/>
  <c r="BH357" i="1"/>
  <c r="BG357" i="1"/>
  <c r="BF357" i="1"/>
  <c r="BE357" i="1"/>
  <c r="BD357" i="1"/>
  <c r="BC357" i="1"/>
  <c r="BB357" i="1"/>
  <c r="BA357" i="1"/>
  <c r="AZ357" i="1"/>
  <c r="AY357" i="1"/>
  <c r="AX357" i="1"/>
  <c r="AW357" i="1"/>
  <c r="AV357" i="1"/>
  <c r="AU357" i="1"/>
  <c r="AT357" i="1"/>
  <c r="AS357" i="1"/>
  <c r="AR357" i="1"/>
  <c r="AQ357" i="1"/>
  <c r="AP357" i="1"/>
  <c r="AO357" i="1"/>
  <c r="AE357" i="1"/>
  <c r="BS356" i="1"/>
  <c r="BR356" i="1"/>
  <c r="BQ356" i="1"/>
  <c r="BP356" i="1"/>
  <c r="BO356" i="1"/>
  <c r="BN356" i="1"/>
  <c r="BM356" i="1"/>
  <c r="BL356" i="1"/>
  <c r="BK356" i="1"/>
  <c r="BJ356" i="1"/>
  <c r="BI356" i="1"/>
  <c r="BH356" i="1"/>
  <c r="BG356" i="1"/>
  <c r="BF356" i="1"/>
  <c r="BE356" i="1"/>
  <c r="BD356" i="1"/>
  <c r="BC356" i="1"/>
  <c r="BB356" i="1"/>
  <c r="BA356" i="1"/>
  <c r="AZ356" i="1"/>
  <c r="AY356" i="1"/>
  <c r="AX356" i="1"/>
  <c r="AW356" i="1"/>
  <c r="AV356" i="1"/>
  <c r="AU356" i="1"/>
  <c r="AT356" i="1"/>
  <c r="AS356" i="1"/>
  <c r="AR356" i="1"/>
  <c r="AQ356" i="1"/>
  <c r="AP356" i="1"/>
  <c r="AO356" i="1"/>
  <c r="AE356" i="1"/>
  <c r="BS355" i="1"/>
  <c r="BR355" i="1"/>
  <c r="BQ355" i="1"/>
  <c r="BP355" i="1"/>
  <c r="BO355" i="1"/>
  <c r="BN355" i="1"/>
  <c r="BM355" i="1"/>
  <c r="BL355" i="1"/>
  <c r="BK355" i="1"/>
  <c r="BJ355" i="1"/>
  <c r="BI355" i="1"/>
  <c r="BH355" i="1"/>
  <c r="BG355" i="1"/>
  <c r="BF355" i="1"/>
  <c r="BE355" i="1"/>
  <c r="BD355" i="1"/>
  <c r="BC355" i="1"/>
  <c r="BB355" i="1"/>
  <c r="BA355" i="1"/>
  <c r="AZ355" i="1"/>
  <c r="AY355" i="1"/>
  <c r="AX355" i="1"/>
  <c r="AW355" i="1"/>
  <c r="AV355" i="1"/>
  <c r="AU355" i="1"/>
  <c r="AT355" i="1"/>
  <c r="AS355" i="1"/>
  <c r="AR355" i="1"/>
  <c r="AQ355" i="1"/>
  <c r="AP355" i="1"/>
  <c r="AO355" i="1"/>
  <c r="AE355" i="1"/>
  <c r="BS354" i="1"/>
  <c r="BR354" i="1"/>
  <c r="BQ354" i="1"/>
  <c r="BP354" i="1"/>
  <c r="BO354" i="1"/>
  <c r="BN354" i="1"/>
  <c r="BM354" i="1"/>
  <c r="BL354" i="1"/>
  <c r="BK354" i="1"/>
  <c r="BJ354" i="1"/>
  <c r="BI354" i="1"/>
  <c r="BH354" i="1"/>
  <c r="BG354" i="1"/>
  <c r="BF354" i="1"/>
  <c r="BE354" i="1"/>
  <c r="BD354" i="1"/>
  <c r="BC354" i="1"/>
  <c r="BB354" i="1"/>
  <c r="BA354" i="1"/>
  <c r="AZ354" i="1"/>
  <c r="AY354" i="1"/>
  <c r="AX354" i="1"/>
  <c r="AW354" i="1"/>
  <c r="AV354" i="1"/>
  <c r="AU354" i="1"/>
  <c r="AT354" i="1"/>
  <c r="AS354" i="1"/>
  <c r="AR354" i="1"/>
  <c r="AQ354" i="1"/>
  <c r="AP354" i="1"/>
  <c r="AO354" i="1"/>
  <c r="AE354" i="1"/>
  <c r="BS353" i="1"/>
  <c r="BR353" i="1"/>
  <c r="BQ353" i="1"/>
  <c r="BP353" i="1"/>
  <c r="BO353" i="1"/>
  <c r="BN353" i="1"/>
  <c r="BM353" i="1"/>
  <c r="BL353" i="1"/>
  <c r="BK353" i="1"/>
  <c r="BJ353" i="1"/>
  <c r="BI353" i="1"/>
  <c r="BH353" i="1"/>
  <c r="BG353" i="1"/>
  <c r="BF353" i="1"/>
  <c r="BE353" i="1"/>
  <c r="BD353" i="1"/>
  <c r="BC353" i="1"/>
  <c r="BB353" i="1"/>
  <c r="BA353" i="1"/>
  <c r="AZ353" i="1"/>
  <c r="AY353" i="1"/>
  <c r="AX353" i="1"/>
  <c r="AW353" i="1"/>
  <c r="AV353" i="1"/>
  <c r="AU353" i="1"/>
  <c r="AT353" i="1"/>
  <c r="AS353" i="1"/>
  <c r="AR353" i="1"/>
  <c r="AQ353" i="1"/>
  <c r="AP353" i="1"/>
  <c r="AO353" i="1"/>
  <c r="AE353" i="1"/>
  <c r="BS352" i="1"/>
  <c r="BR352" i="1"/>
  <c r="BQ352" i="1"/>
  <c r="BP352" i="1"/>
  <c r="BO352" i="1"/>
  <c r="BN352" i="1"/>
  <c r="BM352" i="1"/>
  <c r="BL352" i="1"/>
  <c r="BK352" i="1"/>
  <c r="BJ352" i="1"/>
  <c r="BI352" i="1"/>
  <c r="BH352" i="1"/>
  <c r="BG352" i="1"/>
  <c r="BF352" i="1"/>
  <c r="BE352" i="1"/>
  <c r="BD352" i="1"/>
  <c r="BC352" i="1"/>
  <c r="BB352" i="1"/>
  <c r="BA352" i="1"/>
  <c r="AZ352" i="1"/>
  <c r="AY352" i="1"/>
  <c r="AX352" i="1"/>
  <c r="AW352" i="1"/>
  <c r="AV352" i="1"/>
  <c r="AU352" i="1"/>
  <c r="AT352" i="1"/>
  <c r="AS352" i="1"/>
  <c r="AR352" i="1"/>
  <c r="AQ352" i="1"/>
  <c r="AP352" i="1"/>
  <c r="AO352" i="1"/>
  <c r="AE352" i="1"/>
  <c r="BS351" i="1"/>
  <c r="BR351" i="1"/>
  <c r="BQ351" i="1"/>
  <c r="BP351" i="1"/>
  <c r="BO351" i="1"/>
  <c r="BN351" i="1"/>
  <c r="BM351" i="1"/>
  <c r="BL351" i="1"/>
  <c r="BK351" i="1"/>
  <c r="BJ351" i="1"/>
  <c r="BI351" i="1"/>
  <c r="BH351" i="1"/>
  <c r="BG351" i="1"/>
  <c r="BF351" i="1"/>
  <c r="BE351" i="1"/>
  <c r="BD351" i="1"/>
  <c r="BC351" i="1"/>
  <c r="BB351" i="1"/>
  <c r="BA351" i="1"/>
  <c r="AZ351" i="1"/>
  <c r="AY351" i="1"/>
  <c r="AX351" i="1"/>
  <c r="AW351" i="1"/>
  <c r="AV351" i="1"/>
  <c r="AU351" i="1"/>
  <c r="AT351" i="1"/>
  <c r="AS351" i="1"/>
  <c r="AR351" i="1"/>
  <c r="AQ351" i="1"/>
  <c r="AP351" i="1"/>
  <c r="AO351" i="1"/>
  <c r="AE351" i="1"/>
  <c r="BS350" i="1"/>
  <c r="BR350" i="1"/>
  <c r="BQ350" i="1"/>
  <c r="BP350" i="1"/>
  <c r="BO350" i="1"/>
  <c r="BN350" i="1"/>
  <c r="BM350" i="1"/>
  <c r="BL350" i="1"/>
  <c r="BK350" i="1"/>
  <c r="BJ350" i="1"/>
  <c r="BI350" i="1"/>
  <c r="BH350" i="1"/>
  <c r="BG350" i="1"/>
  <c r="BF350" i="1"/>
  <c r="BE350" i="1"/>
  <c r="BD350" i="1"/>
  <c r="BC350" i="1"/>
  <c r="BB350" i="1"/>
  <c r="BA350" i="1"/>
  <c r="AZ350" i="1"/>
  <c r="AY350" i="1"/>
  <c r="AX350" i="1"/>
  <c r="AW350" i="1"/>
  <c r="AV350" i="1"/>
  <c r="AU350" i="1"/>
  <c r="AT350" i="1"/>
  <c r="AS350" i="1"/>
  <c r="AR350" i="1"/>
  <c r="AQ350" i="1"/>
  <c r="AP350" i="1"/>
  <c r="AO350" i="1"/>
  <c r="AE350" i="1"/>
  <c r="BS349" i="1"/>
  <c r="BR349" i="1"/>
  <c r="BQ349" i="1"/>
  <c r="BP349" i="1"/>
  <c r="BO349" i="1"/>
  <c r="BN349" i="1"/>
  <c r="BM349" i="1"/>
  <c r="BL349" i="1"/>
  <c r="BK349" i="1"/>
  <c r="BJ349" i="1"/>
  <c r="BI349" i="1"/>
  <c r="BH349" i="1"/>
  <c r="BG349" i="1"/>
  <c r="BF349" i="1"/>
  <c r="BE349" i="1"/>
  <c r="BD349" i="1"/>
  <c r="BC349" i="1"/>
  <c r="BB349" i="1"/>
  <c r="BA349" i="1"/>
  <c r="AZ349" i="1"/>
  <c r="AY349" i="1"/>
  <c r="AX349" i="1"/>
  <c r="AW349" i="1"/>
  <c r="AV349" i="1"/>
  <c r="AU349" i="1"/>
  <c r="AT349" i="1"/>
  <c r="AS349" i="1"/>
  <c r="AR349" i="1"/>
  <c r="AQ349" i="1"/>
  <c r="AP349" i="1"/>
  <c r="AO349" i="1"/>
  <c r="AE349" i="1"/>
  <c r="BS348" i="1"/>
  <c r="BR348" i="1"/>
  <c r="BQ348" i="1"/>
  <c r="BP348" i="1"/>
  <c r="BO348" i="1"/>
  <c r="BN348" i="1"/>
  <c r="BM348" i="1"/>
  <c r="BL348" i="1"/>
  <c r="BK348" i="1"/>
  <c r="BJ348" i="1"/>
  <c r="BI348" i="1"/>
  <c r="BH348" i="1"/>
  <c r="BG348" i="1"/>
  <c r="BF348" i="1"/>
  <c r="BE348" i="1"/>
  <c r="BD348" i="1"/>
  <c r="BC348" i="1"/>
  <c r="BB348" i="1"/>
  <c r="BA348" i="1"/>
  <c r="AZ348" i="1"/>
  <c r="AY348" i="1"/>
  <c r="AX348" i="1"/>
  <c r="AW348" i="1"/>
  <c r="AV348" i="1"/>
  <c r="AU348" i="1"/>
  <c r="AT348" i="1"/>
  <c r="AS348" i="1"/>
  <c r="AR348" i="1"/>
  <c r="AQ348" i="1"/>
  <c r="AP348" i="1"/>
  <c r="AO348" i="1"/>
  <c r="AE348" i="1"/>
  <c r="BS347" i="1"/>
  <c r="BR347" i="1"/>
  <c r="BQ347" i="1"/>
  <c r="BP347" i="1"/>
  <c r="BO347" i="1"/>
  <c r="BN347" i="1"/>
  <c r="BM347" i="1"/>
  <c r="BL347" i="1"/>
  <c r="BK347" i="1"/>
  <c r="BJ347" i="1"/>
  <c r="BI347" i="1"/>
  <c r="BH347" i="1"/>
  <c r="BG347" i="1"/>
  <c r="BF347" i="1"/>
  <c r="BE347" i="1"/>
  <c r="BD347" i="1"/>
  <c r="BC347" i="1"/>
  <c r="BB347" i="1"/>
  <c r="BA347" i="1"/>
  <c r="AZ347" i="1"/>
  <c r="AY347" i="1"/>
  <c r="AX347" i="1"/>
  <c r="AW347" i="1"/>
  <c r="AV347" i="1"/>
  <c r="AU347" i="1"/>
  <c r="AT347" i="1"/>
  <c r="AS347" i="1"/>
  <c r="AR347" i="1"/>
  <c r="AQ347" i="1"/>
  <c r="AP347" i="1"/>
  <c r="AO347" i="1"/>
  <c r="AE347" i="1"/>
  <c r="BS346" i="1"/>
  <c r="BR346" i="1"/>
  <c r="BQ346" i="1"/>
  <c r="BP346" i="1"/>
  <c r="BO346" i="1"/>
  <c r="BN346" i="1"/>
  <c r="BM346" i="1"/>
  <c r="BL346" i="1"/>
  <c r="BK346" i="1"/>
  <c r="BJ346" i="1"/>
  <c r="BI346" i="1"/>
  <c r="BH346" i="1"/>
  <c r="BG346" i="1"/>
  <c r="BF346" i="1"/>
  <c r="BE346" i="1"/>
  <c r="BD346" i="1"/>
  <c r="BC346" i="1"/>
  <c r="BB346" i="1"/>
  <c r="BA346" i="1"/>
  <c r="AZ346" i="1"/>
  <c r="AY346" i="1"/>
  <c r="AX346" i="1"/>
  <c r="AW346" i="1"/>
  <c r="AV346" i="1"/>
  <c r="AU346" i="1"/>
  <c r="AT346" i="1"/>
  <c r="AS346" i="1"/>
  <c r="AR346" i="1"/>
  <c r="AQ346" i="1"/>
  <c r="AP346" i="1"/>
  <c r="AO346" i="1"/>
  <c r="AE346" i="1"/>
  <c r="BS345" i="1"/>
  <c r="BR345" i="1"/>
  <c r="BQ345" i="1"/>
  <c r="BP345" i="1"/>
  <c r="BO345" i="1"/>
  <c r="BN345" i="1"/>
  <c r="BM345" i="1"/>
  <c r="BL345" i="1"/>
  <c r="BK345" i="1"/>
  <c r="BJ345" i="1"/>
  <c r="BI345" i="1"/>
  <c r="BH345" i="1"/>
  <c r="BG345" i="1"/>
  <c r="BF345" i="1"/>
  <c r="BE345" i="1"/>
  <c r="BD345" i="1"/>
  <c r="BC345" i="1"/>
  <c r="BB345" i="1"/>
  <c r="BA345" i="1"/>
  <c r="AZ345" i="1"/>
  <c r="AY345" i="1"/>
  <c r="AX345" i="1"/>
  <c r="AW345" i="1"/>
  <c r="AV345" i="1"/>
  <c r="AU345" i="1"/>
  <c r="AT345" i="1"/>
  <c r="AS345" i="1"/>
  <c r="AR345" i="1"/>
  <c r="AQ345" i="1"/>
  <c r="AP345" i="1"/>
  <c r="AO345" i="1"/>
  <c r="AE345" i="1"/>
  <c r="BS344" i="1"/>
  <c r="BR344" i="1"/>
  <c r="BQ344" i="1"/>
  <c r="BP344" i="1"/>
  <c r="BO344" i="1"/>
  <c r="BN344" i="1"/>
  <c r="BM344" i="1"/>
  <c r="BL344" i="1"/>
  <c r="BK344" i="1"/>
  <c r="BJ344" i="1"/>
  <c r="BI344" i="1"/>
  <c r="BH344" i="1"/>
  <c r="BG344" i="1"/>
  <c r="BF344" i="1"/>
  <c r="BE344" i="1"/>
  <c r="BD344" i="1"/>
  <c r="BC344" i="1"/>
  <c r="BB344" i="1"/>
  <c r="BA344" i="1"/>
  <c r="AZ344" i="1"/>
  <c r="AY344" i="1"/>
  <c r="AX344" i="1"/>
  <c r="AW344" i="1"/>
  <c r="AV344" i="1"/>
  <c r="AU344" i="1"/>
  <c r="AT344" i="1"/>
  <c r="AS344" i="1"/>
  <c r="AR344" i="1"/>
  <c r="AQ344" i="1"/>
  <c r="AP344" i="1"/>
  <c r="AO344" i="1"/>
  <c r="AE344" i="1"/>
  <c r="BS343" i="1"/>
  <c r="BR343" i="1"/>
  <c r="BQ343" i="1"/>
  <c r="BP343" i="1"/>
  <c r="BO343" i="1"/>
  <c r="BN343" i="1"/>
  <c r="BM343" i="1"/>
  <c r="BL343" i="1"/>
  <c r="BK343" i="1"/>
  <c r="BJ343" i="1"/>
  <c r="BI343" i="1"/>
  <c r="BH343" i="1"/>
  <c r="BG343" i="1"/>
  <c r="BF343" i="1"/>
  <c r="BE343" i="1"/>
  <c r="BD343" i="1"/>
  <c r="BC343" i="1"/>
  <c r="BB343" i="1"/>
  <c r="BA343" i="1"/>
  <c r="AZ343" i="1"/>
  <c r="AY343" i="1"/>
  <c r="AX343" i="1"/>
  <c r="AW343" i="1"/>
  <c r="AV343" i="1"/>
  <c r="AU343" i="1"/>
  <c r="AT343" i="1"/>
  <c r="AS343" i="1"/>
  <c r="AR343" i="1"/>
  <c r="AQ343" i="1"/>
  <c r="AP343" i="1"/>
  <c r="AO343" i="1"/>
  <c r="AE343" i="1"/>
  <c r="BS342" i="1"/>
  <c r="BR342" i="1"/>
  <c r="BQ342" i="1"/>
  <c r="BP342" i="1"/>
  <c r="BO342" i="1"/>
  <c r="BN342" i="1"/>
  <c r="BM342" i="1"/>
  <c r="BL342" i="1"/>
  <c r="BK342" i="1"/>
  <c r="BJ342" i="1"/>
  <c r="BI342" i="1"/>
  <c r="BH342" i="1"/>
  <c r="BG342" i="1"/>
  <c r="BF342" i="1"/>
  <c r="BE342" i="1"/>
  <c r="BD342" i="1"/>
  <c r="BC342" i="1"/>
  <c r="BB342" i="1"/>
  <c r="BA342" i="1"/>
  <c r="AZ342" i="1"/>
  <c r="AY342" i="1"/>
  <c r="AX342" i="1"/>
  <c r="AW342" i="1"/>
  <c r="AV342" i="1"/>
  <c r="AU342" i="1"/>
  <c r="AT342" i="1"/>
  <c r="AS342" i="1"/>
  <c r="AR342" i="1"/>
  <c r="AQ342" i="1"/>
  <c r="AP342" i="1"/>
  <c r="AO342" i="1"/>
  <c r="AE342" i="1"/>
  <c r="BS341" i="1"/>
  <c r="BR341" i="1"/>
  <c r="BQ341" i="1"/>
  <c r="BP341" i="1"/>
  <c r="BO341" i="1"/>
  <c r="BN341" i="1"/>
  <c r="BM341" i="1"/>
  <c r="BL341" i="1"/>
  <c r="BK341" i="1"/>
  <c r="BJ341" i="1"/>
  <c r="BI341" i="1"/>
  <c r="BH341" i="1"/>
  <c r="BG341" i="1"/>
  <c r="BF341" i="1"/>
  <c r="BE341" i="1"/>
  <c r="BD341" i="1"/>
  <c r="BC341" i="1"/>
  <c r="BB341" i="1"/>
  <c r="BA341" i="1"/>
  <c r="AZ341" i="1"/>
  <c r="AY341" i="1"/>
  <c r="AX341" i="1"/>
  <c r="AW341" i="1"/>
  <c r="AV341" i="1"/>
  <c r="AU341" i="1"/>
  <c r="AT341" i="1"/>
  <c r="AS341" i="1"/>
  <c r="AR341" i="1"/>
  <c r="AQ341" i="1"/>
  <c r="AP341" i="1"/>
  <c r="AO341" i="1"/>
  <c r="AE341" i="1"/>
  <c r="BS340" i="1"/>
  <c r="BR340" i="1"/>
  <c r="BQ340" i="1"/>
  <c r="BP340" i="1"/>
  <c r="BO340" i="1"/>
  <c r="BN340" i="1"/>
  <c r="BM340" i="1"/>
  <c r="BL340" i="1"/>
  <c r="BK340" i="1"/>
  <c r="BJ340" i="1"/>
  <c r="BI340" i="1"/>
  <c r="BH340" i="1"/>
  <c r="BG340" i="1"/>
  <c r="BF340" i="1"/>
  <c r="BE340" i="1"/>
  <c r="BD340" i="1"/>
  <c r="BC340" i="1"/>
  <c r="BB340" i="1"/>
  <c r="BA340" i="1"/>
  <c r="AZ340" i="1"/>
  <c r="AY340" i="1"/>
  <c r="AX340" i="1"/>
  <c r="AW340" i="1"/>
  <c r="AV340" i="1"/>
  <c r="AU340" i="1"/>
  <c r="AT340" i="1"/>
  <c r="AS340" i="1"/>
  <c r="AR340" i="1"/>
  <c r="AQ340" i="1"/>
  <c r="AP340" i="1"/>
  <c r="AO340" i="1"/>
  <c r="AE340" i="1"/>
  <c r="BS339" i="1"/>
  <c r="BR339" i="1"/>
  <c r="BQ339" i="1"/>
  <c r="BP339" i="1"/>
  <c r="BO339" i="1"/>
  <c r="BN339" i="1"/>
  <c r="BM339" i="1"/>
  <c r="BL339" i="1"/>
  <c r="BK339" i="1"/>
  <c r="BJ339" i="1"/>
  <c r="BI339" i="1"/>
  <c r="BH339" i="1"/>
  <c r="BG339" i="1"/>
  <c r="BF339" i="1"/>
  <c r="BE339" i="1"/>
  <c r="BD339" i="1"/>
  <c r="BC339" i="1"/>
  <c r="BB339" i="1"/>
  <c r="BA339" i="1"/>
  <c r="AZ339" i="1"/>
  <c r="AY339" i="1"/>
  <c r="AX339" i="1"/>
  <c r="AW339" i="1"/>
  <c r="AV339" i="1"/>
  <c r="AU339" i="1"/>
  <c r="AT339" i="1"/>
  <c r="AS339" i="1"/>
  <c r="AR339" i="1"/>
  <c r="AQ339" i="1"/>
  <c r="AP339" i="1"/>
  <c r="AO339" i="1"/>
  <c r="AE339" i="1"/>
  <c r="BS338" i="1"/>
  <c r="BR338" i="1"/>
  <c r="BQ338" i="1"/>
  <c r="BP338" i="1"/>
  <c r="BO338" i="1"/>
  <c r="BN338" i="1"/>
  <c r="BM338" i="1"/>
  <c r="BL338" i="1"/>
  <c r="BK338" i="1"/>
  <c r="BJ338" i="1"/>
  <c r="BI338" i="1"/>
  <c r="BH338" i="1"/>
  <c r="BG338" i="1"/>
  <c r="BF338" i="1"/>
  <c r="BE338" i="1"/>
  <c r="BD338" i="1"/>
  <c r="BC338" i="1"/>
  <c r="BB338" i="1"/>
  <c r="BA338" i="1"/>
  <c r="AZ338" i="1"/>
  <c r="AY338" i="1"/>
  <c r="AX338" i="1"/>
  <c r="AW338" i="1"/>
  <c r="AV338" i="1"/>
  <c r="AU338" i="1"/>
  <c r="AT338" i="1"/>
  <c r="AS338" i="1"/>
  <c r="AR338" i="1"/>
  <c r="AQ338" i="1"/>
  <c r="AP338" i="1"/>
  <c r="AO338" i="1"/>
  <c r="AE338" i="1"/>
  <c r="BS337" i="1"/>
  <c r="BR337" i="1"/>
  <c r="BQ337" i="1"/>
  <c r="BP337" i="1"/>
  <c r="BO337" i="1"/>
  <c r="BN337" i="1"/>
  <c r="BM337" i="1"/>
  <c r="BL337" i="1"/>
  <c r="BK337" i="1"/>
  <c r="BJ337" i="1"/>
  <c r="BI337" i="1"/>
  <c r="BH337" i="1"/>
  <c r="BG337" i="1"/>
  <c r="BF337" i="1"/>
  <c r="BE337" i="1"/>
  <c r="BD337" i="1"/>
  <c r="BC337" i="1"/>
  <c r="BB337" i="1"/>
  <c r="BA337" i="1"/>
  <c r="AZ337" i="1"/>
  <c r="AY337" i="1"/>
  <c r="AX337" i="1"/>
  <c r="AW337" i="1"/>
  <c r="AV337" i="1"/>
  <c r="AU337" i="1"/>
  <c r="AT337" i="1"/>
  <c r="AS337" i="1"/>
  <c r="AR337" i="1"/>
  <c r="AQ337" i="1"/>
  <c r="AP337" i="1"/>
  <c r="AO337" i="1"/>
  <c r="AE337" i="1"/>
  <c r="BS336" i="1"/>
  <c r="BR336" i="1"/>
  <c r="BQ336" i="1"/>
  <c r="BP336" i="1"/>
  <c r="BO336" i="1"/>
  <c r="BN336" i="1"/>
  <c r="BM336" i="1"/>
  <c r="BL336" i="1"/>
  <c r="BK336" i="1"/>
  <c r="BJ336" i="1"/>
  <c r="BI336" i="1"/>
  <c r="BH336" i="1"/>
  <c r="BG336" i="1"/>
  <c r="BF336" i="1"/>
  <c r="BE336" i="1"/>
  <c r="BD336" i="1"/>
  <c r="BC336" i="1"/>
  <c r="BB336" i="1"/>
  <c r="BA336" i="1"/>
  <c r="AZ336" i="1"/>
  <c r="AY336" i="1"/>
  <c r="AX336" i="1"/>
  <c r="AW336" i="1"/>
  <c r="AV336" i="1"/>
  <c r="AU336" i="1"/>
  <c r="AT336" i="1"/>
  <c r="AS336" i="1"/>
  <c r="AR336" i="1"/>
  <c r="AQ336" i="1"/>
  <c r="AP336" i="1"/>
  <c r="AO336" i="1"/>
  <c r="AE336" i="1"/>
  <c r="BS335" i="1"/>
  <c r="BR335" i="1"/>
  <c r="BQ335" i="1"/>
  <c r="BP335" i="1"/>
  <c r="BO335" i="1"/>
  <c r="BN335" i="1"/>
  <c r="BM335" i="1"/>
  <c r="BL335" i="1"/>
  <c r="BK335" i="1"/>
  <c r="BJ335" i="1"/>
  <c r="BI335" i="1"/>
  <c r="BH335" i="1"/>
  <c r="BG335" i="1"/>
  <c r="BF335" i="1"/>
  <c r="BE335" i="1"/>
  <c r="BD335" i="1"/>
  <c r="BC335" i="1"/>
  <c r="BB335" i="1"/>
  <c r="BA335" i="1"/>
  <c r="AZ335" i="1"/>
  <c r="AY335" i="1"/>
  <c r="AX335" i="1"/>
  <c r="AW335" i="1"/>
  <c r="AV335" i="1"/>
  <c r="AU335" i="1"/>
  <c r="AT335" i="1"/>
  <c r="AS335" i="1"/>
  <c r="AR335" i="1"/>
  <c r="AQ335" i="1"/>
  <c r="AP335" i="1"/>
  <c r="AO335" i="1"/>
  <c r="AE335" i="1"/>
  <c r="BS334" i="1"/>
  <c r="BR334" i="1"/>
  <c r="BQ334" i="1"/>
  <c r="BP334" i="1"/>
  <c r="BO334" i="1"/>
  <c r="BN334" i="1"/>
  <c r="BM334" i="1"/>
  <c r="BL334" i="1"/>
  <c r="BK334" i="1"/>
  <c r="BJ334" i="1"/>
  <c r="BI334" i="1"/>
  <c r="BH334" i="1"/>
  <c r="BG334" i="1"/>
  <c r="BF334" i="1"/>
  <c r="BE334" i="1"/>
  <c r="BD334" i="1"/>
  <c r="BC334" i="1"/>
  <c r="BB334" i="1"/>
  <c r="BA334" i="1"/>
  <c r="AZ334" i="1"/>
  <c r="AY334" i="1"/>
  <c r="AX334" i="1"/>
  <c r="AW334" i="1"/>
  <c r="AV334" i="1"/>
  <c r="AU334" i="1"/>
  <c r="AT334" i="1"/>
  <c r="AS334" i="1"/>
  <c r="AR334" i="1"/>
  <c r="AQ334" i="1"/>
  <c r="AP334" i="1"/>
  <c r="AO334" i="1"/>
  <c r="AE334" i="1"/>
  <c r="BS333" i="1"/>
  <c r="BR333" i="1"/>
  <c r="BQ333" i="1"/>
  <c r="BP333" i="1"/>
  <c r="BO333" i="1"/>
  <c r="BN333" i="1"/>
  <c r="BM333" i="1"/>
  <c r="BL333" i="1"/>
  <c r="BK333" i="1"/>
  <c r="BJ333" i="1"/>
  <c r="BI333" i="1"/>
  <c r="BH333" i="1"/>
  <c r="BG333" i="1"/>
  <c r="BF333" i="1"/>
  <c r="BE333" i="1"/>
  <c r="BD333" i="1"/>
  <c r="BC333" i="1"/>
  <c r="BB333" i="1"/>
  <c r="BA333" i="1"/>
  <c r="AZ333" i="1"/>
  <c r="AY333" i="1"/>
  <c r="AX333" i="1"/>
  <c r="AW333" i="1"/>
  <c r="AV333" i="1"/>
  <c r="AU333" i="1"/>
  <c r="AT333" i="1"/>
  <c r="AS333" i="1"/>
  <c r="AR333" i="1"/>
  <c r="AQ333" i="1"/>
  <c r="AP333" i="1"/>
  <c r="AO333" i="1"/>
  <c r="AE333" i="1"/>
  <c r="BS332" i="1"/>
  <c r="BR332" i="1"/>
  <c r="BQ332" i="1"/>
  <c r="BP332" i="1"/>
  <c r="BO332" i="1"/>
  <c r="BN332" i="1"/>
  <c r="BM332" i="1"/>
  <c r="BL332" i="1"/>
  <c r="BK332" i="1"/>
  <c r="BJ332" i="1"/>
  <c r="BI332" i="1"/>
  <c r="BH332" i="1"/>
  <c r="BG332" i="1"/>
  <c r="BF332" i="1"/>
  <c r="BE332" i="1"/>
  <c r="BD332" i="1"/>
  <c r="BC332" i="1"/>
  <c r="BB332" i="1"/>
  <c r="BA332" i="1"/>
  <c r="AZ332" i="1"/>
  <c r="AY332" i="1"/>
  <c r="AX332" i="1"/>
  <c r="AW332" i="1"/>
  <c r="AV332" i="1"/>
  <c r="AU332" i="1"/>
  <c r="AT332" i="1"/>
  <c r="AS332" i="1"/>
  <c r="AR332" i="1"/>
  <c r="AQ332" i="1"/>
  <c r="AP332" i="1"/>
  <c r="AO332" i="1"/>
  <c r="AE332" i="1"/>
  <c r="BS331" i="1"/>
  <c r="BR331" i="1"/>
  <c r="BQ331" i="1"/>
  <c r="BP331" i="1"/>
  <c r="BO331" i="1"/>
  <c r="BN331" i="1"/>
  <c r="BM331" i="1"/>
  <c r="BL331" i="1"/>
  <c r="BK331" i="1"/>
  <c r="BJ331" i="1"/>
  <c r="BI331" i="1"/>
  <c r="BH331" i="1"/>
  <c r="BG331" i="1"/>
  <c r="BF331" i="1"/>
  <c r="BE331" i="1"/>
  <c r="BD331" i="1"/>
  <c r="BC331" i="1"/>
  <c r="BB331" i="1"/>
  <c r="BA331" i="1"/>
  <c r="AZ331" i="1"/>
  <c r="AY331" i="1"/>
  <c r="AX331" i="1"/>
  <c r="AW331" i="1"/>
  <c r="AV331" i="1"/>
  <c r="AU331" i="1"/>
  <c r="AT331" i="1"/>
  <c r="AS331" i="1"/>
  <c r="AR331" i="1"/>
  <c r="AQ331" i="1"/>
  <c r="AP331" i="1"/>
  <c r="AO331" i="1"/>
  <c r="AE331" i="1"/>
  <c r="BS330" i="1"/>
  <c r="BR330" i="1"/>
  <c r="BQ330" i="1"/>
  <c r="BP330" i="1"/>
  <c r="BO330" i="1"/>
  <c r="BN330" i="1"/>
  <c r="BM330" i="1"/>
  <c r="BL330" i="1"/>
  <c r="BK330" i="1"/>
  <c r="BJ330" i="1"/>
  <c r="BI330" i="1"/>
  <c r="BH330" i="1"/>
  <c r="BG330" i="1"/>
  <c r="BF330" i="1"/>
  <c r="BE330" i="1"/>
  <c r="BD330" i="1"/>
  <c r="BC330" i="1"/>
  <c r="BB330" i="1"/>
  <c r="BA330" i="1"/>
  <c r="AZ330" i="1"/>
  <c r="AY330" i="1"/>
  <c r="AX330" i="1"/>
  <c r="AW330" i="1"/>
  <c r="AV330" i="1"/>
  <c r="AU330" i="1"/>
  <c r="AT330" i="1"/>
  <c r="AS330" i="1"/>
  <c r="AR330" i="1"/>
  <c r="AQ330" i="1"/>
  <c r="AP330" i="1"/>
  <c r="AO330" i="1"/>
  <c r="AE330" i="1"/>
  <c r="BS329" i="1"/>
  <c r="BR329" i="1"/>
  <c r="BQ329" i="1"/>
  <c r="BP329" i="1"/>
  <c r="BO329" i="1"/>
  <c r="BN329" i="1"/>
  <c r="BM329" i="1"/>
  <c r="BL329" i="1"/>
  <c r="BK329" i="1"/>
  <c r="BJ329" i="1"/>
  <c r="BI329" i="1"/>
  <c r="BH329" i="1"/>
  <c r="BG329" i="1"/>
  <c r="BF329" i="1"/>
  <c r="BE329" i="1"/>
  <c r="BD329" i="1"/>
  <c r="BC329" i="1"/>
  <c r="BB329" i="1"/>
  <c r="BA329" i="1"/>
  <c r="AZ329" i="1"/>
  <c r="AY329" i="1"/>
  <c r="AX329" i="1"/>
  <c r="AW329" i="1"/>
  <c r="AV329" i="1"/>
  <c r="AU329" i="1"/>
  <c r="AT329" i="1"/>
  <c r="AS329" i="1"/>
  <c r="AR329" i="1"/>
  <c r="AQ329" i="1"/>
  <c r="AP329" i="1"/>
  <c r="AO329" i="1"/>
  <c r="AE329" i="1"/>
  <c r="BS328" i="1"/>
  <c r="BR328" i="1"/>
  <c r="BQ328" i="1"/>
  <c r="BP328" i="1"/>
  <c r="BO328" i="1"/>
  <c r="BN328" i="1"/>
  <c r="BM328" i="1"/>
  <c r="BL328" i="1"/>
  <c r="BK328" i="1"/>
  <c r="BJ328" i="1"/>
  <c r="BI328" i="1"/>
  <c r="BH328" i="1"/>
  <c r="BG328" i="1"/>
  <c r="BF328" i="1"/>
  <c r="BE328" i="1"/>
  <c r="BD328" i="1"/>
  <c r="BC328" i="1"/>
  <c r="BB328" i="1"/>
  <c r="BA328" i="1"/>
  <c r="AZ328" i="1"/>
  <c r="AY328" i="1"/>
  <c r="AX328" i="1"/>
  <c r="AW328" i="1"/>
  <c r="AV328" i="1"/>
  <c r="AU328" i="1"/>
  <c r="AT328" i="1"/>
  <c r="AS328" i="1"/>
  <c r="AR328" i="1"/>
  <c r="AQ328" i="1"/>
  <c r="AP328" i="1"/>
  <c r="AO328" i="1"/>
  <c r="AE328" i="1"/>
  <c r="BS327" i="1"/>
  <c r="BR327" i="1"/>
  <c r="BQ327" i="1"/>
  <c r="BP327" i="1"/>
  <c r="BO327" i="1"/>
  <c r="BN327" i="1"/>
  <c r="BM327" i="1"/>
  <c r="BL327" i="1"/>
  <c r="BK327" i="1"/>
  <c r="BJ327" i="1"/>
  <c r="BI327" i="1"/>
  <c r="BH327" i="1"/>
  <c r="BG327" i="1"/>
  <c r="BF327" i="1"/>
  <c r="BE327" i="1"/>
  <c r="BD327" i="1"/>
  <c r="BC327" i="1"/>
  <c r="BB327" i="1"/>
  <c r="BA327" i="1"/>
  <c r="AZ327" i="1"/>
  <c r="AY327" i="1"/>
  <c r="AX327" i="1"/>
  <c r="AW327" i="1"/>
  <c r="AV327" i="1"/>
  <c r="AU327" i="1"/>
  <c r="AT327" i="1"/>
  <c r="AS327" i="1"/>
  <c r="AR327" i="1"/>
  <c r="AQ327" i="1"/>
  <c r="AP327" i="1"/>
  <c r="AO327" i="1"/>
  <c r="AE327" i="1"/>
  <c r="BS326" i="1"/>
  <c r="BR326" i="1"/>
  <c r="BQ326" i="1"/>
  <c r="BP326" i="1"/>
  <c r="BO326" i="1"/>
  <c r="BN326" i="1"/>
  <c r="BM326" i="1"/>
  <c r="BL326" i="1"/>
  <c r="BK326" i="1"/>
  <c r="BJ326" i="1"/>
  <c r="BI326" i="1"/>
  <c r="BH326" i="1"/>
  <c r="BG326" i="1"/>
  <c r="BF326" i="1"/>
  <c r="BE326" i="1"/>
  <c r="BD326" i="1"/>
  <c r="BC326" i="1"/>
  <c r="BB326" i="1"/>
  <c r="BA326" i="1"/>
  <c r="AZ326" i="1"/>
  <c r="AY326" i="1"/>
  <c r="AX326" i="1"/>
  <c r="AW326" i="1"/>
  <c r="AV326" i="1"/>
  <c r="AU326" i="1"/>
  <c r="AT326" i="1"/>
  <c r="AS326" i="1"/>
  <c r="AR326" i="1"/>
  <c r="AQ326" i="1"/>
  <c r="AP326" i="1"/>
  <c r="AO326" i="1"/>
  <c r="AE326" i="1"/>
  <c r="BS325" i="1"/>
  <c r="BR325" i="1"/>
  <c r="BQ325" i="1"/>
  <c r="BP325" i="1"/>
  <c r="BO325" i="1"/>
  <c r="BN325" i="1"/>
  <c r="BM325" i="1"/>
  <c r="BL325" i="1"/>
  <c r="BK325" i="1"/>
  <c r="BJ325" i="1"/>
  <c r="BI325" i="1"/>
  <c r="BH325" i="1"/>
  <c r="BG325" i="1"/>
  <c r="BF325" i="1"/>
  <c r="BE325" i="1"/>
  <c r="BD325" i="1"/>
  <c r="BC325" i="1"/>
  <c r="BB325" i="1"/>
  <c r="BA325" i="1"/>
  <c r="AZ325" i="1"/>
  <c r="AY325" i="1"/>
  <c r="AX325" i="1"/>
  <c r="AW325" i="1"/>
  <c r="AV325" i="1"/>
  <c r="AU325" i="1"/>
  <c r="AT325" i="1"/>
  <c r="AS325" i="1"/>
  <c r="AR325" i="1"/>
  <c r="AQ325" i="1"/>
  <c r="AP325" i="1"/>
  <c r="AO325" i="1"/>
  <c r="AE325" i="1"/>
  <c r="BS324" i="1"/>
  <c r="BR324" i="1"/>
  <c r="BQ324" i="1"/>
  <c r="BP324" i="1"/>
  <c r="BO324" i="1"/>
  <c r="BN324" i="1"/>
  <c r="BM324" i="1"/>
  <c r="BL324" i="1"/>
  <c r="BK324" i="1"/>
  <c r="BJ324" i="1"/>
  <c r="BI324" i="1"/>
  <c r="BH324" i="1"/>
  <c r="BG324" i="1"/>
  <c r="BF324" i="1"/>
  <c r="BE324" i="1"/>
  <c r="BD324" i="1"/>
  <c r="BC324" i="1"/>
  <c r="BB324" i="1"/>
  <c r="BA324" i="1"/>
  <c r="AZ324" i="1"/>
  <c r="AY324" i="1"/>
  <c r="AX324" i="1"/>
  <c r="AW324" i="1"/>
  <c r="AV324" i="1"/>
  <c r="AU324" i="1"/>
  <c r="AT324" i="1"/>
  <c r="AS324" i="1"/>
  <c r="AR324" i="1"/>
  <c r="AQ324" i="1"/>
  <c r="AP324" i="1"/>
  <c r="AO324" i="1"/>
  <c r="AE324" i="1"/>
  <c r="BS323" i="1"/>
  <c r="BR323" i="1"/>
  <c r="BQ323" i="1"/>
  <c r="BP323" i="1"/>
  <c r="BO323" i="1"/>
  <c r="BN323" i="1"/>
  <c r="BM323" i="1"/>
  <c r="BL323" i="1"/>
  <c r="BK323" i="1"/>
  <c r="BJ323" i="1"/>
  <c r="BI323" i="1"/>
  <c r="BH323" i="1"/>
  <c r="BG323" i="1"/>
  <c r="BF323" i="1"/>
  <c r="BE323" i="1"/>
  <c r="BD323" i="1"/>
  <c r="BC323" i="1"/>
  <c r="BB323" i="1"/>
  <c r="BA323" i="1"/>
  <c r="AZ323" i="1"/>
  <c r="AY323" i="1"/>
  <c r="AX323" i="1"/>
  <c r="AW323" i="1"/>
  <c r="AV323" i="1"/>
  <c r="AU323" i="1"/>
  <c r="AT323" i="1"/>
  <c r="AS323" i="1"/>
  <c r="AR323" i="1"/>
  <c r="AQ323" i="1"/>
  <c r="AP323" i="1"/>
  <c r="AO323" i="1"/>
  <c r="AE323" i="1"/>
  <c r="BS322" i="1"/>
  <c r="BR322" i="1"/>
  <c r="BQ322" i="1"/>
  <c r="BP322" i="1"/>
  <c r="BO322" i="1"/>
  <c r="BN322" i="1"/>
  <c r="BM322" i="1"/>
  <c r="BL322" i="1"/>
  <c r="BK322" i="1"/>
  <c r="BJ322" i="1"/>
  <c r="BI322" i="1"/>
  <c r="BH322" i="1"/>
  <c r="BG322" i="1"/>
  <c r="BF322" i="1"/>
  <c r="BE322" i="1"/>
  <c r="BD322" i="1"/>
  <c r="BC322" i="1"/>
  <c r="BB322" i="1"/>
  <c r="BA322" i="1"/>
  <c r="AZ322" i="1"/>
  <c r="AY322" i="1"/>
  <c r="AX322" i="1"/>
  <c r="AW322" i="1"/>
  <c r="AV322" i="1"/>
  <c r="AU322" i="1"/>
  <c r="AT322" i="1"/>
  <c r="AS322" i="1"/>
  <c r="AR322" i="1"/>
  <c r="AQ322" i="1"/>
  <c r="AP322" i="1"/>
  <c r="AO322" i="1"/>
  <c r="AE322" i="1"/>
  <c r="BS321" i="1"/>
  <c r="BR321" i="1"/>
  <c r="BQ321" i="1"/>
  <c r="BP321" i="1"/>
  <c r="BO321" i="1"/>
  <c r="BN321" i="1"/>
  <c r="BM321" i="1"/>
  <c r="BL321" i="1"/>
  <c r="BK321" i="1"/>
  <c r="BJ321" i="1"/>
  <c r="BI321" i="1"/>
  <c r="BH321" i="1"/>
  <c r="BG321" i="1"/>
  <c r="BF321" i="1"/>
  <c r="BE321" i="1"/>
  <c r="BD321" i="1"/>
  <c r="BC321" i="1"/>
  <c r="BB321" i="1"/>
  <c r="BA321" i="1"/>
  <c r="AZ321" i="1"/>
  <c r="AY321" i="1"/>
  <c r="AX321" i="1"/>
  <c r="AW321" i="1"/>
  <c r="AV321" i="1"/>
  <c r="AU321" i="1"/>
  <c r="AT321" i="1"/>
  <c r="AS321" i="1"/>
  <c r="AR321" i="1"/>
  <c r="AQ321" i="1"/>
  <c r="AP321" i="1"/>
  <c r="AO321" i="1"/>
  <c r="AE321" i="1"/>
  <c r="BS320" i="1"/>
  <c r="BR320" i="1"/>
  <c r="BQ320" i="1"/>
  <c r="BP320" i="1"/>
  <c r="BO320" i="1"/>
  <c r="BN320" i="1"/>
  <c r="BM320" i="1"/>
  <c r="BL320" i="1"/>
  <c r="BK320" i="1"/>
  <c r="BJ320" i="1"/>
  <c r="BI320" i="1"/>
  <c r="BH320" i="1"/>
  <c r="BG320" i="1"/>
  <c r="BF320" i="1"/>
  <c r="BE320" i="1"/>
  <c r="BD320" i="1"/>
  <c r="BC320" i="1"/>
  <c r="BB320" i="1"/>
  <c r="BA320" i="1"/>
  <c r="AZ320" i="1"/>
  <c r="AY320" i="1"/>
  <c r="AX320" i="1"/>
  <c r="AW320" i="1"/>
  <c r="AV320" i="1"/>
  <c r="AU320" i="1"/>
  <c r="AT320" i="1"/>
  <c r="AS320" i="1"/>
  <c r="AR320" i="1"/>
  <c r="AQ320" i="1"/>
  <c r="AP320" i="1"/>
  <c r="AO320" i="1"/>
  <c r="AE320" i="1"/>
  <c r="BS319" i="1"/>
  <c r="BR319" i="1"/>
  <c r="BQ319" i="1"/>
  <c r="BP319" i="1"/>
  <c r="BO319" i="1"/>
  <c r="BN319" i="1"/>
  <c r="BM319" i="1"/>
  <c r="BL319" i="1"/>
  <c r="BK319" i="1"/>
  <c r="BJ319" i="1"/>
  <c r="BI319" i="1"/>
  <c r="BH319" i="1"/>
  <c r="BG319" i="1"/>
  <c r="BF319" i="1"/>
  <c r="BE319" i="1"/>
  <c r="BD319" i="1"/>
  <c r="BC319" i="1"/>
  <c r="BB319" i="1"/>
  <c r="BA319" i="1"/>
  <c r="AZ319" i="1"/>
  <c r="AY319" i="1"/>
  <c r="AX319" i="1"/>
  <c r="AW319" i="1"/>
  <c r="AV319" i="1"/>
  <c r="AU319" i="1"/>
  <c r="AT319" i="1"/>
  <c r="AS319" i="1"/>
  <c r="AR319" i="1"/>
  <c r="AQ319" i="1"/>
  <c r="AP319" i="1"/>
  <c r="AO319" i="1"/>
  <c r="AE319" i="1"/>
  <c r="BS318" i="1"/>
  <c r="BR318" i="1"/>
  <c r="BQ318" i="1"/>
  <c r="BP318" i="1"/>
  <c r="BO318" i="1"/>
  <c r="BN318" i="1"/>
  <c r="BM318" i="1"/>
  <c r="BL318" i="1"/>
  <c r="BK318" i="1"/>
  <c r="BJ318" i="1"/>
  <c r="BI318" i="1"/>
  <c r="BH318" i="1"/>
  <c r="BG318" i="1"/>
  <c r="BF318" i="1"/>
  <c r="BE318" i="1"/>
  <c r="BD318" i="1"/>
  <c r="BC318" i="1"/>
  <c r="BB318" i="1"/>
  <c r="BA318" i="1"/>
  <c r="AZ318" i="1"/>
  <c r="AY318" i="1"/>
  <c r="AX318" i="1"/>
  <c r="AW318" i="1"/>
  <c r="AV318" i="1"/>
  <c r="AU318" i="1"/>
  <c r="AT318" i="1"/>
  <c r="AS318" i="1"/>
  <c r="AR318" i="1"/>
  <c r="AQ318" i="1"/>
  <c r="AP318" i="1"/>
  <c r="AO318" i="1"/>
  <c r="AE318" i="1"/>
  <c r="BS317" i="1"/>
  <c r="BR317" i="1"/>
  <c r="BQ317" i="1"/>
  <c r="BP317" i="1"/>
  <c r="BO317" i="1"/>
  <c r="BN317" i="1"/>
  <c r="BM317" i="1"/>
  <c r="BL317" i="1"/>
  <c r="BK317" i="1"/>
  <c r="BJ317" i="1"/>
  <c r="BI317" i="1"/>
  <c r="BH317" i="1"/>
  <c r="BG317" i="1"/>
  <c r="BF317" i="1"/>
  <c r="BE317" i="1"/>
  <c r="BD317" i="1"/>
  <c r="BC317" i="1"/>
  <c r="BB317" i="1"/>
  <c r="BA317" i="1"/>
  <c r="AZ317" i="1"/>
  <c r="AY317" i="1"/>
  <c r="AX317" i="1"/>
  <c r="AW317" i="1"/>
  <c r="AV317" i="1"/>
  <c r="AU317" i="1"/>
  <c r="AT317" i="1"/>
  <c r="AS317" i="1"/>
  <c r="AR317" i="1"/>
  <c r="AQ317" i="1"/>
  <c r="AP317" i="1"/>
  <c r="AO317" i="1"/>
  <c r="AE317" i="1"/>
  <c r="BS316" i="1"/>
  <c r="BR316" i="1"/>
  <c r="BQ316" i="1"/>
  <c r="BP316" i="1"/>
  <c r="BO316" i="1"/>
  <c r="BN316" i="1"/>
  <c r="BM316" i="1"/>
  <c r="BL316" i="1"/>
  <c r="BK316" i="1"/>
  <c r="BJ316" i="1"/>
  <c r="BI316" i="1"/>
  <c r="BH316" i="1"/>
  <c r="BG316" i="1"/>
  <c r="BF316" i="1"/>
  <c r="BE316" i="1"/>
  <c r="BD316" i="1"/>
  <c r="BC316" i="1"/>
  <c r="BB316" i="1"/>
  <c r="BA316" i="1"/>
  <c r="AZ316" i="1"/>
  <c r="AY316" i="1"/>
  <c r="AX316" i="1"/>
  <c r="AW316" i="1"/>
  <c r="AV316" i="1"/>
  <c r="AU316" i="1"/>
  <c r="AT316" i="1"/>
  <c r="AS316" i="1"/>
  <c r="AR316" i="1"/>
  <c r="AQ316" i="1"/>
  <c r="AP316" i="1"/>
  <c r="AO316" i="1"/>
  <c r="AE316" i="1"/>
  <c r="BS315" i="1"/>
  <c r="BR315" i="1"/>
  <c r="BQ315" i="1"/>
  <c r="BP315" i="1"/>
  <c r="BO315" i="1"/>
  <c r="BN315" i="1"/>
  <c r="BM315" i="1"/>
  <c r="BL315" i="1"/>
  <c r="BK315" i="1"/>
  <c r="BJ315" i="1"/>
  <c r="BI315" i="1"/>
  <c r="BH315" i="1"/>
  <c r="BG315" i="1"/>
  <c r="BF315" i="1"/>
  <c r="BE315" i="1"/>
  <c r="BD315" i="1"/>
  <c r="BC315" i="1"/>
  <c r="BB315" i="1"/>
  <c r="BA315" i="1"/>
  <c r="AZ315" i="1"/>
  <c r="AY315" i="1"/>
  <c r="AX315" i="1"/>
  <c r="AW315" i="1"/>
  <c r="AV315" i="1"/>
  <c r="AU315" i="1"/>
  <c r="AT315" i="1"/>
  <c r="AS315" i="1"/>
  <c r="AR315" i="1"/>
  <c r="AQ315" i="1"/>
  <c r="AP315" i="1"/>
  <c r="AO315" i="1"/>
  <c r="AE315" i="1"/>
  <c r="BS314" i="1"/>
  <c r="BR314" i="1"/>
  <c r="BQ314" i="1"/>
  <c r="BP314" i="1"/>
  <c r="BO314" i="1"/>
  <c r="BN314" i="1"/>
  <c r="BM314" i="1"/>
  <c r="BL314" i="1"/>
  <c r="BK314" i="1"/>
  <c r="BJ314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AT314" i="1"/>
  <c r="AS314" i="1"/>
  <c r="AR314" i="1"/>
  <c r="AQ314" i="1"/>
  <c r="AP314" i="1"/>
  <c r="AO314" i="1"/>
  <c r="AE314" i="1"/>
  <c r="BS313" i="1"/>
  <c r="BR313" i="1"/>
  <c r="BQ313" i="1"/>
  <c r="BP313" i="1"/>
  <c r="BO313" i="1"/>
  <c r="BN313" i="1"/>
  <c r="BM313" i="1"/>
  <c r="BL313" i="1"/>
  <c r="BK313" i="1"/>
  <c r="BJ313" i="1"/>
  <c r="BI313" i="1"/>
  <c r="BH313" i="1"/>
  <c r="BG313" i="1"/>
  <c r="BF313" i="1"/>
  <c r="BE313" i="1"/>
  <c r="BD313" i="1"/>
  <c r="BC313" i="1"/>
  <c r="BB313" i="1"/>
  <c r="BA313" i="1"/>
  <c r="AZ313" i="1"/>
  <c r="AY313" i="1"/>
  <c r="AX313" i="1"/>
  <c r="AW313" i="1"/>
  <c r="AV313" i="1"/>
  <c r="AU313" i="1"/>
  <c r="AT313" i="1"/>
  <c r="AS313" i="1"/>
  <c r="AR313" i="1"/>
  <c r="AQ313" i="1"/>
  <c r="AP313" i="1"/>
  <c r="AO313" i="1"/>
  <c r="AE313" i="1"/>
  <c r="BS312" i="1"/>
  <c r="BR312" i="1"/>
  <c r="BQ312" i="1"/>
  <c r="BP312" i="1"/>
  <c r="BO312" i="1"/>
  <c r="BN312" i="1"/>
  <c r="BM312" i="1"/>
  <c r="BL312" i="1"/>
  <c r="BK312" i="1"/>
  <c r="BJ312" i="1"/>
  <c r="BI312" i="1"/>
  <c r="BH312" i="1"/>
  <c r="BG312" i="1"/>
  <c r="BF312" i="1"/>
  <c r="BE312" i="1"/>
  <c r="BD312" i="1"/>
  <c r="BC312" i="1"/>
  <c r="BB312" i="1"/>
  <c r="BA312" i="1"/>
  <c r="AZ312" i="1"/>
  <c r="AY312" i="1"/>
  <c r="AX312" i="1"/>
  <c r="AW312" i="1"/>
  <c r="AV312" i="1"/>
  <c r="AU312" i="1"/>
  <c r="AT312" i="1"/>
  <c r="AS312" i="1"/>
  <c r="AR312" i="1"/>
  <c r="AQ312" i="1"/>
  <c r="AP312" i="1"/>
  <c r="AO312" i="1"/>
  <c r="AE312" i="1"/>
  <c r="BS311" i="1"/>
  <c r="BR311" i="1"/>
  <c r="BQ311" i="1"/>
  <c r="BP311" i="1"/>
  <c r="BO311" i="1"/>
  <c r="BN311" i="1"/>
  <c r="BM311" i="1"/>
  <c r="BL311" i="1"/>
  <c r="BK311" i="1"/>
  <c r="BJ311" i="1"/>
  <c r="BI311" i="1"/>
  <c r="BH311" i="1"/>
  <c r="BG311" i="1"/>
  <c r="BF311" i="1"/>
  <c r="BE311" i="1"/>
  <c r="BD311" i="1"/>
  <c r="BC311" i="1"/>
  <c r="BB311" i="1"/>
  <c r="BA311" i="1"/>
  <c r="AZ311" i="1"/>
  <c r="AY311" i="1"/>
  <c r="AX311" i="1"/>
  <c r="AW311" i="1"/>
  <c r="AV311" i="1"/>
  <c r="AU311" i="1"/>
  <c r="AT311" i="1"/>
  <c r="AS311" i="1"/>
  <c r="AR311" i="1"/>
  <c r="AQ311" i="1"/>
  <c r="AP311" i="1"/>
  <c r="AO311" i="1"/>
  <c r="AE311" i="1"/>
  <c r="BS310" i="1"/>
  <c r="BR310" i="1"/>
  <c r="BQ310" i="1"/>
  <c r="BP310" i="1"/>
  <c r="BO310" i="1"/>
  <c r="BN310" i="1"/>
  <c r="BM310" i="1"/>
  <c r="BL310" i="1"/>
  <c r="BK310" i="1"/>
  <c r="BJ310" i="1"/>
  <c r="BI310" i="1"/>
  <c r="BH310" i="1"/>
  <c r="BG310" i="1"/>
  <c r="BF310" i="1"/>
  <c r="BE310" i="1"/>
  <c r="BD310" i="1"/>
  <c r="BC310" i="1"/>
  <c r="BB310" i="1"/>
  <c r="BA310" i="1"/>
  <c r="AZ310" i="1"/>
  <c r="AY310" i="1"/>
  <c r="AX310" i="1"/>
  <c r="AW310" i="1"/>
  <c r="AV310" i="1"/>
  <c r="AU310" i="1"/>
  <c r="AT310" i="1"/>
  <c r="AS310" i="1"/>
  <c r="AR310" i="1"/>
  <c r="AQ310" i="1"/>
  <c r="AP310" i="1"/>
  <c r="AO310" i="1"/>
  <c r="AE310" i="1"/>
  <c r="BS309" i="1"/>
  <c r="BR309" i="1"/>
  <c r="BQ309" i="1"/>
  <c r="BP309" i="1"/>
  <c r="BO309" i="1"/>
  <c r="BN309" i="1"/>
  <c r="BM309" i="1"/>
  <c r="BL309" i="1"/>
  <c r="BK309" i="1"/>
  <c r="BJ309" i="1"/>
  <c r="BI309" i="1"/>
  <c r="BH309" i="1"/>
  <c r="BG309" i="1"/>
  <c r="BF309" i="1"/>
  <c r="BE309" i="1"/>
  <c r="BD309" i="1"/>
  <c r="BC309" i="1"/>
  <c r="BB309" i="1"/>
  <c r="BA309" i="1"/>
  <c r="AZ309" i="1"/>
  <c r="AY309" i="1"/>
  <c r="AX309" i="1"/>
  <c r="AW309" i="1"/>
  <c r="AV309" i="1"/>
  <c r="AU309" i="1"/>
  <c r="AT309" i="1"/>
  <c r="AS309" i="1"/>
  <c r="AR309" i="1"/>
  <c r="AQ309" i="1"/>
  <c r="AP309" i="1"/>
  <c r="AO309" i="1"/>
  <c r="AE309" i="1"/>
  <c r="BS308" i="1"/>
  <c r="BR308" i="1"/>
  <c r="BQ308" i="1"/>
  <c r="BP308" i="1"/>
  <c r="BO308" i="1"/>
  <c r="BN308" i="1"/>
  <c r="BM308" i="1"/>
  <c r="BL308" i="1"/>
  <c r="BK308" i="1"/>
  <c r="BJ308" i="1"/>
  <c r="BI308" i="1"/>
  <c r="BH308" i="1"/>
  <c r="BG308" i="1"/>
  <c r="BF308" i="1"/>
  <c r="BE308" i="1"/>
  <c r="BD308" i="1"/>
  <c r="BC308" i="1"/>
  <c r="BB308" i="1"/>
  <c r="BA308" i="1"/>
  <c r="AZ308" i="1"/>
  <c r="AY308" i="1"/>
  <c r="AX308" i="1"/>
  <c r="AW308" i="1"/>
  <c r="AV308" i="1"/>
  <c r="AU308" i="1"/>
  <c r="AT308" i="1"/>
  <c r="AS308" i="1"/>
  <c r="AR308" i="1"/>
  <c r="AQ308" i="1"/>
  <c r="AP308" i="1"/>
  <c r="AO308" i="1"/>
  <c r="AE308" i="1"/>
  <c r="BS307" i="1"/>
  <c r="BR307" i="1"/>
  <c r="BQ307" i="1"/>
  <c r="BP307" i="1"/>
  <c r="BO307" i="1"/>
  <c r="BN307" i="1"/>
  <c r="BM307" i="1"/>
  <c r="BL307" i="1"/>
  <c r="BK307" i="1"/>
  <c r="BJ307" i="1"/>
  <c r="BI307" i="1"/>
  <c r="BH307" i="1"/>
  <c r="BG307" i="1"/>
  <c r="BF307" i="1"/>
  <c r="BE307" i="1"/>
  <c r="BD307" i="1"/>
  <c r="BC307" i="1"/>
  <c r="BB307" i="1"/>
  <c r="BA307" i="1"/>
  <c r="AZ307" i="1"/>
  <c r="AY307" i="1"/>
  <c r="AX307" i="1"/>
  <c r="AW307" i="1"/>
  <c r="AV307" i="1"/>
  <c r="AU307" i="1"/>
  <c r="AT307" i="1"/>
  <c r="AS307" i="1"/>
  <c r="AR307" i="1"/>
  <c r="AQ307" i="1"/>
  <c r="AP307" i="1"/>
  <c r="AO307" i="1"/>
  <c r="AE307" i="1"/>
  <c r="BS306" i="1"/>
  <c r="BR306" i="1"/>
  <c r="BQ306" i="1"/>
  <c r="BP306" i="1"/>
  <c r="BO306" i="1"/>
  <c r="BN306" i="1"/>
  <c r="BM306" i="1"/>
  <c r="BL306" i="1"/>
  <c r="BK306" i="1"/>
  <c r="BJ306" i="1"/>
  <c r="BI306" i="1"/>
  <c r="BH306" i="1"/>
  <c r="BG306" i="1"/>
  <c r="BF306" i="1"/>
  <c r="BE306" i="1"/>
  <c r="BD306" i="1"/>
  <c r="BC306" i="1"/>
  <c r="BB306" i="1"/>
  <c r="BA306" i="1"/>
  <c r="AZ306" i="1"/>
  <c r="AY306" i="1"/>
  <c r="AX306" i="1"/>
  <c r="AW306" i="1"/>
  <c r="AV306" i="1"/>
  <c r="AU306" i="1"/>
  <c r="AT306" i="1"/>
  <c r="AS306" i="1"/>
  <c r="AR306" i="1"/>
  <c r="AQ306" i="1"/>
  <c r="AP306" i="1"/>
  <c r="AO306" i="1"/>
  <c r="AE306" i="1"/>
  <c r="BS305" i="1"/>
  <c r="BR305" i="1"/>
  <c r="BQ305" i="1"/>
  <c r="BP305" i="1"/>
  <c r="BO305" i="1"/>
  <c r="BN305" i="1"/>
  <c r="BM305" i="1"/>
  <c r="BL305" i="1"/>
  <c r="BK305" i="1"/>
  <c r="BJ305" i="1"/>
  <c r="BI305" i="1"/>
  <c r="BH305" i="1"/>
  <c r="BG305" i="1"/>
  <c r="BF305" i="1"/>
  <c r="BE305" i="1"/>
  <c r="BD305" i="1"/>
  <c r="BC305" i="1"/>
  <c r="BB305" i="1"/>
  <c r="BA305" i="1"/>
  <c r="AZ305" i="1"/>
  <c r="AY305" i="1"/>
  <c r="AX305" i="1"/>
  <c r="AW305" i="1"/>
  <c r="AV305" i="1"/>
  <c r="AU305" i="1"/>
  <c r="AT305" i="1"/>
  <c r="AS305" i="1"/>
  <c r="AR305" i="1"/>
  <c r="AQ305" i="1"/>
  <c r="AP305" i="1"/>
  <c r="AO305" i="1"/>
  <c r="AE305" i="1"/>
  <c r="BS304" i="1"/>
  <c r="BR304" i="1"/>
  <c r="BQ304" i="1"/>
  <c r="BP304" i="1"/>
  <c r="BO304" i="1"/>
  <c r="BN304" i="1"/>
  <c r="BM304" i="1"/>
  <c r="BL304" i="1"/>
  <c r="BK304" i="1"/>
  <c r="BJ304" i="1"/>
  <c r="BI304" i="1"/>
  <c r="BH304" i="1"/>
  <c r="BG304" i="1"/>
  <c r="BF304" i="1"/>
  <c r="BE304" i="1"/>
  <c r="BD304" i="1"/>
  <c r="BC304" i="1"/>
  <c r="BB304" i="1"/>
  <c r="BA304" i="1"/>
  <c r="AZ304" i="1"/>
  <c r="AY304" i="1"/>
  <c r="AX304" i="1"/>
  <c r="AW304" i="1"/>
  <c r="AV304" i="1"/>
  <c r="AU304" i="1"/>
  <c r="AT304" i="1"/>
  <c r="AS304" i="1"/>
  <c r="AR304" i="1"/>
  <c r="AQ304" i="1"/>
  <c r="AP304" i="1"/>
  <c r="AO304" i="1"/>
  <c r="AE304" i="1"/>
  <c r="BS303" i="1"/>
  <c r="BR303" i="1"/>
  <c r="BQ303" i="1"/>
  <c r="BP303" i="1"/>
  <c r="BO303" i="1"/>
  <c r="BN303" i="1"/>
  <c r="BM303" i="1"/>
  <c r="BL303" i="1"/>
  <c r="BK303" i="1"/>
  <c r="BJ303" i="1"/>
  <c r="BI303" i="1"/>
  <c r="BH303" i="1"/>
  <c r="BG303" i="1"/>
  <c r="BF303" i="1"/>
  <c r="BE303" i="1"/>
  <c r="BD303" i="1"/>
  <c r="BC303" i="1"/>
  <c r="BB303" i="1"/>
  <c r="BA303" i="1"/>
  <c r="AZ303" i="1"/>
  <c r="AY303" i="1"/>
  <c r="AX303" i="1"/>
  <c r="AW303" i="1"/>
  <c r="AV303" i="1"/>
  <c r="AU303" i="1"/>
  <c r="AT303" i="1"/>
  <c r="AS303" i="1"/>
  <c r="AR303" i="1"/>
  <c r="AQ303" i="1"/>
  <c r="AP303" i="1"/>
  <c r="AO303" i="1"/>
  <c r="AE303" i="1"/>
  <c r="BS302" i="1"/>
  <c r="BR302" i="1"/>
  <c r="BQ302" i="1"/>
  <c r="BP302" i="1"/>
  <c r="BO302" i="1"/>
  <c r="BN302" i="1"/>
  <c r="BM302" i="1"/>
  <c r="BL302" i="1"/>
  <c r="BK302" i="1"/>
  <c r="BJ302" i="1"/>
  <c r="BI302" i="1"/>
  <c r="BH302" i="1"/>
  <c r="BG302" i="1"/>
  <c r="BF302" i="1"/>
  <c r="BE302" i="1"/>
  <c r="BD302" i="1"/>
  <c r="BC302" i="1"/>
  <c r="BB302" i="1"/>
  <c r="BA302" i="1"/>
  <c r="AZ302" i="1"/>
  <c r="AY302" i="1"/>
  <c r="AX302" i="1"/>
  <c r="AW302" i="1"/>
  <c r="AV302" i="1"/>
  <c r="AU302" i="1"/>
  <c r="AT302" i="1"/>
  <c r="AS302" i="1"/>
  <c r="AR302" i="1"/>
  <c r="AQ302" i="1"/>
  <c r="AP302" i="1"/>
  <c r="AO302" i="1"/>
  <c r="AE302" i="1"/>
  <c r="BS301" i="1"/>
  <c r="BR301" i="1"/>
  <c r="BQ301" i="1"/>
  <c r="BP301" i="1"/>
  <c r="BO301" i="1"/>
  <c r="BN301" i="1"/>
  <c r="BM301" i="1"/>
  <c r="BL301" i="1"/>
  <c r="BK301" i="1"/>
  <c r="BJ301" i="1"/>
  <c r="BI301" i="1"/>
  <c r="BH301" i="1"/>
  <c r="BG301" i="1"/>
  <c r="BF301" i="1"/>
  <c r="BE301" i="1"/>
  <c r="BD301" i="1"/>
  <c r="BC301" i="1"/>
  <c r="BB301" i="1"/>
  <c r="BA301" i="1"/>
  <c r="AZ301" i="1"/>
  <c r="AY301" i="1"/>
  <c r="AX301" i="1"/>
  <c r="AW301" i="1"/>
  <c r="AV301" i="1"/>
  <c r="AU301" i="1"/>
  <c r="AT301" i="1"/>
  <c r="AS301" i="1"/>
  <c r="AR301" i="1"/>
  <c r="AQ301" i="1"/>
  <c r="AP301" i="1"/>
  <c r="AO301" i="1"/>
  <c r="AE301" i="1"/>
  <c r="BS300" i="1"/>
  <c r="BR300" i="1"/>
  <c r="BQ300" i="1"/>
  <c r="BP300" i="1"/>
  <c r="BO300" i="1"/>
  <c r="BN300" i="1"/>
  <c r="BM300" i="1"/>
  <c r="BL300" i="1"/>
  <c r="BK300" i="1"/>
  <c r="BJ300" i="1"/>
  <c r="BI300" i="1"/>
  <c r="BH300" i="1"/>
  <c r="BG300" i="1"/>
  <c r="BF300" i="1"/>
  <c r="BE300" i="1"/>
  <c r="BD300" i="1"/>
  <c r="BC300" i="1"/>
  <c r="BB300" i="1"/>
  <c r="BA300" i="1"/>
  <c r="AZ300" i="1"/>
  <c r="AY300" i="1"/>
  <c r="AX300" i="1"/>
  <c r="AW300" i="1"/>
  <c r="AV300" i="1"/>
  <c r="AU300" i="1"/>
  <c r="AT300" i="1"/>
  <c r="AS300" i="1"/>
  <c r="AR300" i="1"/>
  <c r="AQ300" i="1"/>
  <c r="AP300" i="1"/>
  <c r="AO300" i="1"/>
  <c r="AE300" i="1"/>
  <c r="BS299" i="1"/>
  <c r="BR299" i="1"/>
  <c r="BQ299" i="1"/>
  <c r="BP299" i="1"/>
  <c r="BO299" i="1"/>
  <c r="BN299" i="1"/>
  <c r="BM299" i="1"/>
  <c r="BL299" i="1"/>
  <c r="BK299" i="1"/>
  <c r="BJ299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AT299" i="1"/>
  <c r="AS299" i="1"/>
  <c r="AR299" i="1"/>
  <c r="AQ299" i="1"/>
  <c r="AP299" i="1"/>
  <c r="AO299" i="1"/>
  <c r="AE299" i="1"/>
  <c r="BS298" i="1"/>
  <c r="BR298" i="1"/>
  <c r="BQ298" i="1"/>
  <c r="BP298" i="1"/>
  <c r="BO298" i="1"/>
  <c r="BN298" i="1"/>
  <c r="BM298" i="1"/>
  <c r="BL298" i="1"/>
  <c r="BK298" i="1"/>
  <c r="BJ298" i="1"/>
  <c r="BI298" i="1"/>
  <c r="BH298" i="1"/>
  <c r="BG298" i="1"/>
  <c r="BF298" i="1"/>
  <c r="BE298" i="1"/>
  <c r="BD298" i="1"/>
  <c r="BC298" i="1"/>
  <c r="BB298" i="1"/>
  <c r="BA298" i="1"/>
  <c r="AZ298" i="1"/>
  <c r="AY298" i="1"/>
  <c r="AX298" i="1"/>
  <c r="AW298" i="1"/>
  <c r="AV298" i="1"/>
  <c r="AU298" i="1"/>
  <c r="AT298" i="1"/>
  <c r="AS298" i="1"/>
  <c r="AR298" i="1"/>
  <c r="AQ298" i="1"/>
  <c r="AP298" i="1"/>
  <c r="AO298" i="1"/>
  <c r="AE298" i="1"/>
  <c r="BS297" i="1"/>
  <c r="BR297" i="1"/>
  <c r="BQ297" i="1"/>
  <c r="BP297" i="1"/>
  <c r="BO297" i="1"/>
  <c r="BN297" i="1"/>
  <c r="BM297" i="1"/>
  <c r="BL297" i="1"/>
  <c r="BK297" i="1"/>
  <c r="BJ297" i="1"/>
  <c r="BI297" i="1"/>
  <c r="BH297" i="1"/>
  <c r="BG297" i="1"/>
  <c r="BF297" i="1"/>
  <c r="BE297" i="1"/>
  <c r="BD297" i="1"/>
  <c r="BC297" i="1"/>
  <c r="BB297" i="1"/>
  <c r="BA297" i="1"/>
  <c r="AZ297" i="1"/>
  <c r="AY297" i="1"/>
  <c r="AX297" i="1"/>
  <c r="AW297" i="1"/>
  <c r="AV297" i="1"/>
  <c r="AU297" i="1"/>
  <c r="AT297" i="1"/>
  <c r="AS297" i="1"/>
  <c r="AR297" i="1"/>
  <c r="AQ297" i="1"/>
  <c r="AP297" i="1"/>
  <c r="AO297" i="1"/>
  <c r="AE297" i="1"/>
  <c r="BS296" i="1"/>
  <c r="BR296" i="1"/>
  <c r="BQ296" i="1"/>
  <c r="BP296" i="1"/>
  <c r="BO296" i="1"/>
  <c r="BN296" i="1"/>
  <c r="BM296" i="1"/>
  <c r="BL296" i="1"/>
  <c r="BK296" i="1"/>
  <c r="BJ296" i="1"/>
  <c r="BI296" i="1"/>
  <c r="BH296" i="1"/>
  <c r="BG296" i="1"/>
  <c r="BF296" i="1"/>
  <c r="BE296" i="1"/>
  <c r="BD296" i="1"/>
  <c r="BC296" i="1"/>
  <c r="BB296" i="1"/>
  <c r="BA296" i="1"/>
  <c r="AZ296" i="1"/>
  <c r="AY296" i="1"/>
  <c r="AX296" i="1"/>
  <c r="AW296" i="1"/>
  <c r="AV296" i="1"/>
  <c r="AU296" i="1"/>
  <c r="AT296" i="1"/>
  <c r="AS296" i="1"/>
  <c r="AR296" i="1"/>
  <c r="AQ296" i="1"/>
  <c r="AP296" i="1"/>
  <c r="AO296" i="1"/>
  <c r="AE296" i="1"/>
  <c r="BS295" i="1"/>
  <c r="BR295" i="1"/>
  <c r="BQ295" i="1"/>
  <c r="BP295" i="1"/>
  <c r="BO295" i="1"/>
  <c r="BN295" i="1"/>
  <c r="BM295" i="1"/>
  <c r="BL295" i="1"/>
  <c r="BK295" i="1"/>
  <c r="BJ295" i="1"/>
  <c r="BI295" i="1"/>
  <c r="BH295" i="1"/>
  <c r="BG295" i="1"/>
  <c r="BF295" i="1"/>
  <c r="BE295" i="1"/>
  <c r="BD295" i="1"/>
  <c r="BC295" i="1"/>
  <c r="BB295" i="1"/>
  <c r="BA295" i="1"/>
  <c r="AZ295" i="1"/>
  <c r="AY295" i="1"/>
  <c r="AX295" i="1"/>
  <c r="AW295" i="1"/>
  <c r="AV295" i="1"/>
  <c r="AU295" i="1"/>
  <c r="AT295" i="1"/>
  <c r="AS295" i="1"/>
  <c r="AR295" i="1"/>
  <c r="AQ295" i="1"/>
  <c r="AP295" i="1"/>
  <c r="AO295" i="1"/>
  <c r="AE295" i="1"/>
  <c r="BS294" i="1"/>
  <c r="BR294" i="1"/>
  <c r="BQ294" i="1"/>
  <c r="BP294" i="1"/>
  <c r="BO294" i="1"/>
  <c r="BN294" i="1"/>
  <c r="BM294" i="1"/>
  <c r="BL294" i="1"/>
  <c r="BK294" i="1"/>
  <c r="BJ294" i="1"/>
  <c r="BI294" i="1"/>
  <c r="BH294" i="1"/>
  <c r="BG294" i="1"/>
  <c r="BF294" i="1"/>
  <c r="BE294" i="1"/>
  <c r="BD294" i="1"/>
  <c r="BC294" i="1"/>
  <c r="BB294" i="1"/>
  <c r="BA294" i="1"/>
  <c r="AZ294" i="1"/>
  <c r="AY294" i="1"/>
  <c r="AX294" i="1"/>
  <c r="AW294" i="1"/>
  <c r="AV294" i="1"/>
  <c r="AU294" i="1"/>
  <c r="AT294" i="1"/>
  <c r="AS294" i="1"/>
  <c r="AR294" i="1"/>
  <c r="AQ294" i="1"/>
  <c r="AP294" i="1"/>
  <c r="AO294" i="1"/>
  <c r="AE294" i="1"/>
  <c r="BS293" i="1"/>
  <c r="BR293" i="1"/>
  <c r="BQ293" i="1"/>
  <c r="BP293" i="1"/>
  <c r="BO293" i="1"/>
  <c r="BN293" i="1"/>
  <c r="BM293" i="1"/>
  <c r="BL293" i="1"/>
  <c r="BK293" i="1"/>
  <c r="BJ293" i="1"/>
  <c r="BI293" i="1"/>
  <c r="BH293" i="1"/>
  <c r="BG293" i="1"/>
  <c r="BF293" i="1"/>
  <c r="BE293" i="1"/>
  <c r="BD293" i="1"/>
  <c r="BC293" i="1"/>
  <c r="BB293" i="1"/>
  <c r="BA293" i="1"/>
  <c r="AZ293" i="1"/>
  <c r="AY293" i="1"/>
  <c r="AX293" i="1"/>
  <c r="AW293" i="1"/>
  <c r="AV293" i="1"/>
  <c r="AU293" i="1"/>
  <c r="AT293" i="1"/>
  <c r="AS293" i="1"/>
  <c r="AR293" i="1"/>
  <c r="AQ293" i="1"/>
  <c r="AP293" i="1"/>
  <c r="AO293" i="1"/>
  <c r="AE293" i="1"/>
  <c r="BS292" i="1"/>
  <c r="BR292" i="1"/>
  <c r="BQ292" i="1"/>
  <c r="BP292" i="1"/>
  <c r="BO292" i="1"/>
  <c r="BN292" i="1"/>
  <c r="BM292" i="1"/>
  <c r="BL292" i="1"/>
  <c r="BK292" i="1"/>
  <c r="BJ292" i="1"/>
  <c r="BI292" i="1"/>
  <c r="BH292" i="1"/>
  <c r="BG292" i="1"/>
  <c r="BF292" i="1"/>
  <c r="BE292" i="1"/>
  <c r="BD292" i="1"/>
  <c r="BC292" i="1"/>
  <c r="BB292" i="1"/>
  <c r="BA292" i="1"/>
  <c r="AZ292" i="1"/>
  <c r="AY292" i="1"/>
  <c r="AX292" i="1"/>
  <c r="AW292" i="1"/>
  <c r="AV292" i="1"/>
  <c r="AU292" i="1"/>
  <c r="AT292" i="1"/>
  <c r="AS292" i="1"/>
  <c r="AR292" i="1"/>
  <c r="AQ292" i="1"/>
  <c r="AP292" i="1"/>
  <c r="AO292" i="1"/>
  <c r="AE292" i="1"/>
  <c r="BS291" i="1"/>
  <c r="BR291" i="1"/>
  <c r="BQ291" i="1"/>
  <c r="BP291" i="1"/>
  <c r="BO291" i="1"/>
  <c r="BN291" i="1"/>
  <c r="BM291" i="1"/>
  <c r="BL291" i="1"/>
  <c r="BK291" i="1"/>
  <c r="BJ291" i="1"/>
  <c r="BI291" i="1"/>
  <c r="BH291" i="1"/>
  <c r="BG291" i="1"/>
  <c r="BF291" i="1"/>
  <c r="BE291" i="1"/>
  <c r="BD291" i="1"/>
  <c r="BC291" i="1"/>
  <c r="BB291" i="1"/>
  <c r="BA291" i="1"/>
  <c r="AZ291" i="1"/>
  <c r="AY291" i="1"/>
  <c r="AX291" i="1"/>
  <c r="AW291" i="1"/>
  <c r="AV291" i="1"/>
  <c r="AU291" i="1"/>
  <c r="AT291" i="1"/>
  <c r="AS291" i="1"/>
  <c r="AR291" i="1"/>
  <c r="AQ291" i="1"/>
  <c r="AP291" i="1"/>
  <c r="AO291" i="1"/>
  <c r="AE291" i="1"/>
  <c r="BS290" i="1"/>
  <c r="BR290" i="1"/>
  <c r="BQ290" i="1"/>
  <c r="BP290" i="1"/>
  <c r="BO290" i="1"/>
  <c r="BN290" i="1"/>
  <c r="BM290" i="1"/>
  <c r="BL290" i="1"/>
  <c r="BK290" i="1"/>
  <c r="BJ290" i="1"/>
  <c r="BI290" i="1"/>
  <c r="BH290" i="1"/>
  <c r="BG290" i="1"/>
  <c r="BF290" i="1"/>
  <c r="BE290" i="1"/>
  <c r="BD290" i="1"/>
  <c r="BC290" i="1"/>
  <c r="BB290" i="1"/>
  <c r="BA290" i="1"/>
  <c r="AZ290" i="1"/>
  <c r="AY290" i="1"/>
  <c r="AX290" i="1"/>
  <c r="AW290" i="1"/>
  <c r="AV290" i="1"/>
  <c r="AU290" i="1"/>
  <c r="AT290" i="1"/>
  <c r="AS290" i="1"/>
  <c r="AR290" i="1"/>
  <c r="AQ290" i="1"/>
  <c r="AP290" i="1"/>
  <c r="AO290" i="1"/>
  <c r="AE290" i="1"/>
  <c r="BS289" i="1"/>
  <c r="BR289" i="1"/>
  <c r="BQ289" i="1"/>
  <c r="BP289" i="1"/>
  <c r="BO289" i="1"/>
  <c r="BN289" i="1"/>
  <c r="BM289" i="1"/>
  <c r="BL289" i="1"/>
  <c r="BK289" i="1"/>
  <c r="BJ289" i="1"/>
  <c r="BI289" i="1"/>
  <c r="BH289" i="1"/>
  <c r="BG289" i="1"/>
  <c r="BF289" i="1"/>
  <c r="BE289" i="1"/>
  <c r="BD289" i="1"/>
  <c r="BC289" i="1"/>
  <c r="BB289" i="1"/>
  <c r="BA289" i="1"/>
  <c r="AZ289" i="1"/>
  <c r="AY289" i="1"/>
  <c r="AX289" i="1"/>
  <c r="AW289" i="1"/>
  <c r="AV289" i="1"/>
  <c r="AU289" i="1"/>
  <c r="AT289" i="1"/>
  <c r="AS289" i="1"/>
  <c r="AR289" i="1"/>
  <c r="AQ289" i="1"/>
  <c r="AP289" i="1"/>
  <c r="AO289" i="1"/>
  <c r="AE289" i="1"/>
  <c r="BS288" i="1"/>
  <c r="BR288" i="1"/>
  <c r="BQ288" i="1"/>
  <c r="BP288" i="1"/>
  <c r="BO288" i="1"/>
  <c r="BN288" i="1"/>
  <c r="BM288" i="1"/>
  <c r="BL288" i="1"/>
  <c r="BK288" i="1"/>
  <c r="BJ288" i="1"/>
  <c r="BI288" i="1"/>
  <c r="BH288" i="1"/>
  <c r="BG288" i="1"/>
  <c r="BF288" i="1"/>
  <c r="BE288" i="1"/>
  <c r="BD288" i="1"/>
  <c r="BC288" i="1"/>
  <c r="BB288" i="1"/>
  <c r="BA288" i="1"/>
  <c r="AZ288" i="1"/>
  <c r="AY288" i="1"/>
  <c r="AX288" i="1"/>
  <c r="AW288" i="1"/>
  <c r="AV288" i="1"/>
  <c r="AU288" i="1"/>
  <c r="AT288" i="1"/>
  <c r="AS288" i="1"/>
  <c r="AR288" i="1"/>
  <c r="AQ288" i="1"/>
  <c r="AP288" i="1"/>
  <c r="AO288" i="1"/>
  <c r="AE288" i="1"/>
  <c r="BS287" i="1"/>
  <c r="BR287" i="1"/>
  <c r="BQ287" i="1"/>
  <c r="BP287" i="1"/>
  <c r="BO287" i="1"/>
  <c r="BN287" i="1"/>
  <c r="BM287" i="1"/>
  <c r="BL287" i="1"/>
  <c r="BK287" i="1"/>
  <c r="BJ287" i="1"/>
  <c r="BI287" i="1"/>
  <c r="BH287" i="1"/>
  <c r="BG287" i="1"/>
  <c r="BF287" i="1"/>
  <c r="BE287" i="1"/>
  <c r="BD287" i="1"/>
  <c r="BC287" i="1"/>
  <c r="BB287" i="1"/>
  <c r="BA287" i="1"/>
  <c r="AZ287" i="1"/>
  <c r="AY287" i="1"/>
  <c r="AX287" i="1"/>
  <c r="AW287" i="1"/>
  <c r="AV287" i="1"/>
  <c r="AU287" i="1"/>
  <c r="AT287" i="1"/>
  <c r="AS287" i="1"/>
  <c r="AR287" i="1"/>
  <c r="AQ287" i="1"/>
  <c r="AP287" i="1"/>
  <c r="AO287" i="1"/>
  <c r="AE287" i="1"/>
  <c r="BS286" i="1"/>
  <c r="BR286" i="1"/>
  <c r="BQ286" i="1"/>
  <c r="BP286" i="1"/>
  <c r="BO286" i="1"/>
  <c r="BN286" i="1"/>
  <c r="BM286" i="1"/>
  <c r="BL286" i="1"/>
  <c r="BK286" i="1"/>
  <c r="BJ286" i="1"/>
  <c r="BI286" i="1"/>
  <c r="BH286" i="1"/>
  <c r="BG286" i="1"/>
  <c r="BF286" i="1"/>
  <c r="BE286" i="1"/>
  <c r="BD286" i="1"/>
  <c r="BC286" i="1"/>
  <c r="BB286" i="1"/>
  <c r="BA286" i="1"/>
  <c r="AZ286" i="1"/>
  <c r="AY286" i="1"/>
  <c r="AX286" i="1"/>
  <c r="AW286" i="1"/>
  <c r="AV286" i="1"/>
  <c r="AU286" i="1"/>
  <c r="AT286" i="1"/>
  <c r="AS286" i="1"/>
  <c r="AR286" i="1"/>
  <c r="AQ286" i="1"/>
  <c r="AP286" i="1"/>
  <c r="AO286" i="1"/>
  <c r="AE286" i="1"/>
  <c r="BS285" i="1"/>
  <c r="BR285" i="1"/>
  <c r="BQ285" i="1"/>
  <c r="BP285" i="1"/>
  <c r="BO285" i="1"/>
  <c r="BN285" i="1"/>
  <c r="BM285" i="1"/>
  <c r="BL285" i="1"/>
  <c r="BK285" i="1"/>
  <c r="BJ285" i="1"/>
  <c r="BI285" i="1"/>
  <c r="BH285" i="1"/>
  <c r="BG285" i="1"/>
  <c r="BF285" i="1"/>
  <c r="BE285" i="1"/>
  <c r="BD285" i="1"/>
  <c r="BC285" i="1"/>
  <c r="BB285" i="1"/>
  <c r="BA285" i="1"/>
  <c r="AZ285" i="1"/>
  <c r="AY285" i="1"/>
  <c r="AX285" i="1"/>
  <c r="AW285" i="1"/>
  <c r="AV285" i="1"/>
  <c r="AU285" i="1"/>
  <c r="AT285" i="1"/>
  <c r="AS285" i="1"/>
  <c r="AR285" i="1"/>
  <c r="AQ285" i="1"/>
  <c r="AP285" i="1"/>
  <c r="AO285" i="1"/>
  <c r="AE285" i="1"/>
  <c r="BS284" i="1"/>
  <c r="BR284" i="1"/>
  <c r="BQ284" i="1"/>
  <c r="BP284" i="1"/>
  <c r="BO284" i="1"/>
  <c r="BN284" i="1"/>
  <c r="BM284" i="1"/>
  <c r="BL284" i="1"/>
  <c r="BK284" i="1"/>
  <c r="BJ284" i="1"/>
  <c r="BI284" i="1"/>
  <c r="BH284" i="1"/>
  <c r="BG284" i="1"/>
  <c r="BF284" i="1"/>
  <c r="BE284" i="1"/>
  <c r="BD284" i="1"/>
  <c r="BC284" i="1"/>
  <c r="BB284" i="1"/>
  <c r="BA284" i="1"/>
  <c r="AZ284" i="1"/>
  <c r="AY284" i="1"/>
  <c r="AX284" i="1"/>
  <c r="AW284" i="1"/>
  <c r="AV284" i="1"/>
  <c r="AU284" i="1"/>
  <c r="AT284" i="1"/>
  <c r="AS284" i="1"/>
  <c r="AR284" i="1"/>
  <c r="AQ284" i="1"/>
  <c r="AP284" i="1"/>
  <c r="AO284" i="1"/>
  <c r="AE284" i="1"/>
  <c r="BS283" i="1"/>
  <c r="BR283" i="1"/>
  <c r="BQ283" i="1"/>
  <c r="BP283" i="1"/>
  <c r="BO283" i="1"/>
  <c r="BN283" i="1"/>
  <c r="BM283" i="1"/>
  <c r="BL283" i="1"/>
  <c r="BK283" i="1"/>
  <c r="BJ283" i="1"/>
  <c r="BI283" i="1"/>
  <c r="BH283" i="1"/>
  <c r="BG283" i="1"/>
  <c r="BF283" i="1"/>
  <c r="BE283" i="1"/>
  <c r="BD283" i="1"/>
  <c r="BC283" i="1"/>
  <c r="BB283" i="1"/>
  <c r="BA283" i="1"/>
  <c r="AZ283" i="1"/>
  <c r="AY283" i="1"/>
  <c r="AX283" i="1"/>
  <c r="AW283" i="1"/>
  <c r="AV283" i="1"/>
  <c r="AU283" i="1"/>
  <c r="AT283" i="1"/>
  <c r="AS283" i="1"/>
  <c r="AR283" i="1"/>
  <c r="AQ283" i="1"/>
  <c r="AP283" i="1"/>
  <c r="AO283" i="1"/>
  <c r="AE283" i="1"/>
  <c r="BS282" i="1"/>
  <c r="BR282" i="1"/>
  <c r="BQ282" i="1"/>
  <c r="BP282" i="1"/>
  <c r="BO282" i="1"/>
  <c r="BN282" i="1"/>
  <c r="BM282" i="1"/>
  <c r="BL282" i="1"/>
  <c r="BK282" i="1"/>
  <c r="BJ282" i="1"/>
  <c r="BI282" i="1"/>
  <c r="BH282" i="1"/>
  <c r="BG282" i="1"/>
  <c r="BF282" i="1"/>
  <c r="BE282" i="1"/>
  <c r="BD282" i="1"/>
  <c r="BC282" i="1"/>
  <c r="BB282" i="1"/>
  <c r="BA282" i="1"/>
  <c r="AZ282" i="1"/>
  <c r="AY282" i="1"/>
  <c r="AX282" i="1"/>
  <c r="AW282" i="1"/>
  <c r="AV282" i="1"/>
  <c r="AU282" i="1"/>
  <c r="AT282" i="1"/>
  <c r="AS282" i="1"/>
  <c r="AR282" i="1"/>
  <c r="AQ282" i="1"/>
  <c r="AP282" i="1"/>
  <c r="AO282" i="1"/>
  <c r="AE282" i="1"/>
  <c r="BS281" i="1"/>
  <c r="BR281" i="1"/>
  <c r="BQ281" i="1"/>
  <c r="BP281" i="1"/>
  <c r="BO281" i="1"/>
  <c r="BN281" i="1"/>
  <c r="BM281" i="1"/>
  <c r="BL281" i="1"/>
  <c r="BK281" i="1"/>
  <c r="BJ281" i="1"/>
  <c r="BI281" i="1"/>
  <c r="BH281" i="1"/>
  <c r="BG281" i="1"/>
  <c r="BF281" i="1"/>
  <c r="BE281" i="1"/>
  <c r="BD281" i="1"/>
  <c r="BC281" i="1"/>
  <c r="BB281" i="1"/>
  <c r="BA281" i="1"/>
  <c r="AZ281" i="1"/>
  <c r="AY281" i="1"/>
  <c r="AX281" i="1"/>
  <c r="AW281" i="1"/>
  <c r="AV281" i="1"/>
  <c r="AU281" i="1"/>
  <c r="AT281" i="1"/>
  <c r="AS281" i="1"/>
  <c r="AR281" i="1"/>
  <c r="AQ281" i="1"/>
  <c r="AP281" i="1"/>
  <c r="AO281" i="1"/>
  <c r="AE281" i="1"/>
  <c r="BS280" i="1"/>
  <c r="BR280" i="1"/>
  <c r="BQ280" i="1"/>
  <c r="BP280" i="1"/>
  <c r="BO280" i="1"/>
  <c r="BN280" i="1"/>
  <c r="BM280" i="1"/>
  <c r="BL280" i="1"/>
  <c r="BK280" i="1"/>
  <c r="BJ280" i="1"/>
  <c r="BI280" i="1"/>
  <c r="BH280" i="1"/>
  <c r="BG280" i="1"/>
  <c r="BF280" i="1"/>
  <c r="BE280" i="1"/>
  <c r="BD280" i="1"/>
  <c r="BC280" i="1"/>
  <c r="BB280" i="1"/>
  <c r="BA280" i="1"/>
  <c r="AZ280" i="1"/>
  <c r="AY280" i="1"/>
  <c r="AX280" i="1"/>
  <c r="AW280" i="1"/>
  <c r="AV280" i="1"/>
  <c r="AU280" i="1"/>
  <c r="AT280" i="1"/>
  <c r="AS280" i="1"/>
  <c r="AR280" i="1"/>
  <c r="AQ280" i="1"/>
  <c r="AP280" i="1"/>
  <c r="AO280" i="1"/>
  <c r="AE280" i="1"/>
  <c r="BS279" i="1"/>
  <c r="BR279" i="1"/>
  <c r="BQ279" i="1"/>
  <c r="BP279" i="1"/>
  <c r="BO279" i="1"/>
  <c r="BN279" i="1"/>
  <c r="BM279" i="1"/>
  <c r="BL279" i="1"/>
  <c r="BK279" i="1"/>
  <c r="BJ279" i="1"/>
  <c r="BI279" i="1"/>
  <c r="BH279" i="1"/>
  <c r="BG279" i="1"/>
  <c r="BF279" i="1"/>
  <c r="BE279" i="1"/>
  <c r="BD279" i="1"/>
  <c r="BC279" i="1"/>
  <c r="BB279" i="1"/>
  <c r="BA279" i="1"/>
  <c r="AZ279" i="1"/>
  <c r="AY279" i="1"/>
  <c r="AX279" i="1"/>
  <c r="AW279" i="1"/>
  <c r="AV279" i="1"/>
  <c r="AU279" i="1"/>
  <c r="AT279" i="1"/>
  <c r="AS279" i="1"/>
  <c r="AR279" i="1"/>
  <c r="AQ279" i="1"/>
  <c r="AP279" i="1"/>
  <c r="AO279" i="1"/>
  <c r="AE279" i="1"/>
  <c r="BS278" i="1"/>
  <c r="BR278" i="1"/>
  <c r="BQ278" i="1"/>
  <c r="BP278" i="1"/>
  <c r="BO278" i="1"/>
  <c r="BN278" i="1"/>
  <c r="BM278" i="1"/>
  <c r="BL278" i="1"/>
  <c r="BK278" i="1"/>
  <c r="BJ278" i="1"/>
  <c r="BI278" i="1"/>
  <c r="BH278" i="1"/>
  <c r="BG278" i="1"/>
  <c r="BF278" i="1"/>
  <c r="BE278" i="1"/>
  <c r="BD278" i="1"/>
  <c r="BC278" i="1"/>
  <c r="BB278" i="1"/>
  <c r="BA278" i="1"/>
  <c r="AZ278" i="1"/>
  <c r="AY278" i="1"/>
  <c r="AX278" i="1"/>
  <c r="AW278" i="1"/>
  <c r="AV278" i="1"/>
  <c r="AU278" i="1"/>
  <c r="AT278" i="1"/>
  <c r="AS278" i="1"/>
  <c r="AR278" i="1"/>
  <c r="AQ278" i="1"/>
  <c r="AP278" i="1"/>
  <c r="AO278" i="1"/>
  <c r="AE278" i="1"/>
  <c r="BS277" i="1"/>
  <c r="BR277" i="1"/>
  <c r="BQ277" i="1"/>
  <c r="BP277" i="1"/>
  <c r="BO277" i="1"/>
  <c r="BN277" i="1"/>
  <c r="BM277" i="1"/>
  <c r="BL277" i="1"/>
  <c r="BK277" i="1"/>
  <c r="BJ277" i="1"/>
  <c r="BI277" i="1"/>
  <c r="BH277" i="1"/>
  <c r="BG277" i="1"/>
  <c r="BF277" i="1"/>
  <c r="BE277" i="1"/>
  <c r="BD277" i="1"/>
  <c r="BC277" i="1"/>
  <c r="BB277" i="1"/>
  <c r="BA277" i="1"/>
  <c r="AZ277" i="1"/>
  <c r="AY277" i="1"/>
  <c r="AX277" i="1"/>
  <c r="AW277" i="1"/>
  <c r="AV277" i="1"/>
  <c r="AU277" i="1"/>
  <c r="AT277" i="1"/>
  <c r="AS277" i="1"/>
  <c r="AR277" i="1"/>
  <c r="AQ277" i="1"/>
  <c r="AP277" i="1"/>
  <c r="AO277" i="1"/>
  <c r="AE277" i="1"/>
  <c r="BS276" i="1"/>
  <c r="BR276" i="1"/>
  <c r="BQ276" i="1"/>
  <c r="BP276" i="1"/>
  <c r="BO276" i="1"/>
  <c r="BN276" i="1"/>
  <c r="BM276" i="1"/>
  <c r="BL276" i="1"/>
  <c r="BK276" i="1"/>
  <c r="BJ276" i="1"/>
  <c r="BI276" i="1"/>
  <c r="BH276" i="1"/>
  <c r="BG276" i="1"/>
  <c r="BF276" i="1"/>
  <c r="BE276" i="1"/>
  <c r="BD276" i="1"/>
  <c r="BC276" i="1"/>
  <c r="BB276" i="1"/>
  <c r="BA276" i="1"/>
  <c r="AZ276" i="1"/>
  <c r="AY276" i="1"/>
  <c r="AX276" i="1"/>
  <c r="AW276" i="1"/>
  <c r="AV276" i="1"/>
  <c r="AU276" i="1"/>
  <c r="AT276" i="1"/>
  <c r="AS276" i="1"/>
  <c r="AR276" i="1"/>
  <c r="AQ276" i="1"/>
  <c r="AP276" i="1"/>
  <c r="AO276" i="1"/>
  <c r="AE276" i="1"/>
  <c r="BS275" i="1"/>
  <c r="BR275" i="1"/>
  <c r="BQ275" i="1"/>
  <c r="BP275" i="1"/>
  <c r="BO275" i="1"/>
  <c r="BN275" i="1"/>
  <c r="BM275" i="1"/>
  <c r="BL275" i="1"/>
  <c r="BK275" i="1"/>
  <c r="BJ275" i="1"/>
  <c r="BI275" i="1"/>
  <c r="BH275" i="1"/>
  <c r="BG275" i="1"/>
  <c r="BF275" i="1"/>
  <c r="BE275" i="1"/>
  <c r="BD275" i="1"/>
  <c r="BC275" i="1"/>
  <c r="BB275" i="1"/>
  <c r="BA275" i="1"/>
  <c r="AZ275" i="1"/>
  <c r="AY275" i="1"/>
  <c r="AX275" i="1"/>
  <c r="AW275" i="1"/>
  <c r="AV275" i="1"/>
  <c r="AU275" i="1"/>
  <c r="AT275" i="1"/>
  <c r="AS275" i="1"/>
  <c r="AR275" i="1"/>
  <c r="AQ275" i="1"/>
  <c r="AP275" i="1"/>
  <c r="AO275" i="1"/>
  <c r="AE275" i="1"/>
  <c r="BS274" i="1"/>
  <c r="BR274" i="1"/>
  <c r="BQ274" i="1"/>
  <c r="BP274" i="1"/>
  <c r="BO274" i="1"/>
  <c r="BN274" i="1"/>
  <c r="BM274" i="1"/>
  <c r="BL274" i="1"/>
  <c r="BK274" i="1"/>
  <c r="BJ274" i="1"/>
  <c r="BI274" i="1"/>
  <c r="BH274" i="1"/>
  <c r="BG274" i="1"/>
  <c r="BF274" i="1"/>
  <c r="BE274" i="1"/>
  <c r="BD274" i="1"/>
  <c r="BC274" i="1"/>
  <c r="BB274" i="1"/>
  <c r="BA274" i="1"/>
  <c r="AZ274" i="1"/>
  <c r="AY274" i="1"/>
  <c r="AX274" i="1"/>
  <c r="AW274" i="1"/>
  <c r="AV274" i="1"/>
  <c r="AU274" i="1"/>
  <c r="AT274" i="1"/>
  <c r="AS274" i="1"/>
  <c r="AR274" i="1"/>
  <c r="AQ274" i="1"/>
  <c r="AP274" i="1"/>
  <c r="AO274" i="1"/>
  <c r="AE274" i="1"/>
  <c r="BS273" i="1"/>
  <c r="BR273" i="1"/>
  <c r="BQ273" i="1"/>
  <c r="BP273" i="1"/>
  <c r="BO273" i="1"/>
  <c r="BN273" i="1"/>
  <c r="BM273" i="1"/>
  <c r="BL273" i="1"/>
  <c r="BK273" i="1"/>
  <c r="BJ273" i="1"/>
  <c r="BI273" i="1"/>
  <c r="BH273" i="1"/>
  <c r="BG273" i="1"/>
  <c r="BF273" i="1"/>
  <c r="BE273" i="1"/>
  <c r="BD273" i="1"/>
  <c r="BC273" i="1"/>
  <c r="BB273" i="1"/>
  <c r="BA273" i="1"/>
  <c r="AZ273" i="1"/>
  <c r="AY273" i="1"/>
  <c r="AX273" i="1"/>
  <c r="AW273" i="1"/>
  <c r="AV273" i="1"/>
  <c r="AU273" i="1"/>
  <c r="AT273" i="1"/>
  <c r="AS273" i="1"/>
  <c r="AR273" i="1"/>
  <c r="AQ273" i="1"/>
  <c r="AP273" i="1"/>
  <c r="AO273" i="1"/>
  <c r="AE273" i="1"/>
  <c r="BS272" i="1"/>
  <c r="BR272" i="1"/>
  <c r="BQ272" i="1"/>
  <c r="BP272" i="1"/>
  <c r="BO272" i="1"/>
  <c r="BN272" i="1"/>
  <c r="BM272" i="1"/>
  <c r="BL272" i="1"/>
  <c r="BK272" i="1"/>
  <c r="BJ272" i="1"/>
  <c r="BI272" i="1"/>
  <c r="BH272" i="1"/>
  <c r="BG272" i="1"/>
  <c r="BF272" i="1"/>
  <c r="BE272" i="1"/>
  <c r="BD272" i="1"/>
  <c r="BC272" i="1"/>
  <c r="BB272" i="1"/>
  <c r="BA272" i="1"/>
  <c r="AZ272" i="1"/>
  <c r="AY272" i="1"/>
  <c r="AX272" i="1"/>
  <c r="AW272" i="1"/>
  <c r="AV272" i="1"/>
  <c r="AU272" i="1"/>
  <c r="AT272" i="1"/>
  <c r="AS272" i="1"/>
  <c r="AR272" i="1"/>
  <c r="AQ272" i="1"/>
  <c r="AP272" i="1"/>
  <c r="AO272" i="1"/>
  <c r="AE272" i="1"/>
  <c r="BS271" i="1"/>
  <c r="BR271" i="1"/>
  <c r="BQ271" i="1"/>
  <c r="BP271" i="1"/>
  <c r="BO271" i="1"/>
  <c r="BN271" i="1"/>
  <c r="BM271" i="1"/>
  <c r="BL271" i="1"/>
  <c r="BK271" i="1"/>
  <c r="BJ271" i="1"/>
  <c r="BI271" i="1"/>
  <c r="BH271" i="1"/>
  <c r="BG271" i="1"/>
  <c r="BF271" i="1"/>
  <c r="BE271" i="1"/>
  <c r="BD271" i="1"/>
  <c r="BC271" i="1"/>
  <c r="BB271" i="1"/>
  <c r="BA271" i="1"/>
  <c r="AZ271" i="1"/>
  <c r="AY271" i="1"/>
  <c r="AX271" i="1"/>
  <c r="AW271" i="1"/>
  <c r="AV271" i="1"/>
  <c r="AU271" i="1"/>
  <c r="AT271" i="1"/>
  <c r="AS271" i="1"/>
  <c r="AR271" i="1"/>
  <c r="AQ271" i="1"/>
  <c r="AP271" i="1"/>
  <c r="AO271" i="1"/>
  <c r="AE271" i="1"/>
  <c r="BS270" i="1"/>
  <c r="BR270" i="1"/>
  <c r="BQ270" i="1"/>
  <c r="BP270" i="1"/>
  <c r="BO270" i="1"/>
  <c r="BN270" i="1"/>
  <c r="BM270" i="1"/>
  <c r="BL270" i="1"/>
  <c r="BK270" i="1"/>
  <c r="BJ270" i="1"/>
  <c r="BI270" i="1"/>
  <c r="BH270" i="1"/>
  <c r="BG270" i="1"/>
  <c r="BF270" i="1"/>
  <c r="BE270" i="1"/>
  <c r="BD270" i="1"/>
  <c r="BC270" i="1"/>
  <c r="BB270" i="1"/>
  <c r="BA270" i="1"/>
  <c r="AZ270" i="1"/>
  <c r="AY270" i="1"/>
  <c r="AX270" i="1"/>
  <c r="AW270" i="1"/>
  <c r="AV270" i="1"/>
  <c r="AU270" i="1"/>
  <c r="AT270" i="1"/>
  <c r="AS270" i="1"/>
  <c r="AR270" i="1"/>
  <c r="AQ270" i="1"/>
  <c r="AP270" i="1"/>
  <c r="AO270" i="1"/>
  <c r="AE270" i="1"/>
  <c r="BS269" i="1"/>
  <c r="BR269" i="1"/>
  <c r="BQ269" i="1"/>
  <c r="BP269" i="1"/>
  <c r="BO269" i="1"/>
  <c r="BN269" i="1"/>
  <c r="BM269" i="1"/>
  <c r="BL269" i="1"/>
  <c r="BK269" i="1"/>
  <c r="BJ269" i="1"/>
  <c r="BI269" i="1"/>
  <c r="BH269" i="1"/>
  <c r="BG269" i="1"/>
  <c r="BF269" i="1"/>
  <c r="BE269" i="1"/>
  <c r="BD269" i="1"/>
  <c r="BC269" i="1"/>
  <c r="BB269" i="1"/>
  <c r="BA269" i="1"/>
  <c r="AZ269" i="1"/>
  <c r="AY269" i="1"/>
  <c r="AX269" i="1"/>
  <c r="AW269" i="1"/>
  <c r="AV269" i="1"/>
  <c r="AU269" i="1"/>
  <c r="AT269" i="1"/>
  <c r="AS269" i="1"/>
  <c r="AR269" i="1"/>
  <c r="AQ269" i="1"/>
  <c r="AP269" i="1"/>
  <c r="AO269" i="1"/>
  <c r="AE269" i="1"/>
  <c r="BS268" i="1"/>
  <c r="BR268" i="1"/>
  <c r="BQ268" i="1"/>
  <c r="BP268" i="1"/>
  <c r="BO268" i="1"/>
  <c r="BN268" i="1"/>
  <c r="BM268" i="1"/>
  <c r="BL268" i="1"/>
  <c r="BK268" i="1"/>
  <c r="BJ268" i="1"/>
  <c r="BI268" i="1"/>
  <c r="BH268" i="1"/>
  <c r="BG268" i="1"/>
  <c r="BF268" i="1"/>
  <c r="BE268" i="1"/>
  <c r="BD268" i="1"/>
  <c r="BC268" i="1"/>
  <c r="BB268" i="1"/>
  <c r="BA268" i="1"/>
  <c r="AZ268" i="1"/>
  <c r="AY268" i="1"/>
  <c r="AX268" i="1"/>
  <c r="AW268" i="1"/>
  <c r="AV268" i="1"/>
  <c r="AU268" i="1"/>
  <c r="AT268" i="1"/>
  <c r="AS268" i="1"/>
  <c r="AR268" i="1"/>
  <c r="AQ268" i="1"/>
  <c r="AP268" i="1"/>
  <c r="AO268" i="1"/>
  <c r="AE268" i="1"/>
  <c r="BS267" i="1"/>
  <c r="BR267" i="1"/>
  <c r="BQ267" i="1"/>
  <c r="BP267" i="1"/>
  <c r="BO267" i="1"/>
  <c r="BN267" i="1"/>
  <c r="BM267" i="1"/>
  <c r="BL267" i="1"/>
  <c r="BK267" i="1"/>
  <c r="BJ267" i="1"/>
  <c r="BI267" i="1"/>
  <c r="BH267" i="1"/>
  <c r="BG267" i="1"/>
  <c r="BF267" i="1"/>
  <c r="BE267" i="1"/>
  <c r="BD267" i="1"/>
  <c r="BC267" i="1"/>
  <c r="BB267" i="1"/>
  <c r="BA267" i="1"/>
  <c r="AZ267" i="1"/>
  <c r="AY267" i="1"/>
  <c r="AX267" i="1"/>
  <c r="AW267" i="1"/>
  <c r="AV267" i="1"/>
  <c r="AU267" i="1"/>
  <c r="AT267" i="1"/>
  <c r="AS267" i="1"/>
  <c r="AR267" i="1"/>
  <c r="AQ267" i="1"/>
  <c r="AP267" i="1"/>
  <c r="AO267" i="1"/>
  <c r="AE267" i="1"/>
  <c r="BS266" i="1"/>
  <c r="BR266" i="1"/>
  <c r="BQ266" i="1"/>
  <c r="BP266" i="1"/>
  <c r="BO266" i="1"/>
  <c r="BN266" i="1"/>
  <c r="BM266" i="1"/>
  <c r="BL266" i="1"/>
  <c r="BK266" i="1"/>
  <c r="BJ266" i="1"/>
  <c r="BI266" i="1"/>
  <c r="BH266" i="1"/>
  <c r="BG266" i="1"/>
  <c r="BF266" i="1"/>
  <c r="BE266" i="1"/>
  <c r="BD266" i="1"/>
  <c r="BC266" i="1"/>
  <c r="BB266" i="1"/>
  <c r="BA266" i="1"/>
  <c r="AZ266" i="1"/>
  <c r="AY266" i="1"/>
  <c r="AX266" i="1"/>
  <c r="AW266" i="1"/>
  <c r="AV266" i="1"/>
  <c r="AU266" i="1"/>
  <c r="AT266" i="1"/>
  <c r="AS266" i="1"/>
  <c r="AR266" i="1"/>
  <c r="AQ266" i="1"/>
  <c r="AP266" i="1"/>
  <c r="AO266" i="1"/>
  <c r="AE266" i="1"/>
  <c r="BS265" i="1"/>
  <c r="BR265" i="1"/>
  <c r="BQ265" i="1"/>
  <c r="BP265" i="1"/>
  <c r="BO265" i="1"/>
  <c r="BN265" i="1"/>
  <c r="BM265" i="1"/>
  <c r="BL265" i="1"/>
  <c r="BK265" i="1"/>
  <c r="BJ265" i="1"/>
  <c r="BI265" i="1"/>
  <c r="BH265" i="1"/>
  <c r="BG265" i="1"/>
  <c r="BF265" i="1"/>
  <c r="BE265" i="1"/>
  <c r="BD265" i="1"/>
  <c r="BC265" i="1"/>
  <c r="BB265" i="1"/>
  <c r="BA265" i="1"/>
  <c r="AZ265" i="1"/>
  <c r="AY265" i="1"/>
  <c r="AX265" i="1"/>
  <c r="AW265" i="1"/>
  <c r="AV265" i="1"/>
  <c r="AU265" i="1"/>
  <c r="AT265" i="1"/>
  <c r="AS265" i="1"/>
  <c r="AR265" i="1"/>
  <c r="AQ265" i="1"/>
  <c r="AP265" i="1"/>
  <c r="AO265" i="1"/>
  <c r="AE265" i="1"/>
  <c r="BS264" i="1"/>
  <c r="BR264" i="1"/>
  <c r="BQ264" i="1"/>
  <c r="BP264" i="1"/>
  <c r="BO264" i="1"/>
  <c r="BN264" i="1"/>
  <c r="BM264" i="1"/>
  <c r="BL264" i="1"/>
  <c r="BK264" i="1"/>
  <c r="BJ264" i="1"/>
  <c r="BI264" i="1"/>
  <c r="BH264" i="1"/>
  <c r="BG264" i="1"/>
  <c r="BF264" i="1"/>
  <c r="BE264" i="1"/>
  <c r="BD264" i="1"/>
  <c r="BC264" i="1"/>
  <c r="BB264" i="1"/>
  <c r="BA264" i="1"/>
  <c r="AZ264" i="1"/>
  <c r="AY264" i="1"/>
  <c r="AX264" i="1"/>
  <c r="AW264" i="1"/>
  <c r="AV264" i="1"/>
  <c r="AU264" i="1"/>
  <c r="AT264" i="1"/>
  <c r="AS264" i="1"/>
  <c r="AR264" i="1"/>
  <c r="AQ264" i="1"/>
  <c r="AP264" i="1"/>
  <c r="AO264" i="1"/>
  <c r="AE264" i="1"/>
  <c r="BS263" i="1"/>
  <c r="BR263" i="1"/>
  <c r="BQ263" i="1"/>
  <c r="BP263" i="1"/>
  <c r="BO263" i="1"/>
  <c r="BN263" i="1"/>
  <c r="BM263" i="1"/>
  <c r="BL263" i="1"/>
  <c r="BK263" i="1"/>
  <c r="BJ263" i="1"/>
  <c r="BI263" i="1"/>
  <c r="BH263" i="1"/>
  <c r="BG263" i="1"/>
  <c r="BF263" i="1"/>
  <c r="BE263" i="1"/>
  <c r="BD263" i="1"/>
  <c r="BC263" i="1"/>
  <c r="BB263" i="1"/>
  <c r="BA263" i="1"/>
  <c r="AZ263" i="1"/>
  <c r="AY263" i="1"/>
  <c r="AX263" i="1"/>
  <c r="AW263" i="1"/>
  <c r="AV263" i="1"/>
  <c r="AU263" i="1"/>
  <c r="AT263" i="1"/>
  <c r="AS263" i="1"/>
  <c r="AR263" i="1"/>
  <c r="AQ263" i="1"/>
  <c r="AP263" i="1"/>
  <c r="AO263" i="1"/>
  <c r="AE263" i="1"/>
  <c r="BS262" i="1"/>
  <c r="BR262" i="1"/>
  <c r="BQ262" i="1"/>
  <c r="BP262" i="1"/>
  <c r="BO262" i="1"/>
  <c r="BN262" i="1"/>
  <c r="BM262" i="1"/>
  <c r="BL262" i="1"/>
  <c r="BK262" i="1"/>
  <c r="BJ262" i="1"/>
  <c r="BI262" i="1"/>
  <c r="BH262" i="1"/>
  <c r="BG262" i="1"/>
  <c r="BF262" i="1"/>
  <c r="BE262" i="1"/>
  <c r="BD262" i="1"/>
  <c r="BC262" i="1"/>
  <c r="BB262" i="1"/>
  <c r="BA262" i="1"/>
  <c r="AZ262" i="1"/>
  <c r="AY262" i="1"/>
  <c r="AX262" i="1"/>
  <c r="AW262" i="1"/>
  <c r="AV262" i="1"/>
  <c r="AU262" i="1"/>
  <c r="AT262" i="1"/>
  <c r="AS262" i="1"/>
  <c r="AR262" i="1"/>
  <c r="AQ262" i="1"/>
  <c r="AP262" i="1"/>
  <c r="AO262" i="1"/>
  <c r="AE262" i="1"/>
  <c r="BS261" i="1"/>
  <c r="BR261" i="1"/>
  <c r="BQ261" i="1"/>
  <c r="BP261" i="1"/>
  <c r="BO261" i="1"/>
  <c r="BN261" i="1"/>
  <c r="BM261" i="1"/>
  <c r="BL261" i="1"/>
  <c r="BK261" i="1"/>
  <c r="BJ261" i="1"/>
  <c r="BI261" i="1"/>
  <c r="BH261" i="1"/>
  <c r="BG261" i="1"/>
  <c r="BF261" i="1"/>
  <c r="BE261" i="1"/>
  <c r="BD261" i="1"/>
  <c r="BC261" i="1"/>
  <c r="BB261" i="1"/>
  <c r="BA261" i="1"/>
  <c r="AZ261" i="1"/>
  <c r="AY261" i="1"/>
  <c r="AX261" i="1"/>
  <c r="AW261" i="1"/>
  <c r="AV261" i="1"/>
  <c r="AU261" i="1"/>
  <c r="AT261" i="1"/>
  <c r="AS261" i="1"/>
  <c r="AR261" i="1"/>
  <c r="AQ261" i="1"/>
  <c r="AP261" i="1"/>
  <c r="AO261" i="1"/>
  <c r="AE261" i="1"/>
  <c r="BS260" i="1"/>
  <c r="BR260" i="1"/>
  <c r="BQ260" i="1"/>
  <c r="BP260" i="1"/>
  <c r="BO260" i="1"/>
  <c r="BN260" i="1"/>
  <c r="BM260" i="1"/>
  <c r="BL260" i="1"/>
  <c r="BK260" i="1"/>
  <c r="BJ260" i="1"/>
  <c r="BI260" i="1"/>
  <c r="BH260" i="1"/>
  <c r="BG260" i="1"/>
  <c r="BF260" i="1"/>
  <c r="BE260" i="1"/>
  <c r="BD260" i="1"/>
  <c r="BC260" i="1"/>
  <c r="BB260" i="1"/>
  <c r="BA260" i="1"/>
  <c r="AZ260" i="1"/>
  <c r="AY260" i="1"/>
  <c r="AX260" i="1"/>
  <c r="AW260" i="1"/>
  <c r="AV260" i="1"/>
  <c r="AU260" i="1"/>
  <c r="AT260" i="1"/>
  <c r="AS260" i="1"/>
  <c r="AR260" i="1"/>
  <c r="AQ260" i="1"/>
  <c r="AP260" i="1"/>
  <c r="AO260" i="1"/>
  <c r="AE260" i="1"/>
  <c r="BS259" i="1"/>
  <c r="BR259" i="1"/>
  <c r="BQ259" i="1"/>
  <c r="BP259" i="1"/>
  <c r="BO259" i="1"/>
  <c r="BN259" i="1"/>
  <c r="BM259" i="1"/>
  <c r="BL259" i="1"/>
  <c r="BK259" i="1"/>
  <c r="BJ259" i="1"/>
  <c r="BI259" i="1"/>
  <c r="BH259" i="1"/>
  <c r="BG259" i="1"/>
  <c r="BF259" i="1"/>
  <c r="BE259" i="1"/>
  <c r="BD259" i="1"/>
  <c r="BC259" i="1"/>
  <c r="BB259" i="1"/>
  <c r="BA259" i="1"/>
  <c r="AZ259" i="1"/>
  <c r="AY259" i="1"/>
  <c r="AX259" i="1"/>
  <c r="AW259" i="1"/>
  <c r="AV259" i="1"/>
  <c r="AU259" i="1"/>
  <c r="AT259" i="1"/>
  <c r="AS259" i="1"/>
  <c r="AR259" i="1"/>
  <c r="AQ259" i="1"/>
  <c r="AP259" i="1"/>
  <c r="AO259" i="1"/>
  <c r="AE259" i="1"/>
  <c r="BS258" i="1"/>
  <c r="BR258" i="1"/>
  <c r="BQ258" i="1"/>
  <c r="BP258" i="1"/>
  <c r="BO258" i="1"/>
  <c r="BN258" i="1"/>
  <c r="BM258" i="1"/>
  <c r="BL258" i="1"/>
  <c r="BK258" i="1"/>
  <c r="BJ258" i="1"/>
  <c r="BI258" i="1"/>
  <c r="BH258" i="1"/>
  <c r="BG258" i="1"/>
  <c r="BF258" i="1"/>
  <c r="BE258" i="1"/>
  <c r="BD258" i="1"/>
  <c r="BC258" i="1"/>
  <c r="BB258" i="1"/>
  <c r="BA258" i="1"/>
  <c r="AZ258" i="1"/>
  <c r="AY258" i="1"/>
  <c r="AX258" i="1"/>
  <c r="AW258" i="1"/>
  <c r="AV258" i="1"/>
  <c r="AU258" i="1"/>
  <c r="AT258" i="1"/>
  <c r="AS258" i="1"/>
  <c r="AR258" i="1"/>
  <c r="AQ258" i="1"/>
  <c r="AP258" i="1"/>
  <c r="AO258" i="1"/>
  <c r="AE258" i="1"/>
  <c r="BS257" i="1"/>
  <c r="BR257" i="1"/>
  <c r="BQ257" i="1"/>
  <c r="BP257" i="1"/>
  <c r="BO257" i="1"/>
  <c r="BN257" i="1"/>
  <c r="BM257" i="1"/>
  <c r="BL257" i="1"/>
  <c r="BK257" i="1"/>
  <c r="BJ257" i="1"/>
  <c r="BI257" i="1"/>
  <c r="BH257" i="1"/>
  <c r="BG257" i="1"/>
  <c r="BF257" i="1"/>
  <c r="BE257" i="1"/>
  <c r="BD257" i="1"/>
  <c r="BC257" i="1"/>
  <c r="BB257" i="1"/>
  <c r="BA257" i="1"/>
  <c r="AZ257" i="1"/>
  <c r="AY257" i="1"/>
  <c r="AX257" i="1"/>
  <c r="AW257" i="1"/>
  <c r="AV257" i="1"/>
  <c r="AU257" i="1"/>
  <c r="AT257" i="1"/>
  <c r="AS257" i="1"/>
  <c r="AR257" i="1"/>
  <c r="AQ257" i="1"/>
  <c r="AP257" i="1"/>
  <c r="AO257" i="1"/>
  <c r="AE257" i="1"/>
  <c r="BS256" i="1"/>
  <c r="BR256" i="1"/>
  <c r="BQ256" i="1"/>
  <c r="BP256" i="1"/>
  <c r="BO256" i="1"/>
  <c r="BN256" i="1"/>
  <c r="BM256" i="1"/>
  <c r="BL256" i="1"/>
  <c r="BK256" i="1"/>
  <c r="BJ256" i="1"/>
  <c r="BI256" i="1"/>
  <c r="BH256" i="1"/>
  <c r="BG256" i="1"/>
  <c r="BF256" i="1"/>
  <c r="BE256" i="1"/>
  <c r="BD256" i="1"/>
  <c r="BC256" i="1"/>
  <c r="BB256" i="1"/>
  <c r="BA256" i="1"/>
  <c r="AZ256" i="1"/>
  <c r="AY256" i="1"/>
  <c r="AX256" i="1"/>
  <c r="AW256" i="1"/>
  <c r="AV256" i="1"/>
  <c r="AU256" i="1"/>
  <c r="AT256" i="1"/>
  <c r="AS256" i="1"/>
  <c r="AR256" i="1"/>
  <c r="AQ256" i="1"/>
  <c r="AP256" i="1"/>
  <c r="AO256" i="1"/>
  <c r="AE256" i="1"/>
  <c r="BS255" i="1"/>
  <c r="BR255" i="1"/>
  <c r="BQ255" i="1"/>
  <c r="BP255" i="1"/>
  <c r="BO255" i="1"/>
  <c r="BN255" i="1"/>
  <c r="BM255" i="1"/>
  <c r="BL255" i="1"/>
  <c r="BK255" i="1"/>
  <c r="BJ255" i="1"/>
  <c r="BI255" i="1"/>
  <c r="BH255" i="1"/>
  <c r="BG255" i="1"/>
  <c r="BF255" i="1"/>
  <c r="BE255" i="1"/>
  <c r="BD255" i="1"/>
  <c r="BC255" i="1"/>
  <c r="BB255" i="1"/>
  <c r="BA255" i="1"/>
  <c r="AZ255" i="1"/>
  <c r="AY255" i="1"/>
  <c r="AX255" i="1"/>
  <c r="AW255" i="1"/>
  <c r="AV255" i="1"/>
  <c r="AU255" i="1"/>
  <c r="AT255" i="1"/>
  <c r="AS255" i="1"/>
  <c r="AR255" i="1"/>
  <c r="AQ255" i="1"/>
  <c r="AP255" i="1"/>
  <c r="AO255" i="1"/>
  <c r="AE255" i="1"/>
  <c r="BS254" i="1"/>
  <c r="BR254" i="1"/>
  <c r="BQ254" i="1"/>
  <c r="BP254" i="1"/>
  <c r="BO254" i="1"/>
  <c r="BN254" i="1"/>
  <c r="BM254" i="1"/>
  <c r="BL254" i="1"/>
  <c r="BK254" i="1"/>
  <c r="BJ254" i="1"/>
  <c r="BI254" i="1"/>
  <c r="BH254" i="1"/>
  <c r="BG254" i="1"/>
  <c r="BF254" i="1"/>
  <c r="BE254" i="1"/>
  <c r="BD254" i="1"/>
  <c r="BC254" i="1"/>
  <c r="BB254" i="1"/>
  <c r="BA254" i="1"/>
  <c r="AZ254" i="1"/>
  <c r="AY254" i="1"/>
  <c r="AX254" i="1"/>
  <c r="AW254" i="1"/>
  <c r="AV254" i="1"/>
  <c r="AU254" i="1"/>
  <c r="AT254" i="1"/>
  <c r="AS254" i="1"/>
  <c r="AR254" i="1"/>
  <c r="AQ254" i="1"/>
  <c r="AP254" i="1"/>
  <c r="AO254" i="1"/>
  <c r="AE254" i="1"/>
  <c r="BS253" i="1"/>
  <c r="BR253" i="1"/>
  <c r="BQ253" i="1"/>
  <c r="BP253" i="1"/>
  <c r="BO253" i="1"/>
  <c r="BN253" i="1"/>
  <c r="BM253" i="1"/>
  <c r="BL253" i="1"/>
  <c r="BK253" i="1"/>
  <c r="BJ253" i="1"/>
  <c r="BI253" i="1"/>
  <c r="BH253" i="1"/>
  <c r="BG253" i="1"/>
  <c r="BF253" i="1"/>
  <c r="BE253" i="1"/>
  <c r="BD253" i="1"/>
  <c r="BC253" i="1"/>
  <c r="BB253" i="1"/>
  <c r="BA253" i="1"/>
  <c r="AZ253" i="1"/>
  <c r="AY253" i="1"/>
  <c r="AX253" i="1"/>
  <c r="AW253" i="1"/>
  <c r="AV253" i="1"/>
  <c r="AU253" i="1"/>
  <c r="AT253" i="1"/>
  <c r="AS253" i="1"/>
  <c r="AR253" i="1"/>
  <c r="AQ253" i="1"/>
  <c r="AP253" i="1"/>
  <c r="AO253" i="1"/>
  <c r="AE253" i="1"/>
  <c r="BS252" i="1"/>
  <c r="BR252" i="1"/>
  <c r="BQ252" i="1"/>
  <c r="BP252" i="1"/>
  <c r="BO252" i="1"/>
  <c r="BN252" i="1"/>
  <c r="BM252" i="1"/>
  <c r="BL252" i="1"/>
  <c r="BK252" i="1"/>
  <c r="BJ252" i="1"/>
  <c r="BI252" i="1"/>
  <c r="BH252" i="1"/>
  <c r="BG252" i="1"/>
  <c r="BF252" i="1"/>
  <c r="BE252" i="1"/>
  <c r="BD252" i="1"/>
  <c r="BC252" i="1"/>
  <c r="BB252" i="1"/>
  <c r="BA252" i="1"/>
  <c r="AZ252" i="1"/>
  <c r="AY252" i="1"/>
  <c r="AX252" i="1"/>
  <c r="AW252" i="1"/>
  <c r="AV252" i="1"/>
  <c r="AU252" i="1"/>
  <c r="AT252" i="1"/>
  <c r="AS252" i="1"/>
  <c r="AR252" i="1"/>
  <c r="AQ252" i="1"/>
  <c r="AP252" i="1"/>
  <c r="AO252" i="1"/>
  <c r="AE252" i="1"/>
  <c r="BS251" i="1"/>
  <c r="BR251" i="1"/>
  <c r="BQ251" i="1"/>
  <c r="BP251" i="1"/>
  <c r="BO251" i="1"/>
  <c r="BN251" i="1"/>
  <c r="BM251" i="1"/>
  <c r="BL251" i="1"/>
  <c r="BK251" i="1"/>
  <c r="BJ251" i="1"/>
  <c r="BI251" i="1"/>
  <c r="BH251" i="1"/>
  <c r="BG251" i="1"/>
  <c r="BF251" i="1"/>
  <c r="BE251" i="1"/>
  <c r="BD251" i="1"/>
  <c r="BC251" i="1"/>
  <c r="BB251" i="1"/>
  <c r="BA251" i="1"/>
  <c r="AZ251" i="1"/>
  <c r="AY251" i="1"/>
  <c r="AX251" i="1"/>
  <c r="AW251" i="1"/>
  <c r="AV251" i="1"/>
  <c r="AU251" i="1"/>
  <c r="AT251" i="1"/>
  <c r="AS251" i="1"/>
  <c r="AR251" i="1"/>
  <c r="AQ251" i="1"/>
  <c r="AP251" i="1"/>
  <c r="AO251" i="1"/>
  <c r="AE251" i="1"/>
  <c r="BS250" i="1"/>
  <c r="BR250" i="1"/>
  <c r="BQ250" i="1"/>
  <c r="BP250" i="1"/>
  <c r="BO250" i="1"/>
  <c r="BN250" i="1"/>
  <c r="BM250" i="1"/>
  <c r="BL250" i="1"/>
  <c r="BK250" i="1"/>
  <c r="BJ250" i="1"/>
  <c r="BI250" i="1"/>
  <c r="BH250" i="1"/>
  <c r="BG250" i="1"/>
  <c r="BF250" i="1"/>
  <c r="BE250" i="1"/>
  <c r="BD250" i="1"/>
  <c r="BC250" i="1"/>
  <c r="BB250" i="1"/>
  <c r="BA250" i="1"/>
  <c r="AZ250" i="1"/>
  <c r="AY250" i="1"/>
  <c r="AX250" i="1"/>
  <c r="AW250" i="1"/>
  <c r="AV250" i="1"/>
  <c r="AU250" i="1"/>
  <c r="AT250" i="1"/>
  <c r="AS250" i="1"/>
  <c r="AR250" i="1"/>
  <c r="AQ250" i="1"/>
  <c r="AP250" i="1"/>
  <c r="AO250" i="1"/>
  <c r="AE250" i="1"/>
  <c r="BS249" i="1"/>
  <c r="BR249" i="1"/>
  <c r="BQ249" i="1"/>
  <c r="BP249" i="1"/>
  <c r="BO249" i="1"/>
  <c r="BN249" i="1"/>
  <c r="BM249" i="1"/>
  <c r="BL249" i="1"/>
  <c r="BK249" i="1"/>
  <c r="BJ249" i="1"/>
  <c r="BI249" i="1"/>
  <c r="BH249" i="1"/>
  <c r="BG249" i="1"/>
  <c r="BF249" i="1"/>
  <c r="BE249" i="1"/>
  <c r="BD249" i="1"/>
  <c r="BC249" i="1"/>
  <c r="BB249" i="1"/>
  <c r="BA249" i="1"/>
  <c r="AZ249" i="1"/>
  <c r="AY249" i="1"/>
  <c r="AX249" i="1"/>
  <c r="AW249" i="1"/>
  <c r="AV249" i="1"/>
  <c r="AU249" i="1"/>
  <c r="AT249" i="1"/>
  <c r="AS249" i="1"/>
  <c r="AR249" i="1"/>
  <c r="AQ249" i="1"/>
  <c r="AP249" i="1"/>
  <c r="AO249" i="1"/>
  <c r="AE249" i="1"/>
  <c r="BS248" i="1"/>
  <c r="BR248" i="1"/>
  <c r="BQ248" i="1"/>
  <c r="BP248" i="1"/>
  <c r="BO248" i="1"/>
  <c r="BN248" i="1"/>
  <c r="BM248" i="1"/>
  <c r="BL248" i="1"/>
  <c r="BK248" i="1"/>
  <c r="BJ248" i="1"/>
  <c r="BI248" i="1"/>
  <c r="BH248" i="1"/>
  <c r="BG248" i="1"/>
  <c r="BF248" i="1"/>
  <c r="BE248" i="1"/>
  <c r="BD248" i="1"/>
  <c r="BC248" i="1"/>
  <c r="BB248" i="1"/>
  <c r="BA248" i="1"/>
  <c r="AZ248" i="1"/>
  <c r="AY248" i="1"/>
  <c r="AX248" i="1"/>
  <c r="AW248" i="1"/>
  <c r="AV248" i="1"/>
  <c r="AU248" i="1"/>
  <c r="AT248" i="1"/>
  <c r="AS248" i="1"/>
  <c r="AR248" i="1"/>
  <c r="AQ248" i="1"/>
  <c r="AP248" i="1"/>
  <c r="AO248" i="1"/>
  <c r="AE248" i="1"/>
  <c r="BS247" i="1"/>
  <c r="BR247" i="1"/>
  <c r="BQ247" i="1"/>
  <c r="BP247" i="1"/>
  <c r="BO247" i="1"/>
  <c r="BN247" i="1"/>
  <c r="BM247" i="1"/>
  <c r="BL247" i="1"/>
  <c r="BK247" i="1"/>
  <c r="BJ247" i="1"/>
  <c r="BI247" i="1"/>
  <c r="BH247" i="1"/>
  <c r="BG247" i="1"/>
  <c r="BF247" i="1"/>
  <c r="BE247" i="1"/>
  <c r="BD247" i="1"/>
  <c r="BC247" i="1"/>
  <c r="BB247" i="1"/>
  <c r="BA247" i="1"/>
  <c r="AZ247" i="1"/>
  <c r="AY247" i="1"/>
  <c r="AX247" i="1"/>
  <c r="AW247" i="1"/>
  <c r="AV247" i="1"/>
  <c r="AU247" i="1"/>
  <c r="AT247" i="1"/>
  <c r="AS247" i="1"/>
  <c r="AR247" i="1"/>
  <c r="AQ247" i="1"/>
  <c r="AP247" i="1"/>
  <c r="AO247" i="1"/>
  <c r="AE247" i="1"/>
  <c r="BS246" i="1"/>
  <c r="BR246" i="1"/>
  <c r="BQ246" i="1"/>
  <c r="BP246" i="1"/>
  <c r="BO246" i="1"/>
  <c r="BN246" i="1"/>
  <c r="BM246" i="1"/>
  <c r="BL246" i="1"/>
  <c r="BK246" i="1"/>
  <c r="BJ246" i="1"/>
  <c r="BI246" i="1"/>
  <c r="BH246" i="1"/>
  <c r="BG246" i="1"/>
  <c r="BF246" i="1"/>
  <c r="BE246" i="1"/>
  <c r="BD246" i="1"/>
  <c r="BC246" i="1"/>
  <c r="BB246" i="1"/>
  <c r="BA246" i="1"/>
  <c r="AZ246" i="1"/>
  <c r="AY246" i="1"/>
  <c r="AX246" i="1"/>
  <c r="AW246" i="1"/>
  <c r="AV246" i="1"/>
  <c r="AU246" i="1"/>
  <c r="AT246" i="1"/>
  <c r="AS246" i="1"/>
  <c r="AR246" i="1"/>
  <c r="AQ246" i="1"/>
  <c r="AP246" i="1"/>
  <c r="AO246" i="1"/>
  <c r="AE246" i="1"/>
  <c r="BS245" i="1"/>
  <c r="BR245" i="1"/>
  <c r="BQ245" i="1"/>
  <c r="BP245" i="1"/>
  <c r="BO245" i="1"/>
  <c r="BN245" i="1"/>
  <c r="BM245" i="1"/>
  <c r="BL245" i="1"/>
  <c r="BK245" i="1"/>
  <c r="BJ245" i="1"/>
  <c r="BI245" i="1"/>
  <c r="BH245" i="1"/>
  <c r="BG245" i="1"/>
  <c r="BF245" i="1"/>
  <c r="BE245" i="1"/>
  <c r="BD245" i="1"/>
  <c r="BC245" i="1"/>
  <c r="BB245" i="1"/>
  <c r="BA245" i="1"/>
  <c r="AZ245" i="1"/>
  <c r="AY245" i="1"/>
  <c r="AX245" i="1"/>
  <c r="AW245" i="1"/>
  <c r="AV245" i="1"/>
  <c r="AU245" i="1"/>
  <c r="AT245" i="1"/>
  <c r="AS245" i="1"/>
  <c r="AR245" i="1"/>
  <c r="AQ245" i="1"/>
  <c r="AP245" i="1"/>
  <c r="AO245" i="1"/>
  <c r="AE245" i="1"/>
  <c r="BS244" i="1"/>
  <c r="BR244" i="1"/>
  <c r="BQ244" i="1"/>
  <c r="BP244" i="1"/>
  <c r="BO244" i="1"/>
  <c r="BN244" i="1"/>
  <c r="BM244" i="1"/>
  <c r="BL244" i="1"/>
  <c r="BK244" i="1"/>
  <c r="BJ244" i="1"/>
  <c r="BI244" i="1"/>
  <c r="BH244" i="1"/>
  <c r="BG244" i="1"/>
  <c r="BF244" i="1"/>
  <c r="BE244" i="1"/>
  <c r="BD244" i="1"/>
  <c r="BC244" i="1"/>
  <c r="BB244" i="1"/>
  <c r="BA244" i="1"/>
  <c r="AZ244" i="1"/>
  <c r="AY244" i="1"/>
  <c r="AX244" i="1"/>
  <c r="AW244" i="1"/>
  <c r="AV244" i="1"/>
  <c r="AU244" i="1"/>
  <c r="AT244" i="1"/>
  <c r="AS244" i="1"/>
  <c r="AR244" i="1"/>
  <c r="AQ244" i="1"/>
  <c r="AP244" i="1"/>
  <c r="AO244" i="1"/>
  <c r="AE244" i="1"/>
  <c r="BS243" i="1"/>
  <c r="BR243" i="1"/>
  <c r="BQ243" i="1"/>
  <c r="BP243" i="1"/>
  <c r="BO243" i="1"/>
  <c r="BN243" i="1"/>
  <c r="BM243" i="1"/>
  <c r="BL243" i="1"/>
  <c r="BK243" i="1"/>
  <c r="BJ243" i="1"/>
  <c r="BI243" i="1"/>
  <c r="BH243" i="1"/>
  <c r="BG243" i="1"/>
  <c r="BF243" i="1"/>
  <c r="BE243" i="1"/>
  <c r="BD243" i="1"/>
  <c r="BC243" i="1"/>
  <c r="BB243" i="1"/>
  <c r="BA243" i="1"/>
  <c r="AZ243" i="1"/>
  <c r="AY243" i="1"/>
  <c r="AX243" i="1"/>
  <c r="AW243" i="1"/>
  <c r="AV243" i="1"/>
  <c r="AU243" i="1"/>
  <c r="AT243" i="1"/>
  <c r="AS243" i="1"/>
  <c r="AR243" i="1"/>
  <c r="AQ243" i="1"/>
  <c r="AP243" i="1"/>
  <c r="AO243" i="1"/>
  <c r="AE243" i="1"/>
  <c r="BS242" i="1"/>
  <c r="BR242" i="1"/>
  <c r="BQ242" i="1"/>
  <c r="BP242" i="1"/>
  <c r="BO242" i="1"/>
  <c r="BN242" i="1"/>
  <c r="BM242" i="1"/>
  <c r="BL242" i="1"/>
  <c r="BK242" i="1"/>
  <c r="BJ242" i="1"/>
  <c r="BI242" i="1"/>
  <c r="BH242" i="1"/>
  <c r="BG242" i="1"/>
  <c r="BF242" i="1"/>
  <c r="BE242" i="1"/>
  <c r="BD242" i="1"/>
  <c r="BC242" i="1"/>
  <c r="BB242" i="1"/>
  <c r="BA242" i="1"/>
  <c r="AZ242" i="1"/>
  <c r="AY242" i="1"/>
  <c r="AX242" i="1"/>
  <c r="AW242" i="1"/>
  <c r="AV242" i="1"/>
  <c r="AU242" i="1"/>
  <c r="AT242" i="1"/>
  <c r="AS242" i="1"/>
  <c r="AR242" i="1"/>
  <c r="AQ242" i="1"/>
  <c r="AP242" i="1"/>
  <c r="AO242" i="1"/>
  <c r="AE242" i="1"/>
  <c r="BS241" i="1"/>
  <c r="BR241" i="1"/>
  <c r="BQ241" i="1"/>
  <c r="BP241" i="1"/>
  <c r="BO241" i="1"/>
  <c r="BN241" i="1"/>
  <c r="BM241" i="1"/>
  <c r="BL241" i="1"/>
  <c r="BK241" i="1"/>
  <c r="BJ241" i="1"/>
  <c r="BI241" i="1"/>
  <c r="BH241" i="1"/>
  <c r="BG241" i="1"/>
  <c r="BF241" i="1"/>
  <c r="BE241" i="1"/>
  <c r="BD241" i="1"/>
  <c r="BC241" i="1"/>
  <c r="BB241" i="1"/>
  <c r="BA241" i="1"/>
  <c r="AZ241" i="1"/>
  <c r="AY241" i="1"/>
  <c r="AX241" i="1"/>
  <c r="AW241" i="1"/>
  <c r="AV241" i="1"/>
  <c r="AU241" i="1"/>
  <c r="AT241" i="1"/>
  <c r="AS241" i="1"/>
  <c r="AR241" i="1"/>
  <c r="AQ241" i="1"/>
  <c r="AP241" i="1"/>
  <c r="AO241" i="1"/>
  <c r="AE241" i="1"/>
  <c r="BS240" i="1"/>
  <c r="BR240" i="1"/>
  <c r="BQ240" i="1"/>
  <c r="BP240" i="1"/>
  <c r="BO240" i="1"/>
  <c r="BN240" i="1"/>
  <c r="BM240" i="1"/>
  <c r="BL240" i="1"/>
  <c r="BK240" i="1"/>
  <c r="BJ240" i="1"/>
  <c r="BI240" i="1"/>
  <c r="BH240" i="1"/>
  <c r="BG240" i="1"/>
  <c r="BF240" i="1"/>
  <c r="BE240" i="1"/>
  <c r="BD240" i="1"/>
  <c r="BC240" i="1"/>
  <c r="BB240" i="1"/>
  <c r="BA240" i="1"/>
  <c r="AZ240" i="1"/>
  <c r="AY240" i="1"/>
  <c r="AX240" i="1"/>
  <c r="AW240" i="1"/>
  <c r="AV240" i="1"/>
  <c r="AU240" i="1"/>
  <c r="AT240" i="1"/>
  <c r="AS240" i="1"/>
  <c r="AR240" i="1"/>
  <c r="AQ240" i="1"/>
  <c r="AP240" i="1"/>
  <c r="AO240" i="1"/>
  <c r="AE240" i="1"/>
  <c r="BS239" i="1"/>
  <c r="BR239" i="1"/>
  <c r="BQ239" i="1"/>
  <c r="BP239" i="1"/>
  <c r="BO239" i="1"/>
  <c r="BN239" i="1"/>
  <c r="BM239" i="1"/>
  <c r="BL239" i="1"/>
  <c r="BK239" i="1"/>
  <c r="BJ239" i="1"/>
  <c r="BI239" i="1"/>
  <c r="BH239" i="1"/>
  <c r="BG239" i="1"/>
  <c r="BF239" i="1"/>
  <c r="BE239" i="1"/>
  <c r="BD239" i="1"/>
  <c r="BC239" i="1"/>
  <c r="BB239" i="1"/>
  <c r="BA239" i="1"/>
  <c r="AZ239" i="1"/>
  <c r="AY239" i="1"/>
  <c r="AX239" i="1"/>
  <c r="AW239" i="1"/>
  <c r="AV239" i="1"/>
  <c r="AU239" i="1"/>
  <c r="AT239" i="1"/>
  <c r="AS239" i="1"/>
  <c r="AR239" i="1"/>
  <c r="AQ239" i="1"/>
  <c r="AP239" i="1"/>
  <c r="AO239" i="1"/>
  <c r="AE239" i="1"/>
  <c r="BS238" i="1"/>
  <c r="BR238" i="1"/>
  <c r="BQ238" i="1"/>
  <c r="BP238" i="1"/>
  <c r="BO238" i="1"/>
  <c r="BN238" i="1"/>
  <c r="BM238" i="1"/>
  <c r="BL238" i="1"/>
  <c r="BK238" i="1"/>
  <c r="BJ238" i="1"/>
  <c r="BI238" i="1"/>
  <c r="BH238" i="1"/>
  <c r="BG238" i="1"/>
  <c r="BF238" i="1"/>
  <c r="BE238" i="1"/>
  <c r="BD238" i="1"/>
  <c r="BC238" i="1"/>
  <c r="BB238" i="1"/>
  <c r="BA238" i="1"/>
  <c r="AZ238" i="1"/>
  <c r="AY238" i="1"/>
  <c r="AX238" i="1"/>
  <c r="AW238" i="1"/>
  <c r="AV238" i="1"/>
  <c r="AU238" i="1"/>
  <c r="AT238" i="1"/>
  <c r="AS238" i="1"/>
  <c r="AR238" i="1"/>
  <c r="AQ238" i="1"/>
  <c r="AP238" i="1"/>
  <c r="AO238" i="1"/>
  <c r="AE238" i="1"/>
  <c r="BS237" i="1"/>
  <c r="BR237" i="1"/>
  <c r="BQ237" i="1"/>
  <c r="BP237" i="1"/>
  <c r="BO237" i="1"/>
  <c r="BN237" i="1"/>
  <c r="BM237" i="1"/>
  <c r="BL237" i="1"/>
  <c r="BK237" i="1"/>
  <c r="BJ237" i="1"/>
  <c r="BI237" i="1"/>
  <c r="BH237" i="1"/>
  <c r="BG237" i="1"/>
  <c r="BF237" i="1"/>
  <c r="BE237" i="1"/>
  <c r="BD237" i="1"/>
  <c r="BC237" i="1"/>
  <c r="BB237" i="1"/>
  <c r="BA237" i="1"/>
  <c r="AZ237" i="1"/>
  <c r="AY237" i="1"/>
  <c r="AX237" i="1"/>
  <c r="AW237" i="1"/>
  <c r="AV237" i="1"/>
  <c r="AU237" i="1"/>
  <c r="AT237" i="1"/>
  <c r="AS237" i="1"/>
  <c r="AR237" i="1"/>
  <c r="AQ237" i="1"/>
  <c r="AP237" i="1"/>
  <c r="AO237" i="1"/>
  <c r="AE237" i="1"/>
  <c r="BS236" i="1"/>
  <c r="BR236" i="1"/>
  <c r="BQ236" i="1"/>
  <c r="BP236" i="1"/>
  <c r="BO236" i="1"/>
  <c r="BN236" i="1"/>
  <c r="BM236" i="1"/>
  <c r="BL236" i="1"/>
  <c r="BK236" i="1"/>
  <c r="BJ236" i="1"/>
  <c r="BI236" i="1"/>
  <c r="BH236" i="1"/>
  <c r="BG236" i="1"/>
  <c r="BF236" i="1"/>
  <c r="BE236" i="1"/>
  <c r="BD236" i="1"/>
  <c r="BC236" i="1"/>
  <c r="BB236" i="1"/>
  <c r="BA236" i="1"/>
  <c r="AZ236" i="1"/>
  <c r="AY236" i="1"/>
  <c r="AX236" i="1"/>
  <c r="AW236" i="1"/>
  <c r="AV236" i="1"/>
  <c r="AU236" i="1"/>
  <c r="AT236" i="1"/>
  <c r="AS236" i="1"/>
  <c r="AR236" i="1"/>
  <c r="AQ236" i="1"/>
  <c r="AP236" i="1"/>
  <c r="AO236" i="1"/>
  <c r="AE236" i="1"/>
  <c r="BS235" i="1"/>
  <c r="BR235" i="1"/>
  <c r="BQ235" i="1"/>
  <c r="BP235" i="1"/>
  <c r="BO235" i="1"/>
  <c r="BN235" i="1"/>
  <c r="BM235" i="1"/>
  <c r="BL235" i="1"/>
  <c r="BK235" i="1"/>
  <c r="BJ235" i="1"/>
  <c r="BI235" i="1"/>
  <c r="BH235" i="1"/>
  <c r="BG235" i="1"/>
  <c r="BF235" i="1"/>
  <c r="BE235" i="1"/>
  <c r="BD235" i="1"/>
  <c r="BC235" i="1"/>
  <c r="BB235" i="1"/>
  <c r="BA235" i="1"/>
  <c r="AZ235" i="1"/>
  <c r="AY235" i="1"/>
  <c r="AX235" i="1"/>
  <c r="AW235" i="1"/>
  <c r="AV235" i="1"/>
  <c r="AU235" i="1"/>
  <c r="AT235" i="1"/>
  <c r="AS235" i="1"/>
  <c r="AR235" i="1"/>
  <c r="AQ235" i="1"/>
  <c r="AP235" i="1"/>
  <c r="AO235" i="1"/>
  <c r="AE235" i="1"/>
  <c r="BS234" i="1"/>
  <c r="BR234" i="1"/>
  <c r="BQ234" i="1"/>
  <c r="BP234" i="1"/>
  <c r="BO234" i="1"/>
  <c r="BN234" i="1"/>
  <c r="BM234" i="1"/>
  <c r="BL234" i="1"/>
  <c r="BK234" i="1"/>
  <c r="BJ234" i="1"/>
  <c r="BI234" i="1"/>
  <c r="BH234" i="1"/>
  <c r="BG234" i="1"/>
  <c r="BF234" i="1"/>
  <c r="BE234" i="1"/>
  <c r="BD234" i="1"/>
  <c r="BC234" i="1"/>
  <c r="BB234" i="1"/>
  <c r="BA234" i="1"/>
  <c r="AZ234" i="1"/>
  <c r="AY234" i="1"/>
  <c r="AX234" i="1"/>
  <c r="AW234" i="1"/>
  <c r="AV234" i="1"/>
  <c r="AU234" i="1"/>
  <c r="AT234" i="1"/>
  <c r="AS234" i="1"/>
  <c r="AR234" i="1"/>
  <c r="AQ234" i="1"/>
  <c r="AP234" i="1"/>
  <c r="AO234" i="1"/>
  <c r="AE234" i="1"/>
  <c r="BS233" i="1"/>
  <c r="BR233" i="1"/>
  <c r="BQ233" i="1"/>
  <c r="BP233" i="1"/>
  <c r="BO233" i="1"/>
  <c r="BN233" i="1"/>
  <c r="BM233" i="1"/>
  <c r="BL233" i="1"/>
  <c r="BK233" i="1"/>
  <c r="BJ233" i="1"/>
  <c r="BI233" i="1"/>
  <c r="BH233" i="1"/>
  <c r="BG233" i="1"/>
  <c r="BF233" i="1"/>
  <c r="BE233" i="1"/>
  <c r="BD233" i="1"/>
  <c r="BC233" i="1"/>
  <c r="BB233" i="1"/>
  <c r="BA233" i="1"/>
  <c r="AZ233" i="1"/>
  <c r="AY233" i="1"/>
  <c r="AX233" i="1"/>
  <c r="AW233" i="1"/>
  <c r="AV233" i="1"/>
  <c r="AU233" i="1"/>
  <c r="AT233" i="1"/>
  <c r="AS233" i="1"/>
  <c r="AR233" i="1"/>
  <c r="AQ233" i="1"/>
  <c r="AP233" i="1"/>
  <c r="AO233" i="1"/>
  <c r="AE233" i="1"/>
  <c r="BS232" i="1"/>
  <c r="BR232" i="1"/>
  <c r="BQ232" i="1"/>
  <c r="BP232" i="1"/>
  <c r="BO232" i="1"/>
  <c r="BN232" i="1"/>
  <c r="BM232" i="1"/>
  <c r="BL232" i="1"/>
  <c r="BK232" i="1"/>
  <c r="BJ232" i="1"/>
  <c r="BI232" i="1"/>
  <c r="BH232" i="1"/>
  <c r="BG232" i="1"/>
  <c r="BF232" i="1"/>
  <c r="BE232" i="1"/>
  <c r="BD232" i="1"/>
  <c r="BC232" i="1"/>
  <c r="BB232" i="1"/>
  <c r="BA232" i="1"/>
  <c r="AZ232" i="1"/>
  <c r="AY232" i="1"/>
  <c r="AX232" i="1"/>
  <c r="AW232" i="1"/>
  <c r="AV232" i="1"/>
  <c r="AU232" i="1"/>
  <c r="AT232" i="1"/>
  <c r="AS232" i="1"/>
  <c r="AR232" i="1"/>
  <c r="AQ232" i="1"/>
  <c r="AP232" i="1"/>
  <c r="AO232" i="1"/>
  <c r="AE232" i="1"/>
  <c r="BS231" i="1"/>
  <c r="BR231" i="1"/>
  <c r="BQ231" i="1"/>
  <c r="BP231" i="1"/>
  <c r="BO231" i="1"/>
  <c r="BN231" i="1"/>
  <c r="BM231" i="1"/>
  <c r="BL231" i="1"/>
  <c r="BK231" i="1"/>
  <c r="BJ231" i="1"/>
  <c r="BI231" i="1"/>
  <c r="BH231" i="1"/>
  <c r="BG231" i="1"/>
  <c r="BF231" i="1"/>
  <c r="BE231" i="1"/>
  <c r="BD231" i="1"/>
  <c r="BC231" i="1"/>
  <c r="BB231" i="1"/>
  <c r="BA231" i="1"/>
  <c r="AZ231" i="1"/>
  <c r="AY231" i="1"/>
  <c r="AX231" i="1"/>
  <c r="AW231" i="1"/>
  <c r="AV231" i="1"/>
  <c r="AU231" i="1"/>
  <c r="AT231" i="1"/>
  <c r="AS231" i="1"/>
  <c r="AR231" i="1"/>
  <c r="AQ231" i="1"/>
  <c r="AP231" i="1"/>
  <c r="AO231" i="1"/>
  <c r="AE231" i="1"/>
  <c r="BS230" i="1"/>
  <c r="BR230" i="1"/>
  <c r="BQ230" i="1"/>
  <c r="BP230" i="1"/>
  <c r="BO230" i="1"/>
  <c r="BN230" i="1"/>
  <c r="BM230" i="1"/>
  <c r="BL230" i="1"/>
  <c r="BK230" i="1"/>
  <c r="BJ230" i="1"/>
  <c r="BI230" i="1"/>
  <c r="BH230" i="1"/>
  <c r="BG230" i="1"/>
  <c r="BF230" i="1"/>
  <c r="BE230" i="1"/>
  <c r="BD230" i="1"/>
  <c r="BC230" i="1"/>
  <c r="BB230" i="1"/>
  <c r="BA230" i="1"/>
  <c r="AZ230" i="1"/>
  <c r="AY230" i="1"/>
  <c r="AX230" i="1"/>
  <c r="AW230" i="1"/>
  <c r="AV230" i="1"/>
  <c r="AU230" i="1"/>
  <c r="AT230" i="1"/>
  <c r="AS230" i="1"/>
  <c r="AR230" i="1"/>
  <c r="AQ230" i="1"/>
  <c r="AP230" i="1"/>
  <c r="AO230" i="1"/>
  <c r="AE230" i="1"/>
  <c r="BS229" i="1"/>
  <c r="BR229" i="1"/>
  <c r="BQ229" i="1"/>
  <c r="BP229" i="1"/>
  <c r="BO229" i="1"/>
  <c r="BN229" i="1"/>
  <c r="BM229" i="1"/>
  <c r="BL229" i="1"/>
  <c r="BK229" i="1"/>
  <c r="BJ229" i="1"/>
  <c r="BI229" i="1"/>
  <c r="BH229" i="1"/>
  <c r="BG229" i="1"/>
  <c r="BF229" i="1"/>
  <c r="BE229" i="1"/>
  <c r="BD229" i="1"/>
  <c r="BC229" i="1"/>
  <c r="BB229" i="1"/>
  <c r="BA229" i="1"/>
  <c r="AZ229" i="1"/>
  <c r="AY229" i="1"/>
  <c r="AX229" i="1"/>
  <c r="AW229" i="1"/>
  <c r="AV229" i="1"/>
  <c r="AU229" i="1"/>
  <c r="AT229" i="1"/>
  <c r="AS229" i="1"/>
  <c r="AR229" i="1"/>
  <c r="AQ229" i="1"/>
  <c r="AP229" i="1"/>
  <c r="AO229" i="1"/>
  <c r="AE229" i="1"/>
  <c r="BS228" i="1"/>
  <c r="BR228" i="1"/>
  <c r="BQ228" i="1"/>
  <c r="BP228" i="1"/>
  <c r="BO228" i="1"/>
  <c r="BN228" i="1"/>
  <c r="BM228" i="1"/>
  <c r="BL228" i="1"/>
  <c r="BK228" i="1"/>
  <c r="BJ228" i="1"/>
  <c r="BI228" i="1"/>
  <c r="BH228" i="1"/>
  <c r="BG228" i="1"/>
  <c r="BF228" i="1"/>
  <c r="BE228" i="1"/>
  <c r="BD228" i="1"/>
  <c r="BC228" i="1"/>
  <c r="BB228" i="1"/>
  <c r="BA228" i="1"/>
  <c r="AZ228" i="1"/>
  <c r="AY228" i="1"/>
  <c r="AX228" i="1"/>
  <c r="AW228" i="1"/>
  <c r="AV228" i="1"/>
  <c r="AU228" i="1"/>
  <c r="AT228" i="1"/>
  <c r="AS228" i="1"/>
  <c r="AR228" i="1"/>
  <c r="AQ228" i="1"/>
  <c r="AP228" i="1"/>
  <c r="AO228" i="1"/>
  <c r="AE228" i="1"/>
  <c r="BS227" i="1"/>
  <c r="BR227" i="1"/>
  <c r="BQ227" i="1"/>
  <c r="BP227" i="1"/>
  <c r="BO227" i="1"/>
  <c r="BN227" i="1"/>
  <c r="BM227" i="1"/>
  <c r="BL227" i="1"/>
  <c r="BK227" i="1"/>
  <c r="BJ227" i="1"/>
  <c r="BI227" i="1"/>
  <c r="BH227" i="1"/>
  <c r="BG227" i="1"/>
  <c r="BF227" i="1"/>
  <c r="BE227" i="1"/>
  <c r="BD227" i="1"/>
  <c r="BC227" i="1"/>
  <c r="BB227" i="1"/>
  <c r="BA227" i="1"/>
  <c r="AZ227" i="1"/>
  <c r="AY227" i="1"/>
  <c r="AX227" i="1"/>
  <c r="AW227" i="1"/>
  <c r="AV227" i="1"/>
  <c r="AU227" i="1"/>
  <c r="AT227" i="1"/>
  <c r="AS227" i="1"/>
  <c r="AR227" i="1"/>
  <c r="AQ227" i="1"/>
  <c r="AP227" i="1"/>
  <c r="AO227" i="1"/>
  <c r="AE227" i="1"/>
  <c r="BS226" i="1"/>
  <c r="BR226" i="1"/>
  <c r="BQ226" i="1"/>
  <c r="BP226" i="1"/>
  <c r="BO226" i="1"/>
  <c r="BN226" i="1"/>
  <c r="BM226" i="1"/>
  <c r="BL226" i="1"/>
  <c r="BK226" i="1"/>
  <c r="BJ226" i="1"/>
  <c r="BI226" i="1"/>
  <c r="BH226" i="1"/>
  <c r="BG226" i="1"/>
  <c r="BF226" i="1"/>
  <c r="BE226" i="1"/>
  <c r="BD226" i="1"/>
  <c r="BC226" i="1"/>
  <c r="BB226" i="1"/>
  <c r="BA226" i="1"/>
  <c r="AZ226" i="1"/>
  <c r="AY226" i="1"/>
  <c r="AX226" i="1"/>
  <c r="AW226" i="1"/>
  <c r="AV226" i="1"/>
  <c r="AU226" i="1"/>
  <c r="AT226" i="1"/>
  <c r="AS226" i="1"/>
  <c r="AR226" i="1"/>
  <c r="AQ226" i="1"/>
  <c r="AP226" i="1"/>
  <c r="AO226" i="1"/>
  <c r="AE226" i="1"/>
  <c r="BS225" i="1"/>
  <c r="BR225" i="1"/>
  <c r="BQ225" i="1"/>
  <c r="BP225" i="1"/>
  <c r="BO225" i="1"/>
  <c r="BN225" i="1"/>
  <c r="BM225" i="1"/>
  <c r="BL225" i="1"/>
  <c r="BK225" i="1"/>
  <c r="BJ225" i="1"/>
  <c r="BI225" i="1"/>
  <c r="BH225" i="1"/>
  <c r="BG225" i="1"/>
  <c r="BF225" i="1"/>
  <c r="BE225" i="1"/>
  <c r="BD225" i="1"/>
  <c r="BC225" i="1"/>
  <c r="BB225" i="1"/>
  <c r="BA225" i="1"/>
  <c r="AZ225" i="1"/>
  <c r="AY225" i="1"/>
  <c r="AX225" i="1"/>
  <c r="AW225" i="1"/>
  <c r="AV225" i="1"/>
  <c r="AU225" i="1"/>
  <c r="AT225" i="1"/>
  <c r="AS225" i="1"/>
  <c r="AR225" i="1"/>
  <c r="AQ225" i="1"/>
  <c r="AP225" i="1"/>
  <c r="AO225" i="1"/>
  <c r="AE225" i="1"/>
  <c r="BS224" i="1"/>
  <c r="BR224" i="1"/>
  <c r="BQ224" i="1"/>
  <c r="BP224" i="1"/>
  <c r="BO224" i="1"/>
  <c r="BN224" i="1"/>
  <c r="BM224" i="1"/>
  <c r="BL224" i="1"/>
  <c r="BK224" i="1"/>
  <c r="BJ224" i="1"/>
  <c r="BI224" i="1"/>
  <c r="BH224" i="1"/>
  <c r="BG224" i="1"/>
  <c r="BF224" i="1"/>
  <c r="BE224" i="1"/>
  <c r="BD224" i="1"/>
  <c r="BC224" i="1"/>
  <c r="BB224" i="1"/>
  <c r="BA224" i="1"/>
  <c r="AZ224" i="1"/>
  <c r="AY224" i="1"/>
  <c r="AX224" i="1"/>
  <c r="AW224" i="1"/>
  <c r="AV224" i="1"/>
  <c r="AU224" i="1"/>
  <c r="AT224" i="1"/>
  <c r="AS224" i="1"/>
  <c r="AR224" i="1"/>
  <c r="AQ224" i="1"/>
  <c r="AP224" i="1"/>
  <c r="AO224" i="1"/>
  <c r="AE224" i="1"/>
  <c r="BS223" i="1"/>
  <c r="BR223" i="1"/>
  <c r="BQ223" i="1"/>
  <c r="BP223" i="1"/>
  <c r="BO223" i="1"/>
  <c r="BN223" i="1"/>
  <c r="BM223" i="1"/>
  <c r="BL223" i="1"/>
  <c r="BK223" i="1"/>
  <c r="BJ223" i="1"/>
  <c r="BI223" i="1"/>
  <c r="BH223" i="1"/>
  <c r="BG223" i="1"/>
  <c r="BF223" i="1"/>
  <c r="BE223" i="1"/>
  <c r="BD223" i="1"/>
  <c r="BC223" i="1"/>
  <c r="BB223" i="1"/>
  <c r="BA223" i="1"/>
  <c r="AZ223" i="1"/>
  <c r="AY223" i="1"/>
  <c r="AX223" i="1"/>
  <c r="AW223" i="1"/>
  <c r="AV223" i="1"/>
  <c r="AU223" i="1"/>
  <c r="AT223" i="1"/>
  <c r="AS223" i="1"/>
  <c r="AR223" i="1"/>
  <c r="AQ223" i="1"/>
  <c r="AP223" i="1"/>
  <c r="AO223" i="1"/>
  <c r="AE223" i="1"/>
  <c r="BS222" i="1"/>
  <c r="BR222" i="1"/>
  <c r="BQ222" i="1"/>
  <c r="BP222" i="1"/>
  <c r="BO222" i="1"/>
  <c r="BN222" i="1"/>
  <c r="BM222" i="1"/>
  <c r="BL222" i="1"/>
  <c r="BK222" i="1"/>
  <c r="BJ222" i="1"/>
  <c r="BI222" i="1"/>
  <c r="BH222" i="1"/>
  <c r="BG222" i="1"/>
  <c r="BF222" i="1"/>
  <c r="BE222" i="1"/>
  <c r="BD222" i="1"/>
  <c r="BC222" i="1"/>
  <c r="BB222" i="1"/>
  <c r="BA222" i="1"/>
  <c r="AZ222" i="1"/>
  <c r="AY222" i="1"/>
  <c r="AX222" i="1"/>
  <c r="AW222" i="1"/>
  <c r="AV222" i="1"/>
  <c r="AU222" i="1"/>
  <c r="AT222" i="1"/>
  <c r="AS222" i="1"/>
  <c r="AR222" i="1"/>
  <c r="AQ222" i="1"/>
  <c r="AP222" i="1"/>
  <c r="AO222" i="1"/>
  <c r="AE222" i="1"/>
  <c r="BS221" i="1"/>
  <c r="BR221" i="1"/>
  <c r="BQ221" i="1"/>
  <c r="BP221" i="1"/>
  <c r="BO221" i="1"/>
  <c r="BN221" i="1"/>
  <c r="BM221" i="1"/>
  <c r="BL221" i="1"/>
  <c r="BK221" i="1"/>
  <c r="BJ221" i="1"/>
  <c r="BI221" i="1"/>
  <c r="BH221" i="1"/>
  <c r="BG221" i="1"/>
  <c r="BF221" i="1"/>
  <c r="BE221" i="1"/>
  <c r="BD221" i="1"/>
  <c r="BC221" i="1"/>
  <c r="BB221" i="1"/>
  <c r="BA221" i="1"/>
  <c r="AZ221" i="1"/>
  <c r="AY221" i="1"/>
  <c r="AX221" i="1"/>
  <c r="AW221" i="1"/>
  <c r="AV221" i="1"/>
  <c r="AU221" i="1"/>
  <c r="AT221" i="1"/>
  <c r="AS221" i="1"/>
  <c r="AR221" i="1"/>
  <c r="AQ221" i="1"/>
  <c r="AP221" i="1"/>
  <c r="AO221" i="1"/>
  <c r="AE221" i="1"/>
  <c r="BS220" i="1"/>
  <c r="BR220" i="1"/>
  <c r="BQ220" i="1"/>
  <c r="BP220" i="1"/>
  <c r="BO220" i="1"/>
  <c r="BN220" i="1"/>
  <c r="BM220" i="1"/>
  <c r="BL220" i="1"/>
  <c r="BK220" i="1"/>
  <c r="BJ220" i="1"/>
  <c r="BI220" i="1"/>
  <c r="BH220" i="1"/>
  <c r="BG220" i="1"/>
  <c r="BF220" i="1"/>
  <c r="BE220" i="1"/>
  <c r="BD220" i="1"/>
  <c r="BC220" i="1"/>
  <c r="BB220" i="1"/>
  <c r="BA220" i="1"/>
  <c r="AZ220" i="1"/>
  <c r="AY220" i="1"/>
  <c r="AX220" i="1"/>
  <c r="AW220" i="1"/>
  <c r="AV220" i="1"/>
  <c r="AU220" i="1"/>
  <c r="AT220" i="1"/>
  <c r="AS220" i="1"/>
  <c r="AR220" i="1"/>
  <c r="AQ220" i="1"/>
  <c r="AP220" i="1"/>
  <c r="AO220" i="1"/>
  <c r="AE220" i="1"/>
  <c r="BS219" i="1"/>
  <c r="BR219" i="1"/>
  <c r="BQ219" i="1"/>
  <c r="BP219" i="1"/>
  <c r="BO219" i="1"/>
  <c r="BN219" i="1"/>
  <c r="BM219" i="1"/>
  <c r="BL219" i="1"/>
  <c r="BK219" i="1"/>
  <c r="BJ219" i="1"/>
  <c r="BI219" i="1"/>
  <c r="BH219" i="1"/>
  <c r="BG219" i="1"/>
  <c r="BF219" i="1"/>
  <c r="BE219" i="1"/>
  <c r="BD219" i="1"/>
  <c r="BC219" i="1"/>
  <c r="BB219" i="1"/>
  <c r="BA219" i="1"/>
  <c r="AZ219" i="1"/>
  <c r="AY219" i="1"/>
  <c r="AX219" i="1"/>
  <c r="AW219" i="1"/>
  <c r="AV219" i="1"/>
  <c r="AU219" i="1"/>
  <c r="AT219" i="1"/>
  <c r="AS219" i="1"/>
  <c r="AR219" i="1"/>
  <c r="AQ219" i="1"/>
  <c r="AP219" i="1"/>
  <c r="AO219" i="1"/>
  <c r="AE219" i="1"/>
  <c r="BS218" i="1"/>
  <c r="BR218" i="1"/>
  <c r="BQ218" i="1"/>
  <c r="BP218" i="1"/>
  <c r="BO218" i="1"/>
  <c r="BN218" i="1"/>
  <c r="BM218" i="1"/>
  <c r="BL218" i="1"/>
  <c r="BK218" i="1"/>
  <c r="BJ218" i="1"/>
  <c r="BI218" i="1"/>
  <c r="BH218" i="1"/>
  <c r="BG218" i="1"/>
  <c r="BF218" i="1"/>
  <c r="BE218" i="1"/>
  <c r="BD218" i="1"/>
  <c r="BC218" i="1"/>
  <c r="BB218" i="1"/>
  <c r="BA218" i="1"/>
  <c r="AZ218" i="1"/>
  <c r="AY218" i="1"/>
  <c r="AX218" i="1"/>
  <c r="AW218" i="1"/>
  <c r="AV218" i="1"/>
  <c r="AU218" i="1"/>
  <c r="AT218" i="1"/>
  <c r="AS218" i="1"/>
  <c r="AR218" i="1"/>
  <c r="AQ218" i="1"/>
  <c r="AP218" i="1"/>
  <c r="AO218" i="1"/>
  <c r="AE218" i="1"/>
  <c r="BS217" i="1"/>
  <c r="BR217" i="1"/>
  <c r="BQ217" i="1"/>
  <c r="BP217" i="1"/>
  <c r="BO217" i="1"/>
  <c r="BN217" i="1"/>
  <c r="BM217" i="1"/>
  <c r="BL217" i="1"/>
  <c r="BK217" i="1"/>
  <c r="BJ217" i="1"/>
  <c r="BI217" i="1"/>
  <c r="BH217" i="1"/>
  <c r="BG217" i="1"/>
  <c r="BF217" i="1"/>
  <c r="BE217" i="1"/>
  <c r="BD217" i="1"/>
  <c r="BC217" i="1"/>
  <c r="BB217" i="1"/>
  <c r="BA217" i="1"/>
  <c r="AZ217" i="1"/>
  <c r="AY217" i="1"/>
  <c r="AX217" i="1"/>
  <c r="AW217" i="1"/>
  <c r="AV217" i="1"/>
  <c r="AU217" i="1"/>
  <c r="AT217" i="1"/>
  <c r="AS217" i="1"/>
  <c r="AR217" i="1"/>
  <c r="AQ217" i="1"/>
  <c r="AP217" i="1"/>
  <c r="AO217" i="1"/>
  <c r="AE217" i="1"/>
  <c r="BS216" i="1"/>
  <c r="BR216" i="1"/>
  <c r="BQ216" i="1"/>
  <c r="BP216" i="1"/>
  <c r="BO216" i="1"/>
  <c r="BN216" i="1"/>
  <c r="BM216" i="1"/>
  <c r="BL216" i="1"/>
  <c r="BK216" i="1"/>
  <c r="BJ216" i="1"/>
  <c r="BI216" i="1"/>
  <c r="BH216" i="1"/>
  <c r="BG216" i="1"/>
  <c r="BF216" i="1"/>
  <c r="BE216" i="1"/>
  <c r="BD216" i="1"/>
  <c r="BC216" i="1"/>
  <c r="BB216" i="1"/>
  <c r="BA216" i="1"/>
  <c r="AZ216" i="1"/>
  <c r="AY216" i="1"/>
  <c r="AX216" i="1"/>
  <c r="AW216" i="1"/>
  <c r="AV216" i="1"/>
  <c r="AU216" i="1"/>
  <c r="AT216" i="1"/>
  <c r="AS216" i="1"/>
  <c r="AR216" i="1"/>
  <c r="AQ216" i="1"/>
  <c r="AP216" i="1"/>
  <c r="AO216" i="1"/>
  <c r="AE216" i="1"/>
  <c r="BS215" i="1"/>
  <c r="BR215" i="1"/>
  <c r="BQ215" i="1"/>
  <c r="BP215" i="1"/>
  <c r="BO215" i="1"/>
  <c r="BN215" i="1"/>
  <c r="BM215" i="1"/>
  <c r="BL215" i="1"/>
  <c r="BK215" i="1"/>
  <c r="BJ215" i="1"/>
  <c r="BI215" i="1"/>
  <c r="BH215" i="1"/>
  <c r="BG215" i="1"/>
  <c r="BF215" i="1"/>
  <c r="BE215" i="1"/>
  <c r="BD215" i="1"/>
  <c r="BC215" i="1"/>
  <c r="BB215" i="1"/>
  <c r="BA215" i="1"/>
  <c r="AZ215" i="1"/>
  <c r="AY215" i="1"/>
  <c r="AX215" i="1"/>
  <c r="AW215" i="1"/>
  <c r="AV215" i="1"/>
  <c r="AU215" i="1"/>
  <c r="AT215" i="1"/>
  <c r="AS215" i="1"/>
  <c r="AR215" i="1"/>
  <c r="AQ215" i="1"/>
  <c r="AP215" i="1"/>
  <c r="AO215" i="1"/>
  <c r="AE215" i="1"/>
  <c r="BS214" i="1"/>
  <c r="BR214" i="1"/>
  <c r="BQ214" i="1"/>
  <c r="BP214" i="1"/>
  <c r="BO214" i="1"/>
  <c r="BN214" i="1"/>
  <c r="BM214" i="1"/>
  <c r="BL214" i="1"/>
  <c r="BK214" i="1"/>
  <c r="BJ214" i="1"/>
  <c r="BI214" i="1"/>
  <c r="BH214" i="1"/>
  <c r="BG214" i="1"/>
  <c r="BF214" i="1"/>
  <c r="BE214" i="1"/>
  <c r="BD214" i="1"/>
  <c r="BC214" i="1"/>
  <c r="BB214" i="1"/>
  <c r="BA214" i="1"/>
  <c r="AZ214" i="1"/>
  <c r="AY214" i="1"/>
  <c r="AX214" i="1"/>
  <c r="AW214" i="1"/>
  <c r="AV214" i="1"/>
  <c r="AU214" i="1"/>
  <c r="AT214" i="1"/>
  <c r="AS214" i="1"/>
  <c r="AR214" i="1"/>
  <c r="AQ214" i="1"/>
  <c r="AP214" i="1"/>
  <c r="AO214" i="1"/>
  <c r="AE214" i="1"/>
  <c r="BS213" i="1"/>
  <c r="BR213" i="1"/>
  <c r="BQ213" i="1"/>
  <c r="BP213" i="1"/>
  <c r="BO213" i="1"/>
  <c r="BN213" i="1"/>
  <c r="BM213" i="1"/>
  <c r="BL213" i="1"/>
  <c r="BK213" i="1"/>
  <c r="BJ213" i="1"/>
  <c r="BI213" i="1"/>
  <c r="BH213" i="1"/>
  <c r="BG213" i="1"/>
  <c r="BF213" i="1"/>
  <c r="BE213" i="1"/>
  <c r="BD213" i="1"/>
  <c r="BC213" i="1"/>
  <c r="BB213" i="1"/>
  <c r="BA213" i="1"/>
  <c r="AZ213" i="1"/>
  <c r="AY213" i="1"/>
  <c r="AX213" i="1"/>
  <c r="AW213" i="1"/>
  <c r="AV213" i="1"/>
  <c r="AU213" i="1"/>
  <c r="AT213" i="1"/>
  <c r="AS213" i="1"/>
  <c r="AR213" i="1"/>
  <c r="AQ213" i="1"/>
  <c r="AP213" i="1"/>
  <c r="AO213" i="1"/>
  <c r="AE213" i="1"/>
  <c r="BS212" i="1"/>
  <c r="BR212" i="1"/>
  <c r="BQ212" i="1"/>
  <c r="BP212" i="1"/>
  <c r="BO212" i="1"/>
  <c r="BN212" i="1"/>
  <c r="BM212" i="1"/>
  <c r="BL212" i="1"/>
  <c r="BK212" i="1"/>
  <c r="BJ212" i="1"/>
  <c r="BI212" i="1"/>
  <c r="BH212" i="1"/>
  <c r="BG212" i="1"/>
  <c r="BF212" i="1"/>
  <c r="BE212" i="1"/>
  <c r="BD212" i="1"/>
  <c r="BC212" i="1"/>
  <c r="BB212" i="1"/>
  <c r="BA212" i="1"/>
  <c r="AZ212" i="1"/>
  <c r="AY212" i="1"/>
  <c r="AX212" i="1"/>
  <c r="AW212" i="1"/>
  <c r="AV212" i="1"/>
  <c r="AU212" i="1"/>
  <c r="AT212" i="1"/>
  <c r="AS212" i="1"/>
  <c r="AR212" i="1"/>
  <c r="AQ212" i="1"/>
  <c r="AP212" i="1"/>
  <c r="AO212" i="1"/>
  <c r="AE212" i="1"/>
  <c r="BS211" i="1"/>
  <c r="BR211" i="1"/>
  <c r="BQ211" i="1"/>
  <c r="BP211" i="1"/>
  <c r="BO211" i="1"/>
  <c r="BN211" i="1"/>
  <c r="BM211" i="1"/>
  <c r="BL211" i="1"/>
  <c r="BK211" i="1"/>
  <c r="BJ211" i="1"/>
  <c r="BI211" i="1"/>
  <c r="BH211" i="1"/>
  <c r="BG211" i="1"/>
  <c r="BF211" i="1"/>
  <c r="BE211" i="1"/>
  <c r="BD211" i="1"/>
  <c r="BC211" i="1"/>
  <c r="BB211" i="1"/>
  <c r="BA211" i="1"/>
  <c r="AZ211" i="1"/>
  <c r="AY211" i="1"/>
  <c r="AX211" i="1"/>
  <c r="AW211" i="1"/>
  <c r="AV211" i="1"/>
  <c r="AU211" i="1"/>
  <c r="AT211" i="1"/>
  <c r="AS211" i="1"/>
  <c r="AR211" i="1"/>
  <c r="AQ211" i="1"/>
  <c r="AP211" i="1"/>
  <c r="AO211" i="1"/>
  <c r="AE211" i="1"/>
  <c r="BS210" i="1"/>
  <c r="BR210" i="1"/>
  <c r="BQ210" i="1"/>
  <c r="BP210" i="1"/>
  <c r="BO210" i="1"/>
  <c r="BN210" i="1"/>
  <c r="BM210" i="1"/>
  <c r="BL210" i="1"/>
  <c r="BK210" i="1"/>
  <c r="BJ210" i="1"/>
  <c r="BI210" i="1"/>
  <c r="BH210" i="1"/>
  <c r="BG210" i="1"/>
  <c r="BF210" i="1"/>
  <c r="BE210" i="1"/>
  <c r="BD210" i="1"/>
  <c r="BC210" i="1"/>
  <c r="BB210" i="1"/>
  <c r="BA210" i="1"/>
  <c r="AZ210" i="1"/>
  <c r="AY210" i="1"/>
  <c r="AX210" i="1"/>
  <c r="AW210" i="1"/>
  <c r="AV210" i="1"/>
  <c r="AU210" i="1"/>
  <c r="AT210" i="1"/>
  <c r="AS210" i="1"/>
  <c r="AR210" i="1"/>
  <c r="AQ210" i="1"/>
  <c r="AP210" i="1"/>
  <c r="AO210" i="1"/>
  <c r="AE210" i="1"/>
  <c r="BS209" i="1"/>
  <c r="BR209" i="1"/>
  <c r="BQ209" i="1"/>
  <c r="BP209" i="1"/>
  <c r="BO209" i="1"/>
  <c r="BN209" i="1"/>
  <c r="BM209" i="1"/>
  <c r="BL209" i="1"/>
  <c r="BK209" i="1"/>
  <c r="BJ209" i="1"/>
  <c r="BI209" i="1"/>
  <c r="BH209" i="1"/>
  <c r="BG209" i="1"/>
  <c r="BF209" i="1"/>
  <c r="BE209" i="1"/>
  <c r="BD209" i="1"/>
  <c r="BC209" i="1"/>
  <c r="BB209" i="1"/>
  <c r="BA209" i="1"/>
  <c r="AZ209" i="1"/>
  <c r="AY209" i="1"/>
  <c r="AX209" i="1"/>
  <c r="AW209" i="1"/>
  <c r="AV209" i="1"/>
  <c r="AU209" i="1"/>
  <c r="AT209" i="1"/>
  <c r="AS209" i="1"/>
  <c r="AR209" i="1"/>
  <c r="AQ209" i="1"/>
  <c r="AP209" i="1"/>
  <c r="AO209" i="1"/>
  <c r="AE209" i="1"/>
  <c r="BS208" i="1"/>
  <c r="BR208" i="1"/>
  <c r="BQ208" i="1"/>
  <c r="BP208" i="1"/>
  <c r="BO208" i="1"/>
  <c r="BN208" i="1"/>
  <c r="BM208" i="1"/>
  <c r="BL208" i="1"/>
  <c r="BK208" i="1"/>
  <c r="BJ208" i="1"/>
  <c r="BI208" i="1"/>
  <c r="BH208" i="1"/>
  <c r="BG208" i="1"/>
  <c r="BF208" i="1"/>
  <c r="BE208" i="1"/>
  <c r="BD208" i="1"/>
  <c r="BC208" i="1"/>
  <c r="BB208" i="1"/>
  <c r="BA208" i="1"/>
  <c r="AZ208" i="1"/>
  <c r="AY208" i="1"/>
  <c r="AX208" i="1"/>
  <c r="AW208" i="1"/>
  <c r="AV208" i="1"/>
  <c r="AU208" i="1"/>
  <c r="AT208" i="1"/>
  <c r="AS208" i="1"/>
  <c r="AR208" i="1"/>
  <c r="AQ208" i="1"/>
  <c r="AP208" i="1"/>
  <c r="AO208" i="1"/>
  <c r="AE208" i="1"/>
  <c r="BS207" i="1"/>
  <c r="BR207" i="1"/>
  <c r="BQ207" i="1"/>
  <c r="BP207" i="1"/>
  <c r="BO207" i="1"/>
  <c r="BN207" i="1"/>
  <c r="BM207" i="1"/>
  <c r="BL207" i="1"/>
  <c r="BK207" i="1"/>
  <c r="BJ207" i="1"/>
  <c r="BI207" i="1"/>
  <c r="BH207" i="1"/>
  <c r="BG207" i="1"/>
  <c r="BF207" i="1"/>
  <c r="BE207" i="1"/>
  <c r="BD207" i="1"/>
  <c r="BC207" i="1"/>
  <c r="BB207" i="1"/>
  <c r="BA207" i="1"/>
  <c r="AZ207" i="1"/>
  <c r="AY207" i="1"/>
  <c r="AX207" i="1"/>
  <c r="AW207" i="1"/>
  <c r="AV207" i="1"/>
  <c r="AU207" i="1"/>
  <c r="AT207" i="1"/>
  <c r="AS207" i="1"/>
  <c r="AR207" i="1"/>
  <c r="AQ207" i="1"/>
  <c r="AP207" i="1"/>
  <c r="AO207" i="1"/>
  <c r="AE207" i="1"/>
  <c r="BS206" i="1"/>
  <c r="BR206" i="1"/>
  <c r="BQ206" i="1"/>
  <c r="BP206" i="1"/>
  <c r="BO206" i="1"/>
  <c r="BN206" i="1"/>
  <c r="BM206" i="1"/>
  <c r="BL206" i="1"/>
  <c r="BK206" i="1"/>
  <c r="BJ206" i="1"/>
  <c r="BI206" i="1"/>
  <c r="BH206" i="1"/>
  <c r="BG206" i="1"/>
  <c r="BF206" i="1"/>
  <c r="BE206" i="1"/>
  <c r="BD206" i="1"/>
  <c r="BC206" i="1"/>
  <c r="BB206" i="1"/>
  <c r="BA206" i="1"/>
  <c r="AZ206" i="1"/>
  <c r="AY206" i="1"/>
  <c r="AX206" i="1"/>
  <c r="AW206" i="1"/>
  <c r="AV206" i="1"/>
  <c r="AU206" i="1"/>
  <c r="AT206" i="1"/>
  <c r="AS206" i="1"/>
  <c r="AR206" i="1"/>
  <c r="AQ206" i="1"/>
  <c r="AP206" i="1"/>
  <c r="AO206" i="1"/>
  <c r="AE206" i="1"/>
  <c r="BS205" i="1"/>
  <c r="BR205" i="1"/>
  <c r="BQ205" i="1"/>
  <c r="BP205" i="1"/>
  <c r="BO205" i="1"/>
  <c r="BN205" i="1"/>
  <c r="BM205" i="1"/>
  <c r="BL205" i="1"/>
  <c r="BK205" i="1"/>
  <c r="BJ205" i="1"/>
  <c r="BI205" i="1"/>
  <c r="BH205" i="1"/>
  <c r="BG205" i="1"/>
  <c r="BF205" i="1"/>
  <c r="BE205" i="1"/>
  <c r="BD205" i="1"/>
  <c r="BC205" i="1"/>
  <c r="BB205" i="1"/>
  <c r="BA205" i="1"/>
  <c r="AZ205" i="1"/>
  <c r="AY205" i="1"/>
  <c r="AX205" i="1"/>
  <c r="AW205" i="1"/>
  <c r="AV205" i="1"/>
  <c r="AU205" i="1"/>
  <c r="AT205" i="1"/>
  <c r="AS205" i="1"/>
  <c r="AR205" i="1"/>
  <c r="AQ205" i="1"/>
  <c r="AP205" i="1"/>
  <c r="AO205" i="1"/>
  <c r="AE205" i="1"/>
  <c r="BS204" i="1"/>
  <c r="BR204" i="1"/>
  <c r="BQ204" i="1"/>
  <c r="BP204" i="1"/>
  <c r="BO204" i="1"/>
  <c r="BN204" i="1"/>
  <c r="BM204" i="1"/>
  <c r="BL204" i="1"/>
  <c r="BK204" i="1"/>
  <c r="BJ204" i="1"/>
  <c r="BI204" i="1"/>
  <c r="BH204" i="1"/>
  <c r="BG204" i="1"/>
  <c r="BF204" i="1"/>
  <c r="BE204" i="1"/>
  <c r="BD204" i="1"/>
  <c r="BC204" i="1"/>
  <c r="BB204" i="1"/>
  <c r="BA204" i="1"/>
  <c r="AZ204" i="1"/>
  <c r="AY204" i="1"/>
  <c r="AX204" i="1"/>
  <c r="AW204" i="1"/>
  <c r="AV204" i="1"/>
  <c r="AU204" i="1"/>
  <c r="AT204" i="1"/>
  <c r="AS204" i="1"/>
  <c r="AR204" i="1"/>
  <c r="AQ204" i="1"/>
  <c r="AP204" i="1"/>
  <c r="AO204" i="1"/>
  <c r="AE204" i="1"/>
  <c r="BS203" i="1"/>
  <c r="BR203" i="1"/>
  <c r="BQ203" i="1"/>
  <c r="BP203" i="1"/>
  <c r="BO203" i="1"/>
  <c r="BN203" i="1"/>
  <c r="BM203" i="1"/>
  <c r="BL203" i="1"/>
  <c r="BK203" i="1"/>
  <c r="BJ203" i="1"/>
  <c r="BI203" i="1"/>
  <c r="BH203" i="1"/>
  <c r="BG203" i="1"/>
  <c r="BF203" i="1"/>
  <c r="BE203" i="1"/>
  <c r="BD203" i="1"/>
  <c r="BC203" i="1"/>
  <c r="BB203" i="1"/>
  <c r="BA203" i="1"/>
  <c r="AZ203" i="1"/>
  <c r="AY203" i="1"/>
  <c r="AX203" i="1"/>
  <c r="AW203" i="1"/>
  <c r="AV203" i="1"/>
  <c r="AU203" i="1"/>
  <c r="AT203" i="1"/>
  <c r="AS203" i="1"/>
  <c r="AR203" i="1"/>
  <c r="AQ203" i="1"/>
  <c r="AP203" i="1"/>
  <c r="AO203" i="1"/>
  <c r="AE203" i="1"/>
  <c r="BS202" i="1"/>
  <c r="BR202" i="1"/>
  <c r="BQ202" i="1"/>
  <c r="BP202" i="1"/>
  <c r="BO202" i="1"/>
  <c r="BN202" i="1"/>
  <c r="BM202" i="1"/>
  <c r="BL202" i="1"/>
  <c r="BK202" i="1"/>
  <c r="BJ202" i="1"/>
  <c r="BI202" i="1"/>
  <c r="BH202" i="1"/>
  <c r="BG202" i="1"/>
  <c r="BF202" i="1"/>
  <c r="BE202" i="1"/>
  <c r="BD202" i="1"/>
  <c r="BC202" i="1"/>
  <c r="BB202" i="1"/>
  <c r="BA202" i="1"/>
  <c r="AZ202" i="1"/>
  <c r="AY202" i="1"/>
  <c r="AX202" i="1"/>
  <c r="AW202" i="1"/>
  <c r="AV202" i="1"/>
  <c r="AU202" i="1"/>
  <c r="AT202" i="1"/>
  <c r="AS202" i="1"/>
  <c r="AR202" i="1"/>
  <c r="AQ202" i="1"/>
  <c r="AP202" i="1"/>
  <c r="AO202" i="1"/>
  <c r="AE202" i="1"/>
  <c r="BS201" i="1"/>
  <c r="BR201" i="1"/>
  <c r="BQ201" i="1"/>
  <c r="BP201" i="1"/>
  <c r="BO201" i="1"/>
  <c r="BN201" i="1"/>
  <c r="BM201" i="1"/>
  <c r="BL201" i="1"/>
  <c r="BK201" i="1"/>
  <c r="BJ201" i="1"/>
  <c r="BI201" i="1"/>
  <c r="BH201" i="1"/>
  <c r="BG201" i="1"/>
  <c r="BF201" i="1"/>
  <c r="BE201" i="1"/>
  <c r="BD201" i="1"/>
  <c r="BC201" i="1"/>
  <c r="BB201" i="1"/>
  <c r="BA201" i="1"/>
  <c r="AZ201" i="1"/>
  <c r="AY201" i="1"/>
  <c r="AX201" i="1"/>
  <c r="AW201" i="1"/>
  <c r="AV201" i="1"/>
  <c r="AU201" i="1"/>
  <c r="AT201" i="1"/>
  <c r="AS201" i="1"/>
  <c r="AR201" i="1"/>
  <c r="AQ201" i="1"/>
  <c r="AP201" i="1"/>
  <c r="AO201" i="1"/>
  <c r="AE201" i="1"/>
  <c r="BS200" i="1"/>
  <c r="BR200" i="1"/>
  <c r="BQ200" i="1"/>
  <c r="BP200" i="1"/>
  <c r="BO200" i="1"/>
  <c r="BN200" i="1"/>
  <c r="BM200" i="1"/>
  <c r="BL200" i="1"/>
  <c r="BK200" i="1"/>
  <c r="BJ200" i="1"/>
  <c r="BI200" i="1"/>
  <c r="BH200" i="1"/>
  <c r="BG200" i="1"/>
  <c r="BF200" i="1"/>
  <c r="BE200" i="1"/>
  <c r="BD200" i="1"/>
  <c r="BC200" i="1"/>
  <c r="BB200" i="1"/>
  <c r="BA200" i="1"/>
  <c r="AZ200" i="1"/>
  <c r="AY200" i="1"/>
  <c r="AX200" i="1"/>
  <c r="AW200" i="1"/>
  <c r="AV200" i="1"/>
  <c r="AU200" i="1"/>
  <c r="AT200" i="1"/>
  <c r="AS200" i="1"/>
  <c r="AR200" i="1"/>
  <c r="AQ200" i="1"/>
  <c r="AP200" i="1"/>
  <c r="AO200" i="1"/>
  <c r="AE200" i="1"/>
  <c r="BS199" i="1"/>
  <c r="BR199" i="1"/>
  <c r="BQ199" i="1"/>
  <c r="BP199" i="1"/>
  <c r="BO199" i="1"/>
  <c r="BN199" i="1"/>
  <c r="BM199" i="1"/>
  <c r="BL199" i="1"/>
  <c r="BK199" i="1"/>
  <c r="BJ199" i="1"/>
  <c r="BI199" i="1"/>
  <c r="BH199" i="1"/>
  <c r="BG199" i="1"/>
  <c r="BF199" i="1"/>
  <c r="BE199" i="1"/>
  <c r="BD199" i="1"/>
  <c r="BC199" i="1"/>
  <c r="BB199" i="1"/>
  <c r="BA199" i="1"/>
  <c r="AZ199" i="1"/>
  <c r="AY199" i="1"/>
  <c r="AX199" i="1"/>
  <c r="AW199" i="1"/>
  <c r="AV199" i="1"/>
  <c r="AU199" i="1"/>
  <c r="AT199" i="1"/>
  <c r="AS199" i="1"/>
  <c r="AR199" i="1"/>
  <c r="AQ199" i="1"/>
  <c r="AP199" i="1"/>
  <c r="AO199" i="1"/>
  <c r="AE199" i="1"/>
  <c r="BS198" i="1"/>
  <c r="BR198" i="1"/>
  <c r="BQ198" i="1"/>
  <c r="BP198" i="1"/>
  <c r="BO198" i="1"/>
  <c r="BN198" i="1"/>
  <c r="BM198" i="1"/>
  <c r="BL198" i="1"/>
  <c r="BK198" i="1"/>
  <c r="BJ198" i="1"/>
  <c r="BI198" i="1"/>
  <c r="BH198" i="1"/>
  <c r="BG198" i="1"/>
  <c r="BF198" i="1"/>
  <c r="BE198" i="1"/>
  <c r="BD198" i="1"/>
  <c r="BC198" i="1"/>
  <c r="BB198" i="1"/>
  <c r="BA198" i="1"/>
  <c r="AZ198" i="1"/>
  <c r="AY198" i="1"/>
  <c r="AX198" i="1"/>
  <c r="AW198" i="1"/>
  <c r="AV198" i="1"/>
  <c r="AU198" i="1"/>
  <c r="AT198" i="1"/>
  <c r="AS198" i="1"/>
  <c r="AR198" i="1"/>
  <c r="AQ198" i="1"/>
  <c r="AP198" i="1"/>
  <c r="AO198" i="1"/>
  <c r="AE198" i="1"/>
  <c r="BS197" i="1"/>
  <c r="BR197" i="1"/>
  <c r="BQ197" i="1"/>
  <c r="BP197" i="1"/>
  <c r="BO197" i="1"/>
  <c r="BN197" i="1"/>
  <c r="BM197" i="1"/>
  <c r="BL197" i="1"/>
  <c r="BK197" i="1"/>
  <c r="BJ197" i="1"/>
  <c r="BI197" i="1"/>
  <c r="BH197" i="1"/>
  <c r="BG197" i="1"/>
  <c r="BF197" i="1"/>
  <c r="BE197" i="1"/>
  <c r="BD197" i="1"/>
  <c r="BC197" i="1"/>
  <c r="BB197" i="1"/>
  <c r="BA197" i="1"/>
  <c r="AZ197" i="1"/>
  <c r="AY197" i="1"/>
  <c r="AX197" i="1"/>
  <c r="AW197" i="1"/>
  <c r="AV197" i="1"/>
  <c r="AU197" i="1"/>
  <c r="AT197" i="1"/>
  <c r="AS197" i="1"/>
  <c r="AR197" i="1"/>
  <c r="AQ197" i="1"/>
  <c r="AP197" i="1"/>
  <c r="AO197" i="1"/>
  <c r="AE197" i="1"/>
  <c r="BS196" i="1"/>
  <c r="BR196" i="1"/>
  <c r="BQ196" i="1"/>
  <c r="BP196" i="1"/>
  <c r="BO196" i="1"/>
  <c r="BN196" i="1"/>
  <c r="BM196" i="1"/>
  <c r="BL196" i="1"/>
  <c r="BK196" i="1"/>
  <c r="BJ196" i="1"/>
  <c r="BI196" i="1"/>
  <c r="BH196" i="1"/>
  <c r="BG196" i="1"/>
  <c r="BF196" i="1"/>
  <c r="BE196" i="1"/>
  <c r="BD196" i="1"/>
  <c r="BC196" i="1"/>
  <c r="BB196" i="1"/>
  <c r="BA196" i="1"/>
  <c r="AZ196" i="1"/>
  <c r="AY196" i="1"/>
  <c r="AX196" i="1"/>
  <c r="AW196" i="1"/>
  <c r="AV196" i="1"/>
  <c r="AU196" i="1"/>
  <c r="AT196" i="1"/>
  <c r="AS196" i="1"/>
  <c r="AR196" i="1"/>
  <c r="AQ196" i="1"/>
  <c r="AP196" i="1"/>
  <c r="AO196" i="1"/>
  <c r="AE196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E195" i="1"/>
  <c r="BS194" i="1"/>
  <c r="BR194" i="1"/>
  <c r="BQ194" i="1"/>
  <c r="BP194" i="1"/>
  <c r="BO194" i="1"/>
  <c r="BN194" i="1"/>
  <c r="BM194" i="1"/>
  <c r="BL194" i="1"/>
  <c r="BK194" i="1"/>
  <c r="BJ194" i="1"/>
  <c r="BI194" i="1"/>
  <c r="BH194" i="1"/>
  <c r="BG194" i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AR194" i="1"/>
  <c r="AQ194" i="1"/>
  <c r="AP194" i="1"/>
  <c r="AO194" i="1"/>
  <c r="AE194" i="1"/>
  <c r="BS193" i="1"/>
  <c r="BR193" i="1"/>
  <c r="BQ193" i="1"/>
  <c r="BP193" i="1"/>
  <c r="BO193" i="1"/>
  <c r="BN193" i="1"/>
  <c r="BM193" i="1"/>
  <c r="BL193" i="1"/>
  <c r="BK193" i="1"/>
  <c r="BJ193" i="1"/>
  <c r="BI193" i="1"/>
  <c r="BH193" i="1"/>
  <c r="BG193" i="1"/>
  <c r="BF193" i="1"/>
  <c r="BE193" i="1"/>
  <c r="BD193" i="1"/>
  <c r="BC193" i="1"/>
  <c r="BB193" i="1"/>
  <c r="BA193" i="1"/>
  <c r="AZ193" i="1"/>
  <c r="AY193" i="1"/>
  <c r="AX193" i="1"/>
  <c r="AW193" i="1"/>
  <c r="AV193" i="1"/>
  <c r="AU193" i="1"/>
  <c r="AT193" i="1"/>
  <c r="AS193" i="1"/>
  <c r="AR193" i="1"/>
  <c r="AQ193" i="1"/>
  <c r="AP193" i="1"/>
  <c r="AO193" i="1"/>
  <c r="AE193" i="1"/>
  <c r="BS192" i="1"/>
  <c r="BR192" i="1"/>
  <c r="BQ192" i="1"/>
  <c r="BP192" i="1"/>
  <c r="BO192" i="1"/>
  <c r="BN192" i="1"/>
  <c r="BM192" i="1"/>
  <c r="BL192" i="1"/>
  <c r="BK192" i="1"/>
  <c r="BJ192" i="1"/>
  <c r="BI192" i="1"/>
  <c r="BH192" i="1"/>
  <c r="BG192" i="1"/>
  <c r="BF192" i="1"/>
  <c r="BE192" i="1"/>
  <c r="BD192" i="1"/>
  <c r="BC192" i="1"/>
  <c r="BB192" i="1"/>
  <c r="BA192" i="1"/>
  <c r="AZ192" i="1"/>
  <c r="AY192" i="1"/>
  <c r="AX192" i="1"/>
  <c r="AW192" i="1"/>
  <c r="AV192" i="1"/>
  <c r="AU192" i="1"/>
  <c r="AT192" i="1"/>
  <c r="AS192" i="1"/>
  <c r="AR192" i="1"/>
  <c r="AQ192" i="1"/>
  <c r="AP192" i="1"/>
  <c r="AO192" i="1"/>
  <c r="AE192" i="1"/>
  <c r="BS191" i="1"/>
  <c r="BR191" i="1"/>
  <c r="BQ191" i="1"/>
  <c r="BP191" i="1"/>
  <c r="BO191" i="1"/>
  <c r="BN191" i="1"/>
  <c r="BM191" i="1"/>
  <c r="BL191" i="1"/>
  <c r="BK191" i="1"/>
  <c r="BJ191" i="1"/>
  <c r="BI191" i="1"/>
  <c r="BH191" i="1"/>
  <c r="BG191" i="1"/>
  <c r="BF191" i="1"/>
  <c r="BE191" i="1"/>
  <c r="BD191" i="1"/>
  <c r="BC191" i="1"/>
  <c r="BB191" i="1"/>
  <c r="BA191" i="1"/>
  <c r="AZ191" i="1"/>
  <c r="AY191" i="1"/>
  <c r="AX191" i="1"/>
  <c r="AW191" i="1"/>
  <c r="AV191" i="1"/>
  <c r="AU191" i="1"/>
  <c r="AT191" i="1"/>
  <c r="AS191" i="1"/>
  <c r="AR191" i="1"/>
  <c r="AQ191" i="1"/>
  <c r="AP191" i="1"/>
  <c r="AO191" i="1"/>
  <c r="AE191" i="1"/>
  <c r="BS190" i="1"/>
  <c r="BR190" i="1"/>
  <c r="BQ190" i="1"/>
  <c r="BP190" i="1"/>
  <c r="BO190" i="1"/>
  <c r="BN190" i="1"/>
  <c r="BM190" i="1"/>
  <c r="BL190" i="1"/>
  <c r="BK190" i="1"/>
  <c r="BJ190" i="1"/>
  <c r="BI190" i="1"/>
  <c r="BH190" i="1"/>
  <c r="BG190" i="1"/>
  <c r="BF190" i="1"/>
  <c r="BE190" i="1"/>
  <c r="BD190" i="1"/>
  <c r="BC190" i="1"/>
  <c r="BB190" i="1"/>
  <c r="BA190" i="1"/>
  <c r="AZ190" i="1"/>
  <c r="AY190" i="1"/>
  <c r="AX190" i="1"/>
  <c r="AW190" i="1"/>
  <c r="AV190" i="1"/>
  <c r="AU190" i="1"/>
  <c r="AT190" i="1"/>
  <c r="AS190" i="1"/>
  <c r="AR190" i="1"/>
  <c r="AQ190" i="1"/>
  <c r="AP190" i="1"/>
  <c r="AO190" i="1"/>
  <c r="AE190" i="1"/>
  <c r="BS189" i="1"/>
  <c r="BR189" i="1"/>
  <c r="BQ189" i="1"/>
  <c r="BP189" i="1"/>
  <c r="BO189" i="1"/>
  <c r="BN189" i="1"/>
  <c r="BM189" i="1"/>
  <c r="BL189" i="1"/>
  <c r="BK189" i="1"/>
  <c r="BJ189" i="1"/>
  <c r="BI189" i="1"/>
  <c r="BH189" i="1"/>
  <c r="BG189" i="1"/>
  <c r="BF189" i="1"/>
  <c r="BE189" i="1"/>
  <c r="BD189" i="1"/>
  <c r="BC189" i="1"/>
  <c r="BB189" i="1"/>
  <c r="BA189" i="1"/>
  <c r="AZ189" i="1"/>
  <c r="AY189" i="1"/>
  <c r="AX189" i="1"/>
  <c r="AW189" i="1"/>
  <c r="AV189" i="1"/>
  <c r="AU189" i="1"/>
  <c r="AT189" i="1"/>
  <c r="AS189" i="1"/>
  <c r="AR189" i="1"/>
  <c r="AQ189" i="1"/>
  <c r="AP189" i="1"/>
  <c r="AO189" i="1"/>
  <c r="AE189" i="1"/>
  <c r="BS188" i="1"/>
  <c r="BR188" i="1"/>
  <c r="BQ188" i="1"/>
  <c r="BP188" i="1"/>
  <c r="BO188" i="1"/>
  <c r="BN188" i="1"/>
  <c r="BM188" i="1"/>
  <c r="BL188" i="1"/>
  <c r="BK188" i="1"/>
  <c r="BJ188" i="1"/>
  <c r="BI188" i="1"/>
  <c r="BH188" i="1"/>
  <c r="BG188" i="1"/>
  <c r="BF188" i="1"/>
  <c r="BE188" i="1"/>
  <c r="BD188" i="1"/>
  <c r="BC188" i="1"/>
  <c r="BB188" i="1"/>
  <c r="BA188" i="1"/>
  <c r="AZ188" i="1"/>
  <c r="AY188" i="1"/>
  <c r="AX188" i="1"/>
  <c r="AW188" i="1"/>
  <c r="AV188" i="1"/>
  <c r="AU188" i="1"/>
  <c r="AT188" i="1"/>
  <c r="AS188" i="1"/>
  <c r="AR188" i="1"/>
  <c r="AQ188" i="1"/>
  <c r="AP188" i="1"/>
  <c r="AO188" i="1"/>
  <c r="AE188" i="1"/>
  <c r="BS187" i="1"/>
  <c r="BR187" i="1"/>
  <c r="BQ187" i="1"/>
  <c r="BP187" i="1"/>
  <c r="BO187" i="1"/>
  <c r="BN187" i="1"/>
  <c r="BM187" i="1"/>
  <c r="BL187" i="1"/>
  <c r="BK187" i="1"/>
  <c r="BJ187" i="1"/>
  <c r="BI187" i="1"/>
  <c r="BH187" i="1"/>
  <c r="BG187" i="1"/>
  <c r="BF187" i="1"/>
  <c r="BE187" i="1"/>
  <c r="BD187" i="1"/>
  <c r="BC187" i="1"/>
  <c r="BB187" i="1"/>
  <c r="BA187" i="1"/>
  <c r="AZ187" i="1"/>
  <c r="AY187" i="1"/>
  <c r="AX187" i="1"/>
  <c r="AW187" i="1"/>
  <c r="AV187" i="1"/>
  <c r="AU187" i="1"/>
  <c r="AT187" i="1"/>
  <c r="AS187" i="1"/>
  <c r="AR187" i="1"/>
  <c r="AQ187" i="1"/>
  <c r="AP187" i="1"/>
  <c r="AO187" i="1"/>
  <c r="AE187" i="1"/>
  <c r="BS186" i="1"/>
  <c r="BR186" i="1"/>
  <c r="BQ186" i="1"/>
  <c r="BP186" i="1"/>
  <c r="BO186" i="1"/>
  <c r="BN186" i="1"/>
  <c r="BM186" i="1"/>
  <c r="BL186" i="1"/>
  <c r="BK186" i="1"/>
  <c r="BJ186" i="1"/>
  <c r="BI186" i="1"/>
  <c r="BH186" i="1"/>
  <c r="BG186" i="1"/>
  <c r="BF186" i="1"/>
  <c r="BE186" i="1"/>
  <c r="BD186" i="1"/>
  <c r="BC186" i="1"/>
  <c r="BB186" i="1"/>
  <c r="BA186" i="1"/>
  <c r="AZ186" i="1"/>
  <c r="AY186" i="1"/>
  <c r="AX186" i="1"/>
  <c r="AW186" i="1"/>
  <c r="AV186" i="1"/>
  <c r="AU186" i="1"/>
  <c r="AT186" i="1"/>
  <c r="AS186" i="1"/>
  <c r="AR186" i="1"/>
  <c r="AQ186" i="1"/>
  <c r="AP186" i="1"/>
  <c r="AO186" i="1"/>
  <c r="AE186" i="1"/>
  <c r="BS185" i="1"/>
  <c r="BR185" i="1"/>
  <c r="BQ185" i="1"/>
  <c r="BP185" i="1"/>
  <c r="BO185" i="1"/>
  <c r="BN185" i="1"/>
  <c r="BM185" i="1"/>
  <c r="BL185" i="1"/>
  <c r="BK185" i="1"/>
  <c r="BJ185" i="1"/>
  <c r="BI185" i="1"/>
  <c r="BH185" i="1"/>
  <c r="BG185" i="1"/>
  <c r="BF185" i="1"/>
  <c r="BE185" i="1"/>
  <c r="BD185" i="1"/>
  <c r="BC185" i="1"/>
  <c r="BB185" i="1"/>
  <c r="BA185" i="1"/>
  <c r="AZ185" i="1"/>
  <c r="AY185" i="1"/>
  <c r="AX185" i="1"/>
  <c r="AW185" i="1"/>
  <c r="AV185" i="1"/>
  <c r="AU185" i="1"/>
  <c r="AT185" i="1"/>
  <c r="AS185" i="1"/>
  <c r="AR185" i="1"/>
  <c r="AQ185" i="1"/>
  <c r="AP185" i="1"/>
  <c r="AO185" i="1"/>
  <c r="AE185" i="1"/>
  <c r="BS184" i="1"/>
  <c r="BR184" i="1"/>
  <c r="BQ184" i="1"/>
  <c r="BP184" i="1"/>
  <c r="BO184" i="1"/>
  <c r="BN184" i="1"/>
  <c r="BM184" i="1"/>
  <c r="BL184" i="1"/>
  <c r="BK184" i="1"/>
  <c r="BJ184" i="1"/>
  <c r="BI184" i="1"/>
  <c r="BH184" i="1"/>
  <c r="BG184" i="1"/>
  <c r="BF184" i="1"/>
  <c r="BE184" i="1"/>
  <c r="BD184" i="1"/>
  <c r="BC184" i="1"/>
  <c r="BB184" i="1"/>
  <c r="BA184" i="1"/>
  <c r="AZ184" i="1"/>
  <c r="AY184" i="1"/>
  <c r="AX184" i="1"/>
  <c r="AW184" i="1"/>
  <c r="AV184" i="1"/>
  <c r="AU184" i="1"/>
  <c r="AT184" i="1"/>
  <c r="AS184" i="1"/>
  <c r="AR184" i="1"/>
  <c r="AQ184" i="1"/>
  <c r="AP184" i="1"/>
  <c r="AO184" i="1"/>
  <c r="AE184" i="1"/>
  <c r="BS183" i="1"/>
  <c r="BR183" i="1"/>
  <c r="BQ183" i="1"/>
  <c r="BP183" i="1"/>
  <c r="BO183" i="1"/>
  <c r="BN183" i="1"/>
  <c r="BM183" i="1"/>
  <c r="BL183" i="1"/>
  <c r="BK183" i="1"/>
  <c r="BJ183" i="1"/>
  <c r="BI183" i="1"/>
  <c r="BH183" i="1"/>
  <c r="BG183" i="1"/>
  <c r="BF183" i="1"/>
  <c r="BE183" i="1"/>
  <c r="BD183" i="1"/>
  <c r="BC183" i="1"/>
  <c r="BB183" i="1"/>
  <c r="BA183" i="1"/>
  <c r="AZ183" i="1"/>
  <c r="AY183" i="1"/>
  <c r="AX183" i="1"/>
  <c r="AW183" i="1"/>
  <c r="AV183" i="1"/>
  <c r="AU183" i="1"/>
  <c r="AT183" i="1"/>
  <c r="AS183" i="1"/>
  <c r="AR183" i="1"/>
  <c r="AQ183" i="1"/>
  <c r="AP183" i="1"/>
  <c r="AO183" i="1"/>
  <c r="AE183" i="1"/>
  <c r="BS182" i="1"/>
  <c r="BR182" i="1"/>
  <c r="BQ182" i="1"/>
  <c r="BP182" i="1"/>
  <c r="BO182" i="1"/>
  <c r="BN182" i="1"/>
  <c r="BM182" i="1"/>
  <c r="BL182" i="1"/>
  <c r="BK182" i="1"/>
  <c r="BJ182" i="1"/>
  <c r="BI182" i="1"/>
  <c r="BH182" i="1"/>
  <c r="BG182" i="1"/>
  <c r="BF182" i="1"/>
  <c r="BE182" i="1"/>
  <c r="BD182" i="1"/>
  <c r="BC182" i="1"/>
  <c r="BB182" i="1"/>
  <c r="BA182" i="1"/>
  <c r="AZ182" i="1"/>
  <c r="AY182" i="1"/>
  <c r="AX182" i="1"/>
  <c r="AW182" i="1"/>
  <c r="AV182" i="1"/>
  <c r="AU182" i="1"/>
  <c r="AT182" i="1"/>
  <c r="AS182" i="1"/>
  <c r="AR182" i="1"/>
  <c r="AQ182" i="1"/>
  <c r="AP182" i="1"/>
  <c r="AO182" i="1"/>
  <c r="AE182" i="1"/>
  <c r="BS181" i="1"/>
  <c r="BR181" i="1"/>
  <c r="BQ181" i="1"/>
  <c r="BP181" i="1"/>
  <c r="BO181" i="1"/>
  <c r="BN181" i="1"/>
  <c r="BM181" i="1"/>
  <c r="BL181" i="1"/>
  <c r="BK181" i="1"/>
  <c r="BJ181" i="1"/>
  <c r="BI181" i="1"/>
  <c r="BH181" i="1"/>
  <c r="BG181" i="1"/>
  <c r="BF181" i="1"/>
  <c r="BE181" i="1"/>
  <c r="BD181" i="1"/>
  <c r="BC181" i="1"/>
  <c r="BB181" i="1"/>
  <c r="BA181" i="1"/>
  <c r="AZ181" i="1"/>
  <c r="AY181" i="1"/>
  <c r="AX181" i="1"/>
  <c r="AW181" i="1"/>
  <c r="AV181" i="1"/>
  <c r="AU181" i="1"/>
  <c r="AT181" i="1"/>
  <c r="AS181" i="1"/>
  <c r="AR181" i="1"/>
  <c r="AQ181" i="1"/>
  <c r="AP181" i="1"/>
  <c r="AO181" i="1"/>
  <c r="AE181" i="1"/>
  <c r="BS180" i="1"/>
  <c r="BR180" i="1"/>
  <c r="BQ180" i="1"/>
  <c r="BP180" i="1"/>
  <c r="BO180" i="1"/>
  <c r="BN180" i="1"/>
  <c r="BM180" i="1"/>
  <c r="BL180" i="1"/>
  <c r="BK180" i="1"/>
  <c r="BJ180" i="1"/>
  <c r="BI180" i="1"/>
  <c r="BH180" i="1"/>
  <c r="BG180" i="1"/>
  <c r="BF180" i="1"/>
  <c r="BE180" i="1"/>
  <c r="BD180" i="1"/>
  <c r="BC180" i="1"/>
  <c r="BB180" i="1"/>
  <c r="BA180" i="1"/>
  <c r="AZ180" i="1"/>
  <c r="AY180" i="1"/>
  <c r="AX180" i="1"/>
  <c r="AW180" i="1"/>
  <c r="AV180" i="1"/>
  <c r="AU180" i="1"/>
  <c r="AT180" i="1"/>
  <c r="AS180" i="1"/>
  <c r="AR180" i="1"/>
  <c r="AQ180" i="1"/>
  <c r="AP180" i="1"/>
  <c r="AO180" i="1"/>
  <c r="AE180" i="1"/>
  <c r="BS179" i="1"/>
  <c r="BR179" i="1"/>
  <c r="BQ179" i="1"/>
  <c r="BP179" i="1"/>
  <c r="BO179" i="1"/>
  <c r="BN179" i="1"/>
  <c r="BM179" i="1"/>
  <c r="BL179" i="1"/>
  <c r="BK179" i="1"/>
  <c r="BJ179" i="1"/>
  <c r="BI179" i="1"/>
  <c r="BH179" i="1"/>
  <c r="BG179" i="1"/>
  <c r="BF179" i="1"/>
  <c r="BE179" i="1"/>
  <c r="BD179" i="1"/>
  <c r="BC179" i="1"/>
  <c r="BB179" i="1"/>
  <c r="BA179" i="1"/>
  <c r="AZ179" i="1"/>
  <c r="AY179" i="1"/>
  <c r="AX179" i="1"/>
  <c r="AW179" i="1"/>
  <c r="AV179" i="1"/>
  <c r="AU179" i="1"/>
  <c r="AT179" i="1"/>
  <c r="AS179" i="1"/>
  <c r="AR179" i="1"/>
  <c r="AQ179" i="1"/>
  <c r="AP179" i="1"/>
  <c r="AO179" i="1"/>
  <c r="AE179" i="1"/>
  <c r="BS178" i="1"/>
  <c r="BR178" i="1"/>
  <c r="BQ178" i="1"/>
  <c r="BP178" i="1"/>
  <c r="BO178" i="1"/>
  <c r="BN178" i="1"/>
  <c r="BM178" i="1"/>
  <c r="BL178" i="1"/>
  <c r="BK178" i="1"/>
  <c r="BJ178" i="1"/>
  <c r="BI178" i="1"/>
  <c r="BH178" i="1"/>
  <c r="BG178" i="1"/>
  <c r="BF178" i="1"/>
  <c r="BE178" i="1"/>
  <c r="BD178" i="1"/>
  <c r="BC178" i="1"/>
  <c r="BB178" i="1"/>
  <c r="BA178" i="1"/>
  <c r="AZ178" i="1"/>
  <c r="AY178" i="1"/>
  <c r="AX178" i="1"/>
  <c r="AW178" i="1"/>
  <c r="AV178" i="1"/>
  <c r="AU178" i="1"/>
  <c r="AT178" i="1"/>
  <c r="AS178" i="1"/>
  <c r="AR178" i="1"/>
  <c r="AQ178" i="1"/>
  <c r="AP178" i="1"/>
  <c r="AO178" i="1"/>
  <c r="AE178" i="1"/>
  <c r="BS177" i="1"/>
  <c r="BR177" i="1"/>
  <c r="BQ177" i="1"/>
  <c r="BP177" i="1"/>
  <c r="BO177" i="1"/>
  <c r="BN177" i="1"/>
  <c r="BM177" i="1"/>
  <c r="BL177" i="1"/>
  <c r="BK177" i="1"/>
  <c r="BJ177" i="1"/>
  <c r="BI177" i="1"/>
  <c r="BH177" i="1"/>
  <c r="BG177" i="1"/>
  <c r="BF177" i="1"/>
  <c r="BE177" i="1"/>
  <c r="BD177" i="1"/>
  <c r="BC177" i="1"/>
  <c r="BB177" i="1"/>
  <c r="BA177" i="1"/>
  <c r="AZ177" i="1"/>
  <c r="AY177" i="1"/>
  <c r="AX177" i="1"/>
  <c r="AW177" i="1"/>
  <c r="AV177" i="1"/>
  <c r="AU177" i="1"/>
  <c r="AT177" i="1"/>
  <c r="AS177" i="1"/>
  <c r="AR177" i="1"/>
  <c r="AQ177" i="1"/>
  <c r="AP177" i="1"/>
  <c r="AO177" i="1"/>
  <c r="AE177" i="1"/>
  <c r="BS176" i="1"/>
  <c r="BR176" i="1"/>
  <c r="BQ176" i="1"/>
  <c r="BP176" i="1"/>
  <c r="BO176" i="1"/>
  <c r="BN176" i="1"/>
  <c r="BM176" i="1"/>
  <c r="BL176" i="1"/>
  <c r="BK176" i="1"/>
  <c r="BJ176" i="1"/>
  <c r="BI176" i="1"/>
  <c r="BH176" i="1"/>
  <c r="BG176" i="1"/>
  <c r="BF176" i="1"/>
  <c r="BE176" i="1"/>
  <c r="BD176" i="1"/>
  <c r="BC176" i="1"/>
  <c r="BB176" i="1"/>
  <c r="BA176" i="1"/>
  <c r="AZ176" i="1"/>
  <c r="AY176" i="1"/>
  <c r="AX176" i="1"/>
  <c r="AW176" i="1"/>
  <c r="AV176" i="1"/>
  <c r="AU176" i="1"/>
  <c r="AT176" i="1"/>
  <c r="AS176" i="1"/>
  <c r="AR176" i="1"/>
  <c r="AQ176" i="1"/>
  <c r="AP176" i="1"/>
  <c r="AO176" i="1"/>
  <c r="AE176" i="1"/>
  <c r="BS175" i="1"/>
  <c r="BR175" i="1"/>
  <c r="BQ175" i="1"/>
  <c r="BP175" i="1"/>
  <c r="BO175" i="1"/>
  <c r="BN175" i="1"/>
  <c r="BM175" i="1"/>
  <c r="BL175" i="1"/>
  <c r="BK175" i="1"/>
  <c r="BJ175" i="1"/>
  <c r="BI175" i="1"/>
  <c r="BH175" i="1"/>
  <c r="BG175" i="1"/>
  <c r="BF175" i="1"/>
  <c r="BE175" i="1"/>
  <c r="BD175" i="1"/>
  <c r="BC175" i="1"/>
  <c r="BB175" i="1"/>
  <c r="BA175" i="1"/>
  <c r="AZ175" i="1"/>
  <c r="AY175" i="1"/>
  <c r="AX175" i="1"/>
  <c r="AW175" i="1"/>
  <c r="AV175" i="1"/>
  <c r="AU175" i="1"/>
  <c r="AT175" i="1"/>
  <c r="AS175" i="1"/>
  <c r="AR175" i="1"/>
  <c r="AQ175" i="1"/>
  <c r="AP175" i="1"/>
  <c r="AO175" i="1"/>
  <c r="AE175" i="1"/>
  <c r="BS174" i="1"/>
  <c r="BR174" i="1"/>
  <c r="BQ174" i="1"/>
  <c r="BP174" i="1"/>
  <c r="BO174" i="1"/>
  <c r="BN174" i="1"/>
  <c r="BM174" i="1"/>
  <c r="BL174" i="1"/>
  <c r="BK174" i="1"/>
  <c r="BJ174" i="1"/>
  <c r="BI174" i="1"/>
  <c r="BH174" i="1"/>
  <c r="BG174" i="1"/>
  <c r="BF174" i="1"/>
  <c r="BE174" i="1"/>
  <c r="BD174" i="1"/>
  <c r="BC174" i="1"/>
  <c r="BB174" i="1"/>
  <c r="BA174" i="1"/>
  <c r="AZ174" i="1"/>
  <c r="AY174" i="1"/>
  <c r="AX174" i="1"/>
  <c r="AW174" i="1"/>
  <c r="AV174" i="1"/>
  <c r="AU174" i="1"/>
  <c r="AT174" i="1"/>
  <c r="AS174" i="1"/>
  <c r="AR174" i="1"/>
  <c r="AQ174" i="1"/>
  <c r="AP174" i="1"/>
  <c r="AO174" i="1"/>
  <c r="AE174" i="1"/>
  <c r="BS173" i="1"/>
  <c r="BR173" i="1"/>
  <c r="BQ173" i="1"/>
  <c r="BP173" i="1"/>
  <c r="BO173" i="1"/>
  <c r="BN173" i="1"/>
  <c r="BM173" i="1"/>
  <c r="BL173" i="1"/>
  <c r="BK173" i="1"/>
  <c r="BJ173" i="1"/>
  <c r="BI173" i="1"/>
  <c r="BH173" i="1"/>
  <c r="BG173" i="1"/>
  <c r="BF173" i="1"/>
  <c r="BE173" i="1"/>
  <c r="BD173" i="1"/>
  <c r="BC173" i="1"/>
  <c r="BB173" i="1"/>
  <c r="BA173" i="1"/>
  <c r="AZ173" i="1"/>
  <c r="AY173" i="1"/>
  <c r="AX173" i="1"/>
  <c r="AW173" i="1"/>
  <c r="AV173" i="1"/>
  <c r="AU173" i="1"/>
  <c r="AT173" i="1"/>
  <c r="AS173" i="1"/>
  <c r="AR173" i="1"/>
  <c r="AQ173" i="1"/>
  <c r="AP173" i="1"/>
  <c r="AO173" i="1"/>
  <c r="AE173" i="1"/>
  <c r="BS172" i="1"/>
  <c r="BR172" i="1"/>
  <c r="BQ172" i="1"/>
  <c r="BP172" i="1"/>
  <c r="BO172" i="1"/>
  <c r="BN172" i="1"/>
  <c r="BM172" i="1"/>
  <c r="BL172" i="1"/>
  <c r="BK172" i="1"/>
  <c r="BJ172" i="1"/>
  <c r="BI172" i="1"/>
  <c r="BH172" i="1"/>
  <c r="BG172" i="1"/>
  <c r="BF172" i="1"/>
  <c r="BE172" i="1"/>
  <c r="BD172" i="1"/>
  <c r="BC172" i="1"/>
  <c r="BB172" i="1"/>
  <c r="BA172" i="1"/>
  <c r="AZ172" i="1"/>
  <c r="AY172" i="1"/>
  <c r="AX172" i="1"/>
  <c r="AW172" i="1"/>
  <c r="AV172" i="1"/>
  <c r="AU172" i="1"/>
  <c r="AT172" i="1"/>
  <c r="AS172" i="1"/>
  <c r="AR172" i="1"/>
  <c r="AQ172" i="1"/>
  <c r="AP172" i="1"/>
  <c r="AO172" i="1"/>
  <c r="AE172" i="1"/>
  <c r="BS171" i="1"/>
  <c r="BR171" i="1"/>
  <c r="BQ171" i="1"/>
  <c r="BP171" i="1"/>
  <c r="BO171" i="1"/>
  <c r="BN171" i="1"/>
  <c r="BM171" i="1"/>
  <c r="BL171" i="1"/>
  <c r="BK171" i="1"/>
  <c r="BJ171" i="1"/>
  <c r="BI171" i="1"/>
  <c r="BH171" i="1"/>
  <c r="BG171" i="1"/>
  <c r="BF171" i="1"/>
  <c r="BE171" i="1"/>
  <c r="BD171" i="1"/>
  <c r="BC171" i="1"/>
  <c r="BB171" i="1"/>
  <c r="BA171" i="1"/>
  <c r="AZ171" i="1"/>
  <c r="AY171" i="1"/>
  <c r="AX171" i="1"/>
  <c r="AW171" i="1"/>
  <c r="AV171" i="1"/>
  <c r="AU171" i="1"/>
  <c r="AT171" i="1"/>
  <c r="AS171" i="1"/>
  <c r="AR171" i="1"/>
  <c r="AQ171" i="1"/>
  <c r="AP171" i="1"/>
  <c r="AO171" i="1"/>
  <c r="AE171" i="1"/>
  <c r="BS170" i="1"/>
  <c r="BR170" i="1"/>
  <c r="BQ170" i="1"/>
  <c r="BP170" i="1"/>
  <c r="BO170" i="1"/>
  <c r="BN170" i="1"/>
  <c r="BM170" i="1"/>
  <c r="BL170" i="1"/>
  <c r="BK170" i="1"/>
  <c r="BJ170" i="1"/>
  <c r="BI170" i="1"/>
  <c r="BH170" i="1"/>
  <c r="BG170" i="1"/>
  <c r="BF170" i="1"/>
  <c r="BE170" i="1"/>
  <c r="BD170" i="1"/>
  <c r="BC170" i="1"/>
  <c r="BB170" i="1"/>
  <c r="BA170" i="1"/>
  <c r="AZ170" i="1"/>
  <c r="AY170" i="1"/>
  <c r="AX170" i="1"/>
  <c r="AW170" i="1"/>
  <c r="AV170" i="1"/>
  <c r="AU170" i="1"/>
  <c r="AT170" i="1"/>
  <c r="AS170" i="1"/>
  <c r="AR170" i="1"/>
  <c r="AQ170" i="1"/>
  <c r="AP170" i="1"/>
  <c r="AO170" i="1"/>
  <c r="AE170" i="1"/>
  <c r="BS169" i="1"/>
  <c r="BR169" i="1"/>
  <c r="BQ169" i="1"/>
  <c r="BP169" i="1"/>
  <c r="BO169" i="1"/>
  <c r="BN169" i="1"/>
  <c r="BM169" i="1"/>
  <c r="BL169" i="1"/>
  <c r="BK169" i="1"/>
  <c r="BJ169" i="1"/>
  <c r="BI169" i="1"/>
  <c r="BH169" i="1"/>
  <c r="BG169" i="1"/>
  <c r="BF169" i="1"/>
  <c r="BE169" i="1"/>
  <c r="BD169" i="1"/>
  <c r="BC169" i="1"/>
  <c r="BB169" i="1"/>
  <c r="BA169" i="1"/>
  <c r="AZ169" i="1"/>
  <c r="AY169" i="1"/>
  <c r="AX169" i="1"/>
  <c r="AW169" i="1"/>
  <c r="AV169" i="1"/>
  <c r="AU169" i="1"/>
  <c r="AT169" i="1"/>
  <c r="AS169" i="1"/>
  <c r="AR169" i="1"/>
  <c r="AQ169" i="1"/>
  <c r="AP169" i="1"/>
  <c r="AO169" i="1"/>
  <c r="AE169" i="1"/>
  <c r="BS168" i="1"/>
  <c r="BR168" i="1"/>
  <c r="BQ168" i="1"/>
  <c r="BP168" i="1"/>
  <c r="BO168" i="1"/>
  <c r="BN168" i="1"/>
  <c r="BM168" i="1"/>
  <c r="BL168" i="1"/>
  <c r="BK168" i="1"/>
  <c r="BJ168" i="1"/>
  <c r="BI168" i="1"/>
  <c r="BH168" i="1"/>
  <c r="BG168" i="1"/>
  <c r="BF168" i="1"/>
  <c r="BE168" i="1"/>
  <c r="BD168" i="1"/>
  <c r="BC168" i="1"/>
  <c r="BB168" i="1"/>
  <c r="BA168" i="1"/>
  <c r="AZ168" i="1"/>
  <c r="AY168" i="1"/>
  <c r="AX168" i="1"/>
  <c r="AW168" i="1"/>
  <c r="AV168" i="1"/>
  <c r="AU168" i="1"/>
  <c r="AT168" i="1"/>
  <c r="AS168" i="1"/>
  <c r="AR168" i="1"/>
  <c r="AQ168" i="1"/>
  <c r="AP168" i="1"/>
  <c r="AO168" i="1"/>
  <c r="AE168" i="1"/>
  <c r="BS167" i="1"/>
  <c r="BR167" i="1"/>
  <c r="BQ167" i="1"/>
  <c r="BP167" i="1"/>
  <c r="BO167" i="1"/>
  <c r="BN167" i="1"/>
  <c r="BM167" i="1"/>
  <c r="BL167" i="1"/>
  <c r="BK167" i="1"/>
  <c r="BJ167" i="1"/>
  <c r="BI167" i="1"/>
  <c r="BH167" i="1"/>
  <c r="BG167" i="1"/>
  <c r="BF167" i="1"/>
  <c r="BE167" i="1"/>
  <c r="BD167" i="1"/>
  <c r="BC167" i="1"/>
  <c r="BB167" i="1"/>
  <c r="BA167" i="1"/>
  <c r="AZ167" i="1"/>
  <c r="AY167" i="1"/>
  <c r="AX167" i="1"/>
  <c r="AW167" i="1"/>
  <c r="AV167" i="1"/>
  <c r="AU167" i="1"/>
  <c r="AT167" i="1"/>
  <c r="AS167" i="1"/>
  <c r="AR167" i="1"/>
  <c r="AQ167" i="1"/>
  <c r="AP167" i="1"/>
  <c r="AO167" i="1"/>
  <c r="AE167" i="1"/>
  <c r="BS166" i="1"/>
  <c r="BR166" i="1"/>
  <c r="BQ166" i="1"/>
  <c r="BP166" i="1"/>
  <c r="BO166" i="1"/>
  <c r="BN166" i="1"/>
  <c r="BM166" i="1"/>
  <c r="BL166" i="1"/>
  <c r="BK166" i="1"/>
  <c r="BJ166" i="1"/>
  <c r="BI166" i="1"/>
  <c r="BH166" i="1"/>
  <c r="BG166" i="1"/>
  <c r="BF166" i="1"/>
  <c r="BE166" i="1"/>
  <c r="BD166" i="1"/>
  <c r="BC166" i="1"/>
  <c r="BB166" i="1"/>
  <c r="BA166" i="1"/>
  <c r="AZ166" i="1"/>
  <c r="AY166" i="1"/>
  <c r="AX166" i="1"/>
  <c r="AW166" i="1"/>
  <c r="AV166" i="1"/>
  <c r="AU166" i="1"/>
  <c r="AT166" i="1"/>
  <c r="AS166" i="1"/>
  <c r="AR166" i="1"/>
  <c r="AQ166" i="1"/>
  <c r="AP166" i="1"/>
  <c r="AO166" i="1"/>
  <c r="AE166" i="1"/>
  <c r="BS165" i="1"/>
  <c r="BR165" i="1"/>
  <c r="BQ165" i="1"/>
  <c r="BP165" i="1"/>
  <c r="BO165" i="1"/>
  <c r="BN165" i="1"/>
  <c r="BM165" i="1"/>
  <c r="BL165" i="1"/>
  <c r="BK165" i="1"/>
  <c r="BJ165" i="1"/>
  <c r="BI165" i="1"/>
  <c r="BH165" i="1"/>
  <c r="BG165" i="1"/>
  <c r="BF165" i="1"/>
  <c r="BE165" i="1"/>
  <c r="BD165" i="1"/>
  <c r="BC165" i="1"/>
  <c r="BB165" i="1"/>
  <c r="BA165" i="1"/>
  <c r="AZ165" i="1"/>
  <c r="AY165" i="1"/>
  <c r="AX165" i="1"/>
  <c r="AW165" i="1"/>
  <c r="AV165" i="1"/>
  <c r="AU165" i="1"/>
  <c r="AT165" i="1"/>
  <c r="AS165" i="1"/>
  <c r="AR165" i="1"/>
  <c r="AQ165" i="1"/>
  <c r="AP165" i="1"/>
  <c r="AO165" i="1"/>
  <c r="AE165" i="1"/>
  <c r="BS164" i="1"/>
  <c r="BR164" i="1"/>
  <c r="BQ164" i="1"/>
  <c r="BP164" i="1"/>
  <c r="BO164" i="1"/>
  <c r="BN164" i="1"/>
  <c r="BM164" i="1"/>
  <c r="BL164" i="1"/>
  <c r="BK164" i="1"/>
  <c r="BJ164" i="1"/>
  <c r="BI164" i="1"/>
  <c r="BH164" i="1"/>
  <c r="BG164" i="1"/>
  <c r="BF164" i="1"/>
  <c r="BE164" i="1"/>
  <c r="BD164" i="1"/>
  <c r="BC164" i="1"/>
  <c r="BB164" i="1"/>
  <c r="BA164" i="1"/>
  <c r="AZ164" i="1"/>
  <c r="AY164" i="1"/>
  <c r="AX164" i="1"/>
  <c r="AW164" i="1"/>
  <c r="AV164" i="1"/>
  <c r="AU164" i="1"/>
  <c r="AT164" i="1"/>
  <c r="AS164" i="1"/>
  <c r="AR164" i="1"/>
  <c r="AQ164" i="1"/>
  <c r="AP164" i="1"/>
  <c r="AO164" i="1"/>
  <c r="AE164" i="1"/>
  <c r="BS163" i="1"/>
  <c r="BR163" i="1"/>
  <c r="BQ163" i="1"/>
  <c r="BP163" i="1"/>
  <c r="BO163" i="1"/>
  <c r="BN163" i="1"/>
  <c r="BM163" i="1"/>
  <c r="BL163" i="1"/>
  <c r="BK163" i="1"/>
  <c r="BJ163" i="1"/>
  <c r="BI163" i="1"/>
  <c r="BH163" i="1"/>
  <c r="BG163" i="1"/>
  <c r="BF163" i="1"/>
  <c r="BE163" i="1"/>
  <c r="BD163" i="1"/>
  <c r="BC163" i="1"/>
  <c r="BB163" i="1"/>
  <c r="BA163" i="1"/>
  <c r="AZ163" i="1"/>
  <c r="AY163" i="1"/>
  <c r="AX163" i="1"/>
  <c r="AW163" i="1"/>
  <c r="AV163" i="1"/>
  <c r="AU163" i="1"/>
  <c r="AT163" i="1"/>
  <c r="AS163" i="1"/>
  <c r="AR163" i="1"/>
  <c r="AQ163" i="1"/>
  <c r="AP163" i="1"/>
  <c r="AO163" i="1"/>
  <c r="AE163" i="1"/>
  <c r="BS162" i="1"/>
  <c r="BR162" i="1"/>
  <c r="BQ162" i="1"/>
  <c r="BP162" i="1"/>
  <c r="BO162" i="1"/>
  <c r="BN162" i="1"/>
  <c r="BM162" i="1"/>
  <c r="BL162" i="1"/>
  <c r="BK162" i="1"/>
  <c r="BJ162" i="1"/>
  <c r="BI162" i="1"/>
  <c r="BH162" i="1"/>
  <c r="BG162" i="1"/>
  <c r="BF162" i="1"/>
  <c r="BE162" i="1"/>
  <c r="BD162" i="1"/>
  <c r="BC162" i="1"/>
  <c r="BB162" i="1"/>
  <c r="BA162" i="1"/>
  <c r="AZ162" i="1"/>
  <c r="AY162" i="1"/>
  <c r="AX162" i="1"/>
  <c r="AW162" i="1"/>
  <c r="AV162" i="1"/>
  <c r="AU162" i="1"/>
  <c r="AT162" i="1"/>
  <c r="AS162" i="1"/>
  <c r="AR162" i="1"/>
  <c r="AQ162" i="1"/>
  <c r="AP162" i="1"/>
  <c r="AO162" i="1"/>
  <c r="AE162" i="1"/>
  <c r="BS161" i="1"/>
  <c r="BR161" i="1"/>
  <c r="BQ161" i="1"/>
  <c r="BP161" i="1"/>
  <c r="BO161" i="1"/>
  <c r="BN161" i="1"/>
  <c r="BM161" i="1"/>
  <c r="BL161" i="1"/>
  <c r="BK161" i="1"/>
  <c r="BJ161" i="1"/>
  <c r="BI161" i="1"/>
  <c r="BH161" i="1"/>
  <c r="BG161" i="1"/>
  <c r="BF161" i="1"/>
  <c r="BE161" i="1"/>
  <c r="BD161" i="1"/>
  <c r="BC161" i="1"/>
  <c r="BB161" i="1"/>
  <c r="BA161" i="1"/>
  <c r="AZ161" i="1"/>
  <c r="AY161" i="1"/>
  <c r="AX161" i="1"/>
  <c r="AW161" i="1"/>
  <c r="AV161" i="1"/>
  <c r="AU161" i="1"/>
  <c r="AT161" i="1"/>
  <c r="AS161" i="1"/>
  <c r="AR161" i="1"/>
  <c r="AQ161" i="1"/>
  <c r="AP161" i="1"/>
  <c r="AO161" i="1"/>
  <c r="AE161" i="1"/>
  <c r="BS160" i="1"/>
  <c r="BR160" i="1"/>
  <c r="BQ160" i="1"/>
  <c r="BP160" i="1"/>
  <c r="BO160" i="1"/>
  <c r="BN160" i="1"/>
  <c r="BM160" i="1"/>
  <c r="BL160" i="1"/>
  <c r="BK160" i="1"/>
  <c r="BJ160" i="1"/>
  <c r="BI160" i="1"/>
  <c r="BH160" i="1"/>
  <c r="BG160" i="1"/>
  <c r="BF160" i="1"/>
  <c r="BE160" i="1"/>
  <c r="BD160" i="1"/>
  <c r="BC160" i="1"/>
  <c r="BB160" i="1"/>
  <c r="BA160" i="1"/>
  <c r="AZ160" i="1"/>
  <c r="AY160" i="1"/>
  <c r="AX160" i="1"/>
  <c r="AW160" i="1"/>
  <c r="AV160" i="1"/>
  <c r="AU160" i="1"/>
  <c r="AT160" i="1"/>
  <c r="AS160" i="1"/>
  <c r="AR160" i="1"/>
  <c r="AQ160" i="1"/>
  <c r="AP160" i="1"/>
  <c r="AO160" i="1"/>
  <c r="AE160" i="1"/>
  <c r="BS159" i="1"/>
  <c r="BR159" i="1"/>
  <c r="BQ159" i="1"/>
  <c r="BP159" i="1"/>
  <c r="BO159" i="1"/>
  <c r="BN159" i="1"/>
  <c r="BM159" i="1"/>
  <c r="BL159" i="1"/>
  <c r="BK159" i="1"/>
  <c r="BJ159" i="1"/>
  <c r="BI159" i="1"/>
  <c r="BH159" i="1"/>
  <c r="BG159" i="1"/>
  <c r="BF159" i="1"/>
  <c r="BE159" i="1"/>
  <c r="BD159" i="1"/>
  <c r="BC159" i="1"/>
  <c r="BB159" i="1"/>
  <c r="BA159" i="1"/>
  <c r="AZ159" i="1"/>
  <c r="AY159" i="1"/>
  <c r="AX159" i="1"/>
  <c r="AW159" i="1"/>
  <c r="AV159" i="1"/>
  <c r="AU159" i="1"/>
  <c r="AT159" i="1"/>
  <c r="AS159" i="1"/>
  <c r="AR159" i="1"/>
  <c r="AQ159" i="1"/>
  <c r="AP159" i="1"/>
  <c r="AO159" i="1"/>
  <c r="AE159" i="1"/>
  <c r="BS158" i="1"/>
  <c r="BR158" i="1"/>
  <c r="BQ158" i="1"/>
  <c r="BP158" i="1"/>
  <c r="BO158" i="1"/>
  <c r="BN158" i="1"/>
  <c r="BM158" i="1"/>
  <c r="BL158" i="1"/>
  <c r="BK158" i="1"/>
  <c r="BJ158" i="1"/>
  <c r="BI158" i="1"/>
  <c r="BH158" i="1"/>
  <c r="BG158" i="1"/>
  <c r="BF158" i="1"/>
  <c r="BE158" i="1"/>
  <c r="BD158" i="1"/>
  <c r="BC158" i="1"/>
  <c r="BB158" i="1"/>
  <c r="BA158" i="1"/>
  <c r="AZ158" i="1"/>
  <c r="AY158" i="1"/>
  <c r="AX158" i="1"/>
  <c r="AW158" i="1"/>
  <c r="AV158" i="1"/>
  <c r="AU158" i="1"/>
  <c r="AT158" i="1"/>
  <c r="AS158" i="1"/>
  <c r="AR158" i="1"/>
  <c r="AQ158" i="1"/>
  <c r="AP158" i="1"/>
  <c r="AO158" i="1"/>
  <c r="AE158" i="1"/>
  <c r="BS157" i="1"/>
  <c r="BR157" i="1"/>
  <c r="BQ157" i="1"/>
  <c r="BP157" i="1"/>
  <c r="BO157" i="1"/>
  <c r="BN157" i="1"/>
  <c r="BM157" i="1"/>
  <c r="BL157" i="1"/>
  <c r="BK157" i="1"/>
  <c r="BJ157" i="1"/>
  <c r="BI157" i="1"/>
  <c r="BH157" i="1"/>
  <c r="BG157" i="1"/>
  <c r="BF157" i="1"/>
  <c r="BE157" i="1"/>
  <c r="BD157" i="1"/>
  <c r="BC157" i="1"/>
  <c r="BB157" i="1"/>
  <c r="BA157" i="1"/>
  <c r="AZ157" i="1"/>
  <c r="AY157" i="1"/>
  <c r="AX157" i="1"/>
  <c r="AW157" i="1"/>
  <c r="AV157" i="1"/>
  <c r="AU157" i="1"/>
  <c r="AT157" i="1"/>
  <c r="AS157" i="1"/>
  <c r="AR157" i="1"/>
  <c r="AQ157" i="1"/>
  <c r="AP157" i="1"/>
  <c r="AO157" i="1"/>
  <c r="AE157" i="1"/>
  <c r="BS156" i="1"/>
  <c r="BR156" i="1"/>
  <c r="BQ156" i="1"/>
  <c r="BP156" i="1"/>
  <c r="BO156" i="1"/>
  <c r="BN156" i="1"/>
  <c r="BM156" i="1"/>
  <c r="BL156" i="1"/>
  <c r="BK156" i="1"/>
  <c r="BJ156" i="1"/>
  <c r="BI156" i="1"/>
  <c r="BH156" i="1"/>
  <c r="BG156" i="1"/>
  <c r="BF156" i="1"/>
  <c r="BE156" i="1"/>
  <c r="BD156" i="1"/>
  <c r="BC156" i="1"/>
  <c r="BB156" i="1"/>
  <c r="BA156" i="1"/>
  <c r="AZ156" i="1"/>
  <c r="AY156" i="1"/>
  <c r="AX156" i="1"/>
  <c r="AW156" i="1"/>
  <c r="AV156" i="1"/>
  <c r="AU156" i="1"/>
  <c r="AT156" i="1"/>
  <c r="AS156" i="1"/>
  <c r="AR156" i="1"/>
  <c r="AQ156" i="1"/>
  <c r="AP156" i="1"/>
  <c r="AO156" i="1"/>
  <c r="AE156" i="1"/>
  <c r="BS155" i="1"/>
  <c r="BR155" i="1"/>
  <c r="BQ155" i="1"/>
  <c r="BP155" i="1"/>
  <c r="BO155" i="1"/>
  <c r="BN155" i="1"/>
  <c r="BM155" i="1"/>
  <c r="BL155" i="1"/>
  <c r="BK155" i="1"/>
  <c r="BJ155" i="1"/>
  <c r="BI155" i="1"/>
  <c r="BH155" i="1"/>
  <c r="BG155" i="1"/>
  <c r="BF155" i="1"/>
  <c r="BE155" i="1"/>
  <c r="BD155" i="1"/>
  <c r="BC155" i="1"/>
  <c r="BB155" i="1"/>
  <c r="BA155" i="1"/>
  <c r="AZ155" i="1"/>
  <c r="AY155" i="1"/>
  <c r="AX155" i="1"/>
  <c r="AW155" i="1"/>
  <c r="AV155" i="1"/>
  <c r="AU155" i="1"/>
  <c r="AT155" i="1"/>
  <c r="AS155" i="1"/>
  <c r="AR155" i="1"/>
  <c r="AQ155" i="1"/>
  <c r="AP155" i="1"/>
  <c r="AO155" i="1"/>
  <c r="AE155" i="1"/>
  <c r="BS154" i="1"/>
  <c r="BR154" i="1"/>
  <c r="BQ154" i="1"/>
  <c r="BP154" i="1"/>
  <c r="BO154" i="1"/>
  <c r="BN154" i="1"/>
  <c r="BM154" i="1"/>
  <c r="BL154" i="1"/>
  <c r="BK154" i="1"/>
  <c r="BJ154" i="1"/>
  <c r="BI154" i="1"/>
  <c r="BH154" i="1"/>
  <c r="BG154" i="1"/>
  <c r="BF154" i="1"/>
  <c r="BE154" i="1"/>
  <c r="BD154" i="1"/>
  <c r="BC154" i="1"/>
  <c r="BB154" i="1"/>
  <c r="BA154" i="1"/>
  <c r="AZ154" i="1"/>
  <c r="AY154" i="1"/>
  <c r="AX154" i="1"/>
  <c r="AW154" i="1"/>
  <c r="AV154" i="1"/>
  <c r="AU154" i="1"/>
  <c r="AT154" i="1"/>
  <c r="AS154" i="1"/>
  <c r="AR154" i="1"/>
  <c r="AQ154" i="1"/>
  <c r="AP154" i="1"/>
  <c r="AO154" i="1"/>
  <c r="AE154" i="1"/>
  <c r="BS153" i="1"/>
  <c r="BR153" i="1"/>
  <c r="BQ153" i="1"/>
  <c r="BP153" i="1"/>
  <c r="BO153" i="1"/>
  <c r="BN153" i="1"/>
  <c r="BM153" i="1"/>
  <c r="BL153" i="1"/>
  <c r="BK153" i="1"/>
  <c r="BJ153" i="1"/>
  <c r="BI153" i="1"/>
  <c r="BH153" i="1"/>
  <c r="BG153" i="1"/>
  <c r="BF153" i="1"/>
  <c r="BE153" i="1"/>
  <c r="BD153" i="1"/>
  <c r="BC153" i="1"/>
  <c r="BB153" i="1"/>
  <c r="BA153" i="1"/>
  <c r="AZ153" i="1"/>
  <c r="AY153" i="1"/>
  <c r="AX153" i="1"/>
  <c r="AW153" i="1"/>
  <c r="AV153" i="1"/>
  <c r="AU153" i="1"/>
  <c r="AT153" i="1"/>
  <c r="AS153" i="1"/>
  <c r="AR153" i="1"/>
  <c r="AQ153" i="1"/>
  <c r="AP153" i="1"/>
  <c r="AO153" i="1"/>
  <c r="AE153" i="1"/>
  <c r="BS152" i="1"/>
  <c r="BR152" i="1"/>
  <c r="BQ152" i="1"/>
  <c r="BP152" i="1"/>
  <c r="BO152" i="1"/>
  <c r="BN152" i="1"/>
  <c r="BM152" i="1"/>
  <c r="BL152" i="1"/>
  <c r="BK152" i="1"/>
  <c r="BJ152" i="1"/>
  <c r="BI152" i="1"/>
  <c r="BH152" i="1"/>
  <c r="BG152" i="1"/>
  <c r="BF152" i="1"/>
  <c r="BE152" i="1"/>
  <c r="BD152" i="1"/>
  <c r="BC152" i="1"/>
  <c r="BB152" i="1"/>
  <c r="BA152" i="1"/>
  <c r="AZ152" i="1"/>
  <c r="AY152" i="1"/>
  <c r="AX152" i="1"/>
  <c r="AW152" i="1"/>
  <c r="AV152" i="1"/>
  <c r="AU152" i="1"/>
  <c r="AT152" i="1"/>
  <c r="AS152" i="1"/>
  <c r="AR152" i="1"/>
  <c r="AQ152" i="1"/>
  <c r="AP152" i="1"/>
  <c r="AO152" i="1"/>
  <c r="AE152" i="1"/>
  <c r="BS151" i="1"/>
  <c r="BR151" i="1"/>
  <c r="BQ151" i="1"/>
  <c r="BP151" i="1"/>
  <c r="BO151" i="1"/>
  <c r="BN151" i="1"/>
  <c r="BM151" i="1"/>
  <c r="BL151" i="1"/>
  <c r="BK151" i="1"/>
  <c r="BJ151" i="1"/>
  <c r="BI151" i="1"/>
  <c r="BH151" i="1"/>
  <c r="BG151" i="1"/>
  <c r="BF151" i="1"/>
  <c r="BE151" i="1"/>
  <c r="BD151" i="1"/>
  <c r="BC151" i="1"/>
  <c r="BB151" i="1"/>
  <c r="BA151" i="1"/>
  <c r="AZ151" i="1"/>
  <c r="AY151" i="1"/>
  <c r="AX151" i="1"/>
  <c r="AW151" i="1"/>
  <c r="AV151" i="1"/>
  <c r="AU151" i="1"/>
  <c r="AT151" i="1"/>
  <c r="AS151" i="1"/>
  <c r="AR151" i="1"/>
  <c r="AQ151" i="1"/>
  <c r="AP151" i="1"/>
  <c r="AO151" i="1"/>
  <c r="AE151" i="1"/>
  <c r="BS150" i="1"/>
  <c r="BR150" i="1"/>
  <c r="BQ150" i="1"/>
  <c r="BP150" i="1"/>
  <c r="BO150" i="1"/>
  <c r="BN150" i="1"/>
  <c r="BM150" i="1"/>
  <c r="BL150" i="1"/>
  <c r="BK150" i="1"/>
  <c r="BJ150" i="1"/>
  <c r="BI150" i="1"/>
  <c r="BH150" i="1"/>
  <c r="BG150" i="1"/>
  <c r="BF150" i="1"/>
  <c r="BE150" i="1"/>
  <c r="BD150" i="1"/>
  <c r="BC150" i="1"/>
  <c r="BB150" i="1"/>
  <c r="BA150" i="1"/>
  <c r="AZ150" i="1"/>
  <c r="AY150" i="1"/>
  <c r="AX150" i="1"/>
  <c r="AW150" i="1"/>
  <c r="AV150" i="1"/>
  <c r="AU150" i="1"/>
  <c r="AT150" i="1"/>
  <c r="AS150" i="1"/>
  <c r="AR150" i="1"/>
  <c r="AQ150" i="1"/>
  <c r="AP150" i="1"/>
  <c r="AO150" i="1"/>
  <c r="AE150" i="1"/>
  <c r="BS149" i="1"/>
  <c r="BR149" i="1"/>
  <c r="BQ149" i="1"/>
  <c r="BP149" i="1"/>
  <c r="BO149" i="1"/>
  <c r="BN149" i="1"/>
  <c r="BM149" i="1"/>
  <c r="BL149" i="1"/>
  <c r="BK149" i="1"/>
  <c r="BJ149" i="1"/>
  <c r="BI149" i="1"/>
  <c r="BH149" i="1"/>
  <c r="BG149" i="1"/>
  <c r="BF149" i="1"/>
  <c r="BE149" i="1"/>
  <c r="BD149" i="1"/>
  <c r="BC149" i="1"/>
  <c r="BB149" i="1"/>
  <c r="BA149" i="1"/>
  <c r="AZ149" i="1"/>
  <c r="AY149" i="1"/>
  <c r="AX149" i="1"/>
  <c r="AW149" i="1"/>
  <c r="AV149" i="1"/>
  <c r="AU149" i="1"/>
  <c r="AT149" i="1"/>
  <c r="AS149" i="1"/>
  <c r="AR149" i="1"/>
  <c r="AQ149" i="1"/>
  <c r="AP149" i="1"/>
  <c r="AO149" i="1"/>
  <c r="AE149" i="1"/>
  <c r="BS148" i="1"/>
  <c r="BR148" i="1"/>
  <c r="BQ148" i="1"/>
  <c r="BP148" i="1"/>
  <c r="BO148" i="1"/>
  <c r="BN148" i="1"/>
  <c r="BM148" i="1"/>
  <c r="BL148" i="1"/>
  <c r="BK148" i="1"/>
  <c r="BJ148" i="1"/>
  <c r="BI148" i="1"/>
  <c r="BH148" i="1"/>
  <c r="BG148" i="1"/>
  <c r="BF148" i="1"/>
  <c r="BE148" i="1"/>
  <c r="BD148" i="1"/>
  <c r="BC148" i="1"/>
  <c r="BB148" i="1"/>
  <c r="BA148" i="1"/>
  <c r="AZ148" i="1"/>
  <c r="AY148" i="1"/>
  <c r="AX148" i="1"/>
  <c r="AW148" i="1"/>
  <c r="AV148" i="1"/>
  <c r="AU148" i="1"/>
  <c r="AT148" i="1"/>
  <c r="AS148" i="1"/>
  <c r="AR148" i="1"/>
  <c r="AQ148" i="1"/>
  <c r="AP148" i="1"/>
  <c r="AO148" i="1"/>
  <c r="AE148" i="1"/>
  <c r="BS147" i="1"/>
  <c r="BR147" i="1"/>
  <c r="BQ147" i="1"/>
  <c r="BP147" i="1"/>
  <c r="BO147" i="1"/>
  <c r="BN147" i="1"/>
  <c r="BM147" i="1"/>
  <c r="BL147" i="1"/>
  <c r="BK147" i="1"/>
  <c r="BJ147" i="1"/>
  <c r="BI147" i="1"/>
  <c r="BH147" i="1"/>
  <c r="BG147" i="1"/>
  <c r="BF147" i="1"/>
  <c r="BE147" i="1"/>
  <c r="BD147" i="1"/>
  <c r="BC147" i="1"/>
  <c r="BB147" i="1"/>
  <c r="BA147" i="1"/>
  <c r="AZ147" i="1"/>
  <c r="AY147" i="1"/>
  <c r="AX147" i="1"/>
  <c r="AW147" i="1"/>
  <c r="AV147" i="1"/>
  <c r="AU147" i="1"/>
  <c r="AT147" i="1"/>
  <c r="AS147" i="1"/>
  <c r="AR147" i="1"/>
  <c r="AQ147" i="1"/>
  <c r="AP147" i="1"/>
  <c r="AO147" i="1"/>
  <c r="AE147" i="1"/>
  <c r="BS146" i="1"/>
  <c r="BR146" i="1"/>
  <c r="BQ146" i="1"/>
  <c r="BP146" i="1"/>
  <c r="BO146" i="1"/>
  <c r="BN146" i="1"/>
  <c r="BM146" i="1"/>
  <c r="BL146" i="1"/>
  <c r="BK146" i="1"/>
  <c r="BJ146" i="1"/>
  <c r="BI146" i="1"/>
  <c r="BH146" i="1"/>
  <c r="BG146" i="1"/>
  <c r="BF146" i="1"/>
  <c r="BE146" i="1"/>
  <c r="BD146" i="1"/>
  <c r="BC146" i="1"/>
  <c r="BB146" i="1"/>
  <c r="BA146" i="1"/>
  <c r="AZ146" i="1"/>
  <c r="AY146" i="1"/>
  <c r="AX146" i="1"/>
  <c r="AW146" i="1"/>
  <c r="AV146" i="1"/>
  <c r="AU146" i="1"/>
  <c r="AT146" i="1"/>
  <c r="AS146" i="1"/>
  <c r="AR146" i="1"/>
  <c r="AQ146" i="1"/>
  <c r="AP146" i="1"/>
  <c r="AO146" i="1"/>
  <c r="AE146" i="1"/>
  <c r="BS145" i="1"/>
  <c r="BR145" i="1"/>
  <c r="BQ145" i="1"/>
  <c r="BP145" i="1"/>
  <c r="BO145" i="1"/>
  <c r="BN145" i="1"/>
  <c r="BM145" i="1"/>
  <c r="BL145" i="1"/>
  <c r="BK145" i="1"/>
  <c r="BJ145" i="1"/>
  <c r="BI145" i="1"/>
  <c r="BH145" i="1"/>
  <c r="BG145" i="1"/>
  <c r="BF145" i="1"/>
  <c r="BE145" i="1"/>
  <c r="BD145" i="1"/>
  <c r="BC145" i="1"/>
  <c r="BB145" i="1"/>
  <c r="BA145" i="1"/>
  <c r="AZ145" i="1"/>
  <c r="AY145" i="1"/>
  <c r="AX145" i="1"/>
  <c r="AW145" i="1"/>
  <c r="AV145" i="1"/>
  <c r="AU145" i="1"/>
  <c r="AT145" i="1"/>
  <c r="AS145" i="1"/>
  <c r="AR145" i="1"/>
  <c r="AQ145" i="1"/>
  <c r="AP145" i="1"/>
  <c r="AO145" i="1"/>
  <c r="AE145" i="1"/>
  <c r="BS144" i="1"/>
  <c r="BR144" i="1"/>
  <c r="BQ144" i="1"/>
  <c r="BP144" i="1"/>
  <c r="BO144" i="1"/>
  <c r="BN144" i="1"/>
  <c r="BM144" i="1"/>
  <c r="BL144" i="1"/>
  <c r="BK144" i="1"/>
  <c r="BJ144" i="1"/>
  <c r="BI144" i="1"/>
  <c r="BH144" i="1"/>
  <c r="BG144" i="1"/>
  <c r="BF144" i="1"/>
  <c r="BE144" i="1"/>
  <c r="BD144" i="1"/>
  <c r="BC144" i="1"/>
  <c r="BB144" i="1"/>
  <c r="BA144" i="1"/>
  <c r="AZ144" i="1"/>
  <c r="AY144" i="1"/>
  <c r="AX144" i="1"/>
  <c r="AW144" i="1"/>
  <c r="AV144" i="1"/>
  <c r="AU144" i="1"/>
  <c r="AT144" i="1"/>
  <c r="AS144" i="1"/>
  <c r="AR144" i="1"/>
  <c r="AQ144" i="1"/>
  <c r="AP144" i="1"/>
  <c r="AO144" i="1"/>
  <c r="AE144" i="1"/>
  <c r="BS143" i="1"/>
  <c r="BR143" i="1"/>
  <c r="BQ143" i="1"/>
  <c r="BP143" i="1"/>
  <c r="BO143" i="1"/>
  <c r="BN143" i="1"/>
  <c r="BM143" i="1"/>
  <c r="BL143" i="1"/>
  <c r="BK143" i="1"/>
  <c r="BJ143" i="1"/>
  <c r="BI143" i="1"/>
  <c r="BH143" i="1"/>
  <c r="BG143" i="1"/>
  <c r="BF143" i="1"/>
  <c r="BE143" i="1"/>
  <c r="BD143" i="1"/>
  <c r="BC143" i="1"/>
  <c r="BB143" i="1"/>
  <c r="BA143" i="1"/>
  <c r="AZ143" i="1"/>
  <c r="AY143" i="1"/>
  <c r="AX143" i="1"/>
  <c r="AW143" i="1"/>
  <c r="AV143" i="1"/>
  <c r="AU143" i="1"/>
  <c r="AT143" i="1"/>
  <c r="AS143" i="1"/>
  <c r="AR143" i="1"/>
  <c r="AQ143" i="1"/>
  <c r="AP143" i="1"/>
  <c r="AO143" i="1"/>
  <c r="AE143" i="1"/>
  <c r="BS142" i="1"/>
  <c r="BR142" i="1"/>
  <c r="BQ142" i="1"/>
  <c r="BP142" i="1"/>
  <c r="BO142" i="1"/>
  <c r="BN142" i="1"/>
  <c r="BM142" i="1"/>
  <c r="BL142" i="1"/>
  <c r="BK142" i="1"/>
  <c r="BJ142" i="1"/>
  <c r="BI142" i="1"/>
  <c r="BH142" i="1"/>
  <c r="BG142" i="1"/>
  <c r="BF142" i="1"/>
  <c r="BE142" i="1"/>
  <c r="BD142" i="1"/>
  <c r="BC142" i="1"/>
  <c r="BB142" i="1"/>
  <c r="BA142" i="1"/>
  <c r="AZ142" i="1"/>
  <c r="AY142" i="1"/>
  <c r="AX142" i="1"/>
  <c r="AW142" i="1"/>
  <c r="AV142" i="1"/>
  <c r="AU142" i="1"/>
  <c r="AT142" i="1"/>
  <c r="AS142" i="1"/>
  <c r="AR142" i="1"/>
  <c r="AQ142" i="1"/>
  <c r="AP142" i="1"/>
  <c r="AO142" i="1"/>
  <c r="AE142" i="1"/>
  <c r="BS141" i="1"/>
  <c r="BR141" i="1"/>
  <c r="BQ141" i="1"/>
  <c r="BP141" i="1"/>
  <c r="BO141" i="1"/>
  <c r="BN141" i="1"/>
  <c r="BM141" i="1"/>
  <c r="BL141" i="1"/>
  <c r="BK141" i="1"/>
  <c r="BJ141" i="1"/>
  <c r="BI141" i="1"/>
  <c r="BH141" i="1"/>
  <c r="BG141" i="1"/>
  <c r="BF141" i="1"/>
  <c r="BE141" i="1"/>
  <c r="BD141" i="1"/>
  <c r="BC141" i="1"/>
  <c r="BB141" i="1"/>
  <c r="BA141" i="1"/>
  <c r="AZ141" i="1"/>
  <c r="AY141" i="1"/>
  <c r="AX141" i="1"/>
  <c r="AW141" i="1"/>
  <c r="AV141" i="1"/>
  <c r="AU141" i="1"/>
  <c r="AT141" i="1"/>
  <c r="AS141" i="1"/>
  <c r="AR141" i="1"/>
  <c r="AQ141" i="1"/>
  <c r="AP141" i="1"/>
  <c r="AO141" i="1"/>
  <c r="AE141" i="1"/>
  <c r="BS140" i="1"/>
  <c r="BR140" i="1"/>
  <c r="BQ140" i="1"/>
  <c r="BP140" i="1"/>
  <c r="BO140" i="1"/>
  <c r="BN140" i="1"/>
  <c r="BM140" i="1"/>
  <c r="BL140" i="1"/>
  <c r="BK140" i="1"/>
  <c r="BJ140" i="1"/>
  <c r="BI140" i="1"/>
  <c r="BH140" i="1"/>
  <c r="BG140" i="1"/>
  <c r="BF140" i="1"/>
  <c r="BE140" i="1"/>
  <c r="BD140" i="1"/>
  <c r="BC140" i="1"/>
  <c r="BB140" i="1"/>
  <c r="BA140" i="1"/>
  <c r="AZ140" i="1"/>
  <c r="AY140" i="1"/>
  <c r="AX140" i="1"/>
  <c r="AW140" i="1"/>
  <c r="AV140" i="1"/>
  <c r="AU140" i="1"/>
  <c r="AT140" i="1"/>
  <c r="AS140" i="1"/>
  <c r="AR140" i="1"/>
  <c r="AQ140" i="1"/>
  <c r="AP140" i="1"/>
  <c r="AO140" i="1"/>
  <c r="AE140" i="1"/>
  <c r="BS139" i="1"/>
  <c r="BR139" i="1"/>
  <c r="BQ139" i="1"/>
  <c r="BP139" i="1"/>
  <c r="BO139" i="1"/>
  <c r="BN139" i="1"/>
  <c r="BM139" i="1"/>
  <c r="BL139" i="1"/>
  <c r="BK139" i="1"/>
  <c r="BJ139" i="1"/>
  <c r="BI139" i="1"/>
  <c r="BH139" i="1"/>
  <c r="BG139" i="1"/>
  <c r="BF139" i="1"/>
  <c r="BE139" i="1"/>
  <c r="BD139" i="1"/>
  <c r="BC139" i="1"/>
  <c r="BB139" i="1"/>
  <c r="BA139" i="1"/>
  <c r="AZ139" i="1"/>
  <c r="AY139" i="1"/>
  <c r="AX139" i="1"/>
  <c r="AW139" i="1"/>
  <c r="AV139" i="1"/>
  <c r="AU139" i="1"/>
  <c r="AT139" i="1"/>
  <c r="AS139" i="1"/>
  <c r="AR139" i="1"/>
  <c r="AQ139" i="1"/>
  <c r="AP139" i="1"/>
  <c r="AO139" i="1"/>
  <c r="AE139" i="1"/>
  <c r="BS138" i="1"/>
  <c r="BR138" i="1"/>
  <c r="BQ138" i="1"/>
  <c r="BP138" i="1"/>
  <c r="BO138" i="1"/>
  <c r="BN138" i="1"/>
  <c r="BM138" i="1"/>
  <c r="BL138" i="1"/>
  <c r="BK138" i="1"/>
  <c r="BJ138" i="1"/>
  <c r="BI138" i="1"/>
  <c r="BH138" i="1"/>
  <c r="BG138" i="1"/>
  <c r="BF138" i="1"/>
  <c r="BE138" i="1"/>
  <c r="BD138" i="1"/>
  <c r="BC138" i="1"/>
  <c r="BB138" i="1"/>
  <c r="BA138" i="1"/>
  <c r="AZ138" i="1"/>
  <c r="AY138" i="1"/>
  <c r="AX138" i="1"/>
  <c r="AW138" i="1"/>
  <c r="AV138" i="1"/>
  <c r="AU138" i="1"/>
  <c r="AT138" i="1"/>
  <c r="AS138" i="1"/>
  <c r="AR138" i="1"/>
  <c r="AQ138" i="1"/>
  <c r="AP138" i="1"/>
  <c r="AO138" i="1"/>
  <c r="AE138" i="1"/>
  <c r="BS137" i="1"/>
  <c r="BR137" i="1"/>
  <c r="BQ137" i="1"/>
  <c r="BP137" i="1"/>
  <c r="BO137" i="1"/>
  <c r="BN137" i="1"/>
  <c r="BM137" i="1"/>
  <c r="BL137" i="1"/>
  <c r="BK137" i="1"/>
  <c r="BJ137" i="1"/>
  <c r="BI137" i="1"/>
  <c r="BH137" i="1"/>
  <c r="BG137" i="1"/>
  <c r="BF137" i="1"/>
  <c r="BE137" i="1"/>
  <c r="BD137" i="1"/>
  <c r="BC137" i="1"/>
  <c r="BB137" i="1"/>
  <c r="BA137" i="1"/>
  <c r="AZ137" i="1"/>
  <c r="AY137" i="1"/>
  <c r="AX137" i="1"/>
  <c r="AW137" i="1"/>
  <c r="AV137" i="1"/>
  <c r="AU137" i="1"/>
  <c r="AT137" i="1"/>
  <c r="AS137" i="1"/>
  <c r="AR137" i="1"/>
  <c r="AQ137" i="1"/>
  <c r="AP137" i="1"/>
  <c r="AO137" i="1"/>
  <c r="AE137" i="1"/>
  <c r="BS136" i="1"/>
  <c r="BR136" i="1"/>
  <c r="BQ136" i="1"/>
  <c r="BP136" i="1"/>
  <c r="BO136" i="1"/>
  <c r="BN136" i="1"/>
  <c r="BM136" i="1"/>
  <c r="BL136" i="1"/>
  <c r="BK136" i="1"/>
  <c r="BJ136" i="1"/>
  <c r="BI136" i="1"/>
  <c r="BH136" i="1"/>
  <c r="BG136" i="1"/>
  <c r="BF136" i="1"/>
  <c r="BE136" i="1"/>
  <c r="BD136" i="1"/>
  <c r="BC136" i="1"/>
  <c r="BB136" i="1"/>
  <c r="BA136" i="1"/>
  <c r="AZ136" i="1"/>
  <c r="AY136" i="1"/>
  <c r="AX136" i="1"/>
  <c r="AW136" i="1"/>
  <c r="AV136" i="1"/>
  <c r="AU136" i="1"/>
  <c r="AT136" i="1"/>
  <c r="AS136" i="1"/>
  <c r="AR136" i="1"/>
  <c r="AQ136" i="1"/>
  <c r="AP136" i="1"/>
  <c r="AO136" i="1"/>
  <c r="AE136" i="1"/>
  <c r="BS135" i="1"/>
  <c r="BR135" i="1"/>
  <c r="BQ135" i="1"/>
  <c r="BP135" i="1"/>
  <c r="BO135" i="1"/>
  <c r="BN135" i="1"/>
  <c r="BM135" i="1"/>
  <c r="BL135" i="1"/>
  <c r="BK135" i="1"/>
  <c r="BJ135" i="1"/>
  <c r="BI135" i="1"/>
  <c r="BH135" i="1"/>
  <c r="BG135" i="1"/>
  <c r="BF135" i="1"/>
  <c r="BE135" i="1"/>
  <c r="BD135" i="1"/>
  <c r="BC135" i="1"/>
  <c r="BB135" i="1"/>
  <c r="BA135" i="1"/>
  <c r="AZ135" i="1"/>
  <c r="AY135" i="1"/>
  <c r="AX135" i="1"/>
  <c r="AW135" i="1"/>
  <c r="AV135" i="1"/>
  <c r="AU135" i="1"/>
  <c r="AT135" i="1"/>
  <c r="AS135" i="1"/>
  <c r="AR135" i="1"/>
  <c r="AQ135" i="1"/>
  <c r="AP135" i="1"/>
  <c r="AO135" i="1"/>
  <c r="AE135" i="1"/>
  <c r="BS134" i="1"/>
  <c r="BR134" i="1"/>
  <c r="BQ134" i="1"/>
  <c r="BP134" i="1"/>
  <c r="BO134" i="1"/>
  <c r="BN134" i="1"/>
  <c r="BM134" i="1"/>
  <c r="BL134" i="1"/>
  <c r="BK134" i="1"/>
  <c r="BJ134" i="1"/>
  <c r="BI134" i="1"/>
  <c r="BH134" i="1"/>
  <c r="BG134" i="1"/>
  <c r="BF134" i="1"/>
  <c r="BE134" i="1"/>
  <c r="BD134" i="1"/>
  <c r="BC134" i="1"/>
  <c r="BB134" i="1"/>
  <c r="BA134" i="1"/>
  <c r="AZ134" i="1"/>
  <c r="AY134" i="1"/>
  <c r="AX134" i="1"/>
  <c r="AW134" i="1"/>
  <c r="AV134" i="1"/>
  <c r="AU134" i="1"/>
  <c r="AT134" i="1"/>
  <c r="AS134" i="1"/>
  <c r="AR134" i="1"/>
  <c r="AQ134" i="1"/>
  <c r="AP134" i="1"/>
  <c r="AO134" i="1"/>
  <c r="AE134" i="1"/>
  <c r="BS133" i="1"/>
  <c r="BR133" i="1"/>
  <c r="BQ133" i="1"/>
  <c r="BP133" i="1"/>
  <c r="BO133" i="1"/>
  <c r="BN133" i="1"/>
  <c r="BM133" i="1"/>
  <c r="BL133" i="1"/>
  <c r="BK133" i="1"/>
  <c r="BJ133" i="1"/>
  <c r="BI133" i="1"/>
  <c r="BH133" i="1"/>
  <c r="BG133" i="1"/>
  <c r="BF133" i="1"/>
  <c r="BE133" i="1"/>
  <c r="BD133" i="1"/>
  <c r="BC133" i="1"/>
  <c r="BB133" i="1"/>
  <c r="BA133" i="1"/>
  <c r="AZ133" i="1"/>
  <c r="AY133" i="1"/>
  <c r="AX133" i="1"/>
  <c r="AW133" i="1"/>
  <c r="AV133" i="1"/>
  <c r="AU133" i="1"/>
  <c r="AT133" i="1"/>
  <c r="AS133" i="1"/>
  <c r="AR133" i="1"/>
  <c r="AQ133" i="1"/>
  <c r="AP133" i="1"/>
  <c r="AO133" i="1"/>
  <c r="AE133" i="1"/>
  <c r="BS132" i="1"/>
  <c r="BR132" i="1"/>
  <c r="BQ132" i="1"/>
  <c r="BP132" i="1"/>
  <c r="BO132" i="1"/>
  <c r="BN132" i="1"/>
  <c r="BM132" i="1"/>
  <c r="BL132" i="1"/>
  <c r="BK132" i="1"/>
  <c r="BJ132" i="1"/>
  <c r="BI132" i="1"/>
  <c r="BH132" i="1"/>
  <c r="BG132" i="1"/>
  <c r="BF132" i="1"/>
  <c r="BE132" i="1"/>
  <c r="BD132" i="1"/>
  <c r="BC132" i="1"/>
  <c r="BB132" i="1"/>
  <c r="BA132" i="1"/>
  <c r="AZ132" i="1"/>
  <c r="AY132" i="1"/>
  <c r="AX132" i="1"/>
  <c r="AW132" i="1"/>
  <c r="AV132" i="1"/>
  <c r="AU132" i="1"/>
  <c r="AT132" i="1"/>
  <c r="AS132" i="1"/>
  <c r="AR132" i="1"/>
  <c r="AQ132" i="1"/>
  <c r="AP132" i="1"/>
  <c r="AO132" i="1"/>
  <c r="AE132" i="1"/>
  <c r="BS131" i="1"/>
  <c r="BR131" i="1"/>
  <c r="BQ131" i="1"/>
  <c r="BP131" i="1"/>
  <c r="BO131" i="1"/>
  <c r="BN131" i="1"/>
  <c r="BM131" i="1"/>
  <c r="BL131" i="1"/>
  <c r="BK131" i="1"/>
  <c r="BJ131" i="1"/>
  <c r="BI131" i="1"/>
  <c r="BH131" i="1"/>
  <c r="BG131" i="1"/>
  <c r="BF131" i="1"/>
  <c r="BE131" i="1"/>
  <c r="BD131" i="1"/>
  <c r="BC131" i="1"/>
  <c r="BB131" i="1"/>
  <c r="BA131" i="1"/>
  <c r="AZ131" i="1"/>
  <c r="AY131" i="1"/>
  <c r="AX131" i="1"/>
  <c r="AW131" i="1"/>
  <c r="AV131" i="1"/>
  <c r="AU131" i="1"/>
  <c r="AT131" i="1"/>
  <c r="AS131" i="1"/>
  <c r="AR131" i="1"/>
  <c r="AQ131" i="1"/>
  <c r="AP131" i="1"/>
  <c r="AO131" i="1"/>
  <c r="AE131" i="1"/>
  <c r="BS130" i="1"/>
  <c r="BR130" i="1"/>
  <c r="BQ130" i="1"/>
  <c r="BP130" i="1"/>
  <c r="BO130" i="1"/>
  <c r="BN130" i="1"/>
  <c r="BM130" i="1"/>
  <c r="BL130" i="1"/>
  <c r="BK130" i="1"/>
  <c r="BJ130" i="1"/>
  <c r="BI130" i="1"/>
  <c r="BH130" i="1"/>
  <c r="BG130" i="1"/>
  <c r="BF130" i="1"/>
  <c r="BE130" i="1"/>
  <c r="BD130" i="1"/>
  <c r="BC130" i="1"/>
  <c r="BB130" i="1"/>
  <c r="BA130" i="1"/>
  <c r="AZ130" i="1"/>
  <c r="AY130" i="1"/>
  <c r="AX130" i="1"/>
  <c r="AW130" i="1"/>
  <c r="AV130" i="1"/>
  <c r="AU130" i="1"/>
  <c r="AT130" i="1"/>
  <c r="AS130" i="1"/>
  <c r="AR130" i="1"/>
  <c r="AQ130" i="1"/>
  <c r="AP130" i="1"/>
  <c r="AO130" i="1"/>
  <c r="AE130" i="1"/>
  <c r="BS129" i="1"/>
  <c r="BR129" i="1"/>
  <c r="BQ129" i="1"/>
  <c r="BP129" i="1"/>
  <c r="BO129" i="1"/>
  <c r="BN129" i="1"/>
  <c r="BM129" i="1"/>
  <c r="BL129" i="1"/>
  <c r="BK129" i="1"/>
  <c r="BJ129" i="1"/>
  <c r="BI129" i="1"/>
  <c r="BH129" i="1"/>
  <c r="BG129" i="1"/>
  <c r="BF129" i="1"/>
  <c r="BE129" i="1"/>
  <c r="BD129" i="1"/>
  <c r="BC129" i="1"/>
  <c r="BB129" i="1"/>
  <c r="BA129" i="1"/>
  <c r="AZ129" i="1"/>
  <c r="AY129" i="1"/>
  <c r="AX129" i="1"/>
  <c r="AW129" i="1"/>
  <c r="AV129" i="1"/>
  <c r="AU129" i="1"/>
  <c r="AT129" i="1"/>
  <c r="AS129" i="1"/>
  <c r="AR129" i="1"/>
  <c r="AQ129" i="1"/>
  <c r="AP129" i="1"/>
  <c r="AO129" i="1"/>
  <c r="AE129" i="1"/>
  <c r="BS128" i="1"/>
  <c r="BR128" i="1"/>
  <c r="BQ128" i="1"/>
  <c r="BP128" i="1"/>
  <c r="BO128" i="1"/>
  <c r="BN128" i="1"/>
  <c r="BM128" i="1"/>
  <c r="BL128" i="1"/>
  <c r="BK128" i="1"/>
  <c r="BJ128" i="1"/>
  <c r="BI128" i="1"/>
  <c r="BH128" i="1"/>
  <c r="BG128" i="1"/>
  <c r="BF128" i="1"/>
  <c r="BE128" i="1"/>
  <c r="BD128" i="1"/>
  <c r="BC128" i="1"/>
  <c r="BB128" i="1"/>
  <c r="BA128" i="1"/>
  <c r="AZ128" i="1"/>
  <c r="AY128" i="1"/>
  <c r="AX128" i="1"/>
  <c r="AW128" i="1"/>
  <c r="AV128" i="1"/>
  <c r="AU128" i="1"/>
  <c r="AT128" i="1"/>
  <c r="AS128" i="1"/>
  <c r="AR128" i="1"/>
  <c r="AQ128" i="1"/>
  <c r="AP128" i="1"/>
  <c r="AO128" i="1"/>
  <c r="AE128" i="1"/>
  <c r="BS127" i="1"/>
  <c r="BR127" i="1"/>
  <c r="BQ127" i="1"/>
  <c r="BP127" i="1"/>
  <c r="BO127" i="1"/>
  <c r="BN127" i="1"/>
  <c r="BM127" i="1"/>
  <c r="BL127" i="1"/>
  <c r="BK127" i="1"/>
  <c r="BJ127" i="1"/>
  <c r="BI127" i="1"/>
  <c r="BH127" i="1"/>
  <c r="BG127" i="1"/>
  <c r="BF127" i="1"/>
  <c r="BE127" i="1"/>
  <c r="BD127" i="1"/>
  <c r="BC127" i="1"/>
  <c r="BB127" i="1"/>
  <c r="BA127" i="1"/>
  <c r="AZ127" i="1"/>
  <c r="AY127" i="1"/>
  <c r="AX127" i="1"/>
  <c r="AW127" i="1"/>
  <c r="AV127" i="1"/>
  <c r="AU127" i="1"/>
  <c r="AT127" i="1"/>
  <c r="AS127" i="1"/>
  <c r="AR127" i="1"/>
  <c r="AQ127" i="1"/>
  <c r="AP127" i="1"/>
  <c r="AO127" i="1"/>
  <c r="AE127" i="1"/>
  <c r="BS126" i="1"/>
  <c r="BR126" i="1"/>
  <c r="BQ126" i="1"/>
  <c r="BP126" i="1"/>
  <c r="BO126" i="1"/>
  <c r="BN126" i="1"/>
  <c r="BM126" i="1"/>
  <c r="BL126" i="1"/>
  <c r="BK126" i="1"/>
  <c r="BJ126" i="1"/>
  <c r="BI126" i="1"/>
  <c r="BH126" i="1"/>
  <c r="BG126" i="1"/>
  <c r="BF126" i="1"/>
  <c r="BE126" i="1"/>
  <c r="BD126" i="1"/>
  <c r="BC126" i="1"/>
  <c r="BB126" i="1"/>
  <c r="BA126" i="1"/>
  <c r="AZ126" i="1"/>
  <c r="AY126" i="1"/>
  <c r="AX126" i="1"/>
  <c r="AW126" i="1"/>
  <c r="AV126" i="1"/>
  <c r="AU126" i="1"/>
  <c r="AT126" i="1"/>
  <c r="AS126" i="1"/>
  <c r="AR126" i="1"/>
  <c r="AQ126" i="1"/>
  <c r="AP126" i="1"/>
  <c r="AO126" i="1"/>
  <c r="AE126" i="1"/>
  <c r="BS125" i="1"/>
  <c r="BR125" i="1"/>
  <c r="BQ125" i="1"/>
  <c r="BP125" i="1"/>
  <c r="BO125" i="1"/>
  <c r="BN125" i="1"/>
  <c r="BM125" i="1"/>
  <c r="BL125" i="1"/>
  <c r="BK125" i="1"/>
  <c r="BJ125" i="1"/>
  <c r="BI125" i="1"/>
  <c r="BH125" i="1"/>
  <c r="BG125" i="1"/>
  <c r="BF125" i="1"/>
  <c r="BE125" i="1"/>
  <c r="BD125" i="1"/>
  <c r="BC125" i="1"/>
  <c r="BB125" i="1"/>
  <c r="BA125" i="1"/>
  <c r="AZ125" i="1"/>
  <c r="AY125" i="1"/>
  <c r="AX125" i="1"/>
  <c r="AW125" i="1"/>
  <c r="AV125" i="1"/>
  <c r="AU125" i="1"/>
  <c r="AT125" i="1"/>
  <c r="AS125" i="1"/>
  <c r="AR125" i="1"/>
  <c r="AQ125" i="1"/>
  <c r="AP125" i="1"/>
  <c r="AO125" i="1"/>
  <c r="AE125" i="1"/>
  <c r="BS124" i="1"/>
  <c r="BR124" i="1"/>
  <c r="BQ124" i="1"/>
  <c r="BP124" i="1"/>
  <c r="BO124" i="1"/>
  <c r="BN124" i="1"/>
  <c r="BM124" i="1"/>
  <c r="BL124" i="1"/>
  <c r="BK124" i="1"/>
  <c r="BJ124" i="1"/>
  <c r="BI124" i="1"/>
  <c r="BH124" i="1"/>
  <c r="BG124" i="1"/>
  <c r="BF124" i="1"/>
  <c r="BE124" i="1"/>
  <c r="BD124" i="1"/>
  <c r="BC124" i="1"/>
  <c r="BB124" i="1"/>
  <c r="BA124" i="1"/>
  <c r="AZ124" i="1"/>
  <c r="AY124" i="1"/>
  <c r="AX124" i="1"/>
  <c r="AW124" i="1"/>
  <c r="AV124" i="1"/>
  <c r="AU124" i="1"/>
  <c r="AT124" i="1"/>
  <c r="AS124" i="1"/>
  <c r="AR124" i="1"/>
  <c r="AQ124" i="1"/>
  <c r="AP124" i="1"/>
  <c r="AO124" i="1"/>
  <c r="AE124" i="1"/>
  <c r="BS123" i="1"/>
  <c r="BR123" i="1"/>
  <c r="BQ123" i="1"/>
  <c r="BP123" i="1"/>
  <c r="BO123" i="1"/>
  <c r="BN123" i="1"/>
  <c r="BM123" i="1"/>
  <c r="BL123" i="1"/>
  <c r="BK123" i="1"/>
  <c r="BJ123" i="1"/>
  <c r="BI123" i="1"/>
  <c r="BH123" i="1"/>
  <c r="BG123" i="1"/>
  <c r="BF123" i="1"/>
  <c r="BE123" i="1"/>
  <c r="BD123" i="1"/>
  <c r="BC123" i="1"/>
  <c r="BB123" i="1"/>
  <c r="BA123" i="1"/>
  <c r="AZ123" i="1"/>
  <c r="AY123" i="1"/>
  <c r="AX123" i="1"/>
  <c r="AW123" i="1"/>
  <c r="AV123" i="1"/>
  <c r="AU123" i="1"/>
  <c r="AT123" i="1"/>
  <c r="AS123" i="1"/>
  <c r="AR123" i="1"/>
  <c r="AQ123" i="1"/>
  <c r="AP123" i="1"/>
  <c r="AO123" i="1"/>
  <c r="AE123" i="1"/>
  <c r="BS122" i="1"/>
  <c r="BR122" i="1"/>
  <c r="BQ122" i="1"/>
  <c r="BP122" i="1"/>
  <c r="BO122" i="1"/>
  <c r="BN122" i="1"/>
  <c r="BM122" i="1"/>
  <c r="BL122" i="1"/>
  <c r="BK122" i="1"/>
  <c r="BJ122" i="1"/>
  <c r="BI122" i="1"/>
  <c r="BH122" i="1"/>
  <c r="BG122" i="1"/>
  <c r="BF122" i="1"/>
  <c r="BE122" i="1"/>
  <c r="BD122" i="1"/>
  <c r="BC122" i="1"/>
  <c r="BB122" i="1"/>
  <c r="BA122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E122" i="1"/>
  <c r="BS121" i="1"/>
  <c r="BR121" i="1"/>
  <c r="BQ121" i="1"/>
  <c r="BP121" i="1"/>
  <c r="BO121" i="1"/>
  <c r="BN121" i="1"/>
  <c r="BM121" i="1"/>
  <c r="BL121" i="1"/>
  <c r="BK121" i="1"/>
  <c r="BJ121" i="1"/>
  <c r="BI121" i="1"/>
  <c r="BH121" i="1"/>
  <c r="BG121" i="1"/>
  <c r="BF121" i="1"/>
  <c r="BE121" i="1"/>
  <c r="BD121" i="1"/>
  <c r="BC121" i="1"/>
  <c r="BB121" i="1"/>
  <c r="BA121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E121" i="1"/>
  <c r="BS120" i="1"/>
  <c r="BR120" i="1"/>
  <c r="BQ120" i="1"/>
  <c r="BP120" i="1"/>
  <c r="BO120" i="1"/>
  <c r="BN120" i="1"/>
  <c r="BM120" i="1"/>
  <c r="BL120" i="1"/>
  <c r="BK120" i="1"/>
  <c r="BJ120" i="1"/>
  <c r="BI120" i="1"/>
  <c r="BH120" i="1"/>
  <c r="BG120" i="1"/>
  <c r="BF120" i="1"/>
  <c r="BE120" i="1"/>
  <c r="BD120" i="1"/>
  <c r="BC120" i="1"/>
  <c r="BB120" i="1"/>
  <c r="BA120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E120" i="1"/>
  <c r="BS119" i="1"/>
  <c r="BR119" i="1"/>
  <c r="BQ119" i="1"/>
  <c r="BP119" i="1"/>
  <c r="BO119" i="1"/>
  <c r="BN119" i="1"/>
  <c r="BM119" i="1"/>
  <c r="BL119" i="1"/>
  <c r="BK119" i="1"/>
  <c r="BJ119" i="1"/>
  <c r="BI119" i="1"/>
  <c r="BH119" i="1"/>
  <c r="BG119" i="1"/>
  <c r="BF119" i="1"/>
  <c r="BE119" i="1"/>
  <c r="BD119" i="1"/>
  <c r="BC119" i="1"/>
  <c r="BB119" i="1"/>
  <c r="BA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E119" i="1"/>
  <c r="BS118" i="1"/>
  <c r="BR118" i="1"/>
  <c r="BQ118" i="1"/>
  <c r="BP118" i="1"/>
  <c r="BO118" i="1"/>
  <c r="BN118" i="1"/>
  <c r="BM118" i="1"/>
  <c r="BL118" i="1"/>
  <c r="BK118" i="1"/>
  <c r="BJ118" i="1"/>
  <c r="BI118" i="1"/>
  <c r="BH118" i="1"/>
  <c r="BG118" i="1"/>
  <c r="BF118" i="1"/>
  <c r="BE118" i="1"/>
  <c r="BD118" i="1"/>
  <c r="BC118" i="1"/>
  <c r="BB118" i="1"/>
  <c r="BA118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E118" i="1"/>
  <c r="BS117" i="1"/>
  <c r="BR117" i="1"/>
  <c r="BQ117" i="1"/>
  <c r="BP117" i="1"/>
  <c r="BO117" i="1"/>
  <c r="BN117" i="1"/>
  <c r="BM117" i="1"/>
  <c r="BL117" i="1"/>
  <c r="BK117" i="1"/>
  <c r="BJ117" i="1"/>
  <c r="BI117" i="1"/>
  <c r="BH117" i="1"/>
  <c r="BG117" i="1"/>
  <c r="BF117" i="1"/>
  <c r="BE117" i="1"/>
  <c r="BD117" i="1"/>
  <c r="BC117" i="1"/>
  <c r="BB117" i="1"/>
  <c r="BA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E117" i="1"/>
  <c r="BS116" i="1"/>
  <c r="BR116" i="1"/>
  <c r="BQ116" i="1"/>
  <c r="BP116" i="1"/>
  <c r="BO116" i="1"/>
  <c r="BN116" i="1"/>
  <c r="BM116" i="1"/>
  <c r="BL116" i="1"/>
  <c r="BK116" i="1"/>
  <c r="BJ116" i="1"/>
  <c r="BI116" i="1"/>
  <c r="BH116" i="1"/>
  <c r="BG116" i="1"/>
  <c r="BF116" i="1"/>
  <c r="BE116" i="1"/>
  <c r="BD116" i="1"/>
  <c r="BC116" i="1"/>
  <c r="BB116" i="1"/>
  <c r="BA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E116" i="1"/>
  <c r="BS115" i="1"/>
  <c r="BR115" i="1"/>
  <c r="BQ115" i="1"/>
  <c r="BP115" i="1"/>
  <c r="BO115" i="1"/>
  <c r="BN115" i="1"/>
  <c r="BM115" i="1"/>
  <c r="BL115" i="1"/>
  <c r="BK115" i="1"/>
  <c r="BJ115" i="1"/>
  <c r="BI115" i="1"/>
  <c r="BH115" i="1"/>
  <c r="BG115" i="1"/>
  <c r="BF115" i="1"/>
  <c r="BE115" i="1"/>
  <c r="BD115" i="1"/>
  <c r="BC115" i="1"/>
  <c r="BB115" i="1"/>
  <c r="BA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E115" i="1"/>
  <c r="BS114" i="1"/>
  <c r="BR114" i="1"/>
  <c r="BQ114" i="1"/>
  <c r="BP114" i="1"/>
  <c r="BO114" i="1"/>
  <c r="BN114" i="1"/>
  <c r="BM114" i="1"/>
  <c r="BL114" i="1"/>
  <c r="BK114" i="1"/>
  <c r="BJ114" i="1"/>
  <c r="BI114" i="1"/>
  <c r="BH114" i="1"/>
  <c r="BG114" i="1"/>
  <c r="BF114" i="1"/>
  <c r="BE114" i="1"/>
  <c r="BD114" i="1"/>
  <c r="BC114" i="1"/>
  <c r="BB114" i="1"/>
  <c r="BA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E114" i="1"/>
  <c r="BS113" i="1"/>
  <c r="BR113" i="1"/>
  <c r="BQ113" i="1"/>
  <c r="BP113" i="1"/>
  <c r="BO113" i="1"/>
  <c r="BN113" i="1"/>
  <c r="BM113" i="1"/>
  <c r="BL113" i="1"/>
  <c r="BK113" i="1"/>
  <c r="BJ113" i="1"/>
  <c r="BI113" i="1"/>
  <c r="BH113" i="1"/>
  <c r="BG113" i="1"/>
  <c r="BF113" i="1"/>
  <c r="BE113" i="1"/>
  <c r="BD113" i="1"/>
  <c r="BC113" i="1"/>
  <c r="BB113" i="1"/>
  <c r="BA113" i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E113" i="1"/>
  <c r="BS112" i="1"/>
  <c r="BR112" i="1"/>
  <c r="BQ112" i="1"/>
  <c r="BP112" i="1"/>
  <c r="BO112" i="1"/>
  <c r="BN112" i="1"/>
  <c r="BM112" i="1"/>
  <c r="BL112" i="1"/>
  <c r="BK112" i="1"/>
  <c r="BJ112" i="1"/>
  <c r="BI112" i="1"/>
  <c r="BH112" i="1"/>
  <c r="BG112" i="1"/>
  <c r="BF112" i="1"/>
  <c r="BE112" i="1"/>
  <c r="BD112" i="1"/>
  <c r="BC112" i="1"/>
  <c r="BB112" i="1"/>
  <c r="BA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E112" i="1"/>
  <c r="BS111" i="1"/>
  <c r="BR111" i="1"/>
  <c r="BQ111" i="1"/>
  <c r="BP111" i="1"/>
  <c r="BO111" i="1"/>
  <c r="BN111" i="1"/>
  <c r="BM111" i="1"/>
  <c r="BL111" i="1"/>
  <c r="BK111" i="1"/>
  <c r="BJ111" i="1"/>
  <c r="BI111" i="1"/>
  <c r="BH111" i="1"/>
  <c r="BG111" i="1"/>
  <c r="BF111" i="1"/>
  <c r="BE111" i="1"/>
  <c r="BD111" i="1"/>
  <c r="BC111" i="1"/>
  <c r="BB111" i="1"/>
  <c r="BA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E111" i="1"/>
  <c r="BS110" i="1"/>
  <c r="BR110" i="1"/>
  <c r="BQ110" i="1"/>
  <c r="BP110" i="1"/>
  <c r="BO110" i="1"/>
  <c r="BN110" i="1"/>
  <c r="BM110" i="1"/>
  <c r="BL110" i="1"/>
  <c r="BK110" i="1"/>
  <c r="BJ110" i="1"/>
  <c r="BI110" i="1"/>
  <c r="BH110" i="1"/>
  <c r="BG110" i="1"/>
  <c r="BF110" i="1"/>
  <c r="BE110" i="1"/>
  <c r="BD110" i="1"/>
  <c r="BC110" i="1"/>
  <c r="BB110" i="1"/>
  <c r="BA110" i="1"/>
  <c r="AZ110" i="1"/>
  <c r="AY110" i="1"/>
  <c r="AX110" i="1"/>
  <c r="AW110" i="1"/>
  <c r="AV110" i="1"/>
  <c r="AU110" i="1"/>
  <c r="AT110" i="1"/>
  <c r="AS110" i="1"/>
  <c r="AR110" i="1"/>
  <c r="AQ110" i="1"/>
  <c r="AP110" i="1"/>
  <c r="AO110" i="1"/>
  <c r="AE110" i="1"/>
  <c r="BS109" i="1"/>
  <c r="BR109" i="1"/>
  <c r="BQ109" i="1"/>
  <c r="BP109" i="1"/>
  <c r="BO109" i="1"/>
  <c r="BN109" i="1"/>
  <c r="BM109" i="1"/>
  <c r="BL109" i="1"/>
  <c r="BK109" i="1"/>
  <c r="BJ109" i="1"/>
  <c r="BI109" i="1"/>
  <c r="BH109" i="1"/>
  <c r="BG109" i="1"/>
  <c r="BF109" i="1"/>
  <c r="BE109" i="1"/>
  <c r="BD109" i="1"/>
  <c r="BC109" i="1"/>
  <c r="BB109" i="1"/>
  <c r="BA109" i="1"/>
  <c r="AZ109" i="1"/>
  <c r="AY109" i="1"/>
  <c r="AX109" i="1"/>
  <c r="AW109" i="1"/>
  <c r="AV109" i="1"/>
  <c r="AU109" i="1"/>
  <c r="AT109" i="1"/>
  <c r="AS109" i="1"/>
  <c r="AR109" i="1"/>
  <c r="AQ109" i="1"/>
  <c r="AP109" i="1"/>
  <c r="AO109" i="1"/>
  <c r="AE109" i="1"/>
  <c r="BS108" i="1"/>
  <c r="BR108" i="1"/>
  <c r="BQ108" i="1"/>
  <c r="BP108" i="1"/>
  <c r="BO108" i="1"/>
  <c r="BN108" i="1"/>
  <c r="BM108" i="1"/>
  <c r="BL108" i="1"/>
  <c r="BK108" i="1"/>
  <c r="BJ108" i="1"/>
  <c r="BI108" i="1"/>
  <c r="BH108" i="1"/>
  <c r="BG108" i="1"/>
  <c r="BF108" i="1"/>
  <c r="BE108" i="1"/>
  <c r="BD108" i="1"/>
  <c r="BC108" i="1"/>
  <c r="BB108" i="1"/>
  <c r="BA108" i="1"/>
  <c r="AZ108" i="1"/>
  <c r="AY108" i="1"/>
  <c r="AX108" i="1"/>
  <c r="AW108" i="1"/>
  <c r="AV108" i="1"/>
  <c r="AU108" i="1"/>
  <c r="AT108" i="1"/>
  <c r="AS108" i="1"/>
  <c r="AR108" i="1"/>
  <c r="AQ108" i="1"/>
  <c r="AP108" i="1"/>
  <c r="AO108" i="1"/>
  <c r="AE108" i="1"/>
  <c r="BS107" i="1"/>
  <c r="BR107" i="1"/>
  <c r="BQ107" i="1"/>
  <c r="BP107" i="1"/>
  <c r="BO107" i="1"/>
  <c r="BN107" i="1"/>
  <c r="BM107" i="1"/>
  <c r="BL107" i="1"/>
  <c r="BK107" i="1"/>
  <c r="BJ107" i="1"/>
  <c r="BI107" i="1"/>
  <c r="BH107" i="1"/>
  <c r="BG107" i="1"/>
  <c r="BF107" i="1"/>
  <c r="BE107" i="1"/>
  <c r="BD107" i="1"/>
  <c r="BC107" i="1"/>
  <c r="BB107" i="1"/>
  <c r="BA107" i="1"/>
  <c r="AZ107" i="1"/>
  <c r="AY107" i="1"/>
  <c r="AX107" i="1"/>
  <c r="AW107" i="1"/>
  <c r="AV107" i="1"/>
  <c r="AU107" i="1"/>
  <c r="AT107" i="1"/>
  <c r="AS107" i="1"/>
  <c r="AR107" i="1"/>
  <c r="AQ107" i="1"/>
  <c r="AP107" i="1"/>
  <c r="AO107" i="1"/>
  <c r="AE107" i="1"/>
  <c r="BS106" i="1"/>
  <c r="BR106" i="1"/>
  <c r="BQ106" i="1"/>
  <c r="BP106" i="1"/>
  <c r="BO106" i="1"/>
  <c r="BN106" i="1"/>
  <c r="BM106" i="1"/>
  <c r="BL106" i="1"/>
  <c r="BK106" i="1"/>
  <c r="BJ106" i="1"/>
  <c r="BI106" i="1"/>
  <c r="BH106" i="1"/>
  <c r="BG106" i="1"/>
  <c r="BF106" i="1"/>
  <c r="BE106" i="1"/>
  <c r="BD106" i="1"/>
  <c r="BC106" i="1"/>
  <c r="BB106" i="1"/>
  <c r="BA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E106" i="1"/>
  <c r="BS105" i="1"/>
  <c r="BR105" i="1"/>
  <c r="BQ105" i="1"/>
  <c r="BP105" i="1"/>
  <c r="BO105" i="1"/>
  <c r="BN105" i="1"/>
  <c r="BM105" i="1"/>
  <c r="BL105" i="1"/>
  <c r="BK105" i="1"/>
  <c r="BJ105" i="1"/>
  <c r="BI105" i="1"/>
  <c r="BH105" i="1"/>
  <c r="BG105" i="1"/>
  <c r="BF105" i="1"/>
  <c r="BE105" i="1"/>
  <c r="BD105" i="1"/>
  <c r="BC105" i="1"/>
  <c r="BB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E105" i="1"/>
  <c r="BS104" i="1"/>
  <c r="BR104" i="1"/>
  <c r="BQ104" i="1"/>
  <c r="BP104" i="1"/>
  <c r="BO104" i="1"/>
  <c r="BN104" i="1"/>
  <c r="BM104" i="1"/>
  <c r="BL104" i="1"/>
  <c r="BK104" i="1"/>
  <c r="BJ104" i="1"/>
  <c r="BI104" i="1"/>
  <c r="BH104" i="1"/>
  <c r="BG104" i="1"/>
  <c r="BF104" i="1"/>
  <c r="BE104" i="1"/>
  <c r="BD104" i="1"/>
  <c r="BC104" i="1"/>
  <c r="BB104" i="1"/>
  <c r="BA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E104" i="1"/>
  <c r="BS103" i="1"/>
  <c r="BR103" i="1"/>
  <c r="BQ103" i="1"/>
  <c r="BP103" i="1"/>
  <c r="BO103" i="1"/>
  <c r="BN103" i="1"/>
  <c r="BM103" i="1"/>
  <c r="BL103" i="1"/>
  <c r="BK103" i="1"/>
  <c r="BJ103" i="1"/>
  <c r="BI103" i="1"/>
  <c r="BH103" i="1"/>
  <c r="BG103" i="1"/>
  <c r="BF103" i="1"/>
  <c r="BE103" i="1"/>
  <c r="BD103" i="1"/>
  <c r="BC103" i="1"/>
  <c r="BB103" i="1"/>
  <c r="BA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E103" i="1"/>
  <c r="BS102" i="1"/>
  <c r="BR102" i="1"/>
  <c r="BQ102" i="1"/>
  <c r="BP102" i="1"/>
  <c r="BO102" i="1"/>
  <c r="BN102" i="1"/>
  <c r="BM102" i="1"/>
  <c r="BL102" i="1"/>
  <c r="BK102" i="1"/>
  <c r="BJ102" i="1"/>
  <c r="BI102" i="1"/>
  <c r="BH102" i="1"/>
  <c r="BG102" i="1"/>
  <c r="BF102" i="1"/>
  <c r="BE102" i="1"/>
  <c r="BD102" i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E102" i="1"/>
  <c r="BS101" i="1"/>
  <c r="BR101" i="1"/>
  <c r="BQ101" i="1"/>
  <c r="BP101" i="1"/>
  <c r="BO101" i="1"/>
  <c r="BN101" i="1"/>
  <c r="BM101" i="1"/>
  <c r="BL101" i="1"/>
  <c r="BK101" i="1"/>
  <c r="BJ101" i="1"/>
  <c r="BI101" i="1"/>
  <c r="BH101" i="1"/>
  <c r="BG101" i="1"/>
  <c r="BF101" i="1"/>
  <c r="BE101" i="1"/>
  <c r="BD101" i="1"/>
  <c r="BC101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E101" i="1"/>
  <c r="BS100" i="1"/>
  <c r="BR100" i="1"/>
  <c r="BQ100" i="1"/>
  <c r="BP100" i="1"/>
  <c r="BO100" i="1"/>
  <c r="BN100" i="1"/>
  <c r="BM100" i="1"/>
  <c r="BL100" i="1"/>
  <c r="BK100" i="1"/>
  <c r="BJ100" i="1"/>
  <c r="BI100" i="1"/>
  <c r="BH100" i="1"/>
  <c r="BG100" i="1"/>
  <c r="BF100" i="1"/>
  <c r="BE100" i="1"/>
  <c r="BD100" i="1"/>
  <c r="BC100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E100" i="1"/>
  <c r="BS99" i="1"/>
  <c r="BR99" i="1"/>
  <c r="BQ99" i="1"/>
  <c r="BP99" i="1"/>
  <c r="BO99" i="1"/>
  <c r="BN99" i="1"/>
  <c r="BM99" i="1"/>
  <c r="BL99" i="1"/>
  <c r="BK99" i="1"/>
  <c r="BJ99" i="1"/>
  <c r="BI99" i="1"/>
  <c r="BH99" i="1"/>
  <c r="BG99" i="1"/>
  <c r="BF99" i="1"/>
  <c r="BE99" i="1"/>
  <c r="BD99" i="1"/>
  <c r="BC99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E99" i="1"/>
  <c r="BS98" i="1"/>
  <c r="BR98" i="1"/>
  <c r="BQ98" i="1"/>
  <c r="BP98" i="1"/>
  <c r="BO98" i="1"/>
  <c r="BN98" i="1"/>
  <c r="BM98" i="1"/>
  <c r="BL98" i="1"/>
  <c r="BK98" i="1"/>
  <c r="BJ98" i="1"/>
  <c r="BI98" i="1"/>
  <c r="BH98" i="1"/>
  <c r="BG98" i="1"/>
  <c r="BF98" i="1"/>
  <c r="BE98" i="1"/>
  <c r="BD98" i="1"/>
  <c r="BC98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E98" i="1"/>
  <c r="BS97" i="1"/>
  <c r="BR97" i="1"/>
  <c r="BQ97" i="1"/>
  <c r="BP97" i="1"/>
  <c r="BO97" i="1"/>
  <c r="BN97" i="1"/>
  <c r="BM97" i="1"/>
  <c r="BL97" i="1"/>
  <c r="BK97" i="1"/>
  <c r="BJ97" i="1"/>
  <c r="BI97" i="1"/>
  <c r="BH97" i="1"/>
  <c r="BG97" i="1"/>
  <c r="BF97" i="1"/>
  <c r="BE97" i="1"/>
  <c r="BD97" i="1"/>
  <c r="BC97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E97" i="1"/>
  <c r="BS96" i="1"/>
  <c r="BR96" i="1"/>
  <c r="BQ96" i="1"/>
  <c r="BP96" i="1"/>
  <c r="BO96" i="1"/>
  <c r="BN96" i="1"/>
  <c r="BM96" i="1"/>
  <c r="BL96" i="1"/>
  <c r="BK96" i="1"/>
  <c r="BJ96" i="1"/>
  <c r="BI96" i="1"/>
  <c r="BH96" i="1"/>
  <c r="BG96" i="1"/>
  <c r="BF96" i="1"/>
  <c r="BE96" i="1"/>
  <c r="BD96" i="1"/>
  <c r="BC96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E96" i="1"/>
  <c r="BS95" i="1"/>
  <c r="BR95" i="1"/>
  <c r="BQ95" i="1"/>
  <c r="BP95" i="1"/>
  <c r="BO95" i="1"/>
  <c r="BN95" i="1"/>
  <c r="BM95" i="1"/>
  <c r="BL95" i="1"/>
  <c r="BK95" i="1"/>
  <c r="BJ95" i="1"/>
  <c r="BI95" i="1"/>
  <c r="BH95" i="1"/>
  <c r="BG95" i="1"/>
  <c r="BF95" i="1"/>
  <c r="BE95" i="1"/>
  <c r="BD95" i="1"/>
  <c r="BC95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E95" i="1"/>
  <c r="BS94" i="1"/>
  <c r="BR94" i="1"/>
  <c r="BQ94" i="1"/>
  <c r="BP94" i="1"/>
  <c r="BO94" i="1"/>
  <c r="BN94" i="1"/>
  <c r="BM94" i="1"/>
  <c r="BL94" i="1"/>
  <c r="BK94" i="1"/>
  <c r="BJ94" i="1"/>
  <c r="BI94" i="1"/>
  <c r="BH94" i="1"/>
  <c r="BG94" i="1"/>
  <c r="BF94" i="1"/>
  <c r="BE94" i="1"/>
  <c r="BD94" i="1"/>
  <c r="BC94" i="1"/>
  <c r="BB94" i="1"/>
  <c r="BA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E94" i="1"/>
  <c r="BS93" i="1"/>
  <c r="BR93" i="1"/>
  <c r="BQ93" i="1"/>
  <c r="BP93" i="1"/>
  <c r="BO93" i="1"/>
  <c r="BN93" i="1"/>
  <c r="BM93" i="1"/>
  <c r="BL93" i="1"/>
  <c r="BK93" i="1"/>
  <c r="BJ93" i="1"/>
  <c r="BI93" i="1"/>
  <c r="BH93" i="1"/>
  <c r="BG93" i="1"/>
  <c r="BF93" i="1"/>
  <c r="BE93" i="1"/>
  <c r="BD93" i="1"/>
  <c r="BC93" i="1"/>
  <c r="BB93" i="1"/>
  <c r="BA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E93" i="1"/>
  <c r="BS92" i="1"/>
  <c r="BR92" i="1"/>
  <c r="BQ92" i="1"/>
  <c r="BP92" i="1"/>
  <c r="BO92" i="1"/>
  <c r="BN92" i="1"/>
  <c r="BM92" i="1"/>
  <c r="BL92" i="1"/>
  <c r="BK92" i="1"/>
  <c r="BJ92" i="1"/>
  <c r="BI92" i="1"/>
  <c r="BH92" i="1"/>
  <c r="BG92" i="1"/>
  <c r="BF92" i="1"/>
  <c r="BE92" i="1"/>
  <c r="BD92" i="1"/>
  <c r="BC92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E92" i="1"/>
  <c r="BS91" i="1"/>
  <c r="BR91" i="1"/>
  <c r="BQ91" i="1"/>
  <c r="BP91" i="1"/>
  <c r="BO91" i="1"/>
  <c r="BN91" i="1"/>
  <c r="BM91" i="1"/>
  <c r="BL91" i="1"/>
  <c r="BK91" i="1"/>
  <c r="BJ91" i="1"/>
  <c r="BI91" i="1"/>
  <c r="BH91" i="1"/>
  <c r="BG91" i="1"/>
  <c r="BF91" i="1"/>
  <c r="BE91" i="1"/>
  <c r="BD91" i="1"/>
  <c r="BC91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E91" i="1"/>
  <c r="BS90" i="1"/>
  <c r="BR90" i="1"/>
  <c r="BQ90" i="1"/>
  <c r="BP90" i="1"/>
  <c r="BO90" i="1"/>
  <c r="BN90" i="1"/>
  <c r="BM90" i="1"/>
  <c r="BL90" i="1"/>
  <c r="BK90" i="1"/>
  <c r="BJ90" i="1"/>
  <c r="BI90" i="1"/>
  <c r="BH90" i="1"/>
  <c r="BG90" i="1"/>
  <c r="BF90" i="1"/>
  <c r="BE90" i="1"/>
  <c r="BD90" i="1"/>
  <c r="BC90" i="1"/>
  <c r="BB90" i="1"/>
  <c r="BA90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E90" i="1"/>
  <c r="BS89" i="1"/>
  <c r="BR89" i="1"/>
  <c r="BQ89" i="1"/>
  <c r="BP89" i="1"/>
  <c r="BO89" i="1"/>
  <c r="BN89" i="1"/>
  <c r="BM89" i="1"/>
  <c r="BL89" i="1"/>
  <c r="BK89" i="1"/>
  <c r="BJ89" i="1"/>
  <c r="BI89" i="1"/>
  <c r="BH89" i="1"/>
  <c r="BG89" i="1"/>
  <c r="BF89" i="1"/>
  <c r="BE89" i="1"/>
  <c r="BD89" i="1"/>
  <c r="BC89" i="1"/>
  <c r="BB89" i="1"/>
  <c r="BA89" i="1"/>
  <c r="AZ89" i="1"/>
  <c r="AY89" i="1"/>
  <c r="AX89" i="1"/>
  <c r="AW89" i="1"/>
  <c r="AV89" i="1"/>
  <c r="AU89" i="1"/>
  <c r="AT89" i="1"/>
  <c r="AS89" i="1"/>
  <c r="AR89" i="1"/>
  <c r="AQ89" i="1"/>
  <c r="AP89" i="1"/>
  <c r="AO89" i="1"/>
  <c r="AE89" i="1"/>
  <c r="BS88" i="1"/>
  <c r="BR88" i="1"/>
  <c r="BQ88" i="1"/>
  <c r="BP88" i="1"/>
  <c r="BO88" i="1"/>
  <c r="BN88" i="1"/>
  <c r="BM88" i="1"/>
  <c r="BL88" i="1"/>
  <c r="BK88" i="1"/>
  <c r="BJ88" i="1"/>
  <c r="BI88" i="1"/>
  <c r="BH88" i="1"/>
  <c r="BG88" i="1"/>
  <c r="BF88" i="1"/>
  <c r="BE88" i="1"/>
  <c r="BD88" i="1"/>
  <c r="BC88" i="1"/>
  <c r="BB88" i="1"/>
  <c r="BA88" i="1"/>
  <c r="AZ88" i="1"/>
  <c r="AY88" i="1"/>
  <c r="AX88" i="1"/>
  <c r="AW88" i="1"/>
  <c r="AV88" i="1"/>
  <c r="AU88" i="1"/>
  <c r="AT88" i="1"/>
  <c r="AS88" i="1"/>
  <c r="AR88" i="1"/>
  <c r="AQ88" i="1"/>
  <c r="AP88" i="1"/>
  <c r="AO88" i="1"/>
  <c r="AE88" i="1"/>
  <c r="BS87" i="1"/>
  <c r="BR87" i="1"/>
  <c r="BQ87" i="1"/>
  <c r="BP87" i="1"/>
  <c r="BO87" i="1"/>
  <c r="BN87" i="1"/>
  <c r="BM87" i="1"/>
  <c r="BL87" i="1"/>
  <c r="BK87" i="1"/>
  <c r="BJ87" i="1"/>
  <c r="BI87" i="1"/>
  <c r="BH87" i="1"/>
  <c r="BG87" i="1"/>
  <c r="BF87" i="1"/>
  <c r="BE87" i="1"/>
  <c r="BD87" i="1"/>
  <c r="BC87" i="1"/>
  <c r="BB87" i="1"/>
  <c r="BA87" i="1"/>
  <c r="AZ87" i="1"/>
  <c r="AY87" i="1"/>
  <c r="AX87" i="1"/>
  <c r="AW87" i="1"/>
  <c r="AV87" i="1"/>
  <c r="AU87" i="1"/>
  <c r="AT87" i="1"/>
  <c r="AS87" i="1"/>
  <c r="AR87" i="1"/>
  <c r="AQ87" i="1"/>
  <c r="AP87" i="1"/>
  <c r="AO87" i="1"/>
  <c r="AE87" i="1"/>
  <c r="BS86" i="1"/>
  <c r="BR86" i="1"/>
  <c r="BQ86" i="1"/>
  <c r="BP86" i="1"/>
  <c r="BO86" i="1"/>
  <c r="BN86" i="1"/>
  <c r="BM86" i="1"/>
  <c r="BL86" i="1"/>
  <c r="BK86" i="1"/>
  <c r="BJ86" i="1"/>
  <c r="BI86" i="1"/>
  <c r="BH86" i="1"/>
  <c r="BG86" i="1"/>
  <c r="BF86" i="1"/>
  <c r="BE86" i="1"/>
  <c r="BD86" i="1"/>
  <c r="BC86" i="1"/>
  <c r="BB86" i="1"/>
  <c r="BA86" i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E86" i="1"/>
  <c r="BS85" i="1"/>
  <c r="BR85" i="1"/>
  <c r="BQ85" i="1"/>
  <c r="BP85" i="1"/>
  <c r="BO85" i="1"/>
  <c r="BN85" i="1"/>
  <c r="BM85" i="1"/>
  <c r="BL85" i="1"/>
  <c r="BK85" i="1"/>
  <c r="BJ85" i="1"/>
  <c r="BI85" i="1"/>
  <c r="BH85" i="1"/>
  <c r="BG85" i="1"/>
  <c r="BF85" i="1"/>
  <c r="BE85" i="1"/>
  <c r="BD85" i="1"/>
  <c r="BC85" i="1"/>
  <c r="BB85" i="1"/>
  <c r="BA85" i="1"/>
  <c r="AZ85" i="1"/>
  <c r="AY85" i="1"/>
  <c r="AX85" i="1"/>
  <c r="AW85" i="1"/>
  <c r="AV85" i="1"/>
  <c r="AU85" i="1"/>
  <c r="AT85" i="1"/>
  <c r="AS85" i="1"/>
  <c r="AR85" i="1"/>
  <c r="AQ85" i="1"/>
  <c r="AP85" i="1"/>
  <c r="AO85" i="1"/>
  <c r="AE85" i="1"/>
  <c r="BS84" i="1"/>
  <c r="BR84" i="1"/>
  <c r="BQ84" i="1"/>
  <c r="BP84" i="1"/>
  <c r="BO84" i="1"/>
  <c r="BN84" i="1"/>
  <c r="BM84" i="1"/>
  <c r="BL84" i="1"/>
  <c r="BK84" i="1"/>
  <c r="BJ84" i="1"/>
  <c r="BI84" i="1"/>
  <c r="BH84" i="1"/>
  <c r="BG84" i="1"/>
  <c r="BF84" i="1"/>
  <c r="BE84" i="1"/>
  <c r="BD84" i="1"/>
  <c r="BC84" i="1"/>
  <c r="BB84" i="1"/>
  <c r="BA84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E84" i="1"/>
  <c r="BS83" i="1"/>
  <c r="BR83" i="1"/>
  <c r="BQ83" i="1"/>
  <c r="BP83" i="1"/>
  <c r="BO83" i="1"/>
  <c r="BN83" i="1"/>
  <c r="BM83" i="1"/>
  <c r="BL83" i="1"/>
  <c r="BK83" i="1"/>
  <c r="BJ83" i="1"/>
  <c r="BI83" i="1"/>
  <c r="BH83" i="1"/>
  <c r="BG83" i="1"/>
  <c r="BF83" i="1"/>
  <c r="BE83" i="1"/>
  <c r="BD83" i="1"/>
  <c r="BC83" i="1"/>
  <c r="BB83" i="1"/>
  <c r="BA83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E83" i="1"/>
  <c r="BS82" i="1"/>
  <c r="BR82" i="1"/>
  <c r="BQ82" i="1"/>
  <c r="BP82" i="1"/>
  <c r="BO82" i="1"/>
  <c r="BN82" i="1"/>
  <c r="BM82" i="1"/>
  <c r="BL82" i="1"/>
  <c r="BK82" i="1"/>
  <c r="BJ82" i="1"/>
  <c r="BI82" i="1"/>
  <c r="BH82" i="1"/>
  <c r="BG82" i="1"/>
  <c r="BF82" i="1"/>
  <c r="BE82" i="1"/>
  <c r="BD82" i="1"/>
  <c r="BC82" i="1"/>
  <c r="BB82" i="1"/>
  <c r="BA82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E82" i="1"/>
  <c r="BS81" i="1"/>
  <c r="BR81" i="1"/>
  <c r="BQ81" i="1"/>
  <c r="BP81" i="1"/>
  <c r="BO81" i="1"/>
  <c r="BN81" i="1"/>
  <c r="BM81" i="1"/>
  <c r="BL81" i="1"/>
  <c r="BK81" i="1"/>
  <c r="BJ81" i="1"/>
  <c r="BI81" i="1"/>
  <c r="BH81" i="1"/>
  <c r="BG81" i="1"/>
  <c r="BF81" i="1"/>
  <c r="BE81" i="1"/>
  <c r="BD81" i="1"/>
  <c r="BC81" i="1"/>
  <c r="BB81" i="1"/>
  <c r="BA81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E81" i="1"/>
  <c r="BS80" i="1"/>
  <c r="BR80" i="1"/>
  <c r="BQ80" i="1"/>
  <c r="BP80" i="1"/>
  <c r="BO80" i="1"/>
  <c r="BN80" i="1"/>
  <c r="BM80" i="1"/>
  <c r="BL80" i="1"/>
  <c r="BK80" i="1"/>
  <c r="BJ80" i="1"/>
  <c r="BI80" i="1"/>
  <c r="BH80" i="1"/>
  <c r="BG80" i="1"/>
  <c r="BF80" i="1"/>
  <c r="BE80" i="1"/>
  <c r="BD80" i="1"/>
  <c r="BC80" i="1"/>
  <c r="BB80" i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E80" i="1"/>
  <c r="BS79" i="1"/>
  <c r="BR79" i="1"/>
  <c r="BQ79" i="1"/>
  <c r="BP79" i="1"/>
  <c r="BO79" i="1"/>
  <c r="BN79" i="1"/>
  <c r="BM79" i="1"/>
  <c r="BL79" i="1"/>
  <c r="BK79" i="1"/>
  <c r="BJ79" i="1"/>
  <c r="BI79" i="1"/>
  <c r="BH79" i="1"/>
  <c r="BG79" i="1"/>
  <c r="BF79" i="1"/>
  <c r="BE79" i="1"/>
  <c r="BD79" i="1"/>
  <c r="BC79" i="1"/>
  <c r="BB79" i="1"/>
  <c r="BA79" i="1"/>
  <c r="AZ79" i="1"/>
  <c r="AY79" i="1"/>
  <c r="AX79" i="1"/>
  <c r="AW79" i="1"/>
  <c r="AV79" i="1"/>
  <c r="AU79" i="1"/>
  <c r="AT79" i="1"/>
  <c r="AS79" i="1"/>
  <c r="AR79" i="1"/>
  <c r="AQ79" i="1"/>
  <c r="AP79" i="1"/>
  <c r="AO79" i="1"/>
  <c r="AE79" i="1"/>
  <c r="BS78" i="1"/>
  <c r="BR78" i="1"/>
  <c r="BQ78" i="1"/>
  <c r="BP78" i="1"/>
  <c r="BO78" i="1"/>
  <c r="BN78" i="1"/>
  <c r="BM78" i="1"/>
  <c r="BL78" i="1"/>
  <c r="BK78" i="1"/>
  <c r="BJ78" i="1"/>
  <c r="BI78" i="1"/>
  <c r="BH78" i="1"/>
  <c r="BG78" i="1"/>
  <c r="BF78" i="1"/>
  <c r="BE78" i="1"/>
  <c r="BD78" i="1"/>
  <c r="BC78" i="1"/>
  <c r="BB78" i="1"/>
  <c r="BA78" i="1"/>
  <c r="AZ78" i="1"/>
  <c r="AY78" i="1"/>
  <c r="AX78" i="1"/>
  <c r="AW78" i="1"/>
  <c r="AV78" i="1"/>
  <c r="AU78" i="1"/>
  <c r="AT78" i="1"/>
  <c r="AS78" i="1"/>
  <c r="AR78" i="1"/>
  <c r="AQ78" i="1"/>
  <c r="AP78" i="1"/>
  <c r="AO78" i="1"/>
  <c r="AE78" i="1"/>
  <c r="BS77" i="1"/>
  <c r="BR77" i="1"/>
  <c r="BQ77" i="1"/>
  <c r="BP77" i="1"/>
  <c r="BO77" i="1"/>
  <c r="BN77" i="1"/>
  <c r="BM77" i="1"/>
  <c r="BL77" i="1"/>
  <c r="BK77" i="1"/>
  <c r="BJ77" i="1"/>
  <c r="BI77" i="1"/>
  <c r="BH77" i="1"/>
  <c r="BG77" i="1"/>
  <c r="BF77" i="1"/>
  <c r="BE77" i="1"/>
  <c r="BD77" i="1"/>
  <c r="BC77" i="1"/>
  <c r="BB77" i="1"/>
  <c r="BA77" i="1"/>
  <c r="AZ77" i="1"/>
  <c r="AY77" i="1"/>
  <c r="AX77" i="1"/>
  <c r="AW77" i="1"/>
  <c r="AV77" i="1"/>
  <c r="AU77" i="1"/>
  <c r="AT77" i="1"/>
  <c r="AS77" i="1"/>
  <c r="AR77" i="1"/>
  <c r="AQ77" i="1"/>
  <c r="AP77" i="1"/>
  <c r="AO77" i="1"/>
  <c r="AE77" i="1"/>
  <c r="BS76" i="1"/>
  <c r="BR76" i="1"/>
  <c r="BQ76" i="1"/>
  <c r="BP76" i="1"/>
  <c r="BO76" i="1"/>
  <c r="BN76" i="1"/>
  <c r="BM76" i="1"/>
  <c r="BL76" i="1"/>
  <c r="BK76" i="1"/>
  <c r="BJ76" i="1"/>
  <c r="BI76" i="1"/>
  <c r="BH76" i="1"/>
  <c r="BG76" i="1"/>
  <c r="BF76" i="1"/>
  <c r="BE76" i="1"/>
  <c r="BD76" i="1"/>
  <c r="BC76" i="1"/>
  <c r="BB76" i="1"/>
  <c r="BA76" i="1"/>
  <c r="AZ76" i="1"/>
  <c r="AY76" i="1"/>
  <c r="AX76" i="1"/>
  <c r="AW76" i="1"/>
  <c r="AV76" i="1"/>
  <c r="AU76" i="1"/>
  <c r="AT76" i="1"/>
  <c r="AS76" i="1"/>
  <c r="AR76" i="1"/>
  <c r="AQ76" i="1"/>
  <c r="AP76" i="1"/>
  <c r="AO76" i="1"/>
  <c r="AE76" i="1"/>
  <c r="BS75" i="1"/>
  <c r="BR75" i="1"/>
  <c r="BQ75" i="1"/>
  <c r="BP75" i="1"/>
  <c r="BO75" i="1"/>
  <c r="BN75" i="1"/>
  <c r="BM75" i="1"/>
  <c r="BL75" i="1"/>
  <c r="BK75" i="1"/>
  <c r="BJ75" i="1"/>
  <c r="BI75" i="1"/>
  <c r="BH75" i="1"/>
  <c r="BG75" i="1"/>
  <c r="BF75" i="1"/>
  <c r="BE75" i="1"/>
  <c r="BD75" i="1"/>
  <c r="BC75" i="1"/>
  <c r="BB75" i="1"/>
  <c r="BA75" i="1"/>
  <c r="AZ75" i="1"/>
  <c r="AY75" i="1"/>
  <c r="AX75" i="1"/>
  <c r="AW75" i="1"/>
  <c r="AV75" i="1"/>
  <c r="AU75" i="1"/>
  <c r="AT75" i="1"/>
  <c r="AS75" i="1"/>
  <c r="AR75" i="1"/>
  <c r="AQ75" i="1"/>
  <c r="AP75" i="1"/>
  <c r="AO75" i="1"/>
  <c r="AE75" i="1"/>
  <c r="BS74" i="1"/>
  <c r="BR74" i="1"/>
  <c r="BQ74" i="1"/>
  <c r="BP74" i="1"/>
  <c r="BO74" i="1"/>
  <c r="BN74" i="1"/>
  <c r="BM74" i="1"/>
  <c r="BL74" i="1"/>
  <c r="BK74" i="1"/>
  <c r="BJ74" i="1"/>
  <c r="BI74" i="1"/>
  <c r="BH74" i="1"/>
  <c r="BG74" i="1"/>
  <c r="BF74" i="1"/>
  <c r="BE74" i="1"/>
  <c r="BD74" i="1"/>
  <c r="BC74" i="1"/>
  <c r="BB74" i="1"/>
  <c r="BA74" i="1"/>
  <c r="AZ74" i="1"/>
  <c r="AY74" i="1"/>
  <c r="AX74" i="1"/>
  <c r="AW74" i="1"/>
  <c r="AV74" i="1"/>
  <c r="AU74" i="1"/>
  <c r="AT74" i="1"/>
  <c r="AS74" i="1"/>
  <c r="AR74" i="1"/>
  <c r="AQ74" i="1"/>
  <c r="AP74" i="1"/>
  <c r="AO74" i="1"/>
  <c r="AE74" i="1"/>
  <c r="BS73" i="1"/>
  <c r="BR73" i="1"/>
  <c r="BQ73" i="1"/>
  <c r="BP73" i="1"/>
  <c r="BO73" i="1"/>
  <c r="BN73" i="1"/>
  <c r="BM73" i="1"/>
  <c r="BL73" i="1"/>
  <c r="BK73" i="1"/>
  <c r="BJ73" i="1"/>
  <c r="BI73" i="1"/>
  <c r="BH73" i="1"/>
  <c r="BG73" i="1"/>
  <c r="BF73" i="1"/>
  <c r="BE73" i="1"/>
  <c r="BD73" i="1"/>
  <c r="BC73" i="1"/>
  <c r="BB73" i="1"/>
  <c r="BA73" i="1"/>
  <c r="AZ73" i="1"/>
  <c r="AY73" i="1"/>
  <c r="AX73" i="1"/>
  <c r="AW73" i="1"/>
  <c r="AV73" i="1"/>
  <c r="AU73" i="1"/>
  <c r="AT73" i="1"/>
  <c r="AS73" i="1"/>
  <c r="AR73" i="1"/>
  <c r="AQ73" i="1"/>
  <c r="AP73" i="1"/>
  <c r="AO73" i="1"/>
  <c r="AE73" i="1"/>
  <c r="BS72" i="1"/>
  <c r="BR72" i="1"/>
  <c r="BQ72" i="1"/>
  <c r="BP72" i="1"/>
  <c r="BO72" i="1"/>
  <c r="BN72" i="1"/>
  <c r="BM72" i="1"/>
  <c r="BL72" i="1"/>
  <c r="BK72" i="1"/>
  <c r="BJ72" i="1"/>
  <c r="BI72" i="1"/>
  <c r="BH72" i="1"/>
  <c r="BG72" i="1"/>
  <c r="BF72" i="1"/>
  <c r="BE72" i="1"/>
  <c r="BD72" i="1"/>
  <c r="BC72" i="1"/>
  <c r="BB72" i="1"/>
  <c r="BA72" i="1"/>
  <c r="AZ72" i="1"/>
  <c r="AY72" i="1"/>
  <c r="AX72" i="1"/>
  <c r="AW72" i="1"/>
  <c r="AV72" i="1"/>
  <c r="AU72" i="1"/>
  <c r="AT72" i="1"/>
  <c r="AS72" i="1"/>
  <c r="AR72" i="1"/>
  <c r="AQ72" i="1"/>
  <c r="AP72" i="1"/>
  <c r="AO72" i="1"/>
  <c r="AE72" i="1"/>
  <c r="BS71" i="1"/>
  <c r="BR71" i="1"/>
  <c r="BQ71" i="1"/>
  <c r="BP71" i="1"/>
  <c r="BO71" i="1"/>
  <c r="BN71" i="1"/>
  <c r="BM71" i="1"/>
  <c r="BL71" i="1"/>
  <c r="BK71" i="1"/>
  <c r="BJ71" i="1"/>
  <c r="BI71" i="1"/>
  <c r="BH71" i="1"/>
  <c r="BG71" i="1"/>
  <c r="BF71" i="1"/>
  <c r="BE71" i="1"/>
  <c r="BD71" i="1"/>
  <c r="BC71" i="1"/>
  <c r="BB71" i="1"/>
  <c r="BA71" i="1"/>
  <c r="AZ71" i="1"/>
  <c r="AY71" i="1"/>
  <c r="AX71" i="1"/>
  <c r="AW71" i="1"/>
  <c r="AV71" i="1"/>
  <c r="AU71" i="1"/>
  <c r="AT71" i="1"/>
  <c r="AS71" i="1"/>
  <c r="AR71" i="1"/>
  <c r="AQ71" i="1"/>
  <c r="AP71" i="1"/>
  <c r="AO71" i="1"/>
  <c r="AE71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E70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E69" i="1"/>
  <c r="BS68" i="1"/>
  <c r="BR68" i="1"/>
  <c r="BQ68" i="1"/>
  <c r="BP68" i="1"/>
  <c r="BO68" i="1"/>
  <c r="BN68" i="1"/>
  <c r="BM68" i="1"/>
  <c r="BL68" i="1"/>
  <c r="BK68" i="1"/>
  <c r="BJ68" i="1"/>
  <c r="BI68" i="1"/>
  <c r="BH68" i="1"/>
  <c r="BG68" i="1"/>
  <c r="BF68" i="1"/>
  <c r="BE68" i="1"/>
  <c r="BD68" i="1"/>
  <c r="BC68" i="1"/>
  <c r="BB68" i="1"/>
  <c r="BA68" i="1"/>
  <c r="AZ68" i="1"/>
  <c r="AY68" i="1"/>
  <c r="AX68" i="1"/>
  <c r="AW68" i="1"/>
  <c r="AV68" i="1"/>
  <c r="AU68" i="1"/>
  <c r="AT68" i="1"/>
  <c r="AS68" i="1"/>
  <c r="AR68" i="1"/>
  <c r="AQ68" i="1"/>
  <c r="AP68" i="1"/>
  <c r="AO68" i="1"/>
  <c r="AE68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E67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E66" i="1"/>
  <c r="BS65" i="1"/>
  <c r="BR65" i="1"/>
  <c r="BQ65" i="1"/>
  <c r="BP65" i="1"/>
  <c r="BO65" i="1"/>
  <c r="BN65" i="1"/>
  <c r="BM65" i="1"/>
  <c r="BL65" i="1"/>
  <c r="BK65" i="1"/>
  <c r="BJ65" i="1"/>
  <c r="BI65" i="1"/>
  <c r="BH65" i="1"/>
  <c r="BG65" i="1"/>
  <c r="BF65" i="1"/>
  <c r="BE65" i="1"/>
  <c r="BD65" i="1"/>
  <c r="BC65" i="1"/>
  <c r="BB65" i="1"/>
  <c r="BA65" i="1"/>
  <c r="AZ65" i="1"/>
  <c r="AY65" i="1"/>
  <c r="AX65" i="1"/>
  <c r="AW65" i="1"/>
  <c r="AV65" i="1"/>
  <c r="AU65" i="1"/>
  <c r="AT65" i="1"/>
  <c r="AS65" i="1"/>
  <c r="AR65" i="1"/>
  <c r="AQ65" i="1"/>
  <c r="AP65" i="1"/>
  <c r="AO65" i="1"/>
  <c r="AE65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E64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E63" i="1"/>
  <c r="BS62" i="1"/>
  <c r="BR62" i="1"/>
  <c r="BQ62" i="1"/>
  <c r="BP62" i="1"/>
  <c r="BO62" i="1"/>
  <c r="BN62" i="1"/>
  <c r="BM62" i="1"/>
  <c r="BL62" i="1"/>
  <c r="BK62" i="1"/>
  <c r="BJ62" i="1"/>
  <c r="BI62" i="1"/>
  <c r="BH62" i="1"/>
  <c r="BG62" i="1"/>
  <c r="BF62" i="1"/>
  <c r="BE62" i="1"/>
  <c r="BD62" i="1"/>
  <c r="BC62" i="1"/>
  <c r="BB62" i="1"/>
  <c r="BA62" i="1"/>
  <c r="AZ62" i="1"/>
  <c r="AY62" i="1"/>
  <c r="AX62" i="1"/>
  <c r="AW62" i="1"/>
  <c r="AV62" i="1"/>
  <c r="AU62" i="1"/>
  <c r="AT62" i="1"/>
  <c r="AS62" i="1"/>
  <c r="AR62" i="1"/>
  <c r="AQ62" i="1"/>
  <c r="AP62" i="1"/>
  <c r="AO62" i="1"/>
  <c r="AE62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E61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E60" i="1"/>
  <c r="BS59" i="1"/>
  <c r="BR59" i="1"/>
  <c r="BQ59" i="1"/>
  <c r="BP59" i="1"/>
  <c r="BO59" i="1"/>
  <c r="BN59" i="1"/>
  <c r="BM59" i="1"/>
  <c r="BL59" i="1"/>
  <c r="BK59" i="1"/>
  <c r="BJ59" i="1"/>
  <c r="BI59" i="1"/>
  <c r="BH59" i="1"/>
  <c r="BG59" i="1"/>
  <c r="BF59" i="1"/>
  <c r="BE59" i="1"/>
  <c r="BD59" i="1"/>
  <c r="BC59" i="1"/>
  <c r="BB59" i="1"/>
  <c r="BA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E59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E58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E57" i="1"/>
  <c r="BS56" i="1"/>
  <c r="BR56" i="1"/>
  <c r="BQ56" i="1"/>
  <c r="BP56" i="1"/>
  <c r="BO56" i="1"/>
  <c r="BN56" i="1"/>
  <c r="BM56" i="1"/>
  <c r="BL56" i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E56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E55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E54" i="1"/>
  <c r="BS53" i="1"/>
  <c r="BR53" i="1"/>
  <c r="BQ53" i="1"/>
  <c r="BP53" i="1"/>
  <c r="BO53" i="1"/>
  <c r="BN53" i="1"/>
  <c r="BM53" i="1"/>
  <c r="BL53" i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E53" i="1"/>
  <c r="BS52" i="1"/>
  <c r="BR52" i="1"/>
  <c r="BQ52" i="1"/>
  <c r="BP52" i="1"/>
  <c r="BO52" i="1"/>
  <c r="BN52" i="1"/>
  <c r="BM52" i="1"/>
  <c r="BL52" i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E52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E51" i="1"/>
  <c r="BS50" i="1"/>
  <c r="BR50" i="1"/>
  <c r="BQ50" i="1"/>
  <c r="BP50" i="1"/>
  <c r="BO50" i="1"/>
  <c r="BN50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E50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E49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E48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E47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E46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E45" i="1"/>
  <c r="BS44" i="1"/>
  <c r="BR44" i="1"/>
  <c r="BQ44" i="1"/>
  <c r="BP44" i="1"/>
  <c r="BO44" i="1"/>
  <c r="BN44" i="1"/>
  <c r="BM44" i="1"/>
  <c r="BL44" i="1"/>
  <c r="BK44" i="1"/>
  <c r="BJ44" i="1"/>
  <c r="BI44" i="1"/>
  <c r="BH44" i="1"/>
  <c r="BG44" i="1"/>
  <c r="BF44" i="1"/>
  <c r="BE44" i="1"/>
  <c r="BD44" i="1"/>
  <c r="BC44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E44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E43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E42" i="1"/>
  <c r="BS41" i="1"/>
  <c r="BR41" i="1"/>
  <c r="BQ41" i="1"/>
  <c r="BP41" i="1"/>
  <c r="BO41" i="1"/>
  <c r="BN41" i="1"/>
  <c r="BM41" i="1"/>
  <c r="BL41" i="1"/>
  <c r="BK41" i="1"/>
  <c r="BJ41" i="1"/>
  <c r="BI41" i="1"/>
  <c r="BH41" i="1"/>
  <c r="BG41" i="1"/>
  <c r="BF41" i="1"/>
  <c r="BE41" i="1"/>
  <c r="BD41" i="1"/>
  <c r="BC41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E41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E40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E39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E38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E37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E36" i="1"/>
  <c r="BS35" i="1"/>
  <c r="BR35" i="1"/>
  <c r="BQ35" i="1"/>
  <c r="BP35" i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E35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E34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E33" i="1"/>
  <c r="BS32" i="1"/>
  <c r="BR32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E32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E31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E30" i="1"/>
  <c r="BS29" i="1"/>
  <c r="BR29" i="1"/>
  <c r="BQ29" i="1"/>
  <c r="BP29" i="1"/>
  <c r="BO29" i="1"/>
  <c r="BN29" i="1"/>
  <c r="BM29" i="1"/>
  <c r="BL29" i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E29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E28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E27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E26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E25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E24" i="1"/>
  <c r="BS23" i="1"/>
  <c r="BR23" i="1"/>
  <c r="BQ23" i="1"/>
  <c r="BP23" i="1"/>
  <c r="BO23" i="1"/>
  <c r="BN23" i="1"/>
  <c r="BM23" i="1"/>
  <c r="BL23" i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E23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E22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E21" i="1"/>
  <c r="BS20" i="1"/>
  <c r="BR20" i="1"/>
  <c r="BQ20" i="1"/>
  <c r="BP20" i="1"/>
  <c r="BO20" i="1"/>
  <c r="BN20" i="1"/>
  <c r="BM20" i="1"/>
  <c r="BL20" i="1"/>
  <c r="BK20" i="1"/>
  <c r="BJ20" i="1"/>
  <c r="BI20" i="1"/>
  <c r="BH20" i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E20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E19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E18" i="1"/>
  <c r="BS17" i="1"/>
  <c r="BR17" i="1"/>
  <c r="BQ17" i="1"/>
  <c r="BP17" i="1"/>
  <c r="BO17" i="1"/>
  <c r="BN17" i="1"/>
  <c r="BM17" i="1"/>
  <c r="BL17" i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E17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E16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E15" i="1"/>
  <c r="BS14" i="1"/>
  <c r="BR14" i="1"/>
  <c r="BQ14" i="1"/>
  <c r="BP14" i="1"/>
  <c r="BO14" i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E14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E13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E12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E11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E10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E9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E8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E7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E6" i="1"/>
  <c r="BS5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E5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E4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E3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E2" i="1"/>
  <c r="Q8" i="2" l="1"/>
  <c r="Q18" i="2"/>
  <c r="Q28" i="2"/>
  <c r="Q5" i="2"/>
  <c r="Q15" i="2"/>
  <c r="Q25" i="2"/>
  <c r="Q3" i="2"/>
  <c r="Q13" i="2"/>
  <c r="Q23" i="2"/>
  <c r="R3" i="2"/>
  <c r="R34" i="2" s="1"/>
  <c r="Q20" i="2"/>
</calcChain>
</file>

<file path=xl/sharedStrings.xml><?xml version="1.0" encoding="utf-8"?>
<sst xmlns="http://schemas.openxmlformats.org/spreadsheetml/2006/main" count="21815" uniqueCount="1498">
  <si>
    <t>Unnamed: 0</t>
  </si>
  <si>
    <t>Match #</t>
  </si>
  <si>
    <t>Match of Session</t>
  </si>
  <si>
    <t>FBC</t>
  </si>
  <si>
    <t>UniqueMatchID</t>
  </si>
  <si>
    <t>Day</t>
  </si>
  <si>
    <t>Date</t>
  </si>
  <si>
    <t>AM/PM</t>
  </si>
  <si>
    <t>Geographic Location</t>
  </si>
  <si>
    <t>Region</t>
  </si>
  <si>
    <t>Holes</t>
  </si>
  <si>
    <t>Front / Back / Full</t>
  </si>
  <si>
    <t>Course</t>
  </si>
  <si>
    <t>Tees</t>
  </si>
  <si>
    <t>Rating</t>
  </si>
  <si>
    <t>Slope</t>
  </si>
  <si>
    <t>Yds</t>
  </si>
  <si>
    <t>Format</t>
  </si>
  <si>
    <t>Singles/Doubles</t>
  </si>
  <si>
    <t>Captain Size</t>
  </si>
  <si>
    <t>Team</t>
  </si>
  <si>
    <t>Player 1</t>
  </si>
  <si>
    <t>Shirt</t>
  </si>
  <si>
    <t>Player 1 HCP</t>
  </si>
  <si>
    <t>Player 2</t>
  </si>
  <si>
    <t>Player 2 HCP</t>
  </si>
  <si>
    <t>Points at stake</t>
  </si>
  <si>
    <t>W/L/T</t>
  </si>
  <si>
    <t>Result</t>
  </si>
  <si>
    <t>Singles Opponent</t>
  </si>
  <si>
    <t>SingleEntity</t>
  </si>
  <si>
    <t>Points earned</t>
  </si>
  <si>
    <t>W</t>
  </si>
  <si>
    <t>L</t>
  </si>
  <si>
    <t>T</t>
  </si>
  <si>
    <t>W%</t>
  </si>
  <si>
    <t>Opponent1</t>
  </si>
  <si>
    <t>Opponent1 Win%</t>
  </si>
  <si>
    <t>Opponent2</t>
  </si>
  <si>
    <t>Opponent2 Win%</t>
  </si>
  <si>
    <t>Grise</t>
  </si>
  <si>
    <t>Hilts</t>
  </si>
  <si>
    <t>Jackson</t>
  </si>
  <si>
    <t>Poirier</t>
  </si>
  <si>
    <t>Flanders</t>
  </si>
  <si>
    <t>Connolly</t>
  </si>
  <si>
    <t>Mangold</t>
  </si>
  <si>
    <t>Hickerson</t>
  </si>
  <si>
    <t>Lynch</t>
  </si>
  <si>
    <t>Shively</t>
  </si>
  <si>
    <t>Ferrin</t>
  </si>
  <si>
    <t>Macklin</t>
  </si>
  <si>
    <t>Connors</t>
  </si>
  <si>
    <t>Forster</t>
  </si>
  <si>
    <t>Fogan</t>
  </si>
  <si>
    <t>Cole</t>
  </si>
  <si>
    <t>Weisberger</t>
  </si>
  <si>
    <t>Buss</t>
  </si>
  <si>
    <t>Gray</t>
  </si>
  <si>
    <t>Norat</t>
  </si>
  <si>
    <t>Zimmer</t>
  </si>
  <si>
    <t>McInerney</t>
  </si>
  <si>
    <t>Welker</t>
  </si>
  <si>
    <t>Delaney</t>
  </si>
  <si>
    <t>Delneky</t>
  </si>
  <si>
    <t>Piegari</t>
  </si>
  <si>
    <t>Perkins</t>
  </si>
  <si>
    <t>Deoteris</t>
  </si>
  <si>
    <t>Ramsay</t>
  </si>
  <si>
    <t>R. Connolly</t>
  </si>
  <si>
    <t>Snyder</t>
  </si>
  <si>
    <t>FBC1-D1</t>
  </si>
  <si>
    <t>Saturday</t>
  </si>
  <si>
    <t>AM</t>
  </si>
  <si>
    <t>Saratoga, NY</t>
  </si>
  <si>
    <t>Northeast</t>
  </si>
  <si>
    <t>Front</t>
  </si>
  <si>
    <t>Saratoga National</t>
  </si>
  <si>
    <t>White</t>
  </si>
  <si>
    <t>Best Ball</t>
  </si>
  <si>
    <t>Doubles</t>
  </si>
  <si>
    <t>Under 6'</t>
  </si>
  <si>
    <t>3 &amp; 2</t>
  </si>
  <si>
    <t>Over 6'</t>
  </si>
  <si>
    <t>Red</t>
  </si>
  <si>
    <t>FBC1-D2</t>
  </si>
  <si>
    <t>2 &amp; 1</t>
  </si>
  <si>
    <t>FBC1-D3</t>
  </si>
  <si>
    <t>5 &amp; 4</t>
  </si>
  <si>
    <t>FBC1-D4</t>
  </si>
  <si>
    <t>Back</t>
  </si>
  <si>
    <t>Scramble</t>
  </si>
  <si>
    <t>Halved</t>
  </si>
  <si>
    <t>FBC1-D5</t>
  </si>
  <si>
    <t>FBC1-D6</t>
  </si>
  <si>
    <t>1UP</t>
  </si>
  <si>
    <t>FBC1-D7</t>
  </si>
  <si>
    <t>PM</t>
  </si>
  <si>
    <t>Pinehurst</t>
  </si>
  <si>
    <t>FBC1-D8</t>
  </si>
  <si>
    <t>FBC1-D9</t>
  </si>
  <si>
    <t>FBC1-D10</t>
  </si>
  <si>
    <t>FBC1-D11</t>
  </si>
  <si>
    <t>2 Up</t>
  </si>
  <si>
    <t>FBC1-D12</t>
  </si>
  <si>
    <t>FBC1-S-Hilts-Mangold</t>
  </si>
  <si>
    <t>Sunday</t>
  </si>
  <si>
    <t>Full</t>
  </si>
  <si>
    <t>Saratoga Spa</t>
  </si>
  <si>
    <t>Blue</t>
  </si>
  <si>
    <t>Match Play</t>
  </si>
  <si>
    <t>Singles</t>
  </si>
  <si>
    <t>4 &amp; 3</t>
  </si>
  <si>
    <t>FBC1-S-Hickerson-Lynch</t>
  </si>
  <si>
    <t>FBC1-S-Ferrin-Shively</t>
  </si>
  <si>
    <t>FBC1-S-Flanders-Macklin</t>
  </si>
  <si>
    <t>FBC1-S-Connolly-Jackson</t>
  </si>
  <si>
    <t>5 &amp; 3</t>
  </si>
  <si>
    <t>FBC1-S-Grise-Poirier</t>
  </si>
  <si>
    <t>6 &amp; 5</t>
  </si>
  <si>
    <t>FBC2-D1</t>
  </si>
  <si>
    <t>Verona, NY (Turning Stone)</t>
  </si>
  <si>
    <t>Atunyote</t>
  </si>
  <si>
    <t>Green</t>
  </si>
  <si>
    <t>3 &amp; 1</t>
  </si>
  <si>
    <t>Blue/White</t>
  </si>
  <si>
    <t>FBC2-D2</t>
  </si>
  <si>
    <t>FBC2-D3</t>
  </si>
  <si>
    <t>FBC2-D4</t>
  </si>
  <si>
    <t>2 UP</t>
  </si>
  <si>
    <t>FBC2-D5</t>
  </si>
  <si>
    <t>Shamble</t>
  </si>
  <si>
    <t>FBC2-D6</t>
  </si>
  <si>
    <t>FBC2-D7</t>
  </si>
  <si>
    <t>FBC2-D8</t>
  </si>
  <si>
    <t>FBC2-D9</t>
  </si>
  <si>
    <t>Shenendoah</t>
  </si>
  <si>
    <t>Hi-Lo</t>
  </si>
  <si>
    <t>7UP</t>
  </si>
  <si>
    <t>FBC2-D10</t>
  </si>
  <si>
    <t>2UP</t>
  </si>
  <si>
    <t>FBC2-D11</t>
  </si>
  <si>
    <t>FBC2-D12</t>
  </si>
  <si>
    <t>4UP</t>
  </si>
  <si>
    <t>FBC2-D13</t>
  </si>
  <si>
    <t>Scramble-Stableford</t>
  </si>
  <si>
    <t>11.5-7</t>
  </si>
  <si>
    <t>FBC2-D14</t>
  </si>
  <si>
    <t>22.5-10</t>
  </si>
  <si>
    <t>FBC2-D15</t>
  </si>
  <si>
    <t>12.5-8</t>
  </si>
  <si>
    <t>FBC2-D16</t>
  </si>
  <si>
    <t>20-11</t>
  </si>
  <si>
    <t>FBC2-S-Ferrin-Flanders</t>
  </si>
  <si>
    <t>Kaluhyat</t>
  </si>
  <si>
    <t>6 &amp; 4</t>
  </si>
  <si>
    <t>FBC2-S-Connors-Fogan</t>
  </si>
  <si>
    <t>7 &amp; 5</t>
  </si>
  <si>
    <t>FBC2-S-Connolly-Shively</t>
  </si>
  <si>
    <t>1 UP</t>
  </si>
  <si>
    <t>FBC2-S-Cole-Grise</t>
  </si>
  <si>
    <t>8 &amp; 6</t>
  </si>
  <si>
    <t>FBC2-S-Lynch-Weisberger</t>
  </si>
  <si>
    <t>FBC2-S-Forster-Hickerson</t>
  </si>
  <si>
    <t>FBC2-S-Buss-Jackson</t>
  </si>
  <si>
    <t>FBC2-S-Hilts-Mangold</t>
  </si>
  <si>
    <t>FBC3-D1</t>
  </si>
  <si>
    <t>Sea Island, GA</t>
  </si>
  <si>
    <t>South</t>
  </si>
  <si>
    <t>Seaside</t>
  </si>
  <si>
    <t xml:space="preserve">Steel </t>
  </si>
  <si>
    <t>4&amp;3</t>
  </si>
  <si>
    <t>FBC3-D2</t>
  </si>
  <si>
    <t>FBC3-D3</t>
  </si>
  <si>
    <t>2&amp;1</t>
  </si>
  <si>
    <t>FBC3-D4</t>
  </si>
  <si>
    <t>FBC3-D5</t>
  </si>
  <si>
    <t>FBC3-D6</t>
  </si>
  <si>
    <t>FBC3-D7</t>
  </si>
  <si>
    <t>3UP</t>
  </si>
  <si>
    <t>FBC3-D8</t>
  </si>
  <si>
    <t>FBC3-D9</t>
  </si>
  <si>
    <t>FBC3-D10</t>
  </si>
  <si>
    <t>FBC3-D11</t>
  </si>
  <si>
    <t>3&amp;2</t>
  </si>
  <si>
    <t>FBC3-D12</t>
  </si>
  <si>
    <t>FBC3-D13</t>
  </si>
  <si>
    <t>FBC3-D14</t>
  </si>
  <si>
    <t>FBC3-D15</t>
  </si>
  <si>
    <t>FBC3-D16</t>
  </si>
  <si>
    <t>18-15</t>
  </si>
  <si>
    <t>FBC3-D17</t>
  </si>
  <si>
    <t>17-14</t>
  </si>
  <si>
    <t>FBC3-D18</t>
  </si>
  <si>
    <t>16-12</t>
  </si>
  <si>
    <t>FBC3-D19</t>
  </si>
  <si>
    <t>14-12</t>
  </si>
  <si>
    <t>FBC3-D20</t>
  </si>
  <si>
    <t>13-13</t>
  </si>
  <si>
    <t>FBC3-S-Hickerson-Norat</t>
  </si>
  <si>
    <t>Plantation</t>
  </si>
  <si>
    <t>FBC3-S-Connors-Fogan</t>
  </si>
  <si>
    <t>5&amp;4</t>
  </si>
  <si>
    <t>FBC3-S-Flanders-Gray</t>
  </si>
  <si>
    <t>5&amp;3</t>
  </si>
  <si>
    <t>FBC3-S-Forster-Hilts</t>
  </si>
  <si>
    <t>FBC3-S-Cole-Mangold</t>
  </si>
  <si>
    <t>FBC3-S-Jackson-McInerney</t>
  </si>
  <si>
    <t>FBC3-S-Buss-Zimmer</t>
  </si>
  <si>
    <t>1Up</t>
  </si>
  <si>
    <t>FBC3-S-Connolly-Grise</t>
  </si>
  <si>
    <t>FBC3-S-Ferrin-Weisberger</t>
  </si>
  <si>
    <t>FBC3-S-Lynch-Shively</t>
  </si>
  <si>
    <t>FBC4-D1</t>
  </si>
  <si>
    <t>Friday</t>
  </si>
  <si>
    <t>French Lick, IN</t>
  </si>
  <si>
    <t>Midwest</t>
  </si>
  <si>
    <t>Dye</t>
  </si>
  <si>
    <t>FBC4-D2</t>
  </si>
  <si>
    <t>FBC4-D3</t>
  </si>
  <si>
    <t>FBC4-D4</t>
  </si>
  <si>
    <t>4&amp;2</t>
  </si>
  <si>
    <t>FBC4-D5</t>
  </si>
  <si>
    <t>FBC4-D6</t>
  </si>
  <si>
    <t>FBC4-D7</t>
  </si>
  <si>
    <t>FBC4-D8</t>
  </si>
  <si>
    <t>FBC4-D9</t>
  </si>
  <si>
    <t>FBC4-D10</t>
  </si>
  <si>
    <t>FBC4-D11</t>
  </si>
  <si>
    <t>FBC4-D12</t>
  </si>
  <si>
    <t>FBC4-D13</t>
  </si>
  <si>
    <t>Push</t>
  </si>
  <si>
    <t>FBC4-D14</t>
  </si>
  <si>
    <t>3&amp;1</t>
  </si>
  <si>
    <t>FBC4-D15</t>
  </si>
  <si>
    <t>FBC4-D16</t>
  </si>
  <si>
    <t>18-16</t>
  </si>
  <si>
    <t>FBC4-D17</t>
  </si>
  <si>
    <t>15-10</t>
  </si>
  <si>
    <t>FBC4-D18</t>
  </si>
  <si>
    <t>24-12</t>
  </si>
  <si>
    <t>FBC4-D19</t>
  </si>
  <si>
    <t>23-13</t>
  </si>
  <si>
    <t>FBC4-D20</t>
  </si>
  <si>
    <t>16-8</t>
  </si>
  <si>
    <t>FT1</t>
  </si>
  <si>
    <t>FBC4-FT</t>
  </si>
  <si>
    <t>First 6</t>
  </si>
  <si>
    <t>FTAS</t>
  </si>
  <si>
    <t>2Up</t>
  </si>
  <si>
    <t>FBC4-S-Connolly-Gray</t>
  </si>
  <si>
    <t>Ross</t>
  </si>
  <si>
    <t>FBC4-S-Flanders-Welker</t>
  </si>
  <si>
    <t>FBC4-S-Grise-Weisberger</t>
  </si>
  <si>
    <t>6&amp;4</t>
  </si>
  <si>
    <t>FBC4-S-Cole-Lynch</t>
  </si>
  <si>
    <t>FBC4-S-Ferrin-McInerney</t>
  </si>
  <si>
    <t>FBC4-S-Mangold-Zimmer</t>
  </si>
  <si>
    <t>6&amp;5</t>
  </si>
  <si>
    <t>FBC4-S-Forster-Shively</t>
  </si>
  <si>
    <t>FBC4-S-Buss-Jackson</t>
  </si>
  <si>
    <t>FBC4-S-Connors-Hickerson</t>
  </si>
  <si>
    <t>FBC4-S-Fogan-Norat</t>
  </si>
  <si>
    <t>FBC5-D1</t>
  </si>
  <si>
    <t>Hilton Head, SC</t>
  </si>
  <si>
    <t>Harbour Town</t>
  </si>
  <si>
    <t>Sea Pines</t>
  </si>
  <si>
    <t>FBC5-D2</t>
  </si>
  <si>
    <t>FBC5-D3</t>
  </si>
  <si>
    <t>FBC5-D4</t>
  </si>
  <si>
    <t>FBC5-D5</t>
  </si>
  <si>
    <t>FBC5-D6</t>
  </si>
  <si>
    <t>FBC5-D7</t>
  </si>
  <si>
    <t>FBC5-D8</t>
  </si>
  <si>
    <t>5&amp;2</t>
  </si>
  <si>
    <t>FBC5-D9</t>
  </si>
  <si>
    <t>FBC5-D10</t>
  </si>
  <si>
    <t>FBC5-D11</t>
  </si>
  <si>
    <t>FBC5-D12</t>
  </si>
  <si>
    <t>FBC5-D13</t>
  </si>
  <si>
    <t>FBC5-D14</t>
  </si>
  <si>
    <t>FBC5-D15</t>
  </si>
  <si>
    <t>FBC5-D16</t>
  </si>
  <si>
    <t>17-16</t>
  </si>
  <si>
    <t>FBC5-D17</t>
  </si>
  <si>
    <t>14-14</t>
  </si>
  <si>
    <t>FBC5-D18</t>
  </si>
  <si>
    <t>22-17</t>
  </si>
  <si>
    <t>FBC5-D19</t>
  </si>
  <si>
    <t>13-9</t>
  </si>
  <si>
    <t>FBC5-D20</t>
  </si>
  <si>
    <t>18-14</t>
  </si>
  <si>
    <t>FBC5-FT</t>
  </si>
  <si>
    <t>FBC5-S-Grise-Poirier</t>
  </si>
  <si>
    <t>Atlantic Dunes</t>
  </si>
  <si>
    <t>FBC5-S-Flanders-McInerney</t>
  </si>
  <si>
    <t>FBC5-S-Gray-Zimmer</t>
  </si>
  <si>
    <t>FBC5-S-Connolly-Welker</t>
  </si>
  <si>
    <t>FBC5-S-Delaney-Hilts</t>
  </si>
  <si>
    <t>FBC5-S-Ferrin-Shively</t>
  </si>
  <si>
    <t>FBC5-S-Jackson-Lynch</t>
  </si>
  <si>
    <t>FBC5-S-Fogan-Norat</t>
  </si>
  <si>
    <t>FBC5-S-Cole-Forster</t>
  </si>
  <si>
    <t>FBC5-S-Connors-Mangold</t>
  </si>
  <si>
    <t>FBC6-D1</t>
  </si>
  <si>
    <t>Arcadia, MI</t>
  </si>
  <si>
    <t>Bluffs</t>
  </si>
  <si>
    <t>Pelican</t>
  </si>
  <si>
    <t>FBC6-D2</t>
  </si>
  <si>
    <t>FBC6-D3</t>
  </si>
  <si>
    <t>FBC6-D4</t>
  </si>
  <si>
    <t>FBC6-D5</t>
  </si>
  <si>
    <t>FBC6-D6</t>
  </si>
  <si>
    <t>Vegas</t>
  </si>
  <si>
    <t>FBC6-D7</t>
  </si>
  <si>
    <t>FBC6-D8</t>
  </si>
  <si>
    <t>FBC6-D9</t>
  </si>
  <si>
    <t>FBC6-D10</t>
  </si>
  <si>
    <t>FBC6-D11</t>
  </si>
  <si>
    <t>FBC6-D12</t>
  </si>
  <si>
    <t>FBC6-D13</t>
  </si>
  <si>
    <t>FBC6-D14</t>
  </si>
  <si>
    <t>FBC6-D15</t>
  </si>
  <si>
    <t>FBC6-D16</t>
  </si>
  <si>
    <t>22-20</t>
  </si>
  <si>
    <t>FBC6-D17</t>
  </si>
  <si>
    <t>22-18</t>
  </si>
  <si>
    <t>FBC6-D18</t>
  </si>
  <si>
    <t>23-14</t>
  </si>
  <si>
    <t>FBC6-D19</t>
  </si>
  <si>
    <t>FBC6-D20</t>
  </si>
  <si>
    <t>20-13</t>
  </si>
  <si>
    <t>FBC6-FT</t>
  </si>
  <si>
    <t>FBC6-S-Fogan-Norat</t>
  </si>
  <si>
    <t>Black</t>
  </si>
  <si>
    <t>FBC6-S-Forster-Lynch</t>
  </si>
  <si>
    <t>FBC6-S-Hilts-Poirier</t>
  </si>
  <si>
    <t>FBC6-S-Ferrin-Grise</t>
  </si>
  <si>
    <t>FBC6-S-Connors-Shively</t>
  </si>
  <si>
    <t>FBC6-S-Buss-Welker</t>
  </si>
  <si>
    <t>FBC6-S-Jackson-Zimmer</t>
  </si>
  <si>
    <t>FBC6-S-Cole-Mangold</t>
  </si>
  <si>
    <t>8&amp;7</t>
  </si>
  <si>
    <t>FBC6-S-Connolly-Gray</t>
  </si>
  <si>
    <t>FBC6-S-Flanders-McInerney</t>
  </si>
  <si>
    <t>FBC7-D1</t>
  </si>
  <si>
    <t>Thursday</t>
  </si>
  <si>
    <t>Monterey, CA</t>
  </si>
  <si>
    <t>West</t>
  </si>
  <si>
    <t>Pebble Beach</t>
  </si>
  <si>
    <t>Gold</t>
  </si>
  <si>
    <t>Mix</t>
  </si>
  <si>
    <t>Ferrin/Jax</t>
  </si>
  <si>
    <t>over 6'</t>
  </si>
  <si>
    <t>Connolly/Hilts</t>
  </si>
  <si>
    <t>FBC7-D2</t>
  </si>
  <si>
    <t>2up</t>
  </si>
  <si>
    <t>FBC7-D3</t>
  </si>
  <si>
    <t>FBC7-D4</t>
  </si>
  <si>
    <t>FBC7-D5</t>
  </si>
  <si>
    <t>FBC7-D6</t>
  </si>
  <si>
    <t>FBC7-D7</t>
  </si>
  <si>
    <t>FBC7-D8</t>
  </si>
  <si>
    <t>FBC7-D9</t>
  </si>
  <si>
    <t>FBC7-D10</t>
  </si>
  <si>
    <t>FBC7-D11</t>
  </si>
  <si>
    <t>Spyglass Hill</t>
  </si>
  <si>
    <t>FBC7-D12</t>
  </si>
  <si>
    <t>FBC7-D13</t>
  </si>
  <si>
    <t>FBC7-D14</t>
  </si>
  <si>
    <t>FBC7-D15</t>
  </si>
  <si>
    <t>1up</t>
  </si>
  <si>
    <t>FBC7-D16</t>
  </si>
  <si>
    <t>FBC7-D17</t>
  </si>
  <si>
    <t>FBC7-D18</t>
  </si>
  <si>
    <t>FBC7-D19</t>
  </si>
  <si>
    <t>FBC7-D20</t>
  </si>
  <si>
    <t>FBC7-D21</t>
  </si>
  <si>
    <t>Pacific Grove</t>
  </si>
  <si>
    <t>FBC7-D22</t>
  </si>
  <si>
    <t>FBC7-D23</t>
  </si>
  <si>
    <t>FBC7-D24</t>
  </si>
  <si>
    <t>FBC7-D25</t>
  </si>
  <si>
    <t>FBC7-FT</t>
  </si>
  <si>
    <t>FBC7-S-Buss-Connolly</t>
  </si>
  <si>
    <t>Spanish Bay</t>
  </si>
  <si>
    <t>FBC7-S-Ferrin-Forster</t>
  </si>
  <si>
    <t>FBC7-S-Hilts-Zimmer</t>
  </si>
  <si>
    <t>FBC7-S-Gray-Welker</t>
  </si>
  <si>
    <t>FBC7-S-Grise-Mangold</t>
  </si>
  <si>
    <t>FBC7-S-Flanders-Poirier</t>
  </si>
  <si>
    <t>FBC7-S-Lynch-Shively</t>
  </si>
  <si>
    <t>FBC7-S-Jackson-McInerney</t>
  </si>
  <si>
    <t>FBC7-S-Cole-Norat</t>
  </si>
  <si>
    <t>FBC7-S-Connors-Fogan</t>
  </si>
  <si>
    <t>FBC8-S-Delneky-McInerney-1</t>
  </si>
  <si>
    <t>Nekoosa, WI</t>
  </si>
  <si>
    <t>Sand Valley</t>
  </si>
  <si>
    <t>Orange</t>
  </si>
  <si>
    <t>UPS Brown</t>
  </si>
  <si>
    <t>FBC8-D2</t>
  </si>
  <si>
    <t>FBC8-D3</t>
  </si>
  <si>
    <t>FBC8-D4</t>
  </si>
  <si>
    <t>FBC8-D5</t>
  </si>
  <si>
    <t>FBC8-D6</t>
  </si>
  <si>
    <t>FBC8-S-Delneky-McInerney-2</t>
  </si>
  <si>
    <t>FBC8-D8</t>
  </si>
  <si>
    <t>FBC8-D9</t>
  </si>
  <si>
    <t>FBC8-D10</t>
  </si>
  <si>
    <t>FBC8-D11</t>
  </si>
  <si>
    <t>FBC8-D12</t>
  </si>
  <si>
    <t>FBC8-S-Forster-Zimmer-1</t>
  </si>
  <si>
    <t>Mammoth Dunes</t>
  </si>
  <si>
    <t>FBC8-D14</t>
  </si>
  <si>
    <t>FBC8-D15</t>
  </si>
  <si>
    <t>FBC8-D16</t>
  </si>
  <si>
    <t>FBC8-D17</t>
  </si>
  <si>
    <t>FBC8-D18</t>
  </si>
  <si>
    <t>FBC8-S-Forster-Zimmer-2</t>
  </si>
  <si>
    <t>FBC8-D20</t>
  </si>
  <si>
    <t>FBC8-D21</t>
  </si>
  <si>
    <t>FBC8-D22</t>
  </si>
  <si>
    <t>FBC8-D23</t>
  </si>
  <si>
    <t>FBC8-D24</t>
  </si>
  <si>
    <t>FBC8-FT</t>
  </si>
  <si>
    <t>Sandbox</t>
  </si>
  <si>
    <t>Standard</t>
  </si>
  <si>
    <t>FBC8-S-Delaney-Fogan</t>
  </si>
  <si>
    <t>Charlotte, NC</t>
  </si>
  <si>
    <t>Carmel</t>
  </si>
  <si>
    <t>FBC8-S-Ferrin-Lynch</t>
  </si>
  <si>
    <t>Isle of Palms, SC</t>
  </si>
  <si>
    <t>Wild Dunes</t>
  </si>
  <si>
    <t>FBC8-S-Jackson-Zimmer</t>
  </si>
  <si>
    <t>FBC8-S-Connolly-McInerney</t>
  </si>
  <si>
    <t>FBC8-S-Cole-Connors</t>
  </si>
  <si>
    <t>FBC8-S-Grise-Shively</t>
  </si>
  <si>
    <t>FBC8-S-Flanders-Welker</t>
  </si>
  <si>
    <t>Fort Lauderdale, FL</t>
  </si>
  <si>
    <t>Lauderdale</t>
  </si>
  <si>
    <t>FBC8-S-Perkins-Piegari</t>
  </si>
  <si>
    <t>San Diego, CA</t>
  </si>
  <si>
    <t>Torrey Pines South</t>
  </si>
  <si>
    <t>FBC9-D1</t>
  </si>
  <si>
    <t>FBC9-D2</t>
  </si>
  <si>
    <t>FBC9-D3</t>
  </si>
  <si>
    <t>FBC9-D4</t>
  </si>
  <si>
    <t>FBC9-D5</t>
  </si>
  <si>
    <t>FBC9-D6</t>
  </si>
  <si>
    <t>FBC9-D7</t>
  </si>
  <si>
    <t>FBC9-D8</t>
  </si>
  <si>
    <t>FBC9-D9</t>
  </si>
  <si>
    <t>FBC9-D10</t>
  </si>
  <si>
    <t>FBC9-D11</t>
  </si>
  <si>
    <t>FBC9-D12</t>
  </si>
  <si>
    <t>FBC9-D13</t>
  </si>
  <si>
    <t>FBC9-D14</t>
  </si>
  <si>
    <t>FBC9-D15</t>
  </si>
  <si>
    <t>FBC9-D16</t>
  </si>
  <si>
    <t>FBC9-D17</t>
  </si>
  <si>
    <t>FBC9-D18</t>
  </si>
  <si>
    <t>FBC9-D19</t>
  </si>
  <si>
    <t>2uo</t>
  </si>
  <si>
    <t>FBC9-D20</t>
  </si>
  <si>
    <t>FBC9-FT</t>
  </si>
  <si>
    <t>FBC9-S-Jackson-Lynch</t>
  </si>
  <si>
    <t>FBC9-S-Cole-Ferrin</t>
  </si>
  <si>
    <t>FBC9-S-Shively-Zimmer</t>
  </si>
  <si>
    <t>FBC9-S-Forster-Perkins</t>
  </si>
  <si>
    <t>7&amp;5</t>
  </si>
  <si>
    <t>FBC9-S-Connolly-Welker</t>
  </si>
  <si>
    <t>FBC9-S-Grise-McInerney</t>
  </si>
  <si>
    <t>FBC9-S-Fogan-Hilts</t>
  </si>
  <si>
    <t>FBC9-S-Flanders-Poirier</t>
  </si>
  <si>
    <t>FBC9-S-Delaney-Delneky</t>
  </si>
  <si>
    <t>FBC9-S-Connors-Deoteris</t>
  </si>
  <si>
    <t>FBC10-D1</t>
  </si>
  <si>
    <t>Dublin, IE</t>
  </si>
  <si>
    <t>Europe</t>
  </si>
  <si>
    <t>The Island</t>
  </si>
  <si>
    <t>Pink</t>
  </si>
  <si>
    <t>Turtle Pattern</t>
  </si>
  <si>
    <t>FBC10-D2</t>
  </si>
  <si>
    <t>FBC10-D3</t>
  </si>
  <si>
    <t>FBC10-D4</t>
  </si>
  <si>
    <t>FBC10-D5</t>
  </si>
  <si>
    <t>3-man Stableford</t>
  </si>
  <si>
    <t>-34 to -11</t>
  </si>
  <si>
    <t>FBC10-D6</t>
  </si>
  <si>
    <t>FBC10-D7</t>
  </si>
  <si>
    <t>FBC10-D8</t>
  </si>
  <si>
    <t>FBC10-D9</t>
  </si>
  <si>
    <t>FBC10-D10</t>
  </si>
  <si>
    <t>FBC10-D11</t>
  </si>
  <si>
    <t>Portmarnock Red</t>
  </si>
  <si>
    <t>Dice Pattern</t>
  </si>
  <si>
    <t>White/Green</t>
  </si>
  <si>
    <t>FBC10-D12</t>
  </si>
  <si>
    <t>FBC10-D13</t>
  </si>
  <si>
    <t>FBC10-D14</t>
  </si>
  <si>
    <t>FBC10-D15</t>
  </si>
  <si>
    <t>FBC10-D16</t>
  </si>
  <si>
    <t>Portmarnock Blue</t>
  </si>
  <si>
    <t>FBC10-D17</t>
  </si>
  <si>
    <t>FBC10-D18</t>
  </si>
  <si>
    <t>FBC10-D19</t>
  </si>
  <si>
    <t>FBC10-D20</t>
  </si>
  <si>
    <t>FBC10-D21</t>
  </si>
  <si>
    <t>Portmarnock Yellow</t>
  </si>
  <si>
    <t>FBC10-D22</t>
  </si>
  <si>
    <t>FBC10-D23</t>
  </si>
  <si>
    <t>FBC10-D24</t>
  </si>
  <si>
    <t>FBC10-D25</t>
  </si>
  <si>
    <t>FBC10-S-Delaney-Jackson</t>
  </si>
  <si>
    <t>European Club</t>
  </si>
  <si>
    <t>Yellow</t>
  </si>
  <si>
    <t>Yellow/Black</t>
  </si>
  <si>
    <t>FBC10-S-Connolly-Zimmer</t>
  </si>
  <si>
    <t>7&amp;6</t>
  </si>
  <si>
    <t>FBC10-S-Delneky-Hilts</t>
  </si>
  <si>
    <t>FBC10-S-Fogan-R. Connolly</t>
  </si>
  <si>
    <t>FBC10-S-Flanders-Gray</t>
  </si>
  <si>
    <t>FBC10-S-McInerney-Perkins</t>
  </si>
  <si>
    <t>FBC10-S-Cole-Connors</t>
  </si>
  <si>
    <t>FBC10-S-Lynch-Welker</t>
  </si>
  <si>
    <t>FBC10-S-Ferrin-Mangold</t>
  </si>
  <si>
    <t>FBC10-S-Forster-Grise</t>
  </si>
  <si>
    <t>FBC11-D1</t>
  </si>
  <si>
    <t>Pinehurst, NC</t>
  </si>
  <si>
    <t>Pinehurst No. 2</t>
  </si>
  <si>
    <t>1Dn</t>
  </si>
  <si>
    <t>FBC11-D2</t>
  </si>
  <si>
    <t>FBC11-D3</t>
  </si>
  <si>
    <t>FBC11-D4</t>
  </si>
  <si>
    <t>1dn</t>
  </si>
  <si>
    <t>FBC11-D5</t>
  </si>
  <si>
    <t>FBC11-D6</t>
  </si>
  <si>
    <t>FBC11-D7</t>
  </si>
  <si>
    <t>FBC11-D8</t>
  </si>
  <si>
    <t>FBC11-D9</t>
  </si>
  <si>
    <t>FBC11-D10</t>
  </si>
  <si>
    <t>FBC11-D11</t>
  </si>
  <si>
    <t>Pinehurst No. 3</t>
  </si>
  <si>
    <t>FBC11-D12</t>
  </si>
  <si>
    <t>FBC11-D13</t>
  </si>
  <si>
    <t>FBC11-D14</t>
  </si>
  <si>
    <t>FBC11-D15</t>
  </si>
  <si>
    <t>FBC11-D16</t>
  </si>
  <si>
    <t>FBC11-D17</t>
  </si>
  <si>
    <t>FBC11-D18</t>
  </si>
  <si>
    <t>FBC11-D19</t>
  </si>
  <si>
    <t>FBC11-D20</t>
  </si>
  <si>
    <t>t</t>
  </si>
  <si>
    <t>FBC11-FT</t>
  </si>
  <si>
    <t>Pinehurst Cradle</t>
  </si>
  <si>
    <t>White confetti</t>
  </si>
  <si>
    <t>White ninja</t>
  </si>
  <si>
    <t>FBC11-S-Lynch-Poirier</t>
  </si>
  <si>
    <t>Pinehurst No. 10</t>
  </si>
  <si>
    <t>FBC11-S-Gray-Hilts</t>
  </si>
  <si>
    <t>FBC11-S-Ferrin-Grise</t>
  </si>
  <si>
    <t>FBC11-S-Jackson-Zimmer</t>
  </si>
  <si>
    <t>FBC11-S-Connors-Fogan</t>
  </si>
  <si>
    <t>FBC11-S-Forster-Welker</t>
  </si>
  <si>
    <t>FBC11-S-Cole-Shively</t>
  </si>
  <si>
    <t>FBC11-S-Delneky-Mangold</t>
  </si>
  <si>
    <t>FBC11-S-Flanders-Norat</t>
  </si>
  <si>
    <t>FBC11-S-Connolly-Delaney</t>
  </si>
  <si>
    <t>FBC12-D1</t>
  </si>
  <si>
    <t>Killarney, IE</t>
  </si>
  <si>
    <t>Tralee</t>
  </si>
  <si>
    <t>1 up</t>
  </si>
  <si>
    <t>FBC12-D2</t>
  </si>
  <si>
    <t>FBC12-D3</t>
  </si>
  <si>
    <t>FBC12-D4</t>
  </si>
  <si>
    <t>2 up</t>
  </si>
  <si>
    <t>FBC12-D5</t>
  </si>
  <si>
    <t>FBC12-D6</t>
  </si>
  <si>
    <t>FBC12-D7</t>
  </si>
  <si>
    <t>FBC12-D8</t>
  </si>
  <si>
    <t>FBC12-D9</t>
  </si>
  <si>
    <t>FBC12-D10</t>
  </si>
  <si>
    <t>FBC12-D11</t>
  </si>
  <si>
    <t>Ballybunion Cashen</t>
  </si>
  <si>
    <t>FBC12-D12</t>
  </si>
  <si>
    <t>FBC12-D13</t>
  </si>
  <si>
    <t>FBC12-D14</t>
  </si>
  <si>
    <t>FBC12-D15</t>
  </si>
  <si>
    <t>FBC12-D16</t>
  </si>
  <si>
    <t>FBC12-D17</t>
  </si>
  <si>
    <t>FBC12-D18</t>
  </si>
  <si>
    <t>FBC12-D19</t>
  </si>
  <si>
    <t>FBC12-D20</t>
  </si>
  <si>
    <t>FBC12-D26</t>
  </si>
  <si>
    <t>Ballybunion Old</t>
  </si>
  <si>
    <t>FBC12-D27</t>
  </si>
  <si>
    <t>FBC12-D28</t>
  </si>
  <si>
    <t>FBC12-D29</t>
  </si>
  <si>
    <t>FBC12-D30</t>
  </si>
  <si>
    <t>FBC12-D21</t>
  </si>
  <si>
    <t>FBC12-D22</t>
  </si>
  <si>
    <t>FBC12-D23</t>
  </si>
  <si>
    <t>FBC12-D24</t>
  </si>
  <si>
    <t>FBC12-D25</t>
  </si>
  <si>
    <t>FBC12-S-Connolly-Grise</t>
  </si>
  <si>
    <t>Dooks</t>
  </si>
  <si>
    <t>FBC12-S-Delneky-Lynch</t>
  </si>
  <si>
    <t>FBC12-S-R. Connolly-Shively</t>
  </si>
  <si>
    <t>FBC12-S-Flanders-Piegari</t>
  </si>
  <si>
    <t>FBC12-S-Jackson-Poirier</t>
  </si>
  <si>
    <t>FBC12-S-Deoteris-Snyder</t>
  </si>
  <si>
    <t>FBC12-S-Fogan-Forster</t>
  </si>
  <si>
    <t>FBC12-S-Perkins-Zimmer</t>
  </si>
  <si>
    <t>FBC12-S-Ferrin-Hilts</t>
  </si>
  <si>
    <t>FBC12-S-Delaney-Mangold</t>
  </si>
  <si>
    <t>Player</t>
  </si>
  <si>
    <t>FBC 1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</si>
  <si>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</si>
  <si>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</si>
  <si>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</si>
  <si>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</si>
  <si>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</si>
  <si>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</si>
  <si>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</si>
  <si>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</si>
  <si>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</si>
  <si>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</si>
  <si>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</si>
  <si>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Total</t>
  </si>
  <si>
    <t>Played</t>
  </si>
  <si>
    <t>%</t>
  </si>
  <si>
    <t>Lost</t>
  </si>
  <si>
    <t>Connolly, B</t>
  </si>
  <si>
    <t>X</t>
  </si>
  <si>
    <t>Bussiculo</t>
  </si>
  <si>
    <t>Tab shows whether the players was on the winning team with a "1" meaning they were on the winning team, a "0" meaning they were on the losing team, and "X" meaning they did not participate</t>
  </si>
  <si>
    <t>FBC Handicap Index by Cup (master)</t>
  </si>
  <si>
    <t>Source: Handicaps &amp; Points (Historical) FBC2–12; FBC1 from Archives. 'X' = did not play. Blank = no record.</t>
  </si>
  <si>
    <t>FBC1</t>
  </si>
  <si>
    <t>FBC2</t>
  </si>
  <si>
    <t>FBC3</t>
  </si>
  <si>
    <t>FBC4</t>
  </si>
  <si>
    <t>FBC5</t>
  </si>
  <si>
    <t>FBC6</t>
  </si>
  <si>
    <t>FBC7</t>
  </si>
  <si>
    <t>FBC8</t>
  </si>
  <si>
    <t>FBC9</t>
  </si>
  <si>
    <t>FBC10</t>
  </si>
  <si>
    <t>FBC11</t>
  </si>
  <si>
    <t>FBC12</t>
  </si>
  <si>
    <t>Average</t>
  </si>
  <si>
    <t>Shivelli</t>
  </si>
  <si>
    <t>Unnamed: 1</t>
  </si>
  <si>
    <t>Unnamed: 2</t>
  </si>
  <si>
    <t>Unnamed: 3</t>
  </si>
  <si>
    <t>Unnamed: 4</t>
  </si>
  <si>
    <t>Unnamed: 5</t>
  </si>
  <si>
    <t>Unnamed: 6</t>
  </si>
  <si>
    <t>Unnamed: 7</t>
  </si>
  <si>
    <t>Unnamed: 8</t>
  </si>
  <si>
    <t>Unnamed: 9</t>
  </si>
  <si>
    <t>Unnamed: 10</t>
  </si>
  <si>
    <t>Unnamed: 11</t>
  </si>
  <si>
    <t>Unnamed: 12</t>
  </si>
  <si>
    <t>Unnamed: 13</t>
  </si>
  <si>
    <t>Unnamed: 14</t>
  </si>
  <si>
    <t>Unnamed: 15</t>
  </si>
  <si>
    <t>Unnamed: 16</t>
  </si>
  <si>
    <t>Unnamed: 17</t>
  </si>
  <si>
    <t>Unnamed: 18</t>
  </si>
  <si>
    <t>Player /    FBC</t>
  </si>
  <si>
    <t>Unnamed: 33</t>
  </si>
  <si>
    <t>Min</t>
  </si>
  <si>
    <t>Max</t>
  </si>
  <si>
    <t>Avg</t>
  </si>
  <si>
    <t>Range</t>
  </si>
  <si>
    <t>Saratoga</t>
  </si>
  <si>
    <t>Turning Stone</t>
  </si>
  <si>
    <t>Sea Island</t>
  </si>
  <si>
    <t>French Lick</t>
  </si>
  <si>
    <t>Hilton Head</t>
  </si>
  <si>
    <t>Arcadia Bluffs</t>
  </si>
  <si>
    <t>Dublin</t>
  </si>
  <si>
    <t>SW Ireland</t>
  </si>
  <si>
    <t>-</t>
  </si>
  <si>
    <t>Column Labels</t>
  </si>
  <si>
    <t>Grand Total</t>
  </si>
  <si>
    <t>Sum of Points earned</t>
  </si>
  <si>
    <t>Most Points</t>
  </si>
  <si>
    <t>Unnamed: 19</t>
  </si>
  <si>
    <t>Unnamed: 20</t>
  </si>
  <si>
    <t>Unnamed: 21</t>
  </si>
  <si>
    <t>Unnamed: 22</t>
  </si>
  <si>
    <t>Unnamed: 23</t>
  </si>
  <si>
    <t>Unnamed: 24</t>
  </si>
  <si>
    <t>Unnamed: 25</t>
  </si>
  <si>
    <t>Unnamed: 26</t>
  </si>
  <si>
    <t>Unnamed: 27</t>
  </si>
  <si>
    <t>Unnamed: 28</t>
  </si>
  <si>
    <t>Unnamed: 29</t>
  </si>
  <si>
    <t>Unnamed: 30</t>
  </si>
  <si>
    <t>Unnamed: 31</t>
  </si>
  <si>
    <t>Unnamed: 32</t>
  </si>
  <si>
    <t>Sum of W</t>
  </si>
  <si>
    <t>Sum of L</t>
  </si>
  <si>
    <t>Sum of T</t>
  </si>
  <si>
    <t>Win %</t>
  </si>
  <si>
    <t>Do not erase</t>
  </si>
  <si>
    <t>Points Leaderboard</t>
  </si>
  <si>
    <t>PointsPerFBC Leaderboard*</t>
  </si>
  <si>
    <t>Lifetime Win %*</t>
  </si>
  <si>
    <t>Lifetime Tandem Performance</t>
  </si>
  <si>
    <t>Lifetime SinglesPerformance</t>
  </si>
  <si>
    <t>Lifetime FBC Titles</t>
  </si>
  <si>
    <t>Name</t>
  </si>
  <si>
    <t>Pts</t>
  </si>
  <si>
    <t>Full Events</t>
  </si>
  <si>
    <t>SV partial</t>
  </si>
  <si>
    <t>Events</t>
  </si>
  <si>
    <t>Points/Event</t>
  </si>
  <si>
    <t># of events</t>
  </si>
  <si>
    <t>Titles</t>
  </si>
  <si>
    <t>BussHickerson</t>
  </si>
  <si>
    <t>ColeWeisberger</t>
  </si>
  <si>
    <t>ConnollyGrise</t>
  </si>
  <si>
    <t>ConnollyPerkins</t>
  </si>
  <si>
    <t>DelaneyLynch</t>
  </si>
  <si>
    <t>DelnekyForster</t>
  </si>
  <si>
    <t>FerrinFogan</t>
  </si>
  <si>
    <t>FlandersLynch</t>
  </si>
  <si>
    <t>FoganPoirier</t>
  </si>
  <si>
    <t>ForsterLynch</t>
  </si>
  <si>
    <t>ForsterPoirier</t>
  </si>
  <si>
    <t>GrayGrise</t>
  </si>
  <si>
    <t>GrayWelker</t>
  </si>
  <si>
    <t>GriseWelker</t>
  </si>
  <si>
    <t>HiltsWelker</t>
  </si>
  <si>
    <t>JacksonMcInerney</t>
  </si>
  <si>
    <t>LynchZimmer</t>
  </si>
  <si>
    <t>MangoldPerkins</t>
  </si>
  <si>
    <t>McInerneyPerkins</t>
  </si>
  <si>
    <t>ColeConnolly</t>
  </si>
  <si>
    <t>ConnorsDelneky</t>
  </si>
  <si>
    <t>FoganMangold</t>
  </si>
  <si>
    <t>GrayJackson</t>
  </si>
  <si>
    <t>McInerneyNorat</t>
  </si>
  <si>
    <t>FerrinFlanders</t>
  </si>
  <si>
    <t>ConnollyJackson</t>
  </si>
  <si>
    <t>DelaneyPerkins</t>
  </si>
  <si>
    <t>ConnollyForster</t>
  </si>
  <si>
    <t>DelnekyFogan</t>
  </si>
  <si>
    <t>GriseJackson</t>
  </si>
  <si>
    <t>ConnollyR. Connolly</t>
  </si>
  <si>
    <t>BussFlanders</t>
  </si>
  <si>
    <t>* if did not finish singles at</t>
  </si>
  <si>
    <t>ColeHilts</t>
  </si>
  <si>
    <t>SV, (4.5/6.5) = 69% credit</t>
  </si>
  <si>
    <t>ColeWelker</t>
  </si>
  <si>
    <t>was given for events played</t>
  </si>
  <si>
    <t>ConnollyMcInerney</t>
  </si>
  <si>
    <t>ConnorsFlanders</t>
  </si>
  <si>
    <t>ConnorsPerkins</t>
  </si>
  <si>
    <t>DelaneyFogan</t>
  </si>
  <si>
    <t>DelnekyGray</t>
  </si>
  <si>
    <t>FerrinForster</t>
  </si>
  <si>
    <t>GriseSnyder</t>
  </si>
  <si>
    <t>MangoldPoirier</t>
  </si>
  <si>
    <t>ShivelliWelker</t>
  </si>
  <si>
    <t>HiltsLynch</t>
  </si>
  <si>
    <t>ConnollyShivelli</t>
  </si>
  <si>
    <t>GrayLynch</t>
  </si>
  <si>
    <t>BussShivelli</t>
  </si>
  <si>
    <t>ColeMcInerney</t>
  </si>
  <si>
    <t>ConnollyConnors</t>
  </si>
  <si>
    <t>ConnorsWelker</t>
  </si>
  <si>
    <t>DelaneyMangold</t>
  </si>
  <si>
    <t>DeoterisFerrin</t>
  </si>
  <si>
    <t>FerrinGrise</t>
  </si>
  <si>
    <t>FlandersPoirier</t>
  </si>
  <si>
    <t>GriseHickerson</t>
  </si>
  <si>
    <t>GrisePoirier</t>
  </si>
  <si>
    <t>MangoldWelker</t>
  </si>
  <si>
    <t>NoratWelker</t>
  </si>
  <si>
    <t>FerrinJackson</t>
  </si>
  <si>
    <t>GrayNorat</t>
  </si>
  <si>
    <t>GrayZimmer</t>
  </si>
  <si>
    <t>NoratZimmer</t>
  </si>
  <si>
    <t>ConnollyHilts</t>
  </si>
  <si>
    <t>ColeFerrin</t>
  </si>
  <si>
    <t>ConnorsJackson</t>
  </si>
  <si>
    <t>DelaneyHilts</t>
  </si>
  <si>
    <t>FoganWeisberger</t>
  </si>
  <si>
    <t>ColeJackson</t>
  </si>
  <si>
    <t>ConnollyDelneky</t>
  </si>
  <si>
    <t>ConnollyZimmer</t>
  </si>
  <si>
    <t>ForsterNorat</t>
  </si>
  <si>
    <t>HickersonLynch</t>
  </si>
  <si>
    <t>HiltsPoirier</t>
  </si>
  <si>
    <t>LynchMangold</t>
  </si>
  <si>
    <t>BussLynch</t>
  </si>
  <si>
    <t>ColeFlanders</t>
  </si>
  <si>
    <t>ConnollyFerrin</t>
  </si>
  <si>
    <t>ConnorsZimmer</t>
  </si>
  <si>
    <t>DelaneyShivelli</t>
  </si>
  <si>
    <t>DelnekyFerrin</t>
  </si>
  <si>
    <t>DelnekyJackson</t>
  </si>
  <si>
    <t>DelnekyR. Connolly</t>
  </si>
  <si>
    <t>DelnekyZimmer</t>
  </si>
  <si>
    <t>DeoterisWelker</t>
  </si>
  <si>
    <t>FerrinShivelli</t>
  </si>
  <si>
    <t>ForsterGrise</t>
  </si>
  <si>
    <t>ForsterHilts</t>
  </si>
  <si>
    <t>ForsterMcInerney</t>
  </si>
  <si>
    <t>ForsterShivelli</t>
  </si>
  <si>
    <t>GrayHilts</t>
  </si>
  <si>
    <t>GrayMcInerney</t>
  </si>
  <si>
    <t>GriseLynch</t>
  </si>
  <si>
    <t>GriseShivelli</t>
  </si>
  <si>
    <t>GriseZimmer</t>
  </si>
  <si>
    <t>JacksonR. Connolly</t>
  </si>
  <si>
    <t>JacksonShivelli</t>
  </si>
  <si>
    <t>JacksonZimmer</t>
  </si>
  <si>
    <t>LynchRamsay</t>
  </si>
  <si>
    <t>MangoldShivelli</t>
  </si>
  <si>
    <t>McInerneyRamsay</t>
  </si>
  <si>
    <t>PiegariShivelli</t>
  </si>
  <si>
    <t>FlandersForster</t>
  </si>
  <si>
    <t>BussMangold</t>
  </si>
  <si>
    <t>ColeLynch</t>
  </si>
  <si>
    <t>ConnorsMangold</t>
  </si>
  <si>
    <t>DeoterisZimmer</t>
  </si>
  <si>
    <t>LynchPerkins</t>
  </si>
  <si>
    <t>MacklinPoirier</t>
  </si>
  <si>
    <t>FlandersMangold</t>
  </si>
  <si>
    <t>McInerneyShivelli</t>
  </si>
  <si>
    <t>FoganWelker</t>
  </si>
  <si>
    <t>ForsterWelker</t>
  </si>
  <si>
    <t>FlandersHilts</t>
  </si>
  <si>
    <t>FoganLynch</t>
  </si>
  <si>
    <t>GriseMangold</t>
  </si>
  <si>
    <t>BussConnors</t>
  </si>
  <si>
    <t>ColeMangold</t>
  </si>
  <si>
    <t>DelaneyPiegari</t>
  </si>
  <si>
    <t>DeoterisGrise</t>
  </si>
  <si>
    <t>FerrinWeisberger</t>
  </si>
  <si>
    <t>FlandersFogan</t>
  </si>
  <si>
    <t>FlandersShivelli</t>
  </si>
  <si>
    <t>FoganPiegari</t>
  </si>
  <si>
    <t>GrayPoirier</t>
  </si>
  <si>
    <t>HiltsShivelli</t>
  </si>
  <si>
    <t>JacksonWelker</t>
  </si>
  <si>
    <t>LynchSnyder</t>
  </si>
  <si>
    <t>MangoldWeisberger</t>
  </si>
  <si>
    <t>ShivelliZimmer</t>
  </si>
  <si>
    <t>ConnorsGrise</t>
  </si>
  <si>
    <t>FoganHilts</t>
  </si>
  <si>
    <t>PoirierShivelli</t>
  </si>
  <si>
    <t>ColeConnors</t>
  </si>
  <si>
    <t>FoganMcInerney</t>
  </si>
  <si>
    <t>FlandersGrise</t>
  </si>
  <si>
    <t>BussFogan</t>
  </si>
  <si>
    <t>ColeFogan</t>
  </si>
  <si>
    <t>ColePoirier</t>
  </si>
  <si>
    <t>ColeR. Connolly</t>
  </si>
  <si>
    <t>ConnollyFogan</t>
  </si>
  <si>
    <t>ConnollyMangold</t>
  </si>
  <si>
    <t>ConnorsMcInerney</t>
  </si>
  <si>
    <t>ConnorsNorat</t>
  </si>
  <si>
    <t>ConnorsShivelli</t>
  </si>
  <si>
    <t>DelaneyDeoteris</t>
  </si>
  <si>
    <t>DelaneyFlanders</t>
  </si>
  <si>
    <t>FerrinZimmer</t>
  </si>
  <si>
    <t>FoganGray</t>
  </si>
  <si>
    <t>FoganHickerson</t>
  </si>
  <si>
    <t>ForsterSnyder</t>
  </si>
  <si>
    <t>ForsterZimmer</t>
  </si>
  <si>
    <t>HickersonMcInerney</t>
  </si>
  <si>
    <t>HickersonShivelli</t>
  </si>
  <si>
    <t>MangoldPiegari</t>
  </si>
  <si>
    <t>NoratPoirier</t>
  </si>
  <si>
    <t>PerkinsShivelli</t>
  </si>
  <si>
    <t>PiegariZimmer</t>
  </si>
  <si>
    <t>WelkerZimmer</t>
  </si>
  <si>
    <t>BussCole</t>
  </si>
  <si>
    <t>DelaneyFerrin</t>
  </si>
  <si>
    <t>FlandersZimmer</t>
  </si>
  <si>
    <t>FoganFogan</t>
  </si>
  <si>
    <t>ForsterMangold</t>
  </si>
  <si>
    <t>McInerneyZimmer</t>
  </si>
  <si>
    <t>PerkinsR. Connolly</t>
  </si>
  <si>
    <t>(All)</t>
  </si>
  <si>
    <t>The Hunted</t>
  </si>
  <si>
    <t>Row Labels</t>
  </si>
  <si>
    <t>Bounty</t>
  </si>
  <si>
    <t>Hunters</t>
  </si>
  <si>
    <t>CAPA PPC — Competitor-Adjusted, Partner-Adjusted Points Per Cup</t>
  </si>
  <si>
    <t>What it measures</t>
  </si>
  <si>
    <t>Expected points-per-cup with an average-skill partner against average-skill opponents (FIP-style), adjusting for both win%% skill and HANDICAP of partners/opponents. Through FBC12.</t>
  </si>
  <si>
    <t>Model</t>
  </si>
  <si>
    <t>Match point-share ≈ 0.50 + 1.757×SkillDiff + 0.0078×HcpAdv (R²=0.138, n=582). Skill = career Win%%−0.5; HcpAdv = opp index − own index (from the Handicaps tab).</t>
  </si>
  <si>
    <t>Neutral pts / match</t>
  </si>
  <si>
    <t>Actual − Stake×[β_skill×(partner &amp; opp skill context) + β_hcp×(handicap context)]. CAPA PPC = Σ neutral ÷ effective cups.</t>
  </si>
  <si>
    <t>Handicap source</t>
  </si>
  <si>
    <t>Handicaps tab (FBC1–12, all cups). A few early-cup players (Buss, Weisberger) lack index data, so their Hcp Adj = 0.</t>
  </si>
  <si>
    <t>Other settings</t>
  </si>
  <si>
    <t>Skill shrunk by n/(n+20). FBC8 partial credit via stake share (6 players @ 4.5/6.5). Min 3 cups to qualify.</t>
  </si>
  <si>
    <t>Cups</t>
  </si>
  <si>
    <t>Eff. Cups</t>
  </si>
  <si>
    <t>UnAdj PPC</t>
  </si>
  <si>
    <t>Partner Adj</t>
  </si>
  <si>
    <t>Opponent Adj</t>
  </si>
  <si>
    <t>Hcp Adj</t>
  </si>
  <si>
    <t>CAPA PPC</t>
  </si>
  <si>
    <t>Delta</t>
  </si>
  <si>
    <t>Belts (through FBC12)</t>
  </si>
  <si>
    <t>🐉 DragonSlayer</t>
  </si>
  <si>
    <t>Toughest opponents (largest opponent-skill boost)</t>
  </si>
  <si>
    <t>🥄 Silver Spoon</t>
  </si>
  <si>
    <t>Best partners — born on third base, thinks he hit a triple</t>
  </si>
  <si>
    <t>🪨 Sisyphus</t>
  </si>
  <si>
    <t>Worst partners — pushing a rock uphill for eternity</t>
  </si>
  <si>
    <t>🎒 Billy Madison</t>
  </si>
  <si>
    <t>Easiest opponents — beating up on gradeschoolers</t>
  </si>
  <si>
    <t>Notes: Filter 'Archives' Tab to 'Doubles'.  Copy and paste each column for 'Player 1' and 'Player 2'.  Drag and drop Cols H:I</t>
  </si>
  <si>
    <t>Singes/Doubles</t>
  </si>
  <si>
    <t>Player1 Ptr Win%</t>
  </si>
  <si>
    <t>Player2 Ptnr Win%</t>
  </si>
  <si>
    <t>Total Ptr Win%</t>
  </si>
  <si>
    <t>Matches</t>
  </si>
  <si>
    <t>Wt Avg Partner Win%</t>
  </si>
  <si>
    <t>Partner Skill Diff</t>
  </si>
  <si>
    <t>Relative Partner Skill (%)</t>
  </si>
  <si>
    <t>(Multiple Items)</t>
  </si>
  <si>
    <t>Format.1</t>
  </si>
  <si>
    <t>(Multiple Items).1</t>
  </si>
  <si>
    <t>Format.2</t>
  </si>
  <si>
    <t>(Multiple Items).2</t>
  </si>
  <si>
    <t>Count of Team</t>
  </si>
  <si>
    <t>Sum Opp 1</t>
  </si>
  <si>
    <t>Sum Opp2</t>
  </si>
  <si>
    <t>Total Doubles Matches</t>
  </si>
  <si>
    <t>SoS (doubles)</t>
  </si>
  <si>
    <t>Sum of Singles Opp</t>
  </si>
  <si>
    <t>Total Singles Matches</t>
  </si>
  <si>
    <t>SoS (Singles)</t>
  </si>
  <si>
    <t>wSoS Score(pts)</t>
  </si>
  <si>
    <t>Weighted SoS</t>
  </si>
  <si>
    <t>Arcadia, MI1</t>
  </si>
  <si>
    <t>Arcadia, MI21</t>
  </si>
  <si>
    <t>Arcadia, MI10</t>
  </si>
  <si>
    <t>Arcadia, MI22</t>
  </si>
  <si>
    <t>Arcadia, MI11</t>
  </si>
  <si>
    <t>Arcadia, MI23</t>
  </si>
  <si>
    <t>Arcadia, MI12</t>
  </si>
  <si>
    <t>Arcadia, MI24</t>
  </si>
  <si>
    <t>Arcadia, MI13</t>
  </si>
  <si>
    <t>Arcadia, MI25</t>
  </si>
  <si>
    <t>Arcadia, MI14</t>
  </si>
  <si>
    <t>Arcadia, MI26</t>
  </si>
  <si>
    <t>Arcadia, MI15</t>
  </si>
  <si>
    <t>Arcadia, MI27</t>
  </si>
  <si>
    <t>Arcadia, MI16</t>
  </si>
  <si>
    <t>Arcadia, MI28</t>
  </si>
  <si>
    <t>Arcadia, MI17</t>
  </si>
  <si>
    <t>Arcadia, MI29</t>
  </si>
  <si>
    <t>Arcadia, MI18</t>
  </si>
  <si>
    <t>Arcadia, MI30</t>
  </si>
  <si>
    <t>Arcadia, MI19</t>
  </si>
  <si>
    <t>French Lick, IN21</t>
  </si>
  <si>
    <t>Arcadia, MI2</t>
  </si>
  <si>
    <t>French Lick, IN22</t>
  </si>
  <si>
    <t>Arcadia, MI20</t>
  </si>
  <si>
    <t>French Lick, IN23</t>
  </si>
  <si>
    <t>Arcadia, MI3</t>
  </si>
  <si>
    <t>French Lick, IN24</t>
  </si>
  <si>
    <t>Arcadia, MI4</t>
  </si>
  <si>
    <t>French Lick, IN25</t>
  </si>
  <si>
    <t>Arcadia, MI5</t>
  </si>
  <si>
    <t>French Lick, IN26</t>
  </si>
  <si>
    <t>Arcadia, MI6</t>
  </si>
  <si>
    <t>French Lick, IN27</t>
  </si>
  <si>
    <t>Arcadia, MI7</t>
  </si>
  <si>
    <t>French Lick, IN28</t>
  </si>
  <si>
    <t>Arcadia, MI8</t>
  </si>
  <si>
    <t>French Lick, IN29</t>
  </si>
  <si>
    <t>Arcadia, MI9</t>
  </si>
  <si>
    <t>French Lick, IN30</t>
  </si>
  <si>
    <t>French Lick, IN1</t>
  </si>
  <si>
    <t>Hilton Head, SC21</t>
  </si>
  <si>
    <t>French Lick, IN10</t>
  </si>
  <si>
    <t>Hilton Head, SC22</t>
  </si>
  <si>
    <t>French Lick, IN11</t>
  </si>
  <si>
    <t>Hilton Head, SC23</t>
  </si>
  <si>
    <t>French Lick, IN12</t>
  </si>
  <si>
    <t>Hilton Head, SC24</t>
  </si>
  <si>
    <t>French Lick, IN13</t>
  </si>
  <si>
    <t>Hilton Head, SC25</t>
  </si>
  <si>
    <t>French Lick, IN14</t>
  </si>
  <si>
    <t>Hilton Head, SC26</t>
  </si>
  <si>
    <t>French Lick, IN15</t>
  </si>
  <si>
    <t>Hilton Head, SC27</t>
  </si>
  <si>
    <t>French Lick, IN16</t>
  </si>
  <si>
    <t>Hilton Head, SC28</t>
  </si>
  <si>
    <t>French Lick, IN17</t>
  </si>
  <si>
    <t>Hilton Head, SC29</t>
  </si>
  <si>
    <t>French Lick, IN18</t>
  </si>
  <si>
    <t>Hilton Head, SC30</t>
  </si>
  <si>
    <t>French Lick, IN19</t>
  </si>
  <si>
    <t>Monterey, CA21</t>
  </si>
  <si>
    <t>French Lick, IN2</t>
  </si>
  <si>
    <t>Monterey, CA22</t>
  </si>
  <si>
    <t>French Lick, IN20</t>
  </si>
  <si>
    <t>Monterey, CA23</t>
  </si>
  <si>
    <t>French Lick, IN3</t>
  </si>
  <si>
    <t>Monterey, CA24</t>
  </si>
  <si>
    <t>French Lick, IN4</t>
  </si>
  <si>
    <t>Monterey, CA25</t>
  </si>
  <si>
    <t>French Lick, IN5</t>
  </si>
  <si>
    <t>Monterey, CA26</t>
  </si>
  <si>
    <t>French Lick, IN6</t>
  </si>
  <si>
    <t>Monterey, CA27</t>
  </si>
  <si>
    <t>French Lick, IN7</t>
  </si>
  <si>
    <t>Monterey, CA28</t>
  </si>
  <si>
    <t>French Lick, IN8</t>
  </si>
  <si>
    <t>Monterey, CA29</t>
  </si>
  <si>
    <t>French Lick, IN9</t>
  </si>
  <si>
    <t>Monterey, CA30</t>
  </si>
  <si>
    <t>Hilton Head, SC1</t>
  </si>
  <si>
    <t>Saratoga, NY13</t>
  </si>
  <si>
    <t>Hilton Head, SC10</t>
  </si>
  <si>
    <t>Saratoga, NY14</t>
  </si>
  <si>
    <t>Hilton Head, SC11</t>
  </si>
  <si>
    <t>Saratoga, NY15</t>
  </si>
  <si>
    <t>Hilton Head, SC12</t>
  </si>
  <si>
    <t>Saratoga, NY16</t>
  </si>
  <si>
    <t>Hilton Head, SC13</t>
  </si>
  <si>
    <t>Saratoga, NY17</t>
  </si>
  <si>
    <t>Hilton Head, SC14</t>
  </si>
  <si>
    <t>Saratoga, NY18</t>
  </si>
  <si>
    <t>Hilton Head, SC15</t>
  </si>
  <si>
    <t>Sea Island, GA21</t>
  </si>
  <si>
    <t>Hilton Head, SC16</t>
  </si>
  <si>
    <t>Hilton Head, SC17</t>
  </si>
  <si>
    <t>Sea Island, GA22</t>
  </si>
  <si>
    <t>Hilton Head, SC18</t>
  </si>
  <si>
    <t>Hilton Head, SC19</t>
  </si>
  <si>
    <t>Sea Island, GA23</t>
  </si>
  <si>
    <t>Hilton Head, SC2</t>
  </si>
  <si>
    <t>Hilton Head, SC20</t>
  </si>
  <si>
    <t>Sea Island, GA24</t>
  </si>
  <si>
    <t>Hilton Head, SC3</t>
  </si>
  <si>
    <t>Hilton Head, SC4</t>
  </si>
  <si>
    <t>Sea Island, GA25</t>
  </si>
  <si>
    <t>Hilton Head, SC5</t>
  </si>
  <si>
    <t>Hilton Head, SC6</t>
  </si>
  <si>
    <t>Sea Island, GA26</t>
  </si>
  <si>
    <t>Hilton Head, SC7</t>
  </si>
  <si>
    <t>Hilton Head, SC8</t>
  </si>
  <si>
    <t>Sea Island, GA27</t>
  </si>
  <si>
    <t>Hilton Head, SC9</t>
  </si>
  <si>
    <t>Monterey, CA1</t>
  </si>
  <si>
    <t>Sea Island, GA28</t>
  </si>
  <si>
    <t>Monterey, CA10</t>
  </si>
  <si>
    <t>Monterey, CA11</t>
  </si>
  <si>
    <t>Sea Island, GA29</t>
  </si>
  <si>
    <t>Monterey, CA12</t>
  </si>
  <si>
    <t>Monterey, CA13</t>
  </si>
  <si>
    <t>Sea Island, GA30</t>
  </si>
  <si>
    <t>Monterey, CA14</t>
  </si>
  <si>
    <t>Monterey, CA15</t>
  </si>
  <si>
    <t>Verona, NY (Turning Stone)17</t>
  </si>
  <si>
    <t>Verona, NY (Turning Stone)18</t>
  </si>
  <si>
    <t>Monterey, CA16</t>
  </si>
  <si>
    <t>Monterey, CA17</t>
  </si>
  <si>
    <t>Verona, NY (Turning Stone)19</t>
  </si>
  <si>
    <t>Monterey, CA18</t>
  </si>
  <si>
    <t>Verona, NY (Turning Stone)20</t>
  </si>
  <si>
    <t>Monterey, CA19</t>
  </si>
  <si>
    <t>Verona, NY (Turning Stone)21</t>
  </si>
  <si>
    <t>Monterey, CA2</t>
  </si>
  <si>
    <t>Verona, NY (Turning Stone)22</t>
  </si>
  <si>
    <t>Monterey, CA20</t>
  </si>
  <si>
    <t>Verona, NY (Turning Stone)23</t>
  </si>
  <si>
    <t>Verona, NY (Turning Stone)24</t>
  </si>
  <si>
    <t>Charlotte, NC25</t>
  </si>
  <si>
    <t>Isle of Palms, SC26</t>
  </si>
  <si>
    <t>Isle of Palms, SC27</t>
  </si>
  <si>
    <t>Isle of Palms, SC28</t>
  </si>
  <si>
    <t>Monterey, CA3</t>
  </si>
  <si>
    <t>Isle of Palms, SC29</t>
  </si>
  <si>
    <t>Monterey, CA4</t>
  </si>
  <si>
    <t>Isle of Palms, SC30</t>
  </si>
  <si>
    <t>Monterey, CA5</t>
  </si>
  <si>
    <t>Fort Lauderdale, FL31</t>
  </si>
  <si>
    <t>San Diego, CA32</t>
  </si>
  <si>
    <t>Monterey, CA6</t>
  </si>
  <si>
    <t>33</t>
  </si>
  <si>
    <t>(blank)</t>
  </si>
  <si>
    <t>34</t>
  </si>
  <si>
    <t>Monterey, CA7</t>
  </si>
  <si>
    <t>35</t>
  </si>
  <si>
    <t>Monterey, CA8</t>
  </si>
  <si>
    <t>San Diego, CA31</t>
  </si>
  <si>
    <t>32</t>
  </si>
  <si>
    <t>Monterey, CA9</t>
  </si>
  <si>
    <t>Dublin, IE21</t>
  </si>
  <si>
    <t>Saratoga, NY1</t>
  </si>
  <si>
    <t>Dublin, IE22</t>
  </si>
  <si>
    <t>Saratoga, NY10</t>
  </si>
  <si>
    <t>Dublin, IE23</t>
  </si>
  <si>
    <t>Saratoga, NY11</t>
  </si>
  <si>
    <t>Dublin, IE24</t>
  </si>
  <si>
    <t>Saratoga, NY12</t>
  </si>
  <si>
    <t>Dublin, IE25</t>
  </si>
  <si>
    <t>Saratoga, NY2</t>
  </si>
  <si>
    <t>Dublin, IE26</t>
  </si>
  <si>
    <t>Saratoga, NY3</t>
  </si>
  <si>
    <t>Dublin, IE27</t>
  </si>
  <si>
    <t>Saratoga, NY4</t>
  </si>
  <si>
    <t>Dublin, IE28</t>
  </si>
  <si>
    <t>Saratoga, NY5</t>
  </si>
  <si>
    <t>Dublin, IE29</t>
  </si>
  <si>
    <t>Saratoga, NY6</t>
  </si>
  <si>
    <t>Dublin, IE30</t>
  </si>
  <si>
    <t>Saratoga, NY7</t>
  </si>
  <si>
    <t>Pinehurst, NC21</t>
  </si>
  <si>
    <t>Saratoga, NY8</t>
  </si>
  <si>
    <t>Pinehurst, NC22</t>
  </si>
  <si>
    <t>Saratoga, NY9</t>
  </si>
  <si>
    <t>Pinehurst, NC23</t>
  </si>
  <si>
    <t>Sea Island, GA1</t>
  </si>
  <si>
    <t>Pinehurst, NC24</t>
  </si>
  <si>
    <t>Pinehurst, NC25</t>
  </si>
  <si>
    <t>Sea Island, GA10</t>
  </si>
  <si>
    <t>Pinehurst, NC26</t>
  </si>
  <si>
    <t>Pinehurst, NC27</t>
  </si>
  <si>
    <t>Sea Island, GA11</t>
  </si>
  <si>
    <t>Pinehurst, NC28</t>
  </si>
  <si>
    <t>Pinehurst, NC29</t>
  </si>
  <si>
    <t>Sea Island, GA12</t>
  </si>
  <si>
    <t>Pinehurst, NC30</t>
  </si>
  <si>
    <t>Sea Island, GA13</t>
  </si>
  <si>
    <t>Sea Island, GA14</t>
  </si>
  <si>
    <t>Sea Island, GA15</t>
  </si>
  <si>
    <t>Sea Island, GA16</t>
  </si>
  <si>
    <t>Sea Island, GA17</t>
  </si>
  <si>
    <t>Sea Island, GA18</t>
  </si>
  <si>
    <t>Sea Island, GA19</t>
  </si>
  <si>
    <t>Sea Island, GA2</t>
  </si>
  <si>
    <t>Sea Island, GA20</t>
  </si>
  <si>
    <t>Sea Island, GA3</t>
  </si>
  <si>
    <t>Sea Island, GA4</t>
  </si>
  <si>
    <t>Sea Island, GA5</t>
  </si>
  <si>
    <t>Sea Island, GA6</t>
  </si>
  <si>
    <t>Sea Island, GA7</t>
  </si>
  <si>
    <t>Sea Island, GA8</t>
  </si>
  <si>
    <t>Sea Island, GA9</t>
  </si>
  <si>
    <t>Verona, NY (Turning Stone)1</t>
  </si>
  <si>
    <t>Verona, NY (Turning Stone)10</t>
  </si>
  <si>
    <t>Verona, NY (Turning Stone)11</t>
  </si>
  <si>
    <t>Verona, NY (Turning Stone)12</t>
  </si>
  <si>
    <t>Verona, NY (Turning Stone)13</t>
  </si>
  <si>
    <t>Verona, NY (Turning Stone)14</t>
  </si>
  <si>
    <t>Verona, NY (Turning Stone)15</t>
  </si>
  <si>
    <t>Verona, NY (Turning Stone)16</t>
  </si>
  <si>
    <t>Verona, NY (Turning Stone)2</t>
  </si>
  <si>
    <t>Verona, NY (Turning Stone)3</t>
  </si>
  <si>
    <t>Verona, NY (Turning Stone)4</t>
  </si>
  <si>
    <t>Verona, NY (Turning Stone)5</t>
  </si>
  <si>
    <t>Verona, NY (Turning Stone)6</t>
  </si>
  <si>
    <t>Verona, NY (Turning Stone)7</t>
  </si>
  <si>
    <t>Verona, NY (Turning Stone)8</t>
  </si>
  <si>
    <t>Verona, NY (Turning Stone)9</t>
  </si>
  <si>
    <t>Nekoosa, WI2</t>
  </si>
  <si>
    <t>Nekoosa, WI3</t>
  </si>
  <si>
    <t>Nekoosa, WI4</t>
  </si>
  <si>
    <t>Nekoosa, WI5</t>
  </si>
  <si>
    <t>Nekoosa, WI6</t>
  </si>
  <si>
    <t>Nekoosa, WI8</t>
  </si>
  <si>
    <t>Nekoosa, WI9</t>
  </si>
  <si>
    <t>Nekoosa, WI10</t>
  </si>
  <si>
    <t>Nekoosa, WI11</t>
  </si>
  <si>
    <t>Nekoosa, WI12</t>
  </si>
  <si>
    <t>Nekoosa, WI14</t>
  </si>
  <si>
    <t>Nekoosa, WI15</t>
  </si>
  <si>
    <t>Nekoosa, WI16</t>
  </si>
  <si>
    <t>Nekoosa, WI17</t>
  </si>
  <si>
    <t>Nekoosa, WI18</t>
  </si>
  <si>
    <t>Nekoosa, WI20</t>
  </si>
  <si>
    <t>Nekoosa, WI21</t>
  </si>
  <si>
    <t>Nekoosa, WI22</t>
  </si>
  <si>
    <t>Nekoosa, WI23</t>
  </si>
  <si>
    <t>Nekoosa, WI24</t>
  </si>
  <si>
    <t>Dublin, IE1</t>
  </si>
  <si>
    <t>Dublin, IE2</t>
  </si>
  <si>
    <t>Dublin, IE3</t>
  </si>
  <si>
    <t>Dublin, IE4</t>
  </si>
  <si>
    <t>Dublin, IE6</t>
  </si>
  <si>
    <t>Dublin, IE7</t>
  </si>
  <si>
    <t>Dublin, IE8</t>
  </si>
  <si>
    <t>Dublin, IE9</t>
  </si>
  <si>
    <t>Dublin, IE10</t>
  </si>
  <si>
    <t>Dublin, IE11</t>
  </si>
  <si>
    <t>Dublin, IE12</t>
  </si>
  <si>
    <t>Dublin, IE13</t>
  </si>
  <si>
    <t>Dublin, IE14</t>
  </si>
  <si>
    <t>Dublin, IE15</t>
  </si>
  <si>
    <t>Dublin, IE16</t>
  </si>
  <si>
    <t>Dublin, IE17</t>
  </si>
  <si>
    <t>Dublin, IE18</t>
  </si>
  <si>
    <t>Dublin, IE19</t>
  </si>
  <si>
    <t>Dublin, IE20</t>
  </si>
  <si>
    <t>Pinehurst, NC1</t>
  </si>
  <si>
    <t>Pinehurst, NC2</t>
  </si>
  <si>
    <t>Pinehurst, NC3</t>
  </si>
  <si>
    <t>Pinehurst, NC4</t>
  </si>
  <si>
    <t>Pinehurst, NC5</t>
  </si>
  <si>
    <t>Pinehurst, NC6</t>
  </si>
  <si>
    <t>Pinehurst, NC7</t>
  </si>
  <si>
    <t>Pinehurst, NC8</t>
  </si>
  <si>
    <t>Pinehurst, NC9</t>
  </si>
  <si>
    <t>Pinehurst, NC10</t>
  </si>
  <si>
    <t>Pinehurst, NC11</t>
  </si>
  <si>
    <t>Pinehurst, NC12</t>
  </si>
  <si>
    <t>Pinehurst, NC13</t>
  </si>
  <si>
    <t>Pinehurst, NC14</t>
  </si>
  <si>
    <t>Pinehurst, NC15</t>
  </si>
  <si>
    <t>Pinehurst, NC16</t>
  </si>
  <si>
    <t>Pinehurst, NC17</t>
  </si>
  <si>
    <t>Pinehurst, NC18</t>
  </si>
  <si>
    <t>Pinehurst, NC19</t>
  </si>
  <si>
    <t>Pinehurst, NC20</t>
  </si>
  <si>
    <t>Record Book</t>
  </si>
  <si>
    <t>All Time Records</t>
  </si>
  <si>
    <t>Most Cups</t>
  </si>
  <si>
    <t>Lynch/Connolly</t>
  </si>
  <si>
    <t>Highest Cup Win %</t>
  </si>
  <si>
    <t>Lowest Cup Win % (&gt;1 tourney)</t>
  </si>
  <si>
    <t>Forster/Mangold</t>
  </si>
  <si>
    <t>Most Total Points</t>
  </si>
  <si>
    <t>Highest Points per Cup (&gt;3 FBCs)</t>
  </si>
  <si>
    <t>Highest Tandem Win % (&gt;2 matches)</t>
  </si>
  <si>
    <t>Ferrin/Flanders (8 matches)
Delaney/Perkins (4 matches)</t>
  </si>
  <si>
    <t>Largest Margin of Victory</t>
  </si>
  <si>
    <t>Team Welker over Team Flanders (FBC VI)</t>
  </si>
  <si>
    <t>Cole def. Mangold (FBC VI)
Delneky def. Hilts (FBC X)</t>
  </si>
  <si>
    <t>ConnollyShively def. FlandersMangold (FBC I)
FoganLynch def. GrayNorat (FBC IV)</t>
  </si>
  <si>
    <t>DeoterisFerrin def FlandersForster (FBC VIII)
HiltsWelker def ColeFogan (FBC VIII)</t>
  </si>
  <si>
    <t>Hi Lo</t>
  </si>
  <si>
    <t>7&amp;3</t>
  </si>
  <si>
    <t>ForsterLynch def. ColeFerrin (FBC II)
GrayNorat def. LynchFogan (FBC IV)</t>
  </si>
  <si>
    <t>ConnollyShively def. FlandersMangold (FBCI)
ConnollyForster def. FerrinJackson (FBC V)
NoratZimmer def. ColeConnors (FBC V)</t>
  </si>
  <si>
    <t>ConnollyJackson def. FoganWeisberger</t>
  </si>
  <si>
    <t>Most Scramble Points</t>
  </si>
  <si>
    <t>ConnollyMcInerney (FBC IV)</t>
  </si>
  <si>
    <t>Most Consecutive Craps Points</t>
  </si>
  <si>
    <t>Fogan (FBC VI)</t>
  </si>
  <si>
    <t>Nerd-Hooligan Index</t>
  </si>
  <si>
    <t xml:space="preserve">Lifetime Dunkaroos + Times Arrested + [Table Dives / 2] + [0.5*Legitimate Children + 1.5*Illegitimate Children] - </t>
  </si>
  <si>
    <t>Divided by</t>
  </si>
  <si>
    <t>CB</t>
  </si>
  <si>
    <t>[Advanced degrees + Books read in last 5 years] + Sq Rt(New Sabermetrics Created)</t>
  </si>
  <si>
    <t>DB</t>
  </si>
  <si>
    <t>Copy paste table to left here so you can sort</t>
  </si>
  <si>
    <t>Unnamed: 35</t>
  </si>
  <si>
    <t>Unnamed: 36</t>
  </si>
  <si>
    <t>Unnamed: 37</t>
  </si>
  <si>
    <t>Unnamed: 38</t>
  </si>
  <si>
    <t>Unnamed: 39</t>
  </si>
  <si>
    <t>Lifetime Singles Win %</t>
  </si>
  <si>
    <t>Lifetime Doubles Wins</t>
  </si>
  <si>
    <t>Lifetime Doubles Losses</t>
  </si>
  <si>
    <t>Lifetime Doubles Ties</t>
  </si>
  <si>
    <t>Lifetime Doubles Win %</t>
  </si>
  <si>
    <t>Tandem</t>
  </si>
  <si>
    <t>Sum total matches</t>
  </si>
  <si>
    <t>R. ConnollyPerkins</t>
  </si>
  <si>
    <t>ZimmerWelker</t>
  </si>
  <si>
    <t>FlandersCole</t>
  </si>
  <si>
    <t>McInerneyFogan</t>
  </si>
  <si>
    <t>Last updated: 8/1/2017</t>
  </si>
  <si>
    <t>Conservative Plan</t>
  </si>
  <si>
    <t>Estimated Annual Return</t>
  </si>
  <si>
    <t>Estimated FBC Contributions</t>
  </si>
  <si>
    <t>FBC II</t>
  </si>
  <si>
    <t>2019 Pebble Estimator</t>
  </si>
  <si>
    <t>Losing Contribution ($125 * 8)</t>
  </si>
  <si>
    <t>2017-2018</t>
  </si>
  <si>
    <t>2018-2019 (1/2 year)</t>
  </si>
  <si>
    <t>Caddie Refund</t>
  </si>
  <si>
    <t>Beg Bal (Sept)</t>
  </si>
  <si>
    <t>Forster tax-deductible pledge</t>
  </si>
  <si>
    <t>2017 per person package costs for 2 nights/2 rounds (inc Pebble)</t>
  </si>
  <si>
    <t>Gain</t>
  </si>
  <si>
    <t>Mikey CTP</t>
  </si>
  <si>
    <t>Inflation add on (est. 2% per year)</t>
  </si>
  <si>
    <t>EOY Contributions</t>
  </si>
  <si>
    <t>Jackson CTP</t>
  </si>
  <si>
    <t>Group discount</t>
  </si>
  <si>
    <t>End Bal (Jun)</t>
  </si>
  <si>
    <t>Fogan LD</t>
  </si>
  <si>
    <t>Estimated 2019 Golf/Lodging per person Cost</t>
  </si>
  <si>
    <t>Lynch LD</t>
  </si>
  <si>
    <t>Connolly CTP</t>
  </si>
  <si>
    <t>people multiplier</t>
  </si>
  <si>
    <t>20 player group Golf/Lodging cost</t>
  </si>
  <si>
    <t>Moderate Plan</t>
  </si>
  <si>
    <t>Hilts CTP</t>
  </si>
  <si>
    <t>Flanders CTP</t>
  </si>
  <si>
    <t>2017 FBCOF-I Funds</t>
  </si>
  <si>
    <t>TOTAL FBC II Contribution</t>
  </si>
  <si>
    <t>Discount</t>
  </si>
  <si>
    <t>Jun 2014 Balance</t>
  </si>
  <si>
    <t>Total net due from group in Conservative Plan</t>
  </si>
  <si>
    <t>Per Player cost in Conservative Plan</t>
  </si>
  <si>
    <t>FBC III</t>
  </si>
  <si>
    <t>Sat Mulligan Amount</t>
  </si>
  <si>
    <t>Total net due from group in Moderate Plan</t>
  </si>
  <si>
    <t>Sun Mulligan Amount</t>
  </si>
  <si>
    <t>Per Player cost in Moderate Plan</t>
  </si>
  <si>
    <t>Loser Cont ($150*10)</t>
  </si>
  <si>
    <t>Aggressive Plan</t>
  </si>
  <si>
    <t>CBC Win/(Loss)</t>
  </si>
  <si>
    <t>Total net due from group inAggressive Plan</t>
  </si>
  <si>
    <t>FBC Donation</t>
  </si>
  <si>
    <t>Per Player cost in Aggressive Plan</t>
  </si>
  <si>
    <t>Deferred Credits</t>
  </si>
  <si>
    <t>TOTAL FBC III Contribution</t>
  </si>
  <si>
    <t>FY15 FBCOF-I Gain</t>
  </si>
  <si>
    <t>Aug 2015 Balance</t>
  </si>
  <si>
    <t>FBC IV</t>
  </si>
  <si>
    <t>Fri Mulligan Amount</t>
  </si>
  <si>
    <t>Loser Cont ($300*10)</t>
  </si>
  <si>
    <t>FTAS Loser Cont</t>
  </si>
  <si>
    <t>Holdover Credits Redeemed</t>
  </si>
  <si>
    <t>TOTAL FBC IV Contribution</t>
  </si>
  <si>
    <t>FY16 FBCOF-I Gain</t>
  </si>
  <si>
    <t>Aug 2016 Balance</t>
  </si>
  <si>
    <t>FBC V</t>
  </si>
  <si>
    <t>ProForma 
FBCOF-I Value at FBC VII</t>
  </si>
  <si>
    <t>CTP/LD Prizes</t>
  </si>
  <si>
    <t>Rate of Return</t>
  </si>
  <si>
    <t>Net Credits Redeemed</t>
  </si>
  <si>
    <t>Belt Revenue</t>
  </si>
  <si>
    <t>Cyber Monday Revenue</t>
  </si>
  <si>
    <t>TOTAL FBC V Contribution</t>
  </si>
  <si>
    <t>Annual Cont.</t>
  </si>
  <si>
    <t>FY17 FBCOF-I Gain</t>
  </si>
  <si>
    <t>FBC VI</t>
  </si>
  <si>
    <t>Aug 2017 Balance</t>
  </si>
  <si>
    <t>Estimated per person discount off Package</t>
  </si>
  <si>
    <t>Location</t>
  </si>
  <si>
    <t>Golf Courses</t>
  </si>
  <si>
    <t>Service / Staff</t>
  </si>
  <si>
    <t>Lodging Facilities</t>
  </si>
  <si>
    <t>Practice Facilities</t>
  </si>
  <si>
    <t>Convenience</t>
  </si>
  <si>
    <t>Intangibles</t>
  </si>
  <si>
    <t>Entertainment</t>
  </si>
  <si>
    <t>Overall FBC Rating</t>
  </si>
  <si>
    <t>Saratoga 
(Saratoga National 2x, Saratoga Spa)</t>
  </si>
  <si>
    <t>Saratoga National 5; Spa 2</t>
  </si>
  <si>
    <t>Not full resort so not fair comparison</t>
  </si>
  <si>
    <t>Downtown Saratoga</t>
  </si>
  <si>
    <t>No pure golf resort</t>
  </si>
  <si>
    <t>Downtown Saratoga great nightlife</t>
  </si>
  <si>
    <t>Turning Stone 
(Atunyote, Shenandoah, Kahluyat)</t>
  </si>
  <si>
    <t>Atunyote worth doing again</t>
  </si>
  <si>
    <t>Fair amount of attention paid to golf trips (food/bev packages, etc.); very accommodating
Casino staff slightly less so</t>
  </si>
  <si>
    <t>Standard Casino Lodging</t>
  </si>
  <si>
    <t>Great facilities; little bit of a walk from the lodging area</t>
  </si>
  <si>
    <t>All courses onsite; shuttle to Atunyote</t>
  </si>
  <si>
    <t>Red delicious apples; Mike Tyson</t>
  </si>
  <si>
    <t>Casino onsite</t>
  </si>
  <si>
    <t>Sea Island 
(Seaside 2x, Plantation)</t>
  </si>
  <si>
    <t>We were their guests all weekend, set the bar for guys golf trips</t>
  </si>
  <si>
    <t>The Lodge is the perfect guys trip hotel; Can't imagine anything will beat this on the East coast</t>
  </si>
  <si>
    <t>Everything is onsite if you stay at the lodge; Shuttles to the cloister if you want to go to bars/restaurants</t>
  </si>
  <si>
    <t>Milk and cookies every night delivered to room;  nothing parallels the men's locker room bar yet</t>
  </si>
  <si>
    <t>Pretty quiet after 10-11PM</t>
  </si>
  <si>
    <t>French Lick 
(Dye 2x, Ross)</t>
  </si>
  <si>
    <t>Dye was a 5, ross was a 3</t>
  </si>
  <si>
    <t>Shuttles to and from courses (nearby but not onsite)</t>
  </si>
  <si>
    <t>Hilton Head 
(Harbor Town 2x, Atlantic Dunes)</t>
  </si>
  <si>
    <t>Could not care less we were there; we were a nuisance to them opposed to their guests</t>
  </si>
  <si>
    <t>Sea Pines 4 person villa rental was old; uncomfortable twin beds</t>
  </si>
  <si>
    <t>Wouldn't let you use range day before round</t>
  </si>
  <si>
    <t>Had to drive to courses; no shuttles</t>
  </si>
  <si>
    <t>Unique final holes; PGA cache</t>
  </si>
  <si>
    <t>Decent nightlife; Quarterdeck was a cool spot; lots of tourist foot-traffic</t>
  </si>
  <si>
    <t>Arcadia Bluffs 
(Bluffs 3x)</t>
  </si>
  <si>
    <t>Some fantastic (Ketty); but tried to nickel and dime us the entire trip.  Tried to charge us a room rental fee every time we wanted to eat.  Weird restrictions on cartgirls "zones".</t>
  </si>
  <si>
    <t>Everything onsite</t>
  </si>
  <si>
    <t>Grass range open all hours just a short walk from hotel; good short game area</t>
  </si>
  <si>
    <t>Everything is onsite</t>
  </si>
  <si>
    <t xml:space="preserve">Holes 10-13 over Lake Michigan; 18th hole viewing gallery </t>
  </si>
  <si>
    <t>Pretty quiet; Casino 20m away will provide free shuttles (but nothing past 11PM)</t>
  </si>
  <si>
    <t>Pebble Beach
(Pebble, Spyglass, Spanish Bay)</t>
  </si>
  <si>
    <t>Pretty amazing avec or sans gerrymandering</t>
  </si>
  <si>
    <t>Self explanatory</t>
  </si>
  <si>
    <t>Sand Valley (Sand Valley, Mammoth Dunes, Sandbox)</t>
  </si>
  <si>
    <t>Difficult to get to but very captive/easy once there</t>
  </si>
  <si>
    <t>Sea Island 2021 Vintage (Seaside x3)</t>
  </si>
  <si>
    <t>Massive step down vs. original stay</t>
  </si>
  <si>
    <t>FBC III Win %</t>
  </si>
  <si>
    <t>Benji</t>
  </si>
  <si>
    <t>Straps</t>
  </si>
  <si>
    <t>McInerny</t>
  </si>
  <si>
    <t>Unnamed: 34</t>
  </si>
  <si>
    <t>Day 1 Mulligans</t>
  </si>
  <si>
    <t>Day 2 Mulligans</t>
  </si>
  <si>
    <t>Total Mulligans</t>
  </si>
  <si>
    <t>CBC</t>
  </si>
  <si>
    <t>Lifetime Mulligans</t>
  </si>
  <si>
    <t>Players</t>
  </si>
  <si>
    <t>Sat Mulligan Amt</t>
  </si>
  <si>
    <t>Sun Mulligan Amt</t>
  </si>
  <si>
    <t>Loser Contribution</t>
  </si>
  <si>
    <t xml:space="preserve">CBC </t>
  </si>
  <si>
    <t>Total Balance</t>
  </si>
  <si>
    <t>Vinny</t>
  </si>
  <si>
    <t>Tanners</t>
  </si>
  <si>
    <t>Joel</t>
  </si>
  <si>
    <t>Q</t>
  </si>
  <si>
    <t>TOTAL</t>
  </si>
  <si>
    <t>Fri Mulligan Amt</t>
  </si>
  <si>
    <t>FTAS Loser Contribution</t>
  </si>
  <si>
    <t>FBC Loser Contribution</t>
  </si>
  <si>
    <t>Holdover Credits</t>
  </si>
  <si>
    <t>PAID</t>
  </si>
  <si>
    <t>Total FBC Fund Balance (Pay to Brent)</t>
  </si>
  <si>
    <t>FBC Shirts</t>
  </si>
  <si>
    <t>Sinclairs</t>
  </si>
  <si>
    <t>Master Acct Bal (caddies, etc)</t>
  </si>
  <si>
    <t>Total Due to Joe</t>
  </si>
  <si>
    <t>Lunch at Ross</t>
  </si>
  <si>
    <t>Total due to Mikey</t>
  </si>
  <si>
    <t>Sobey</t>
  </si>
  <si>
    <t>Belts</t>
  </si>
  <si>
    <t>CTP Winner</t>
  </si>
  <si>
    <t>LD Winner</t>
  </si>
  <si>
    <t xml:space="preserve">Redeemed Credits </t>
  </si>
  <si>
    <t>Deferred Losses Applied</t>
  </si>
  <si>
    <t>Deferred Credits
FBC VI</t>
  </si>
  <si>
    <t>Master account (Sat lunch, Links dinner)</t>
  </si>
  <si>
    <t>Total Due to Connolly</t>
  </si>
  <si>
    <t>Saturday Vans</t>
  </si>
  <si>
    <t>Total due to Q</t>
  </si>
  <si>
    <t>Deferred Credits
FBC VII</t>
  </si>
  <si>
    <t>Master account (dinners, Fri lunch)</t>
  </si>
  <si>
    <t>Total Due to Norat</t>
  </si>
  <si>
    <t>Class</t>
  </si>
  <si>
    <t>C</t>
  </si>
  <si>
    <t>B</t>
  </si>
  <si>
    <t>A</t>
  </si>
  <si>
    <t>TOTAL ROOKIE PERFORMANCE</t>
  </si>
  <si>
    <t>FBC CYBER MONDAY SALES</t>
  </si>
  <si>
    <t>CYBER MONDAY Item</t>
  </si>
  <si>
    <t>Amount to FBC</t>
  </si>
  <si>
    <t>Eddie Auto Pick</t>
  </si>
  <si>
    <t>Eddie $100 mulligans</t>
  </si>
  <si>
    <t>Hilts $100 mulligans</t>
  </si>
  <si>
    <t>Q $160 mulligans</t>
  </si>
  <si>
    <t>Jackson $160 mulligans</t>
  </si>
  <si>
    <t>Jackson Belt</t>
  </si>
  <si>
    <t>Forster Belt</t>
  </si>
  <si>
    <t>Hilts Belt</t>
  </si>
  <si>
    <t>Connolly Belt</t>
  </si>
  <si>
    <t>Brent Belt</t>
  </si>
  <si>
    <t>FBC Hero Belts Costs</t>
  </si>
  <si>
    <t>Cyber Monday Sales</t>
  </si>
  <si>
    <t>Reimbursement from entry fee</t>
  </si>
  <si>
    <t>Amount Due to Jackson</t>
  </si>
  <si>
    <t>Belt balance reimbursement</t>
  </si>
  <si>
    <t>Amount transferred to Fund</t>
  </si>
  <si>
    <t>Saratoga National (White)</t>
  </si>
  <si>
    <t>Saratoga Spa (Blue)</t>
  </si>
  <si>
    <t>Atunyote (White)</t>
  </si>
  <si>
    <t>Shenendoah (White)</t>
  </si>
  <si>
    <t>Kaluhyat (White)</t>
  </si>
  <si>
    <t>Sea Island - Seaside (Green)</t>
  </si>
  <si>
    <t>Sea Island - Seaside (White)</t>
  </si>
  <si>
    <t>Sea Island - Plantation (Green)</t>
  </si>
  <si>
    <t>French Lick - Dye (White)</t>
  </si>
  <si>
    <t>French Lick - Ross (Blue)</t>
  </si>
  <si>
    <t>Harbour Town (White)</t>
  </si>
  <si>
    <t>Atlantic Dunes (Blue)</t>
  </si>
  <si>
    <t>Spyglass</t>
  </si>
  <si>
    <t>Average FBC</t>
  </si>
  <si>
    <t>Unnamed: 40</t>
  </si>
  <si>
    <t>Unnamed: 41</t>
  </si>
  <si>
    <t>Unnamed: 42</t>
  </si>
  <si>
    <t>Lifetime Win% w/ Captain Over 6' Tall</t>
  </si>
  <si>
    <t>Lifetime Win % w/ Captain Under 6' Tall</t>
  </si>
  <si>
    <t>Wins</t>
  </si>
  <si>
    <t>Avg. Win %</t>
  </si>
  <si>
    <t>Points</t>
  </si>
  <si>
    <t>Lifetime Performance North of the Mason Dixon 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</si>
</sst>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0.0"/>
    <numFmt numFmtId="166" formatCode="\+0.00;\-0.00;0.00"/>
  </numFmts>
  <fonts count="16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1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3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4"/>
      <color rgb="FF000000"/>
      <name val="Calibri"/>
      <family val="2"/>
    </font>
    <font>
      <b/>
      <sz val="10"/>
      <color rgb="FF000000"/>
      <name val="Calibri"/>
      <family val="2"/>
    </font>
    <font>
      <i/>
      <sz val="1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5B9BD5"/>
        <bgColor rgb="FF2E8B8B"/>
      </patternFill>
    </fill>
    <fill>
      <patternFill patternType="solid">
        <fgColor rgb="FF2E8B8B"/>
        <bgColor rgb="FF008080"/>
      </patternFill>
    </fill>
    <fill>
      <patternFill patternType="solid">
        <fgColor rgb="FF808080"/>
        <bgColor rgb="FF969696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5">
    <xf numFmtId="0" fontId="0" fillId="0" borderId="0"/>
    <xf numFmtId="0" fontId="1" fillId="0" borderId="0"/>
    <xf numFmtId="0" fontId="1" fillId="0" borderId="0"/>
    <xf numFmtId="9" fontId="1" fillId="0" borderId="0"/>
    <xf numFmtId="9" fontId="1" fillId="0" borderId="0"/>
  </cellStyleXfs>
  <cellXfs count="34">
    <xf numFmtId="0" fontId="0" fillId="0" borderId="0" xfId="0"/>
    <xf numFmtId="0" fontId="13" fillId="0" borderId="0" xfId="0" applyFont="1"/>
    <xf numFmtId="0" fontId="13" fillId="0" borderId="0" xfId="0" applyFont="1" applyAlignment="1">
      <alignment vertical="top" wrapText="1"/>
    </xf>
    <xf numFmtId="0" fontId="2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9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/>
    <xf numFmtId="0" fontId="9" fillId="2" borderId="2" xfId="0" applyFont="1" applyFill="1" applyBorder="1" applyAlignment="1">
      <alignment horizontal="center"/>
    </xf>
    <xf numFmtId="0" fontId="10" fillId="0" borderId="0" xfId="0" applyFont="1"/>
    <xf numFmtId="0" fontId="0" fillId="0" borderId="2" xfId="0" applyBorder="1" applyAlignment="1">
      <alignment horizontal="center"/>
    </xf>
    <xf numFmtId="165" fontId="0" fillId="0" borderId="2" xfId="0" applyNumberFormat="1" applyBorder="1" applyAlignment="1">
      <alignment horizontal="center"/>
    </xf>
    <xf numFmtId="0" fontId="11" fillId="0" borderId="0" xfId="0" applyFont="1"/>
    <xf numFmtId="0" fontId="12" fillId="0" borderId="0" xfId="0" applyFont="1"/>
    <xf numFmtId="0" fontId="9" fillId="2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 wrapText="1"/>
    </xf>
    <xf numFmtId="0" fontId="10" fillId="0" borderId="2" xfId="0" applyFont="1" applyBorder="1"/>
    <xf numFmtId="1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10" fillId="0" borderId="2" xfId="0" applyNumberFormat="1" applyFont="1" applyBorder="1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5" fillId="0" borderId="0" xfId="0" applyFont="1" applyAlignment="1">
      <alignment horizontal="left"/>
    </xf>
    <xf numFmtId="0" fontId="0" fillId="0" borderId="0" xfId="0" applyAlignment="1">
      <alignment wrapText="1"/>
    </xf>
  </cellXfs>
  <cellStyles count="5">
    <cellStyle name="Normal" xfId="0" builtinId="0"/>
    <cellStyle name="Normal 2" xfId="1" xr:uid="{00000000-0005-0000-0000-000006000000}"/>
    <cellStyle name="Normal 3" xfId="2" xr:uid="{00000000-0005-0000-0000-000007000000}"/>
    <cellStyle name="Percent 2" xfId="3" xr:uid="{00000000-0005-0000-0000-000008000000}"/>
    <cellStyle name="Percent 3" xfId="4" xr:uid="{00000000-0005-0000-0000-000009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8B8B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871"/>
  <sheetViews>
    <sheetView topLeftCell="A769" zoomScaleNormal="100" workbookViewId="0">
      <selection activeCell="G560" sqref="G560"/>
    </sheetView>
  </sheetViews>
  <sheetFormatPr baseColWidth="10" defaultColWidth="8.83203125" defaultRowHeight="15" x14ac:dyDescent="0.2"/>
  <cols>
    <col min="7" max="7" width="26" customWidth="1"/>
    <col min="13" max="13" width="16.33203125" customWidth="1"/>
  </cols>
  <sheetData>
    <row r="1" spans="1:71" ht="15" customHeight="1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4" t="s">
        <v>70</v>
      </c>
    </row>
    <row r="2" spans="1:71" ht="15" customHeight="1" x14ac:dyDescent="0.2">
      <c r="B2">
        <v>1</v>
      </c>
      <c r="C2">
        <v>1</v>
      </c>
      <c r="D2">
        <v>1</v>
      </c>
      <c r="E2" t="s">
        <v>71</v>
      </c>
      <c r="F2" t="s">
        <v>72</v>
      </c>
      <c r="G2" s="5">
        <v>41447</v>
      </c>
      <c r="H2" t="s">
        <v>73</v>
      </c>
      <c r="I2" t="s">
        <v>74</v>
      </c>
      <c r="J2" t="s">
        <v>75</v>
      </c>
      <c r="K2">
        <v>9</v>
      </c>
      <c r="L2" t="s">
        <v>76</v>
      </c>
      <c r="M2" t="s">
        <v>77</v>
      </c>
      <c r="N2" t="s">
        <v>78</v>
      </c>
      <c r="O2">
        <v>71.3</v>
      </c>
      <c r="P2">
        <v>130</v>
      </c>
      <c r="Q2">
        <v>6225</v>
      </c>
      <c r="R2" t="s">
        <v>79</v>
      </c>
      <c r="S2" t="s">
        <v>80</v>
      </c>
      <c r="T2" t="s">
        <v>81</v>
      </c>
      <c r="U2" t="s">
        <v>42</v>
      </c>
      <c r="V2" t="s">
        <v>40</v>
      </c>
      <c r="W2" t="s">
        <v>78</v>
      </c>
      <c r="X2">
        <v>15</v>
      </c>
      <c r="Y2" t="s">
        <v>47</v>
      </c>
      <c r="Z2">
        <v>20</v>
      </c>
      <c r="AA2">
        <v>1</v>
      </c>
      <c r="AB2" t="s">
        <v>32</v>
      </c>
      <c r="AC2" t="s">
        <v>82</v>
      </c>
      <c r="AE2" t="str">
        <f t="shared" ref="AE2:AE65" si="0">$V2&amp;$Y2</f>
        <v>GriseHickerson</v>
      </c>
      <c r="AF2">
        <v>1</v>
      </c>
      <c r="AG2">
        <v>1</v>
      </c>
      <c r="AH2">
        <v>0</v>
      </c>
      <c r="AI2">
        <v>0</v>
      </c>
      <c r="AJ2">
        <v>1</v>
      </c>
      <c r="AK2" t="s">
        <v>41</v>
      </c>
      <c r="AL2">
        <v>0.47321428571428598</v>
      </c>
      <c r="AM2" t="s">
        <v>48</v>
      </c>
      <c r="AN2">
        <v>0.5546875</v>
      </c>
      <c r="AO2" t="str">
        <f t="shared" ref="AO2:AX11" si="1">IF(OR($V2=AO$1,$Y2=AO$1),AO$1,0)</f>
        <v>Grise</v>
      </c>
      <c r="AP2">
        <f t="shared" si="1"/>
        <v>0</v>
      </c>
      <c r="AQ2">
        <f t="shared" si="1"/>
        <v>0</v>
      </c>
      <c r="AR2">
        <f t="shared" si="1"/>
        <v>0</v>
      </c>
      <c r="AS2">
        <f t="shared" si="1"/>
        <v>0</v>
      </c>
      <c r="AT2">
        <f t="shared" si="1"/>
        <v>0</v>
      </c>
      <c r="AU2">
        <f t="shared" si="1"/>
        <v>0</v>
      </c>
      <c r="AV2" t="str">
        <f t="shared" si="1"/>
        <v>Hickerson</v>
      </c>
      <c r="AW2">
        <f t="shared" si="1"/>
        <v>0</v>
      </c>
      <c r="AX2">
        <f t="shared" si="1"/>
        <v>0</v>
      </c>
      <c r="AY2">
        <f t="shared" ref="AY2:BH11" si="2">IF(OR($V2=AY$1,$Y2=AY$1),AY$1,0)</f>
        <v>0</v>
      </c>
      <c r="AZ2">
        <f t="shared" si="2"/>
        <v>0</v>
      </c>
      <c r="BA2">
        <f t="shared" si="2"/>
        <v>0</v>
      </c>
      <c r="BB2">
        <f t="shared" si="2"/>
        <v>0</v>
      </c>
      <c r="BC2">
        <f t="shared" si="2"/>
        <v>0</v>
      </c>
      <c r="BD2">
        <f t="shared" si="2"/>
        <v>0</v>
      </c>
      <c r="BE2">
        <f t="shared" si="2"/>
        <v>0</v>
      </c>
      <c r="BF2">
        <f t="shared" si="2"/>
        <v>0</v>
      </c>
      <c r="BG2">
        <f t="shared" si="2"/>
        <v>0</v>
      </c>
      <c r="BH2">
        <f t="shared" si="2"/>
        <v>0</v>
      </c>
      <c r="BI2">
        <f t="shared" ref="BI2:BS11" si="3">IF(OR($V2=BI$1,$Y2=BI$1),BI$1,0)</f>
        <v>0</v>
      </c>
      <c r="BJ2">
        <f t="shared" si="3"/>
        <v>0</v>
      </c>
      <c r="BK2">
        <f t="shared" si="3"/>
        <v>0</v>
      </c>
      <c r="BL2">
        <f t="shared" si="3"/>
        <v>0</v>
      </c>
      <c r="BM2">
        <f t="shared" si="3"/>
        <v>0</v>
      </c>
      <c r="BN2">
        <f t="shared" si="3"/>
        <v>0</v>
      </c>
      <c r="BO2">
        <f t="shared" si="3"/>
        <v>0</v>
      </c>
      <c r="BP2">
        <f t="shared" si="3"/>
        <v>0</v>
      </c>
      <c r="BQ2">
        <f t="shared" si="3"/>
        <v>0</v>
      </c>
      <c r="BR2">
        <f t="shared" si="3"/>
        <v>0</v>
      </c>
      <c r="BS2">
        <f t="shared" si="3"/>
        <v>0</v>
      </c>
    </row>
    <row r="3" spans="1:71" ht="15" customHeight="1" x14ac:dyDescent="0.2">
      <c r="B3">
        <v>1</v>
      </c>
      <c r="C3">
        <v>1</v>
      </c>
      <c r="D3">
        <v>1</v>
      </c>
      <c r="E3" t="s">
        <v>71</v>
      </c>
      <c r="F3" t="s">
        <v>72</v>
      </c>
      <c r="G3" s="5">
        <v>41447</v>
      </c>
      <c r="H3" t="s">
        <v>73</v>
      </c>
      <c r="I3" t="s">
        <v>74</v>
      </c>
      <c r="J3" t="s">
        <v>75</v>
      </c>
      <c r="K3">
        <v>9</v>
      </c>
      <c r="L3" t="s">
        <v>76</v>
      </c>
      <c r="M3" t="s">
        <v>77</v>
      </c>
      <c r="N3" t="s">
        <v>78</v>
      </c>
      <c r="O3">
        <v>71.3</v>
      </c>
      <c r="P3">
        <v>130</v>
      </c>
      <c r="Q3">
        <v>6225</v>
      </c>
      <c r="R3" t="s">
        <v>79</v>
      </c>
      <c r="S3" t="s">
        <v>80</v>
      </c>
      <c r="T3" t="s">
        <v>83</v>
      </c>
      <c r="U3" t="s">
        <v>41</v>
      </c>
      <c r="V3" t="s">
        <v>41</v>
      </c>
      <c r="W3" t="s">
        <v>84</v>
      </c>
      <c r="X3">
        <v>18</v>
      </c>
      <c r="Y3" t="s">
        <v>48</v>
      </c>
      <c r="Z3">
        <v>20</v>
      </c>
      <c r="AA3">
        <v>1</v>
      </c>
      <c r="AB3" t="s">
        <v>33</v>
      </c>
      <c r="AC3" t="s">
        <v>82</v>
      </c>
      <c r="AE3" t="str">
        <f t="shared" si="0"/>
        <v>HiltsLynch</v>
      </c>
      <c r="AF3">
        <v>0</v>
      </c>
      <c r="AG3">
        <v>0</v>
      </c>
      <c r="AH3">
        <v>1</v>
      </c>
      <c r="AI3">
        <v>0</v>
      </c>
      <c r="AJ3">
        <v>0</v>
      </c>
      <c r="AK3" t="s">
        <v>40</v>
      </c>
      <c r="AL3">
        <v>0.546875</v>
      </c>
      <c r="AM3" t="s">
        <v>47</v>
      </c>
      <c r="AN3">
        <v>0.35714285714285698</v>
      </c>
      <c r="AO3">
        <f t="shared" si="1"/>
        <v>0</v>
      </c>
      <c r="AP3" t="str">
        <f t="shared" si="1"/>
        <v>Hilts</v>
      </c>
      <c r="AQ3">
        <f t="shared" si="1"/>
        <v>0</v>
      </c>
      <c r="AR3">
        <f t="shared" si="1"/>
        <v>0</v>
      </c>
      <c r="AS3">
        <f t="shared" si="1"/>
        <v>0</v>
      </c>
      <c r="AT3">
        <f t="shared" si="1"/>
        <v>0</v>
      </c>
      <c r="AU3">
        <f t="shared" si="1"/>
        <v>0</v>
      </c>
      <c r="AV3">
        <f t="shared" si="1"/>
        <v>0</v>
      </c>
      <c r="AW3" t="str">
        <f t="shared" si="1"/>
        <v>Lynch</v>
      </c>
      <c r="AX3">
        <f t="shared" si="1"/>
        <v>0</v>
      </c>
      <c r="AY3">
        <f t="shared" si="2"/>
        <v>0</v>
      </c>
      <c r="AZ3">
        <f t="shared" si="2"/>
        <v>0</v>
      </c>
      <c r="BA3">
        <f t="shared" si="2"/>
        <v>0</v>
      </c>
      <c r="BB3">
        <f t="shared" si="2"/>
        <v>0</v>
      </c>
      <c r="BC3">
        <f t="shared" si="2"/>
        <v>0</v>
      </c>
      <c r="BD3">
        <f t="shared" si="2"/>
        <v>0</v>
      </c>
      <c r="BE3">
        <f t="shared" si="2"/>
        <v>0</v>
      </c>
      <c r="BF3">
        <f t="shared" si="2"/>
        <v>0</v>
      </c>
      <c r="BG3">
        <f t="shared" si="2"/>
        <v>0</v>
      </c>
      <c r="BH3">
        <f t="shared" si="2"/>
        <v>0</v>
      </c>
      <c r="BI3">
        <f t="shared" si="3"/>
        <v>0</v>
      </c>
      <c r="BJ3">
        <f t="shared" si="3"/>
        <v>0</v>
      </c>
      <c r="BK3">
        <f t="shared" si="3"/>
        <v>0</v>
      </c>
      <c r="BL3">
        <f t="shared" si="3"/>
        <v>0</v>
      </c>
      <c r="BM3">
        <f t="shared" si="3"/>
        <v>0</v>
      </c>
      <c r="BN3">
        <f t="shared" si="3"/>
        <v>0</v>
      </c>
      <c r="BO3">
        <f t="shared" si="3"/>
        <v>0</v>
      </c>
      <c r="BP3">
        <f t="shared" si="3"/>
        <v>0</v>
      </c>
      <c r="BQ3">
        <f t="shared" si="3"/>
        <v>0</v>
      </c>
      <c r="BR3">
        <f t="shared" si="3"/>
        <v>0</v>
      </c>
      <c r="BS3">
        <f t="shared" si="3"/>
        <v>0</v>
      </c>
    </row>
    <row r="4" spans="1:71" ht="15" customHeight="1" x14ac:dyDescent="0.2">
      <c r="B4">
        <v>2</v>
      </c>
      <c r="C4">
        <v>2</v>
      </c>
      <c r="D4">
        <v>1</v>
      </c>
      <c r="E4" t="s">
        <v>85</v>
      </c>
      <c r="F4" t="s">
        <v>72</v>
      </c>
      <c r="G4" s="5">
        <v>41447</v>
      </c>
      <c r="H4" t="s">
        <v>73</v>
      </c>
      <c r="I4" t="s">
        <v>74</v>
      </c>
      <c r="J4" t="s">
        <v>75</v>
      </c>
      <c r="K4">
        <v>9</v>
      </c>
      <c r="L4" t="s">
        <v>76</v>
      </c>
      <c r="M4" t="s">
        <v>77</v>
      </c>
      <c r="N4" t="s">
        <v>78</v>
      </c>
      <c r="O4">
        <v>71.3</v>
      </c>
      <c r="P4">
        <v>130</v>
      </c>
      <c r="Q4">
        <v>6225</v>
      </c>
      <c r="R4" t="s">
        <v>79</v>
      </c>
      <c r="S4" t="s">
        <v>80</v>
      </c>
      <c r="T4" t="s">
        <v>81</v>
      </c>
      <c r="U4" t="s">
        <v>42</v>
      </c>
      <c r="V4" t="s">
        <v>50</v>
      </c>
      <c r="W4" t="s">
        <v>78</v>
      </c>
      <c r="X4">
        <v>28</v>
      </c>
      <c r="Y4" t="s">
        <v>42</v>
      </c>
      <c r="Z4">
        <v>15</v>
      </c>
      <c r="AA4">
        <v>1</v>
      </c>
      <c r="AB4" t="s">
        <v>32</v>
      </c>
      <c r="AC4" t="s">
        <v>86</v>
      </c>
      <c r="AE4" t="str">
        <f t="shared" si="0"/>
        <v>FerrinJackson</v>
      </c>
      <c r="AF4">
        <v>1</v>
      </c>
      <c r="AG4">
        <v>1</v>
      </c>
      <c r="AH4">
        <v>0</v>
      </c>
      <c r="AI4">
        <v>0</v>
      </c>
      <c r="AJ4">
        <v>1</v>
      </c>
      <c r="AK4" t="s">
        <v>51</v>
      </c>
      <c r="AL4">
        <v>0.3</v>
      </c>
      <c r="AM4" t="s">
        <v>43</v>
      </c>
      <c r="AN4">
        <v>0.48611111111111099</v>
      </c>
      <c r="AO4">
        <f t="shared" si="1"/>
        <v>0</v>
      </c>
      <c r="AP4">
        <f t="shared" si="1"/>
        <v>0</v>
      </c>
      <c r="AQ4" t="str">
        <f t="shared" si="1"/>
        <v>Jackson</v>
      </c>
      <c r="AR4">
        <f t="shared" si="1"/>
        <v>0</v>
      </c>
      <c r="AS4">
        <f t="shared" si="1"/>
        <v>0</v>
      </c>
      <c r="AT4">
        <f t="shared" si="1"/>
        <v>0</v>
      </c>
      <c r="AU4">
        <f t="shared" si="1"/>
        <v>0</v>
      </c>
      <c r="AV4">
        <f t="shared" si="1"/>
        <v>0</v>
      </c>
      <c r="AW4">
        <f t="shared" si="1"/>
        <v>0</v>
      </c>
      <c r="AX4">
        <f t="shared" si="1"/>
        <v>0</v>
      </c>
      <c r="AY4" t="str">
        <f t="shared" si="2"/>
        <v>Ferrin</v>
      </c>
      <c r="AZ4">
        <f t="shared" si="2"/>
        <v>0</v>
      </c>
      <c r="BA4">
        <f t="shared" si="2"/>
        <v>0</v>
      </c>
      <c r="BB4">
        <f t="shared" si="2"/>
        <v>0</v>
      </c>
      <c r="BC4">
        <f t="shared" si="2"/>
        <v>0</v>
      </c>
      <c r="BD4">
        <f t="shared" si="2"/>
        <v>0</v>
      </c>
      <c r="BE4">
        <f t="shared" si="2"/>
        <v>0</v>
      </c>
      <c r="BF4">
        <f t="shared" si="2"/>
        <v>0</v>
      </c>
      <c r="BG4">
        <f t="shared" si="2"/>
        <v>0</v>
      </c>
      <c r="BH4">
        <f t="shared" si="2"/>
        <v>0</v>
      </c>
      <c r="BI4">
        <f t="shared" si="3"/>
        <v>0</v>
      </c>
      <c r="BJ4">
        <f t="shared" si="3"/>
        <v>0</v>
      </c>
      <c r="BK4">
        <f t="shared" si="3"/>
        <v>0</v>
      </c>
      <c r="BL4">
        <f t="shared" si="3"/>
        <v>0</v>
      </c>
      <c r="BM4">
        <f t="shared" si="3"/>
        <v>0</v>
      </c>
      <c r="BN4">
        <f t="shared" si="3"/>
        <v>0</v>
      </c>
      <c r="BO4">
        <f t="shared" si="3"/>
        <v>0</v>
      </c>
      <c r="BP4">
        <f t="shared" si="3"/>
        <v>0</v>
      </c>
      <c r="BQ4">
        <f t="shared" si="3"/>
        <v>0</v>
      </c>
      <c r="BR4">
        <f t="shared" si="3"/>
        <v>0</v>
      </c>
      <c r="BS4">
        <f t="shared" si="3"/>
        <v>0</v>
      </c>
    </row>
    <row r="5" spans="1:71" ht="15" customHeight="1" x14ac:dyDescent="0.2">
      <c r="B5">
        <v>2</v>
      </c>
      <c r="C5">
        <v>2</v>
      </c>
      <c r="D5">
        <v>1</v>
      </c>
      <c r="E5" t="s">
        <v>85</v>
      </c>
      <c r="F5" t="s">
        <v>72</v>
      </c>
      <c r="G5" s="5">
        <v>41447</v>
      </c>
      <c r="H5" t="s">
        <v>73</v>
      </c>
      <c r="I5" t="s">
        <v>74</v>
      </c>
      <c r="J5" t="s">
        <v>75</v>
      </c>
      <c r="K5">
        <v>9</v>
      </c>
      <c r="L5" t="s">
        <v>76</v>
      </c>
      <c r="M5" t="s">
        <v>77</v>
      </c>
      <c r="N5" t="s">
        <v>78</v>
      </c>
      <c r="O5">
        <v>71.3</v>
      </c>
      <c r="P5">
        <v>130</v>
      </c>
      <c r="Q5">
        <v>6225</v>
      </c>
      <c r="R5" t="s">
        <v>79</v>
      </c>
      <c r="S5" t="s">
        <v>80</v>
      </c>
      <c r="T5" t="s">
        <v>83</v>
      </c>
      <c r="U5" t="s">
        <v>41</v>
      </c>
      <c r="V5" t="s">
        <v>51</v>
      </c>
      <c r="W5" t="s">
        <v>84</v>
      </c>
      <c r="X5">
        <v>15</v>
      </c>
      <c r="Y5" t="s">
        <v>43</v>
      </c>
      <c r="Z5">
        <v>10</v>
      </c>
      <c r="AA5">
        <v>1</v>
      </c>
      <c r="AB5" t="s">
        <v>33</v>
      </c>
      <c r="AC5" t="s">
        <v>86</v>
      </c>
      <c r="AE5" t="str">
        <f t="shared" si="0"/>
        <v>MacklinPoirier</v>
      </c>
      <c r="AF5">
        <v>0</v>
      </c>
      <c r="AG5">
        <v>0</v>
      </c>
      <c r="AH5">
        <v>1</v>
      </c>
      <c r="AI5">
        <v>0</v>
      </c>
      <c r="AJ5">
        <v>0</v>
      </c>
      <c r="AK5" t="s">
        <v>50</v>
      </c>
      <c r="AL5">
        <v>0.59523809523809501</v>
      </c>
      <c r="AM5" t="s">
        <v>42</v>
      </c>
      <c r="AN5">
        <v>0.6171875</v>
      </c>
      <c r="AO5">
        <f t="shared" si="1"/>
        <v>0</v>
      </c>
      <c r="AP5">
        <f t="shared" si="1"/>
        <v>0</v>
      </c>
      <c r="AQ5">
        <f t="shared" si="1"/>
        <v>0</v>
      </c>
      <c r="AR5" t="str">
        <f t="shared" si="1"/>
        <v>Poirier</v>
      </c>
      <c r="AS5">
        <f t="shared" si="1"/>
        <v>0</v>
      </c>
      <c r="AT5">
        <f t="shared" si="1"/>
        <v>0</v>
      </c>
      <c r="AU5">
        <f t="shared" si="1"/>
        <v>0</v>
      </c>
      <c r="AV5">
        <f t="shared" si="1"/>
        <v>0</v>
      </c>
      <c r="AW5">
        <f t="shared" si="1"/>
        <v>0</v>
      </c>
      <c r="AX5">
        <f t="shared" si="1"/>
        <v>0</v>
      </c>
      <c r="AY5">
        <f t="shared" si="2"/>
        <v>0</v>
      </c>
      <c r="AZ5" t="str">
        <f t="shared" si="2"/>
        <v>Macklin</v>
      </c>
      <c r="BA5">
        <f t="shared" si="2"/>
        <v>0</v>
      </c>
      <c r="BB5">
        <f t="shared" si="2"/>
        <v>0</v>
      </c>
      <c r="BC5">
        <f t="shared" si="2"/>
        <v>0</v>
      </c>
      <c r="BD5">
        <f t="shared" si="2"/>
        <v>0</v>
      </c>
      <c r="BE5">
        <f t="shared" si="2"/>
        <v>0</v>
      </c>
      <c r="BF5">
        <f t="shared" si="2"/>
        <v>0</v>
      </c>
      <c r="BG5">
        <f t="shared" si="2"/>
        <v>0</v>
      </c>
      <c r="BH5">
        <f t="shared" si="2"/>
        <v>0</v>
      </c>
      <c r="BI5">
        <f t="shared" si="3"/>
        <v>0</v>
      </c>
      <c r="BJ5">
        <f t="shared" si="3"/>
        <v>0</v>
      </c>
      <c r="BK5">
        <f t="shared" si="3"/>
        <v>0</v>
      </c>
      <c r="BL5">
        <f t="shared" si="3"/>
        <v>0</v>
      </c>
      <c r="BM5">
        <f t="shared" si="3"/>
        <v>0</v>
      </c>
      <c r="BN5">
        <f t="shared" si="3"/>
        <v>0</v>
      </c>
      <c r="BO5">
        <f t="shared" si="3"/>
        <v>0</v>
      </c>
      <c r="BP5">
        <f t="shared" si="3"/>
        <v>0</v>
      </c>
      <c r="BQ5">
        <f t="shared" si="3"/>
        <v>0</v>
      </c>
      <c r="BR5">
        <f t="shared" si="3"/>
        <v>0</v>
      </c>
      <c r="BS5">
        <f t="shared" si="3"/>
        <v>0</v>
      </c>
    </row>
    <row r="6" spans="1:71" ht="15" customHeight="1" x14ac:dyDescent="0.2">
      <c r="B6">
        <v>3</v>
      </c>
      <c r="C6">
        <v>3</v>
      </c>
      <c r="D6">
        <v>1</v>
      </c>
      <c r="E6" t="s">
        <v>87</v>
      </c>
      <c r="F6" t="s">
        <v>72</v>
      </c>
      <c r="G6" s="5">
        <v>41447</v>
      </c>
      <c r="H6" t="s">
        <v>73</v>
      </c>
      <c r="I6" t="s">
        <v>74</v>
      </c>
      <c r="J6" t="s">
        <v>75</v>
      </c>
      <c r="K6">
        <v>9</v>
      </c>
      <c r="L6" t="s">
        <v>76</v>
      </c>
      <c r="M6" t="s">
        <v>77</v>
      </c>
      <c r="N6" t="s">
        <v>78</v>
      </c>
      <c r="O6">
        <v>71.3</v>
      </c>
      <c r="P6">
        <v>130</v>
      </c>
      <c r="Q6">
        <v>6225</v>
      </c>
      <c r="R6" t="s">
        <v>79</v>
      </c>
      <c r="S6" t="s">
        <v>80</v>
      </c>
      <c r="T6" t="s">
        <v>81</v>
      </c>
      <c r="U6" t="s">
        <v>42</v>
      </c>
      <c r="V6" t="s">
        <v>44</v>
      </c>
      <c r="W6" t="s">
        <v>78</v>
      </c>
      <c r="X6">
        <v>15</v>
      </c>
      <c r="Y6" t="s">
        <v>46</v>
      </c>
      <c r="Z6">
        <v>15</v>
      </c>
      <c r="AA6">
        <v>1</v>
      </c>
      <c r="AB6" t="s">
        <v>33</v>
      </c>
      <c r="AC6" t="s">
        <v>88</v>
      </c>
      <c r="AE6" t="str">
        <f t="shared" si="0"/>
        <v>FlandersMangold</v>
      </c>
      <c r="AF6">
        <v>0</v>
      </c>
      <c r="AG6">
        <v>0</v>
      </c>
      <c r="AH6">
        <v>1</v>
      </c>
      <c r="AI6">
        <v>0</v>
      </c>
      <c r="AJ6">
        <v>0</v>
      </c>
      <c r="AK6" t="s">
        <v>45</v>
      </c>
      <c r="AL6">
        <v>0.59375</v>
      </c>
      <c r="AM6" t="s">
        <v>49</v>
      </c>
      <c r="AO6">
        <f t="shared" si="1"/>
        <v>0</v>
      </c>
      <c r="AP6">
        <f t="shared" si="1"/>
        <v>0</v>
      </c>
      <c r="AQ6">
        <f t="shared" si="1"/>
        <v>0</v>
      </c>
      <c r="AR6">
        <f t="shared" si="1"/>
        <v>0</v>
      </c>
      <c r="AS6" t="str">
        <f t="shared" si="1"/>
        <v>Flanders</v>
      </c>
      <c r="AT6">
        <f t="shared" si="1"/>
        <v>0</v>
      </c>
      <c r="AU6" t="str">
        <f t="shared" si="1"/>
        <v>Mangold</v>
      </c>
      <c r="AV6">
        <f t="shared" si="1"/>
        <v>0</v>
      </c>
      <c r="AW6">
        <f t="shared" si="1"/>
        <v>0</v>
      </c>
      <c r="AX6">
        <f t="shared" si="1"/>
        <v>0</v>
      </c>
      <c r="AY6">
        <f t="shared" si="2"/>
        <v>0</v>
      </c>
      <c r="AZ6">
        <f t="shared" si="2"/>
        <v>0</v>
      </c>
      <c r="BA6">
        <f t="shared" si="2"/>
        <v>0</v>
      </c>
      <c r="BB6">
        <f t="shared" si="2"/>
        <v>0</v>
      </c>
      <c r="BC6">
        <f t="shared" si="2"/>
        <v>0</v>
      </c>
      <c r="BD6">
        <f t="shared" si="2"/>
        <v>0</v>
      </c>
      <c r="BE6">
        <f t="shared" si="2"/>
        <v>0</v>
      </c>
      <c r="BF6">
        <f t="shared" si="2"/>
        <v>0</v>
      </c>
      <c r="BG6">
        <f t="shared" si="2"/>
        <v>0</v>
      </c>
      <c r="BH6">
        <f t="shared" si="2"/>
        <v>0</v>
      </c>
      <c r="BI6">
        <f t="shared" si="3"/>
        <v>0</v>
      </c>
      <c r="BJ6">
        <f t="shared" si="3"/>
        <v>0</v>
      </c>
      <c r="BK6">
        <f t="shared" si="3"/>
        <v>0</v>
      </c>
      <c r="BL6">
        <f t="shared" si="3"/>
        <v>0</v>
      </c>
      <c r="BM6">
        <f t="shared" si="3"/>
        <v>0</v>
      </c>
      <c r="BN6">
        <f t="shared" si="3"/>
        <v>0</v>
      </c>
      <c r="BO6">
        <f t="shared" si="3"/>
        <v>0</v>
      </c>
      <c r="BP6">
        <f t="shared" si="3"/>
        <v>0</v>
      </c>
      <c r="BQ6">
        <f t="shared" si="3"/>
        <v>0</v>
      </c>
      <c r="BR6">
        <f t="shared" si="3"/>
        <v>0</v>
      </c>
      <c r="BS6">
        <f t="shared" si="3"/>
        <v>0</v>
      </c>
    </row>
    <row r="7" spans="1:71" ht="15" customHeight="1" x14ac:dyDescent="0.2">
      <c r="B7">
        <v>3</v>
      </c>
      <c r="C7">
        <v>3</v>
      </c>
      <c r="D7">
        <v>1</v>
      </c>
      <c r="E7" t="s">
        <v>87</v>
      </c>
      <c r="F7" t="s">
        <v>72</v>
      </c>
      <c r="G7" s="5">
        <v>41447</v>
      </c>
      <c r="H7" t="s">
        <v>73</v>
      </c>
      <c r="I7" t="s">
        <v>74</v>
      </c>
      <c r="J7" t="s">
        <v>75</v>
      </c>
      <c r="K7">
        <v>9</v>
      </c>
      <c r="L7" t="s">
        <v>76</v>
      </c>
      <c r="M7" t="s">
        <v>77</v>
      </c>
      <c r="N7" t="s">
        <v>78</v>
      </c>
      <c r="O7">
        <v>71.3</v>
      </c>
      <c r="P7">
        <v>130</v>
      </c>
      <c r="Q7">
        <v>6225</v>
      </c>
      <c r="R7" t="s">
        <v>79</v>
      </c>
      <c r="S7" t="s">
        <v>80</v>
      </c>
      <c r="T7" t="s">
        <v>83</v>
      </c>
      <c r="U7" t="s">
        <v>41</v>
      </c>
      <c r="V7" t="s">
        <v>45</v>
      </c>
      <c r="W7" t="s">
        <v>84</v>
      </c>
      <c r="X7">
        <v>15</v>
      </c>
      <c r="Y7" t="s">
        <v>49</v>
      </c>
      <c r="Z7">
        <v>30</v>
      </c>
      <c r="AA7">
        <v>1</v>
      </c>
      <c r="AB7" t="s">
        <v>32</v>
      </c>
      <c r="AC7" t="s">
        <v>88</v>
      </c>
      <c r="AE7" t="str">
        <f t="shared" si="0"/>
        <v>ConnollyShively</v>
      </c>
      <c r="AF7">
        <v>1</v>
      </c>
      <c r="AG7">
        <v>1</v>
      </c>
      <c r="AH7">
        <v>0</v>
      </c>
      <c r="AI7">
        <v>0</v>
      </c>
      <c r="AJ7">
        <v>1</v>
      </c>
      <c r="AK7" t="s">
        <v>44</v>
      </c>
      <c r="AL7">
        <v>0.4296875</v>
      </c>
      <c r="AM7" t="s">
        <v>46</v>
      </c>
      <c r="AN7">
        <v>0.38392857142857201</v>
      </c>
      <c r="AO7">
        <f t="shared" si="1"/>
        <v>0</v>
      </c>
      <c r="AP7">
        <f t="shared" si="1"/>
        <v>0</v>
      </c>
      <c r="AQ7">
        <f t="shared" si="1"/>
        <v>0</v>
      </c>
      <c r="AR7">
        <f t="shared" si="1"/>
        <v>0</v>
      </c>
      <c r="AS7">
        <f t="shared" si="1"/>
        <v>0</v>
      </c>
      <c r="AT7" t="str">
        <f t="shared" si="1"/>
        <v>Connolly</v>
      </c>
      <c r="AU7">
        <f t="shared" si="1"/>
        <v>0</v>
      </c>
      <c r="AV7">
        <f t="shared" si="1"/>
        <v>0</v>
      </c>
      <c r="AW7">
        <f t="shared" si="1"/>
        <v>0</v>
      </c>
      <c r="AX7" t="str">
        <f t="shared" si="1"/>
        <v>Shively</v>
      </c>
      <c r="AY7">
        <f t="shared" si="2"/>
        <v>0</v>
      </c>
      <c r="AZ7">
        <f t="shared" si="2"/>
        <v>0</v>
      </c>
      <c r="BA7">
        <f t="shared" si="2"/>
        <v>0</v>
      </c>
      <c r="BB7">
        <f t="shared" si="2"/>
        <v>0</v>
      </c>
      <c r="BC7">
        <f t="shared" si="2"/>
        <v>0</v>
      </c>
      <c r="BD7">
        <f t="shared" si="2"/>
        <v>0</v>
      </c>
      <c r="BE7">
        <f t="shared" si="2"/>
        <v>0</v>
      </c>
      <c r="BF7">
        <f t="shared" si="2"/>
        <v>0</v>
      </c>
      <c r="BG7">
        <f t="shared" si="2"/>
        <v>0</v>
      </c>
      <c r="BH7">
        <f t="shared" si="2"/>
        <v>0</v>
      </c>
      <c r="BI7">
        <f t="shared" si="3"/>
        <v>0</v>
      </c>
      <c r="BJ7">
        <f t="shared" si="3"/>
        <v>0</v>
      </c>
      <c r="BK7">
        <f t="shared" si="3"/>
        <v>0</v>
      </c>
      <c r="BL7">
        <f t="shared" si="3"/>
        <v>0</v>
      </c>
      <c r="BM7">
        <f t="shared" si="3"/>
        <v>0</v>
      </c>
      <c r="BN7">
        <f t="shared" si="3"/>
        <v>0</v>
      </c>
      <c r="BO7">
        <f t="shared" si="3"/>
        <v>0</v>
      </c>
      <c r="BP7">
        <f t="shared" si="3"/>
        <v>0</v>
      </c>
      <c r="BQ7">
        <f t="shared" si="3"/>
        <v>0</v>
      </c>
      <c r="BR7">
        <f t="shared" si="3"/>
        <v>0</v>
      </c>
      <c r="BS7">
        <f t="shared" si="3"/>
        <v>0</v>
      </c>
    </row>
    <row r="8" spans="1:71" ht="15" customHeight="1" x14ac:dyDescent="0.2">
      <c r="B8">
        <v>4</v>
      </c>
      <c r="C8">
        <v>1</v>
      </c>
      <c r="D8">
        <v>1</v>
      </c>
      <c r="E8" t="s">
        <v>89</v>
      </c>
      <c r="F8" t="s">
        <v>72</v>
      </c>
      <c r="G8" s="5">
        <v>41447</v>
      </c>
      <c r="H8" t="s">
        <v>73</v>
      </c>
      <c r="I8" t="s">
        <v>74</v>
      </c>
      <c r="J8" t="s">
        <v>75</v>
      </c>
      <c r="K8">
        <v>9</v>
      </c>
      <c r="L8" t="s">
        <v>90</v>
      </c>
      <c r="M8" t="s">
        <v>77</v>
      </c>
      <c r="N8" t="s">
        <v>78</v>
      </c>
      <c r="O8">
        <v>71.3</v>
      </c>
      <c r="P8">
        <v>130</v>
      </c>
      <c r="Q8">
        <v>6225</v>
      </c>
      <c r="R8" t="s">
        <v>91</v>
      </c>
      <c r="S8" t="s">
        <v>80</v>
      </c>
      <c r="T8" t="s">
        <v>81</v>
      </c>
      <c r="U8" t="s">
        <v>42</v>
      </c>
      <c r="V8" t="s">
        <v>40</v>
      </c>
      <c r="W8" t="s">
        <v>78</v>
      </c>
      <c r="X8">
        <v>15</v>
      </c>
      <c r="Y8" t="s">
        <v>47</v>
      </c>
      <c r="Z8">
        <v>20</v>
      </c>
      <c r="AA8">
        <v>1</v>
      </c>
      <c r="AB8" t="s">
        <v>34</v>
      </c>
      <c r="AC8" t="s">
        <v>92</v>
      </c>
      <c r="AE8" t="str">
        <f t="shared" si="0"/>
        <v>GriseHickerson</v>
      </c>
      <c r="AF8">
        <v>0.5</v>
      </c>
      <c r="AG8">
        <v>0</v>
      </c>
      <c r="AH8">
        <v>0</v>
      </c>
      <c r="AI8">
        <v>1</v>
      </c>
      <c r="AJ8">
        <v>0.5</v>
      </c>
      <c r="AK8" t="s">
        <v>41</v>
      </c>
      <c r="AL8">
        <v>0.47321428571428598</v>
      </c>
      <c r="AM8" t="s">
        <v>48</v>
      </c>
      <c r="AN8">
        <v>0.5546875</v>
      </c>
      <c r="AO8" t="str">
        <f t="shared" si="1"/>
        <v>Grise</v>
      </c>
      <c r="AP8">
        <f t="shared" si="1"/>
        <v>0</v>
      </c>
      <c r="AQ8">
        <f t="shared" si="1"/>
        <v>0</v>
      </c>
      <c r="AR8">
        <f t="shared" si="1"/>
        <v>0</v>
      </c>
      <c r="AS8">
        <f t="shared" si="1"/>
        <v>0</v>
      </c>
      <c r="AT8">
        <f t="shared" si="1"/>
        <v>0</v>
      </c>
      <c r="AU8">
        <f t="shared" si="1"/>
        <v>0</v>
      </c>
      <c r="AV8" t="str">
        <f t="shared" si="1"/>
        <v>Hickerson</v>
      </c>
      <c r="AW8">
        <f t="shared" si="1"/>
        <v>0</v>
      </c>
      <c r="AX8">
        <f t="shared" si="1"/>
        <v>0</v>
      </c>
      <c r="AY8">
        <f t="shared" si="2"/>
        <v>0</v>
      </c>
      <c r="AZ8">
        <f t="shared" si="2"/>
        <v>0</v>
      </c>
      <c r="BA8">
        <f t="shared" si="2"/>
        <v>0</v>
      </c>
      <c r="BB8">
        <f t="shared" si="2"/>
        <v>0</v>
      </c>
      <c r="BC8">
        <f t="shared" si="2"/>
        <v>0</v>
      </c>
      <c r="BD8">
        <f t="shared" si="2"/>
        <v>0</v>
      </c>
      <c r="BE8">
        <f t="shared" si="2"/>
        <v>0</v>
      </c>
      <c r="BF8">
        <f t="shared" si="2"/>
        <v>0</v>
      </c>
      <c r="BG8">
        <f t="shared" si="2"/>
        <v>0</v>
      </c>
      <c r="BH8">
        <f t="shared" si="2"/>
        <v>0</v>
      </c>
      <c r="BI8">
        <f t="shared" si="3"/>
        <v>0</v>
      </c>
      <c r="BJ8">
        <f t="shared" si="3"/>
        <v>0</v>
      </c>
      <c r="BK8">
        <f t="shared" si="3"/>
        <v>0</v>
      </c>
      <c r="BL8">
        <f t="shared" si="3"/>
        <v>0</v>
      </c>
      <c r="BM8">
        <f t="shared" si="3"/>
        <v>0</v>
      </c>
      <c r="BN8">
        <f t="shared" si="3"/>
        <v>0</v>
      </c>
      <c r="BO8">
        <f t="shared" si="3"/>
        <v>0</v>
      </c>
      <c r="BP8">
        <f t="shared" si="3"/>
        <v>0</v>
      </c>
      <c r="BQ8">
        <f t="shared" si="3"/>
        <v>0</v>
      </c>
      <c r="BR8">
        <f t="shared" si="3"/>
        <v>0</v>
      </c>
      <c r="BS8">
        <f t="shared" si="3"/>
        <v>0</v>
      </c>
    </row>
    <row r="9" spans="1:71" ht="15" customHeight="1" x14ac:dyDescent="0.2">
      <c r="B9">
        <v>4</v>
      </c>
      <c r="C9">
        <v>1</v>
      </c>
      <c r="D9">
        <v>1</v>
      </c>
      <c r="E9" t="s">
        <v>89</v>
      </c>
      <c r="F9" t="s">
        <v>72</v>
      </c>
      <c r="G9" s="5">
        <v>41447</v>
      </c>
      <c r="H9" t="s">
        <v>73</v>
      </c>
      <c r="I9" t="s">
        <v>74</v>
      </c>
      <c r="J9" t="s">
        <v>75</v>
      </c>
      <c r="K9">
        <v>9</v>
      </c>
      <c r="L9" t="s">
        <v>90</v>
      </c>
      <c r="M9" t="s">
        <v>77</v>
      </c>
      <c r="N9" t="s">
        <v>78</v>
      </c>
      <c r="O9">
        <v>71.3</v>
      </c>
      <c r="P9">
        <v>130</v>
      </c>
      <c r="Q9">
        <v>6225</v>
      </c>
      <c r="R9" t="s">
        <v>91</v>
      </c>
      <c r="S9" t="s">
        <v>80</v>
      </c>
      <c r="T9" t="s">
        <v>83</v>
      </c>
      <c r="U9" t="s">
        <v>41</v>
      </c>
      <c r="V9" t="s">
        <v>41</v>
      </c>
      <c r="W9" t="s">
        <v>84</v>
      </c>
      <c r="X9">
        <v>18</v>
      </c>
      <c r="Y9" t="s">
        <v>48</v>
      </c>
      <c r="Z9">
        <v>20</v>
      </c>
      <c r="AA9">
        <v>1</v>
      </c>
      <c r="AB9" t="s">
        <v>34</v>
      </c>
      <c r="AC9" t="s">
        <v>92</v>
      </c>
      <c r="AE9" t="str">
        <f t="shared" si="0"/>
        <v>HiltsLynch</v>
      </c>
      <c r="AF9">
        <v>0.5</v>
      </c>
      <c r="AG9">
        <v>0</v>
      </c>
      <c r="AH9">
        <v>0</v>
      </c>
      <c r="AI9">
        <v>1</v>
      </c>
      <c r="AJ9">
        <v>0.5</v>
      </c>
      <c r="AK9" t="s">
        <v>40</v>
      </c>
      <c r="AL9">
        <v>0.546875</v>
      </c>
      <c r="AM9" t="s">
        <v>47</v>
      </c>
      <c r="AN9">
        <v>0.35714285714285698</v>
      </c>
      <c r="AO9">
        <f t="shared" si="1"/>
        <v>0</v>
      </c>
      <c r="AP9" t="str">
        <f t="shared" si="1"/>
        <v>Hilts</v>
      </c>
      <c r="AQ9">
        <f t="shared" si="1"/>
        <v>0</v>
      </c>
      <c r="AR9">
        <f t="shared" si="1"/>
        <v>0</v>
      </c>
      <c r="AS9">
        <f t="shared" si="1"/>
        <v>0</v>
      </c>
      <c r="AT9">
        <f t="shared" si="1"/>
        <v>0</v>
      </c>
      <c r="AU9">
        <f t="shared" si="1"/>
        <v>0</v>
      </c>
      <c r="AV9">
        <f t="shared" si="1"/>
        <v>0</v>
      </c>
      <c r="AW9" t="str">
        <f t="shared" si="1"/>
        <v>Lynch</v>
      </c>
      <c r="AX9">
        <f t="shared" si="1"/>
        <v>0</v>
      </c>
      <c r="AY9">
        <f t="shared" si="2"/>
        <v>0</v>
      </c>
      <c r="AZ9">
        <f t="shared" si="2"/>
        <v>0</v>
      </c>
      <c r="BA9">
        <f t="shared" si="2"/>
        <v>0</v>
      </c>
      <c r="BB9">
        <f t="shared" si="2"/>
        <v>0</v>
      </c>
      <c r="BC9">
        <f t="shared" si="2"/>
        <v>0</v>
      </c>
      <c r="BD9">
        <f t="shared" si="2"/>
        <v>0</v>
      </c>
      <c r="BE9">
        <f t="shared" si="2"/>
        <v>0</v>
      </c>
      <c r="BF9">
        <f t="shared" si="2"/>
        <v>0</v>
      </c>
      <c r="BG9">
        <f t="shared" si="2"/>
        <v>0</v>
      </c>
      <c r="BH9">
        <f t="shared" si="2"/>
        <v>0</v>
      </c>
      <c r="BI9">
        <f t="shared" si="3"/>
        <v>0</v>
      </c>
      <c r="BJ9">
        <f t="shared" si="3"/>
        <v>0</v>
      </c>
      <c r="BK9">
        <f t="shared" si="3"/>
        <v>0</v>
      </c>
      <c r="BL9">
        <f t="shared" si="3"/>
        <v>0</v>
      </c>
      <c r="BM9">
        <f t="shared" si="3"/>
        <v>0</v>
      </c>
      <c r="BN9">
        <f t="shared" si="3"/>
        <v>0</v>
      </c>
      <c r="BO9">
        <f t="shared" si="3"/>
        <v>0</v>
      </c>
      <c r="BP9">
        <f t="shared" si="3"/>
        <v>0</v>
      </c>
      <c r="BQ9">
        <f t="shared" si="3"/>
        <v>0</v>
      </c>
      <c r="BR9">
        <f t="shared" si="3"/>
        <v>0</v>
      </c>
      <c r="BS9">
        <f t="shared" si="3"/>
        <v>0</v>
      </c>
    </row>
    <row r="10" spans="1:71" ht="15" customHeight="1" x14ac:dyDescent="0.2">
      <c r="B10">
        <v>5</v>
      </c>
      <c r="C10">
        <v>2</v>
      </c>
      <c r="D10">
        <v>1</v>
      </c>
      <c r="E10" t="s">
        <v>93</v>
      </c>
      <c r="F10" t="s">
        <v>72</v>
      </c>
      <c r="G10" s="5">
        <v>41447</v>
      </c>
      <c r="H10" t="s">
        <v>73</v>
      </c>
      <c r="I10" t="s">
        <v>74</v>
      </c>
      <c r="J10" t="s">
        <v>75</v>
      </c>
      <c r="K10">
        <v>9</v>
      </c>
      <c r="L10" t="s">
        <v>90</v>
      </c>
      <c r="M10" t="s">
        <v>77</v>
      </c>
      <c r="N10" t="s">
        <v>78</v>
      </c>
      <c r="O10">
        <v>71.3</v>
      </c>
      <c r="P10">
        <v>130</v>
      </c>
      <c r="Q10">
        <v>6225</v>
      </c>
      <c r="R10" t="s">
        <v>91</v>
      </c>
      <c r="S10" t="s">
        <v>80</v>
      </c>
      <c r="T10" t="s">
        <v>81</v>
      </c>
      <c r="U10" t="s">
        <v>42</v>
      </c>
      <c r="V10" t="s">
        <v>50</v>
      </c>
      <c r="W10" t="s">
        <v>78</v>
      </c>
      <c r="X10">
        <v>28</v>
      </c>
      <c r="Y10" t="s">
        <v>42</v>
      </c>
      <c r="Z10">
        <v>15</v>
      </c>
      <c r="AA10">
        <v>1</v>
      </c>
      <c r="AB10" t="s">
        <v>34</v>
      </c>
      <c r="AC10" t="s">
        <v>92</v>
      </c>
      <c r="AE10" t="str">
        <f t="shared" si="0"/>
        <v>FerrinJackson</v>
      </c>
      <c r="AF10">
        <v>0.5</v>
      </c>
      <c r="AG10">
        <v>0</v>
      </c>
      <c r="AH10">
        <v>0</v>
      </c>
      <c r="AI10">
        <v>1</v>
      </c>
      <c r="AJ10">
        <v>0.5</v>
      </c>
      <c r="AK10" t="s">
        <v>51</v>
      </c>
      <c r="AL10">
        <v>0.3</v>
      </c>
      <c r="AM10" t="s">
        <v>43</v>
      </c>
      <c r="AN10">
        <v>0.48611111111111099</v>
      </c>
      <c r="AO10">
        <f t="shared" si="1"/>
        <v>0</v>
      </c>
      <c r="AP10">
        <f t="shared" si="1"/>
        <v>0</v>
      </c>
      <c r="AQ10" t="str">
        <f t="shared" si="1"/>
        <v>Jackson</v>
      </c>
      <c r="AR10">
        <f t="shared" si="1"/>
        <v>0</v>
      </c>
      <c r="AS10">
        <f t="shared" si="1"/>
        <v>0</v>
      </c>
      <c r="AT10">
        <f t="shared" si="1"/>
        <v>0</v>
      </c>
      <c r="AU10">
        <f t="shared" si="1"/>
        <v>0</v>
      </c>
      <c r="AV10">
        <f t="shared" si="1"/>
        <v>0</v>
      </c>
      <c r="AW10">
        <f t="shared" si="1"/>
        <v>0</v>
      </c>
      <c r="AX10">
        <f t="shared" si="1"/>
        <v>0</v>
      </c>
      <c r="AY10" t="str">
        <f t="shared" si="2"/>
        <v>Ferrin</v>
      </c>
      <c r="AZ10">
        <f t="shared" si="2"/>
        <v>0</v>
      </c>
      <c r="BA10">
        <f t="shared" si="2"/>
        <v>0</v>
      </c>
      <c r="BB10">
        <f t="shared" si="2"/>
        <v>0</v>
      </c>
      <c r="BC10">
        <f t="shared" si="2"/>
        <v>0</v>
      </c>
      <c r="BD10">
        <f t="shared" si="2"/>
        <v>0</v>
      </c>
      <c r="BE10">
        <f t="shared" si="2"/>
        <v>0</v>
      </c>
      <c r="BF10">
        <f t="shared" si="2"/>
        <v>0</v>
      </c>
      <c r="BG10">
        <f t="shared" si="2"/>
        <v>0</v>
      </c>
      <c r="BH10">
        <f t="shared" si="2"/>
        <v>0</v>
      </c>
      <c r="BI10">
        <f t="shared" si="3"/>
        <v>0</v>
      </c>
      <c r="BJ10">
        <f t="shared" si="3"/>
        <v>0</v>
      </c>
      <c r="BK10">
        <f t="shared" si="3"/>
        <v>0</v>
      </c>
      <c r="BL10">
        <f t="shared" si="3"/>
        <v>0</v>
      </c>
      <c r="BM10">
        <f t="shared" si="3"/>
        <v>0</v>
      </c>
      <c r="BN10">
        <f t="shared" si="3"/>
        <v>0</v>
      </c>
      <c r="BO10">
        <f t="shared" si="3"/>
        <v>0</v>
      </c>
      <c r="BP10">
        <f t="shared" si="3"/>
        <v>0</v>
      </c>
      <c r="BQ10">
        <f t="shared" si="3"/>
        <v>0</v>
      </c>
      <c r="BR10">
        <f t="shared" si="3"/>
        <v>0</v>
      </c>
      <c r="BS10">
        <f t="shared" si="3"/>
        <v>0</v>
      </c>
    </row>
    <row r="11" spans="1:71" ht="15" customHeight="1" x14ac:dyDescent="0.2">
      <c r="B11">
        <v>5</v>
      </c>
      <c r="C11">
        <v>2</v>
      </c>
      <c r="D11">
        <v>1</v>
      </c>
      <c r="E11" t="s">
        <v>93</v>
      </c>
      <c r="F11" t="s">
        <v>72</v>
      </c>
      <c r="G11" s="5">
        <v>41447</v>
      </c>
      <c r="H11" t="s">
        <v>73</v>
      </c>
      <c r="I11" t="s">
        <v>74</v>
      </c>
      <c r="J11" t="s">
        <v>75</v>
      </c>
      <c r="K11">
        <v>9</v>
      </c>
      <c r="L11" t="s">
        <v>90</v>
      </c>
      <c r="M11" t="s">
        <v>77</v>
      </c>
      <c r="N11" t="s">
        <v>78</v>
      </c>
      <c r="O11">
        <v>71.3</v>
      </c>
      <c r="P11">
        <v>130</v>
      </c>
      <c r="Q11">
        <v>6225</v>
      </c>
      <c r="R11" t="s">
        <v>91</v>
      </c>
      <c r="S11" t="s">
        <v>80</v>
      </c>
      <c r="T11" t="s">
        <v>83</v>
      </c>
      <c r="U11" t="s">
        <v>41</v>
      </c>
      <c r="V11" t="s">
        <v>51</v>
      </c>
      <c r="W11" t="s">
        <v>84</v>
      </c>
      <c r="X11">
        <v>15</v>
      </c>
      <c r="Y11" t="s">
        <v>43</v>
      </c>
      <c r="Z11">
        <v>10</v>
      </c>
      <c r="AA11">
        <v>1</v>
      </c>
      <c r="AB11" t="s">
        <v>34</v>
      </c>
      <c r="AC11" t="s">
        <v>92</v>
      </c>
      <c r="AE11" t="str">
        <f t="shared" si="0"/>
        <v>MacklinPoirier</v>
      </c>
      <c r="AF11">
        <v>0.5</v>
      </c>
      <c r="AG11">
        <v>0</v>
      </c>
      <c r="AH11">
        <v>0</v>
      </c>
      <c r="AI11">
        <v>1</v>
      </c>
      <c r="AJ11">
        <v>0.5</v>
      </c>
      <c r="AK11" t="s">
        <v>50</v>
      </c>
      <c r="AL11">
        <v>0.59523809523809501</v>
      </c>
      <c r="AM11" t="s">
        <v>42</v>
      </c>
      <c r="AN11">
        <v>0.6171875</v>
      </c>
      <c r="AO11">
        <f t="shared" si="1"/>
        <v>0</v>
      </c>
      <c r="AP11">
        <f t="shared" si="1"/>
        <v>0</v>
      </c>
      <c r="AQ11">
        <f t="shared" si="1"/>
        <v>0</v>
      </c>
      <c r="AR11" t="str">
        <f t="shared" si="1"/>
        <v>Poirier</v>
      </c>
      <c r="AS11">
        <f t="shared" si="1"/>
        <v>0</v>
      </c>
      <c r="AT11">
        <f t="shared" si="1"/>
        <v>0</v>
      </c>
      <c r="AU11">
        <f t="shared" si="1"/>
        <v>0</v>
      </c>
      <c r="AV11">
        <f t="shared" si="1"/>
        <v>0</v>
      </c>
      <c r="AW11">
        <f t="shared" si="1"/>
        <v>0</v>
      </c>
      <c r="AX11">
        <f t="shared" si="1"/>
        <v>0</v>
      </c>
      <c r="AY11">
        <f t="shared" si="2"/>
        <v>0</v>
      </c>
      <c r="AZ11" t="str">
        <f t="shared" si="2"/>
        <v>Macklin</v>
      </c>
      <c r="BA11">
        <f t="shared" si="2"/>
        <v>0</v>
      </c>
      <c r="BB11">
        <f t="shared" si="2"/>
        <v>0</v>
      </c>
      <c r="BC11">
        <f t="shared" si="2"/>
        <v>0</v>
      </c>
      <c r="BD11">
        <f t="shared" si="2"/>
        <v>0</v>
      </c>
      <c r="BE11">
        <f t="shared" si="2"/>
        <v>0</v>
      </c>
      <c r="BF11">
        <f t="shared" si="2"/>
        <v>0</v>
      </c>
      <c r="BG11">
        <f t="shared" si="2"/>
        <v>0</v>
      </c>
      <c r="BH11">
        <f t="shared" si="2"/>
        <v>0</v>
      </c>
      <c r="BI11">
        <f t="shared" si="3"/>
        <v>0</v>
      </c>
      <c r="BJ11">
        <f t="shared" si="3"/>
        <v>0</v>
      </c>
      <c r="BK11">
        <f t="shared" si="3"/>
        <v>0</v>
      </c>
      <c r="BL11">
        <f t="shared" si="3"/>
        <v>0</v>
      </c>
      <c r="BM11">
        <f t="shared" si="3"/>
        <v>0</v>
      </c>
      <c r="BN11">
        <f t="shared" si="3"/>
        <v>0</v>
      </c>
      <c r="BO11">
        <f t="shared" si="3"/>
        <v>0</v>
      </c>
      <c r="BP11">
        <f t="shared" si="3"/>
        <v>0</v>
      </c>
      <c r="BQ11">
        <f t="shared" si="3"/>
        <v>0</v>
      </c>
      <c r="BR11">
        <f t="shared" si="3"/>
        <v>0</v>
      </c>
      <c r="BS11">
        <f t="shared" si="3"/>
        <v>0</v>
      </c>
    </row>
    <row r="12" spans="1:71" ht="15" customHeight="1" x14ac:dyDescent="0.2">
      <c r="B12">
        <v>6</v>
      </c>
      <c r="C12">
        <v>3</v>
      </c>
      <c r="D12">
        <v>1</v>
      </c>
      <c r="E12" t="s">
        <v>94</v>
      </c>
      <c r="F12" t="s">
        <v>72</v>
      </c>
      <c r="G12" s="5">
        <v>41447</v>
      </c>
      <c r="H12" t="s">
        <v>73</v>
      </c>
      <c r="I12" t="s">
        <v>74</v>
      </c>
      <c r="J12" t="s">
        <v>75</v>
      </c>
      <c r="K12">
        <v>9</v>
      </c>
      <c r="L12" t="s">
        <v>90</v>
      </c>
      <c r="M12" t="s">
        <v>77</v>
      </c>
      <c r="N12" t="s">
        <v>78</v>
      </c>
      <c r="O12">
        <v>71.3</v>
      </c>
      <c r="P12">
        <v>130</v>
      </c>
      <c r="Q12">
        <v>6225</v>
      </c>
      <c r="R12" t="s">
        <v>91</v>
      </c>
      <c r="S12" t="s">
        <v>80</v>
      </c>
      <c r="T12" t="s">
        <v>81</v>
      </c>
      <c r="U12" t="s">
        <v>42</v>
      </c>
      <c r="V12" t="s">
        <v>44</v>
      </c>
      <c r="W12" t="s">
        <v>78</v>
      </c>
      <c r="X12">
        <v>15</v>
      </c>
      <c r="Y12" t="s">
        <v>46</v>
      </c>
      <c r="Z12">
        <v>15</v>
      </c>
      <c r="AA12">
        <v>1</v>
      </c>
      <c r="AB12" t="s">
        <v>33</v>
      </c>
      <c r="AC12" t="s">
        <v>95</v>
      </c>
      <c r="AE12" t="str">
        <f t="shared" si="0"/>
        <v>FlandersMangold</v>
      </c>
      <c r="AF12">
        <v>0</v>
      </c>
      <c r="AG12">
        <v>0</v>
      </c>
      <c r="AH12">
        <v>1</v>
      </c>
      <c r="AI12">
        <v>0</v>
      </c>
      <c r="AJ12">
        <v>0</v>
      </c>
      <c r="AK12" t="s">
        <v>45</v>
      </c>
      <c r="AL12">
        <v>0.59375</v>
      </c>
      <c r="AM12" t="s">
        <v>49</v>
      </c>
      <c r="AO12">
        <f t="shared" ref="AO12:AX21" si="4">IF(OR($V12=AO$1,$Y12=AO$1),AO$1,0)</f>
        <v>0</v>
      </c>
      <c r="AP12">
        <f t="shared" si="4"/>
        <v>0</v>
      </c>
      <c r="AQ12">
        <f t="shared" si="4"/>
        <v>0</v>
      </c>
      <c r="AR12">
        <f t="shared" si="4"/>
        <v>0</v>
      </c>
      <c r="AS12" t="str">
        <f t="shared" si="4"/>
        <v>Flanders</v>
      </c>
      <c r="AT12">
        <f t="shared" si="4"/>
        <v>0</v>
      </c>
      <c r="AU12" t="str">
        <f t="shared" si="4"/>
        <v>Mangold</v>
      </c>
      <c r="AV12">
        <f t="shared" si="4"/>
        <v>0</v>
      </c>
      <c r="AW12">
        <f t="shared" si="4"/>
        <v>0</v>
      </c>
      <c r="AX12">
        <f t="shared" si="4"/>
        <v>0</v>
      </c>
      <c r="AY12">
        <f t="shared" ref="AY12:BH21" si="5">IF(OR($V12=AY$1,$Y12=AY$1),AY$1,0)</f>
        <v>0</v>
      </c>
      <c r="AZ12">
        <f t="shared" si="5"/>
        <v>0</v>
      </c>
      <c r="BA12">
        <f t="shared" si="5"/>
        <v>0</v>
      </c>
      <c r="BB12">
        <f t="shared" si="5"/>
        <v>0</v>
      </c>
      <c r="BC12">
        <f t="shared" si="5"/>
        <v>0</v>
      </c>
      <c r="BD12">
        <f t="shared" si="5"/>
        <v>0</v>
      </c>
      <c r="BE12">
        <f t="shared" si="5"/>
        <v>0</v>
      </c>
      <c r="BF12">
        <f t="shared" si="5"/>
        <v>0</v>
      </c>
      <c r="BG12">
        <f t="shared" si="5"/>
        <v>0</v>
      </c>
      <c r="BH12">
        <f t="shared" si="5"/>
        <v>0</v>
      </c>
      <c r="BI12">
        <f t="shared" ref="BI12:BS21" si="6">IF(OR($V12=BI$1,$Y12=BI$1),BI$1,0)</f>
        <v>0</v>
      </c>
      <c r="BJ12">
        <f t="shared" si="6"/>
        <v>0</v>
      </c>
      <c r="BK12">
        <f t="shared" si="6"/>
        <v>0</v>
      </c>
      <c r="BL12">
        <f t="shared" si="6"/>
        <v>0</v>
      </c>
      <c r="BM12">
        <f t="shared" si="6"/>
        <v>0</v>
      </c>
      <c r="BN12">
        <f t="shared" si="6"/>
        <v>0</v>
      </c>
      <c r="BO12">
        <f t="shared" si="6"/>
        <v>0</v>
      </c>
      <c r="BP12">
        <f t="shared" si="6"/>
        <v>0</v>
      </c>
      <c r="BQ12">
        <f t="shared" si="6"/>
        <v>0</v>
      </c>
      <c r="BR12">
        <f t="shared" si="6"/>
        <v>0</v>
      </c>
      <c r="BS12">
        <f t="shared" si="6"/>
        <v>0</v>
      </c>
    </row>
    <row r="13" spans="1:71" ht="15" customHeight="1" x14ac:dyDescent="0.2">
      <c r="B13">
        <v>6</v>
      </c>
      <c r="C13">
        <v>3</v>
      </c>
      <c r="D13">
        <v>1</v>
      </c>
      <c r="E13" t="s">
        <v>94</v>
      </c>
      <c r="F13" t="s">
        <v>72</v>
      </c>
      <c r="G13" s="5">
        <v>41447</v>
      </c>
      <c r="H13" t="s">
        <v>73</v>
      </c>
      <c r="I13" t="s">
        <v>74</v>
      </c>
      <c r="J13" t="s">
        <v>75</v>
      </c>
      <c r="K13">
        <v>9</v>
      </c>
      <c r="L13" t="s">
        <v>90</v>
      </c>
      <c r="M13" t="s">
        <v>77</v>
      </c>
      <c r="N13" t="s">
        <v>78</v>
      </c>
      <c r="O13">
        <v>71.3</v>
      </c>
      <c r="P13">
        <v>130</v>
      </c>
      <c r="Q13">
        <v>6225</v>
      </c>
      <c r="R13" t="s">
        <v>91</v>
      </c>
      <c r="S13" t="s">
        <v>80</v>
      </c>
      <c r="T13" t="s">
        <v>83</v>
      </c>
      <c r="U13" t="s">
        <v>41</v>
      </c>
      <c r="V13" t="s">
        <v>45</v>
      </c>
      <c r="W13" t="s">
        <v>84</v>
      </c>
      <c r="X13">
        <v>15</v>
      </c>
      <c r="Y13" t="s">
        <v>49</v>
      </c>
      <c r="Z13">
        <v>30</v>
      </c>
      <c r="AA13">
        <v>1</v>
      </c>
      <c r="AB13" t="s">
        <v>32</v>
      </c>
      <c r="AC13" t="s">
        <v>95</v>
      </c>
      <c r="AE13" t="str">
        <f t="shared" si="0"/>
        <v>ConnollyShively</v>
      </c>
      <c r="AF13">
        <v>1</v>
      </c>
      <c r="AG13">
        <v>1</v>
      </c>
      <c r="AH13">
        <v>0</v>
      </c>
      <c r="AI13">
        <v>0</v>
      </c>
      <c r="AJ13">
        <v>1</v>
      </c>
      <c r="AK13" t="s">
        <v>44</v>
      </c>
      <c r="AL13">
        <v>0.4296875</v>
      </c>
      <c r="AM13" t="s">
        <v>46</v>
      </c>
      <c r="AN13">
        <v>0.38392857142857201</v>
      </c>
      <c r="AO13">
        <f t="shared" si="4"/>
        <v>0</v>
      </c>
      <c r="AP13">
        <f t="shared" si="4"/>
        <v>0</v>
      </c>
      <c r="AQ13">
        <f t="shared" si="4"/>
        <v>0</v>
      </c>
      <c r="AR13">
        <f t="shared" si="4"/>
        <v>0</v>
      </c>
      <c r="AS13">
        <f t="shared" si="4"/>
        <v>0</v>
      </c>
      <c r="AT13" t="str">
        <f t="shared" si="4"/>
        <v>Connolly</v>
      </c>
      <c r="AU13">
        <f t="shared" si="4"/>
        <v>0</v>
      </c>
      <c r="AV13">
        <f t="shared" si="4"/>
        <v>0</v>
      </c>
      <c r="AW13">
        <f t="shared" si="4"/>
        <v>0</v>
      </c>
      <c r="AX13" t="str">
        <f t="shared" si="4"/>
        <v>Shively</v>
      </c>
      <c r="AY13">
        <f t="shared" si="5"/>
        <v>0</v>
      </c>
      <c r="AZ13">
        <f t="shared" si="5"/>
        <v>0</v>
      </c>
      <c r="BA13">
        <f t="shared" si="5"/>
        <v>0</v>
      </c>
      <c r="BB13">
        <f t="shared" si="5"/>
        <v>0</v>
      </c>
      <c r="BC13">
        <f t="shared" si="5"/>
        <v>0</v>
      </c>
      <c r="BD13">
        <f t="shared" si="5"/>
        <v>0</v>
      </c>
      <c r="BE13">
        <f t="shared" si="5"/>
        <v>0</v>
      </c>
      <c r="BF13">
        <f t="shared" si="5"/>
        <v>0</v>
      </c>
      <c r="BG13">
        <f t="shared" si="5"/>
        <v>0</v>
      </c>
      <c r="BH13">
        <f t="shared" si="5"/>
        <v>0</v>
      </c>
      <c r="BI13">
        <f t="shared" si="6"/>
        <v>0</v>
      </c>
      <c r="BJ13">
        <f t="shared" si="6"/>
        <v>0</v>
      </c>
      <c r="BK13">
        <f t="shared" si="6"/>
        <v>0</v>
      </c>
      <c r="BL13">
        <f t="shared" si="6"/>
        <v>0</v>
      </c>
      <c r="BM13">
        <f t="shared" si="6"/>
        <v>0</v>
      </c>
      <c r="BN13">
        <f t="shared" si="6"/>
        <v>0</v>
      </c>
      <c r="BO13">
        <f t="shared" si="6"/>
        <v>0</v>
      </c>
      <c r="BP13">
        <f t="shared" si="6"/>
        <v>0</v>
      </c>
      <c r="BQ13">
        <f t="shared" si="6"/>
        <v>0</v>
      </c>
      <c r="BR13">
        <f t="shared" si="6"/>
        <v>0</v>
      </c>
      <c r="BS13">
        <f t="shared" si="6"/>
        <v>0</v>
      </c>
    </row>
    <row r="14" spans="1:71" ht="15" customHeight="1" x14ac:dyDescent="0.2">
      <c r="B14">
        <v>7</v>
      </c>
      <c r="C14">
        <v>1</v>
      </c>
      <c r="D14">
        <v>1</v>
      </c>
      <c r="E14" t="s">
        <v>96</v>
      </c>
      <c r="F14" t="s">
        <v>72</v>
      </c>
      <c r="G14" s="5">
        <v>41447</v>
      </c>
      <c r="H14" t="s">
        <v>97</v>
      </c>
      <c r="I14" t="s">
        <v>74</v>
      </c>
      <c r="J14" t="s">
        <v>75</v>
      </c>
      <c r="K14">
        <v>9</v>
      </c>
      <c r="L14" t="s">
        <v>76</v>
      </c>
      <c r="M14" t="s">
        <v>77</v>
      </c>
      <c r="N14" t="s">
        <v>78</v>
      </c>
      <c r="O14">
        <v>71.3</v>
      </c>
      <c r="P14">
        <v>130</v>
      </c>
      <c r="Q14">
        <v>6225</v>
      </c>
      <c r="R14" t="s">
        <v>98</v>
      </c>
      <c r="S14" t="s">
        <v>80</v>
      </c>
      <c r="T14" t="s">
        <v>83</v>
      </c>
      <c r="U14" t="s">
        <v>41</v>
      </c>
      <c r="V14" t="s">
        <v>51</v>
      </c>
      <c r="W14" t="s">
        <v>84</v>
      </c>
      <c r="X14">
        <v>15</v>
      </c>
      <c r="Y14" t="s">
        <v>43</v>
      </c>
      <c r="Z14">
        <v>10</v>
      </c>
      <c r="AA14">
        <v>1</v>
      </c>
      <c r="AB14" t="s">
        <v>32</v>
      </c>
      <c r="AC14" t="s">
        <v>86</v>
      </c>
      <c r="AE14" t="str">
        <f t="shared" si="0"/>
        <v>MacklinPoirier</v>
      </c>
      <c r="AF14">
        <v>1</v>
      </c>
      <c r="AG14">
        <v>1</v>
      </c>
      <c r="AH14">
        <v>0</v>
      </c>
      <c r="AI14">
        <v>0</v>
      </c>
      <c r="AJ14">
        <v>1</v>
      </c>
      <c r="AK14" t="s">
        <v>40</v>
      </c>
      <c r="AL14">
        <v>0.546875</v>
      </c>
      <c r="AM14" t="s">
        <v>47</v>
      </c>
      <c r="AN14">
        <v>0.35714285714285698</v>
      </c>
      <c r="AO14">
        <f t="shared" si="4"/>
        <v>0</v>
      </c>
      <c r="AP14">
        <f t="shared" si="4"/>
        <v>0</v>
      </c>
      <c r="AQ14">
        <f t="shared" si="4"/>
        <v>0</v>
      </c>
      <c r="AR14" t="str">
        <f t="shared" si="4"/>
        <v>Poirier</v>
      </c>
      <c r="AS14">
        <f t="shared" si="4"/>
        <v>0</v>
      </c>
      <c r="AT14">
        <f t="shared" si="4"/>
        <v>0</v>
      </c>
      <c r="AU14">
        <f t="shared" si="4"/>
        <v>0</v>
      </c>
      <c r="AV14">
        <f t="shared" si="4"/>
        <v>0</v>
      </c>
      <c r="AW14">
        <f t="shared" si="4"/>
        <v>0</v>
      </c>
      <c r="AX14">
        <f t="shared" si="4"/>
        <v>0</v>
      </c>
      <c r="AY14">
        <f t="shared" si="5"/>
        <v>0</v>
      </c>
      <c r="AZ14" t="str">
        <f t="shared" si="5"/>
        <v>Macklin</v>
      </c>
      <c r="BA14">
        <f t="shared" si="5"/>
        <v>0</v>
      </c>
      <c r="BB14">
        <f t="shared" si="5"/>
        <v>0</v>
      </c>
      <c r="BC14">
        <f t="shared" si="5"/>
        <v>0</v>
      </c>
      <c r="BD14">
        <f t="shared" si="5"/>
        <v>0</v>
      </c>
      <c r="BE14">
        <f t="shared" si="5"/>
        <v>0</v>
      </c>
      <c r="BF14">
        <f t="shared" si="5"/>
        <v>0</v>
      </c>
      <c r="BG14">
        <f t="shared" si="5"/>
        <v>0</v>
      </c>
      <c r="BH14">
        <f t="shared" si="5"/>
        <v>0</v>
      </c>
      <c r="BI14">
        <f t="shared" si="6"/>
        <v>0</v>
      </c>
      <c r="BJ14">
        <f t="shared" si="6"/>
        <v>0</v>
      </c>
      <c r="BK14">
        <f t="shared" si="6"/>
        <v>0</v>
      </c>
      <c r="BL14">
        <f t="shared" si="6"/>
        <v>0</v>
      </c>
      <c r="BM14">
        <f t="shared" si="6"/>
        <v>0</v>
      </c>
      <c r="BN14">
        <f t="shared" si="6"/>
        <v>0</v>
      </c>
      <c r="BO14">
        <f t="shared" si="6"/>
        <v>0</v>
      </c>
      <c r="BP14">
        <f t="shared" si="6"/>
        <v>0</v>
      </c>
      <c r="BQ14">
        <f t="shared" si="6"/>
        <v>0</v>
      </c>
      <c r="BR14">
        <f t="shared" si="6"/>
        <v>0</v>
      </c>
      <c r="BS14">
        <f t="shared" si="6"/>
        <v>0</v>
      </c>
    </row>
    <row r="15" spans="1:71" ht="15" customHeight="1" x14ac:dyDescent="0.2">
      <c r="B15">
        <v>7</v>
      </c>
      <c r="C15">
        <v>1</v>
      </c>
      <c r="D15">
        <v>1</v>
      </c>
      <c r="E15" t="s">
        <v>96</v>
      </c>
      <c r="F15" t="s">
        <v>72</v>
      </c>
      <c r="G15" s="5">
        <v>41447</v>
      </c>
      <c r="H15" t="s">
        <v>97</v>
      </c>
      <c r="I15" t="s">
        <v>74</v>
      </c>
      <c r="J15" t="s">
        <v>75</v>
      </c>
      <c r="K15">
        <v>9</v>
      </c>
      <c r="L15" t="s">
        <v>76</v>
      </c>
      <c r="M15" t="s">
        <v>77</v>
      </c>
      <c r="N15" t="s">
        <v>78</v>
      </c>
      <c r="O15">
        <v>71.3</v>
      </c>
      <c r="P15">
        <v>130</v>
      </c>
      <c r="Q15">
        <v>6225</v>
      </c>
      <c r="R15" t="s">
        <v>98</v>
      </c>
      <c r="S15" t="s">
        <v>80</v>
      </c>
      <c r="T15" t="s">
        <v>81</v>
      </c>
      <c r="U15" t="s">
        <v>42</v>
      </c>
      <c r="V15" t="s">
        <v>40</v>
      </c>
      <c r="W15" t="s">
        <v>78</v>
      </c>
      <c r="X15">
        <v>15</v>
      </c>
      <c r="Y15" t="s">
        <v>47</v>
      </c>
      <c r="Z15">
        <v>20</v>
      </c>
      <c r="AA15">
        <v>1</v>
      </c>
      <c r="AB15" t="s">
        <v>33</v>
      </c>
      <c r="AC15" t="s">
        <v>86</v>
      </c>
      <c r="AE15" t="str">
        <f t="shared" si="0"/>
        <v>GriseHickerson</v>
      </c>
      <c r="AF15">
        <v>0</v>
      </c>
      <c r="AG15">
        <v>0</v>
      </c>
      <c r="AH15">
        <v>1</v>
      </c>
      <c r="AI15">
        <v>0</v>
      </c>
      <c r="AJ15">
        <v>0</v>
      </c>
      <c r="AK15" t="s">
        <v>51</v>
      </c>
      <c r="AL15">
        <v>0.3</v>
      </c>
      <c r="AM15" t="s">
        <v>43</v>
      </c>
      <c r="AN15">
        <v>0.48611111111111099</v>
      </c>
      <c r="AO15" t="str">
        <f t="shared" si="4"/>
        <v>Grise</v>
      </c>
      <c r="AP15">
        <f t="shared" si="4"/>
        <v>0</v>
      </c>
      <c r="AQ15">
        <f t="shared" si="4"/>
        <v>0</v>
      </c>
      <c r="AR15">
        <f t="shared" si="4"/>
        <v>0</v>
      </c>
      <c r="AS15">
        <f t="shared" si="4"/>
        <v>0</v>
      </c>
      <c r="AT15">
        <f t="shared" si="4"/>
        <v>0</v>
      </c>
      <c r="AU15">
        <f t="shared" si="4"/>
        <v>0</v>
      </c>
      <c r="AV15" t="str">
        <f t="shared" si="4"/>
        <v>Hickerson</v>
      </c>
      <c r="AW15">
        <f t="shared" si="4"/>
        <v>0</v>
      </c>
      <c r="AX15">
        <f t="shared" si="4"/>
        <v>0</v>
      </c>
      <c r="AY15">
        <f t="shared" si="5"/>
        <v>0</v>
      </c>
      <c r="AZ15">
        <f t="shared" si="5"/>
        <v>0</v>
      </c>
      <c r="BA15">
        <f t="shared" si="5"/>
        <v>0</v>
      </c>
      <c r="BB15">
        <f t="shared" si="5"/>
        <v>0</v>
      </c>
      <c r="BC15">
        <f t="shared" si="5"/>
        <v>0</v>
      </c>
      <c r="BD15">
        <f t="shared" si="5"/>
        <v>0</v>
      </c>
      <c r="BE15">
        <f t="shared" si="5"/>
        <v>0</v>
      </c>
      <c r="BF15">
        <f t="shared" si="5"/>
        <v>0</v>
      </c>
      <c r="BG15">
        <f t="shared" si="5"/>
        <v>0</v>
      </c>
      <c r="BH15">
        <f t="shared" si="5"/>
        <v>0</v>
      </c>
      <c r="BI15">
        <f t="shared" si="6"/>
        <v>0</v>
      </c>
      <c r="BJ15">
        <f t="shared" si="6"/>
        <v>0</v>
      </c>
      <c r="BK15">
        <f t="shared" si="6"/>
        <v>0</v>
      </c>
      <c r="BL15">
        <f t="shared" si="6"/>
        <v>0</v>
      </c>
      <c r="BM15">
        <f t="shared" si="6"/>
        <v>0</v>
      </c>
      <c r="BN15">
        <f t="shared" si="6"/>
        <v>0</v>
      </c>
      <c r="BO15">
        <f t="shared" si="6"/>
        <v>0</v>
      </c>
      <c r="BP15">
        <f t="shared" si="6"/>
        <v>0</v>
      </c>
      <c r="BQ15">
        <f t="shared" si="6"/>
        <v>0</v>
      </c>
      <c r="BR15">
        <f t="shared" si="6"/>
        <v>0</v>
      </c>
      <c r="BS15">
        <f t="shared" si="6"/>
        <v>0</v>
      </c>
    </row>
    <row r="16" spans="1:71" ht="15" customHeight="1" x14ac:dyDescent="0.2">
      <c r="B16">
        <v>8</v>
      </c>
      <c r="C16">
        <v>2</v>
      </c>
      <c r="D16">
        <v>1</v>
      </c>
      <c r="E16" t="s">
        <v>99</v>
      </c>
      <c r="F16" t="s">
        <v>72</v>
      </c>
      <c r="G16" s="5">
        <v>41447</v>
      </c>
      <c r="H16" t="s">
        <v>97</v>
      </c>
      <c r="I16" t="s">
        <v>74</v>
      </c>
      <c r="J16" t="s">
        <v>75</v>
      </c>
      <c r="K16">
        <v>9</v>
      </c>
      <c r="L16" t="s">
        <v>76</v>
      </c>
      <c r="M16" t="s">
        <v>77</v>
      </c>
      <c r="N16" t="s">
        <v>78</v>
      </c>
      <c r="O16">
        <v>71.3</v>
      </c>
      <c r="P16">
        <v>130</v>
      </c>
      <c r="Q16">
        <v>6225</v>
      </c>
      <c r="R16" t="s">
        <v>98</v>
      </c>
      <c r="S16" t="s">
        <v>80</v>
      </c>
      <c r="T16" t="s">
        <v>83</v>
      </c>
      <c r="U16" t="s">
        <v>41</v>
      </c>
      <c r="V16" t="s">
        <v>41</v>
      </c>
      <c r="W16" t="s">
        <v>84</v>
      </c>
      <c r="X16">
        <v>18</v>
      </c>
      <c r="Y16" t="s">
        <v>48</v>
      </c>
      <c r="Z16">
        <v>20</v>
      </c>
      <c r="AA16">
        <v>1</v>
      </c>
      <c r="AB16" t="s">
        <v>33</v>
      </c>
      <c r="AC16" t="s">
        <v>82</v>
      </c>
      <c r="AE16" t="str">
        <f t="shared" si="0"/>
        <v>HiltsLynch</v>
      </c>
      <c r="AF16">
        <v>0</v>
      </c>
      <c r="AG16">
        <v>0</v>
      </c>
      <c r="AH16">
        <v>1</v>
      </c>
      <c r="AI16">
        <v>0</v>
      </c>
      <c r="AJ16">
        <v>0</v>
      </c>
      <c r="AK16" t="s">
        <v>50</v>
      </c>
      <c r="AL16">
        <v>0.59523809523809501</v>
      </c>
      <c r="AM16" t="s">
        <v>42</v>
      </c>
      <c r="AN16">
        <v>0.6171875</v>
      </c>
      <c r="AO16">
        <f t="shared" si="4"/>
        <v>0</v>
      </c>
      <c r="AP16" t="str">
        <f t="shared" si="4"/>
        <v>Hilts</v>
      </c>
      <c r="AQ16">
        <f t="shared" si="4"/>
        <v>0</v>
      </c>
      <c r="AR16">
        <f t="shared" si="4"/>
        <v>0</v>
      </c>
      <c r="AS16">
        <f t="shared" si="4"/>
        <v>0</v>
      </c>
      <c r="AT16">
        <f t="shared" si="4"/>
        <v>0</v>
      </c>
      <c r="AU16">
        <f t="shared" si="4"/>
        <v>0</v>
      </c>
      <c r="AV16">
        <f t="shared" si="4"/>
        <v>0</v>
      </c>
      <c r="AW16" t="str">
        <f t="shared" si="4"/>
        <v>Lynch</v>
      </c>
      <c r="AX16">
        <f t="shared" si="4"/>
        <v>0</v>
      </c>
      <c r="AY16">
        <f t="shared" si="5"/>
        <v>0</v>
      </c>
      <c r="AZ16">
        <f t="shared" si="5"/>
        <v>0</v>
      </c>
      <c r="BA16">
        <f t="shared" si="5"/>
        <v>0</v>
      </c>
      <c r="BB16">
        <f t="shared" si="5"/>
        <v>0</v>
      </c>
      <c r="BC16">
        <f t="shared" si="5"/>
        <v>0</v>
      </c>
      <c r="BD16">
        <f t="shared" si="5"/>
        <v>0</v>
      </c>
      <c r="BE16">
        <f t="shared" si="5"/>
        <v>0</v>
      </c>
      <c r="BF16">
        <f t="shared" si="5"/>
        <v>0</v>
      </c>
      <c r="BG16">
        <f t="shared" si="5"/>
        <v>0</v>
      </c>
      <c r="BH16">
        <f t="shared" si="5"/>
        <v>0</v>
      </c>
      <c r="BI16">
        <f t="shared" si="6"/>
        <v>0</v>
      </c>
      <c r="BJ16">
        <f t="shared" si="6"/>
        <v>0</v>
      </c>
      <c r="BK16">
        <f t="shared" si="6"/>
        <v>0</v>
      </c>
      <c r="BL16">
        <f t="shared" si="6"/>
        <v>0</v>
      </c>
      <c r="BM16">
        <f t="shared" si="6"/>
        <v>0</v>
      </c>
      <c r="BN16">
        <f t="shared" si="6"/>
        <v>0</v>
      </c>
      <c r="BO16">
        <f t="shared" si="6"/>
        <v>0</v>
      </c>
      <c r="BP16">
        <f t="shared" si="6"/>
        <v>0</v>
      </c>
      <c r="BQ16">
        <f t="shared" si="6"/>
        <v>0</v>
      </c>
      <c r="BR16">
        <f t="shared" si="6"/>
        <v>0</v>
      </c>
      <c r="BS16">
        <f t="shared" si="6"/>
        <v>0</v>
      </c>
    </row>
    <row r="17" spans="2:71" ht="15" customHeight="1" x14ac:dyDescent="0.2">
      <c r="B17">
        <v>8</v>
      </c>
      <c r="C17">
        <v>2</v>
      </c>
      <c r="D17">
        <v>1</v>
      </c>
      <c r="E17" t="s">
        <v>99</v>
      </c>
      <c r="F17" t="s">
        <v>72</v>
      </c>
      <c r="G17" s="5">
        <v>41447</v>
      </c>
      <c r="H17" t="s">
        <v>97</v>
      </c>
      <c r="I17" t="s">
        <v>74</v>
      </c>
      <c r="J17" t="s">
        <v>75</v>
      </c>
      <c r="K17">
        <v>9</v>
      </c>
      <c r="L17" t="s">
        <v>76</v>
      </c>
      <c r="M17" t="s">
        <v>77</v>
      </c>
      <c r="N17" t="s">
        <v>78</v>
      </c>
      <c r="O17">
        <v>71.3</v>
      </c>
      <c r="P17">
        <v>130</v>
      </c>
      <c r="Q17">
        <v>6225</v>
      </c>
      <c r="R17" t="s">
        <v>98</v>
      </c>
      <c r="S17" t="s">
        <v>80</v>
      </c>
      <c r="T17" t="s">
        <v>81</v>
      </c>
      <c r="U17" t="s">
        <v>42</v>
      </c>
      <c r="V17" t="s">
        <v>50</v>
      </c>
      <c r="W17" t="s">
        <v>78</v>
      </c>
      <c r="X17">
        <v>28</v>
      </c>
      <c r="Y17" t="s">
        <v>42</v>
      </c>
      <c r="Z17">
        <v>15</v>
      </c>
      <c r="AA17">
        <v>1</v>
      </c>
      <c r="AB17" t="s">
        <v>32</v>
      </c>
      <c r="AC17" t="s">
        <v>82</v>
      </c>
      <c r="AE17" t="str">
        <f t="shared" si="0"/>
        <v>FerrinJackson</v>
      </c>
      <c r="AF17">
        <v>1</v>
      </c>
      <c r="AG17">
        <v>1</v>
      </c>
      <c r="AH17">
        <v>0</v>
      </c>
      <c r="AI17">
        <v>0</v>
      </c>
      <c r="AJ17">
        <v>1</v>
      </c>
      <c r="AK17" t="s">
        <v>41</v>
      </c>
      <c r="AL17">
        <v>0.47321428571428598</v>
      </c>
      <c r="AM17" t="s">
        <v>48</v>
      </c>
      <c r="AN17">
        <v>0.5546875</v>
      </c>
      <c r="AO17">
        <f t="shared" si="4"/>
        <v>0</v>
      </c>
      <c r="AP17">
        <f t="shared" si="4"/>
        <v>0</v>
      </c>
      <c r="AQ17" t="str">
        <f t="shared" si="4"/>
        <v>Jackson</v>
      </c>
      <c r="AR17">
        <f t="shared" si="4"/>
        <v>0</v>
      </c>
      <c r="AS17">
        <f t="shared" si="4"/>
        <v>0</v>
      </c>
      <c r="AT17">
        <f t="shared" si="4"/>
        <v>0</v>
      </c>
      <c r="AU17">
        <f t="shared" si="4"/>
        <v>0</v>
      </c>
      <c r="AV17">
        <f t="shared" si="4"/>
        <v>0</v>
      </c>
      <c r="AW17">
        <f t="shared" si="4"/>
        <v>0</v>
      </c>
      <c r="AX17">
        <f t="shared" si="4"/>
        <v>0</v>
      </c>
      <c r="AY17" t="str">
        <f t="shared" si="5"/>
        <v>Ferrin</v>
      </c>
      <c r="AZ17">
        <f t="shared" si="5"/>
        <v>0</v>
      </c>
      <c r="BA17">
        <f t="shared" si="5"/>
        <v>0</v>
      </c>
      <c r="BB17">
        <f t="shared" si="5"/>
        <v>0</v>
      </c>
      <c r="BC17">
        <f t="shared" si="5"/>
        <v>0</v>
      </c>
      <c r="BD17">
        <f t="shared" si="5"/>
        <v>0</v>
      </c>
      <c r="BE17">
        <f t="shared" si="5"/>
        <v>0</v>
      </c>
      <c r="BF17">
        <f t="shared" si="5"/>
        <v>0</v>
      </c>
      <c r="BG17">
        <f t="shared" si="5"/>
        <v>0</v>
      </c>
      <c r="BH17">
        <f t="shared" si="5"/>
        <v>0</v>
      </c>
      <c r="BI17">
        <f t="shared" si="6"/>
        <v>0</v>
      </c>
      <c r="BJ17">
        <f t="shared" si="6"/>
        <v>0</v>
      </c>
      <c r="BK17">
        <f t="shared" si="6"/>
        <v>0</v>
      </c>
      <c r="BL17">
        <f t="shared" si="6"/>
        <v>0</v>
      </c>
      <c r="BM17">
        <f t="shared" si="6"/>
        <v>0</v>
      </c>
      <c r="BN17">
        <f t="shared" si="6"/>
        <v>0</v>
      </c>
      <c r="BO17">
        <f t="shared" si="6"/>
        <v>0</v>
      </c>
      <c r="BP17">
        <f t="shared" si="6"/>
        <v>0</v>
      </c>
      <c r="BQ17">
        <f t="shared" si="6"/>
        <v>0</v>
      </c>
      <c r="BR17">
        <f t="shared" si="6"/>
        <v>0</v>
      </c>
      <c r="BS17">
        <f t="shared" si="6"/>
        <v>0</v>
      </c>
    </row>
    <row r="18" spans="2:71" ht="15" customHeight="1" x14ac:dyDescent="0.2">
      <c r="B18">
        <v>9</v>
      </c>
      <c r="C18">
        <v>3</v>
      </c>
      <c r="D18">
        <v>1</v>
      </c>
      <c r="E18" t="s">
        <v>100</v>
      </c>
      <c r="F18" t="s">
        <v>72</v>
      </c>
      <c r="G18" s="5">
        <v>41447</v>
      </c>
      <c r="H18" t="s">
        <v>97</v>
      </c>
      <c r="I18" t="s">
        <v>74</v>
      </c>
      <c r="J18" t="s">
        <v>75</v>
      </c>
      <c r="K18">
        <v>9</v>
      </c>
      <c r="L18" t="s">
        <v>76</v>
      </c>
      <c r="M18" t="s">
        <v>77</v>
      </c>
      <c r="N18" t="s">
        <v>78</v>
      </c>
      <c r="O18">
        <v>71.3</v>
      </c>
      <c r="P18">
        <v>130</v>
      </c>
      <c r="Q18">
        <v>6225</v>
      </c>
      <c r="R18" t="s">
        <v>98</v>
      </c>
      <c r="S18" t="s">
        <v>80</v>
      </c>
      <c r="T18" t="s">
        <v>83</v>
      </c>
      <c r="U18" t="s">
        <v>41</v>
      </c>
      <c r="V18" t="s">
        <v>45</v>
      </c>
      <c r="W18" t="s">
        <v>84</v>
      </c>
      <c r="X18">
        <v>15</v>
      </c>
      <c r="Y18" t="s">
        <v>49</v>
      </c>
      <c r="Z18">
        <v>30</v>
      </c>
      <c r="AA18">
        <v>1</v>
      </c>
      <c r="AB18" t="s">
        <v>32</v>
      </c>
      <c r="AC18" t="s">
        <v>88</v>
      </c>
      <c r="AE18" t="str">
        <f t="shared" si="0"/>
        <v>ConnollyShively</v>
      </c>
      <c r="AF18">
        <v>1</v>
      </c>
      <c r="AG18">
        <v>1</v>
      </c>
      <c r="AH18">
        <v>0</v>
      </c>
      <c r="AI18">
        <v>0</v>
      </c>
      <c r="AJ18">
        <v>1</v>
      </c>
      <c r="AK18" t="s">
        <v>44</v>
      </c>
      <c r="AL18">
        <v>0.4296875</v>
      </c>
      <c r="AM18" t="s">
        <v>46</v>
      </c>
      <c r="AN18">
        <v>0.38392857142857201</v>
      </c>
      <c r="AO18">
        <f t="shared" si="4"/>
        <v>0</v>
      </c>
      <c r="AP18">
        <f t="shared" si="4"/>
        <v>0</v>
      </c>
      <c r="AQ18">
        <f t="shared" si="4"/>
        <v>0</v>
      </c>
      <c r="AR18">
        <f t="shared" si="4"/>
        <v>0</v>
      </c>
      <c r="AS18">
        <f t="shared" si="4"/>
        <v>0</v>
      </c>
      <c r="AT18" t="str">
        <f t="shared" si="4"/>
        <v>Connolly</v>
      </c>
      <c r="AU18">
        <f t="shared" si="4"/>
        <v>0</v>
      </c>
      <c r="AV18">
        <f t="shared" si="4"/>
        <v>0</v>
      </c>
      <c r="AW18">
        <f t="shared" si="4"/>
        <v>0</v>
      </c>
      <c r="AX18" t="str">
        <f t="shared" si="4"/>
        <v>Shively</v>
      </c>
      <c r="AY18">
        <f t="shared" si="5"/>
        <v>0</v>
      </c>
      <c r="AZ18">
        <f t="shared" si="5"/>
        <v>0</v>
      </c>
      <c r="BA18">
        <f t="shared" si="5"/>
        <v>0</v>
      </c>
      <c r="BB18">
        <f t="shared" si="5"/>
        <v>0</v>
      </c>
      <c r="BC18">
        <f t="shared" si="5"/>
        <v>0</v>
      </c>
      <c r="BD18">
        <f t="shared" si="5"/>
        <v>0</v>
      </c>
      <c r="BE18">
        <f t="shared" si="5"/>
        <v>0</v>
      </c>
      <c r="BF18">
        <f t="shared" si="5"/>
        <v>0</v>
      </c>
      <c r="BG18">
        <f t="shared" si="5"/>
        <v>0</v>
      </c>
      <c r="BH18">
        <f t="shared" si="5"/>
        <v>0</v>
      </c>
      <c r="BI18">
        <f t="shared" si="6"/>
        <v>0</v>
      </c>
      <c r="BJ18">
        <f t="shared" si="6"/>
        <v>0</v>
      </c>
      <c r="BK18">
        <f t="shared" si="6"/>
        <v>0</v>
      </c>
      <c r="BL18">
        <f t="shared" si="6"/>
        <v>0</v>
      </c>
      <c r="BM18">
        <f t="shared" si="6"/>
        <v>0</v>
      </c>
      <c r="BN18">
        <f t="shared" si="6"/>
        <v>0</v>
      </c>
      <c r="BO18">
        <f t="shared" si="6"/>
        <v>0</v>
      </c>
      <c r="BP18">
        <f t="shared" si="6"/>
        <v>0</v>
      </c>
      <c r="BQ18">
        <f t="shared" si="6"/>
        <v>0</v>
      </c>
      <c r="BR18">
        <f t="shared" si="6"/>
        <v>0</v>
      </c>
      <c r="BS18">
        <f t="shared" si="6"/>
        <v>0</v>
      </c>
    </row>
    <row r="19" spans="2:71" ht="15" customHeight="1" x14ac:dyDescent="0.2">
      <c r="B19">
        <v>9</v>
      </c>
      <c r="C19">
        <v>3</v>
      </c>
      <c r="D19">
        <v>1</v>
      </c>
      <c r="E19" t="s">
        <v>100</v>
      </c>
      <c r="F19" t="s">
        <v>72</v>
      </c>
      <c r="G19" s="5">
        <v>41447</v>
      </c>
      <c r="H19" t="s">
        <v>97</v>
      </c>
      <c r="I19" t="s">
        <v>74</v>
      </c>
      <c r="J19" t="s">
        <v>75</v>
      </c>
      <c r="K19">
        <v>9</v>
      </c>
      <c r="L19" t="s">
        <v>76</v>
      </c>
      <c r="M19" t="s">
        <v>77</v>
      </c>
      <c r="N19" t="s">
        <v>78</v>
      </c>
      <c r="O19">
        <v>71.3</v>
      </c>
      <c r="P19">
        <v>130</v>
      </c>
      <c r="Q19">
        <v>6225</v>
      </c>
      <c r="R19" t="s">
        <v>98</v>
      </c>
      <c r="S19" t="s">
        <v>80</v>
      </c>
      <c r="T19" t="s">
        <v>81</v>
      </c>
      <c r="U19" t="s">
        <v>42</v>
      </c>
      <c r="V19" t="s">
        <v>44</v>
      </c>
      <c r="W19" t="s">
        <v>78</v>
      </c>
      <c r="X19">
        <v>15</v>
      </c>
      <c r="Y19" t="s">
        <v>46</v>
      </c>
      <c r="Z19">
        <v>15</v>
      </c>
      <c r="AA19">
        <v>1</v>
      </c>
      <c r="AB19" t="s">
        <v>33</v>
      </c>
      <c r="AC19" t="s">
        <v>88</v>
      </c>
      <c r="AE19" t="str">
        <f t="shared" si="0"/>
        <v>FlandersMangold</v>
      </c>
      <c r="AF19">
        <v>0</v>
      </c>
      <c r="AG19">
        <v>0</v>
      </c>
      <c r="AH19">
        <v>1</v>
      </c>
      <c r="AI19">
        <v>0</v>
      </c>
      <c r="AJ19">
        <v>0</v>
      </c>
      <c r="AK19" t="s">
        <v>45</v>
      </c>
      <c r="AL19">
        <v>0.59375</v>
      </c>
      <c r="AM19" t="s">
        <v>49</v>
      </c>
      <c r="AO19">
        <f t="shared" si="4"/>
        <v>0</v>
      </c>
      <c r="AP19">
        <f t="shared" si="4"/>
        <v>0</v>
      </c>
      <c r="AQ19">
        <f t="shared" si="4"/>
        <v>0</v>
      </c>
      <c r="AR19">
        <f t="shared" si="4"/>
        <v>0</v>
      </c>
      <c r="AS19" t="str">
        <f t="shared" si="4"/>
        <v>Flanders</v>
      </c>
      <c r="AT19">
        <f t="shared" si="4"/>
        <v>0</v>
      </c>
      <c r="AU19" t="str">
        <f t="shared" si="4"/>
        <v>Mangold</v>
      </c>
      <c r="AV19">
        <f t="shared" si="4"/>
        <v>0</v>
      </c>
      <c r="AW19">
        <f t="shared" si="4"/>
        <v>0</v>
      </c>
      <c r="AX19">
        <f t="shared" si="4"/>
        <v>0</v>
      </c>
      <c r="AY19">
        <f t="shared" si="5"/>
        <v>0</v>
      </c>
      <c r="AZ19">
        <f t="shared" si="5"/>
        <v>0</v>
      </c>
      <c r="BA19">
        <f t="shared" si="5"/>
        <v>0</v>
      </c>
      <c r="BB19">
        <f t="shared" si="5"/>
        <v>0</v>
      </c>
      <c r="BC19">
        <f t="shared" si="5"/>
        <v>0</v>
      </c>
      <c r="BD19">
        <f t="shared" si="5"/>
        <v>0</v>
      </c>
      <c r="BE19">
        <f t="shared" si="5"/>
        <v>0</v>
      </c>
      <c r="BF19">
        <f t="shared" si="5"/>
        <v>0</v>
      </c>
      <c r="BG19">
        <f t="shared" si="5"/>
        <v>0</v>
      </c>
      <c r="BH19">
        <f t="shared" si="5"/>
        <v>0</v>
      </c>
      <c r="BI19">
        <f t="shared" si="6"/>
        <v>0</v>
      </c>
      <c r="BJ19">
        <f t="shared" si="6"/>
        <v>0</v>
      </c>
      <c r="BK19">
        <f t="shared" si="6"/>
        <v>0</v>
      </c>
      <c r="BL19">
        <f t="shared" si="6"/>
        <v>0</v>
      </c>
      <c r="BM19">
        <f t="shared" si="6"/>
        <v>0</v>
      </c>
      <c r="BN19">
        <f t="shared" si="6"/>
        <v>0</v>
      </c>
      <c r="BO19">
        <f t="shared" si="6"/>
        <v>0</v>
      </c>
      <c r="BP19">
        <f t="shared" si="6"/>
        <v>0</v>
      </c>
      <c r="BQ19">
        <f t="shared" si="6"/>
        <v>0</v>
      </c>
      <c r="BR19">
        <f t="shared" si="6"/>
        <v>0</v>
      </c>
      <c r="BS19">
        <f t="shared" si="6"/>
        <v>0</v>
      </c>
    </row>
    <row r="20" spans="2:71" ht="15" customHeight="1" x14ac:dyDescent="0.2">
      <c r="B20">
        <v>10</v>
      </c>
      <c r="C20">
        <v>1</v>
      </c>
      <c r="D20">
        <v>1</v>
      </c>
      <c r="E20" t="s">
        <v>101</v>
      </c>
      <c r="F20" t="s">
        <v>72</v>
      </c>
      <c r="G20" s="5">
        <v>41447</v>
      </c>
      <c r="H20" t="s">
        <v>97</v>
      </c>
      <c r="I20" t="s">
        <v>74</v>
      </c>
      <c r="J20" t="s">
        <v>75</v>
      </c>
      <c r="K20">
        <v>9</v>
      </c>
      <c r="L20" t="s">
        <v>90</v>
      </c>
      <c r="M20" t="s">
        <v>77</v>
      </c>
      <c r="N20" t="s">
        <v>78</v>
      </c>
      <c r="O20">
        <v>71.3</v>
      </c>
      <c r="P20">
        <v>130</v>
      </c>
      <c r="Q20">
        <v>6225</v>
      </c>
      <c r="R20" t="s">
        <v>79</v>
      </c>
      <c r="S20" t="s">
        <v>80</v>
      </c>
      <c r="T20" t="s">
        <v>83</v>
      </c>
      <c r="U20" t="s">
        <v>41</v>
      </c>
      <c r="V20" t="s">
        <v>51</v>
      </c>
      <c r="W20" t="s">
        <v>84</v>
      </c>
      <c r="X20">
        <v>15</v>
      </c>
      <c r="Y20" t="s">
        <v>43</v>
      </c>
      <c r="Z20">
        <v>10</v>
      </c>
      <c r="AA20">
        <v>1</v>
      </c>
      <c r="AB20" t="s">
        <v>33</v>
      </c>
      <c r="AC20" t="s">
        <v>86</v>
      </c>
      <c r="AE20" t="str">
        <f t="shared" si="0"/>
        <v>MacklinPoirier</v>
      </c>
      <c r="AF20">
        <v>0</v>
      </c>
      <c r="AG20">
        <v>0</v>
      </c>
      <c r="AH20">
        <v>1</v>
      </c>
      <c r="AI20">
        <v>0</v>
      </c>
      <c r="AJ20">
        <v>0</v>
      </c>
      <c r="AK20" t="s">
        <v>40</v>
      </c>
      <c r="AL20">
        <v>0.546875</v>
      </c>
      <c r="AM20" t="s">
        <v>47</v>
      </c>
      <c r="AN20">
        <v>0.35714285714285698</v>
      </c>
      <c r="AO20">
        <f t="shared" si="4"/>
        <v>0</v>
      </c>
      <c r="AP20">
        <f t="shared" si="4"/>
        <v>0</v>
      </c>
      <c r="AQ20">
        <f t="shared" si="4"/>
        <v>0</v>
      </c>
      <c r="AR20" t="str">
        <f t="shared" si="4"/>
        <v>Poirier</v>
      </c>
      <c r="AS20">
        <f t="shared" si="4"/>
        <v>0</v>
      </c>
      <c r="AT20">
        <f t="shared" si="4"/>
        <v>0</v>
      </c>
      <c r="AU20">
        <f t="shared" si="4"/>
        <v>0</v>
      </c>
      <c r="AV20">
        <f t="shared" si="4"/>
        <v>0</v>
      </c>
      <c r="AW20">
        <f t="shared" si="4"/>
        <v>0</v>
      </c>
      <c r="AX20">
        <f t="shared" si="4"/>
        <v>0</v>
      </c>
      <c r="AY20">
        <f t="shared" si="5"/>
        <v>0</v>
      </c>
      <c r="AZ20" t="str">
        <f t="shared" si="5"/>
        <v>Macklin</v>
      </c>
      <c r="BA20">
        <f t="shared" si="5"/>
        <v>0</v>
      </c>
      <c r="BB20">
        <f t="shared" si="5"/>
        <v>0</v>
      </c>
      <c r="BC20">
        <f t="shared" si="5"/>
        <v>0</v>
      </c>
      <c r="BD20">
        <f t="shared" si="5"/>
        <v>0</v>
      </c>
      <c r="BE20">
        <f t="shared" si="5"/>
        <v>0</v>
      </c>
      <c r="BF20">
        <f t="shared" si="5"/>
        <v>0</v>
      </c>
      <c r="BG20">
        <f t="shared" si="5"/>
        <v>0</v>
      </c>
      <c r="BH20">
        <f t="shared" si="5"/>
        <v>0</v>
      </c>
      <c r="BI20">
        <f t="shared" si="6"/>
        <v>0</v>
      </c>
      <c r="BJ20">
        <f t="shared" si="6"/>
        <v>0</v>
      </c>
      <c r="BK20">
        <f t="shared" si="6"/>
        <v>0</v>
      </c>
      <c r="BL20">
        <f t="shared" si="6"/>
        <v>0</v>
      </c>
      <c r="BM20">
        <f t="shared" si="6"/>
        <v>0</v>
      </c>
      <c r="BN20">
        <f t="shared" si="6"/>
        <v>0</v>
      </c>
      <c r="BO20">
        <f t="shared" si="6"/>
        <v>0</v>
      </c>
      <c r="BP20">
        <f t="shared" si="6"/>
        <v>0</v>
      </c>
      <c r="BQ20">
        <f t="shared" si="6"/>
        <v>0</v>
      </c>
      <c r="BR20">
        <f t="shared" si="6"/>
        <v>0</v>
      </c>
      <c r="BS20">
        <f t="shared" si="6"/>
        <v>0</v>
      </c>
    </row>
    <row r="21" spans="2:71" ht="15" customHeight="1" x14ac:dyDescent="0.2">
      <c r="B21">
        <v>10</v>
      </c>
      <c r="C21">
        <v>1</v>
      </c>
      <c r="D21">
        <v>1</v>
      </c>
      <c r="E21" t="s">
        <v>101</v>
      </c>
      <c r="F21" t="s">
        <v>72</v>
      </c>
      <c r="G21" s="5">
        <v>41447</v>
      </c>
      <c r="H21" t="s">
        <v>97</v>
      </c>
      <c r="I21" t="s">
        <v>74</v>
      </c>
      <c r="J21" t="s">
        <v>75</v>
      </c>
      <c r="K21">
        <v>9</v>
      </c>
      <c r="L21" t="s">
        <v>90</v>
      </c>
      <c r="M21" t="s">
        <v>77</v>
      </c>
      <c r="N21" t="s">
        <v>78</v>
      </c>
      <c r="O21">
        <v>71.3</v>
      </c>
      <c r="P21">
        <v>130</v>
      </c>
      <c r="Q21">
        <v>6225</v>
      </c>
      <c r="R21" t="s">
        <v>79</v>
      </c>
      <c r="S21" t="s">
        <v>80</v>
      </c>
      <c r="T21" t="s">
        <v>81</v>
      </c>
      <c r="U21" t="s">
        <v>42</v>
      </c>
      <c r="V21" t="s">
        <v>40</v>
      </c>
      <c r="W21" t="s">
        <v>78</v>
      </c>
      <c r="X21">
        <v>15</v>
      </c>
      <c r="Y21" t="s">
        <v>47</v>
      </c>
      <c r="Z21">
        <v>20</v>
      </c>
      <c r="AA21">
        <v>1</v>
      </c>
      <c r="AB21" t="s">
        <v>32</v>
      </c>
      <c r="AC21" t="s">
        <v>86</v>
      </c>
      <c r="AE21" t="str">
        <f t="shared" si="0"/>
        <v>GriseHickerson</v>
      </c>
      <c r="AF21">
        <v>1</v>
      </c>
      <c r="AG21">
        <v>1</v>
      </c>
      <c r="AH21">
        <v>0</v>
      </c>
      <c r="AI21">
        <v>0</v>
      </c>
      <c r="AJ21">
        <v>1</v>
      </c>
      <c r="AK21" t="s">
        <v>51</v>
      </c>
      <c r="AL21">
        <v>0.3</v>
      </c>
      <c r="AM21" t="s">
        <v>43</v>
      </c>
      <c r="AN21">
        <v>0.48611111111111099</v>
      </c>
      <c r="AO21" t="str">
        <f t="shared" si="4"/>
        <v>Grise</v>
      </c>
      <c r="AP21">
        <f t="shared" si="4"/>
        <v>0</v>
      </c>
      <c r="AQ21">
        <f t="shared" si="4"/>
        <v>0</v>
      </c>
      <c r="AR21">
        <f t="shared" si="4"/>
        <v>0</v>
      </c>
      <c r="AS21">
        <f t="shared" si="4"/>
        <v>0</v>
      </c>
      <c r="AT21">
        <f t="shared" si="4"/>
        <v>0</v>
      </c>
      <c r="AU21">
        <f t="shared" si="4"/>
        <v>0</v>
      </c>
      <c r="AV21" t="str">
        <f t="shared" si="4"/>
        <v>Hickerson</v>
      </c>
      <c r="AW21">
        <f t="shared" si="4"/>
        <v>0</v>
      </c>
      <c r="AX21">
        <f t="shared" si="4"/>
        <v>0</v>
      </c>
      <c r="AY21">
        <f t="shared" si="5"/>
        <v>0</v>
      </c>
      <c r="AZ21">
        <f t="shared" si="5"/>
        <v>0</v>
      </c>
      <c r="BA21">
        <f t="shared" si="5"/>
        <v>0</v>
      </c>
      <c r="BB21">
        <f t="shared" si="5"/>
        <v>0</v>
      </c>
      <c r="BC21">
        <f t="shared" si="5"/>
        <v>0</v>
      </c>
      <c r="BD21">
        <f t="shared" si="5"/>
        <v>0</v>
      </c>
      <c r="BE21">
        <f t="shared" si="5"/>
        <v>0</v>
      </c>
      <c r="BF21">
        <f t="shared" si="5"/>
        <v>0</v>
      </c>
      <c r="BG21">
        <f t="shared" si="5"/>
        <v>0</v>
      </c>
      <c r="BH21">
        <f t="shared" si="5"/>
        <v>0</v>
      </c>
      <c r="BI21">
        <f t="shared" si="6"/>
        <v>0</v>
      </c>
      <c r="BJ21">
        <f t="shared" si="6"/>
        <v>0</v>
      </c>
      <c r="BK21">
        <f t="shared" si="6"/>
        <v>0</v>
      </c>
      <c r="BL21">
        <f t="shared" si="6"/>
        <v>0</v>
      </c>
      <c r="BM21">
        <f t="shared" si="6"/>
        <v>0</v>
      </c>
      <c r="BN21">
        <f t="shared" si="6"/>
        <v>0</v>
      </c>
      <c r="BO21">
        <f t="shared" si="6"/>
        <v>0</v>
      </c>
      <c r="BP21">
        <f t="shared" si="6"/>
        <v>0</v>
      </c>
      <c r="BQ21">
        <f t="shared" si="6"/>
        <v>0</v>
      </c>
      <c r="BR21">
        <f t="shared" si="6"/>
        <v>0</v>
      </c>
      <c r="BS21">
        <f t="shared" si="6"/>
        <v>0</v>
      </c>
    </row>
    <row r="22" spans="2:71" ht="15" customHeight="1" x14ac:dyDescent="0.2">
      <c r="B22">
        <v>11</v>
      </c>
      <c r="C22">
        <v>2</v>
      </c>
      <c r="D22">
        <v>1</v>
      </c>
      <c r="E22" t="s">
        <v>102</v>
      </c>
      <c r="F22" t="s">
        <v>72</v>
      </c>
      <c r="G22" s="5">
        <v>41447</v>
      </c>
      <c r="H22" t="s">
        <v>97</v>
      </c>
      <c r="I22" t="s">
        <v>74</v>
      </c>
      <c r="J22" t="s">
        <v>75</v>
      </c>
      <c r="K22">
        <v>9</v>
      </c>
      <c r="L22" t="s">
        <v>90</v>
      </c>
      <c r="M22" t="s">
        <v>77</v>
      </c>
      <c r="N22" t="s">
        <v>78</v>
      </c>
      <c r="O22">
        <v>71.3</v>
      </c>
      <c r="P22">
        <v>130</v>
      </c>
      <c r="Q22">
        <v>6225</v>
      </c>
      <c r="R22" t="s">
        <v>79</v>
      </c>
      <c r="S22" t="s">
        <v>80</v>
      </c>
      <c r="T22" t="s">
        <v>83</v>
      </c>
      <c r="U22" t="s">
        <v>41</v>
      </c>
      <c r="V22" t="s">
        <v>41</v>
      </c>
      <c r="W22" t="s">
        <v>84</v>
      </c>
      <c r="X22">
        <v>18</v>
      </c>
      <c r="Y22" t="s">
        <v>48</v>
      </c>
      <c r="Z22">
        <v>20</v>
      </c>
      <c r="AA22">
        <v>1</v>
      </c>
      <c r="AB22" t="s">
        <v>33</v>
      </c>
      <c r="AC22" t="s">
        <v>103</v>
      </c>
      <c r="AE22" t="str">
        <f t="shared" si="0"/>
        <v>HiltsLynch</v>
      </c>
      <c r="AF22">
        <v>0</v>
      </c>
      <c r="AG22">
        <v>0</v>
      </c>
      <c r="AH22">
        <v>1</v>
      </c>
      <c r="AI22">
        <v>0</v>
      </c>
      <c r="AJ22">
        <v>0</v>
      </c>
      <c r="AK22" t="s">
        <v>50</v>
      </c>
      <c r="AL22">
        <v>0.59523809523809501</v>
      </c>
      <c r="AM22" t="s">
        <v>42</v>
      </c>
      <c r="AN22">
        <v>0.6171875</v>
      </c>
      <c r="AO22">
        <f t="shared" ref="AO22:AX31" si="7">IF(OR($V22=AO$1,$Y22=AO$1),AO$1,0)</f>
        <v>0</v>
      </c>
      <c r="AP22" t="str">
        <f t="shared" si="7"/>
        <v>Hilts</v>
      </c>
      <c r="AQ22">
        <f t="shared" si="7"/>
        <v>0</v>
      </c>
      <c r="AR22">
        <f t="shared" si="7"/>
        <v>0</v>
      </c>
      <c r="AS22">
        <f t="shared" si="7"/>
        <v>0</v>
      </c>
      <c r="AT22">
        <f t="shared" si="7"/>
        <v>0</v>
      </c>
      <c r="AU22">
        <f t="shared" si="7"/>
        <v>0</v>
      </c>
      <c r="AV22">
        <f t="shared" si="7"/>
        <v>0</v>
      </c>
      <c r="AW22" t="str">
        <f t="shared" si="7"/>
        <v>Lynch</v>
      </c>
      <c r="AX22">
        <f t="shared" si="7"/>
        <v>0</v>
      </c>
      <c r="AY22">
        <f t="shared" ref="AY22:BH31" si="8">IF(OR($V22=AY$1,$Y22=AY$1),AY$1,0)</f>
        <v>0</v>
      </c>
      <c r="AZ22">
        <f t="shared" si="8"/>
        <v>0</v>
      </c>
      <c r="BA22">
        <f t="shared" si="8"/>
        <v>0</v>
      </c>
      <c r="BB22">
        <f t="shared" si="8"/>
        <v>0</v>
      </c>
      <c r="BC22">
        <f t="shared" si="8"/>
        <v>0</v>
      </c>
      <c r="BD22">
        <f t="shared" si="8"/>
        <v>0</v>
      </c>
      <c r="BE22">
        <f t="shared" si="8"/>
        <v>0</v>
      </c>
      <c r="BF22">
        <f t="shared" si="8"/>
        <v>0</v>
      </c>
      <c r="BG22">
        <f t="shared" si="8"/>
        <v>0</v>
      </c>
      <c r="BH22">
        <f t="shared" si="8"/>
        <v>0</v>
      </c>
      <c r="BI22">
        <f t="shared" ref="BI22:BS31" si="9">IF(OR($V22=BI$1,$Y22=BI$1),BI$1,0)</f>
        <v>0</v>
      </c>
      <c r="BJ22">
        <f t="shared" si="9"/>
        <v>0</v>
      </c>
      <c r="BK22">
        <f t="shared" si="9"/>
        <v>0</v>
      </c>
      <c r="BL22">
        <f t="shared" si="9"/>
        <v>0</v>
      </c>
      <c r="BM22">
        <f t="shared" si="9"/>
        <v>0</v>
      </c>
      <c r="BN22">
        <f t="shared" si="9"/>
        <v>0</v>
      </c>
      <c r="BO22">
        <f t="shared" si="9"/>
        <v>0</v>
      </c>
      <c r="BP22">
        <f t="shared" si="9"/>
        <v>0</v>
      </c>
      <c r="BQ22">
        <f t="shared" si="9"/>
        <v>0</v>
      </c>
      <c r="BR22">
        <f t="shared" si="9"/>
        <v>0</v>
      </c>
      <c r="BS22">
        <f t="shared" si="9"/>
        <v>0</v>
      </c>
    </row>
    <row r="23" spans="2:71" ht="15" customHeight="1" x14ac:dyDescent="0.2">
      <c r="B23">
        <v>11</v>
      </c>
      <c r="C23">
        <v>2</v>
      </c>
      <c r="D23">
        <v>1</v>
      </c>
      <c r="E23" t="s">
        <v>102</v>
      </c>
      <c r="F23" t="s">
        <v>72</v>
      </c>
      <c r="G23" s="5">
        <v>41447</v>
      </c>
      <c r="H23" t="s">
        <v>97</v>
      </c>
      <c r="I23" t="s">
        <v>74</v>
      </c>
      <c r="J23" t="s">
        <v>75</v>
      </c>
      <c r="K23">
        <v>9</v>
      </c>
      <c r="L23" t="s">
        <v>90</v>
      </c>
      <c r="M23" t="s">
        <v>77</v>
      </c>
      <c r="N23" t="s">
        <v>78</v>
      </c>
      <c r="O23">
        <v>71.3</v>
      </c>
      <c r="P23">
        <v>130</v>
      </c>
      <c r="Q23">
        <v>6225</v>
      </c>
      <c r="R23" t="s">
        <v>79</v>
      </c>
      <c r="S23" t="s">
        <v>80</v>
      </c>
      <c r="T23" t="s">
        <v>81</v>
      </c>
      <c r="U23" t="s">
        <v>42</v>
      </c>
      <c r="V23" t="s">
        <v>50</v>
      </c>
      <c r="W23" t="s">
        <v>78</v>
      </c>
      <c r="X23">
        <v>28</v>
      </c>
      <c r="Y23" t="s">
        <v>42</v>
      </c>
      <c r="Z23">
        <v>15</v>
      </c>
      <c r="AA23">
        <v>1</v>
      </c>
      <c r="AB23" t="s">
        <v>32</v>
      </c>
      <c r="AC23" t="s">
        <v>103</v>
      </c>
      <c r="AE23" t="str">
        <f t="shared" si="0"/>
        <v>FerrinJackson</v>
      </c>
      <c r="AF23">
        <v>1</v>
      </c>
      <c r="AG23">
        <v>1</v>
      </c>
      <c r="AH23">
        <v>0</v>
      </c>
      <c r="AI23">
        <v>0</v>
      </c>
      <c r="AJ23">
        <v>1</v>
      </c>
      <c r="AK23" t="s">
        <v>41</v>
      </c>
      <c r="AL23">
        <v>0.47321428571428598</v>
      </c>
      <c r="AM23" t="s">
        <v>48</v>
      </c>
      <c r="AN23">
        <v>0.5546875</v>
      </c>
      <c r="AO23">
        <f t="shared" si="7"/>
        <v>0</v>
      </c>
      <c r="AP23">
        <f t="shared" si="7"/>
        <v>0</v>
      </c>
      <c r="AQ23" t="str">
        <f t="shared" si="7"/>
        <v>Jackson</v>
      </c>
      <c r="AR23">
        <f t="shared" si="7"/>
        <v>0</v>
      </c>
      <c r="AS23">
        <f t="shared" si="7"/>
        <v>0</v>
      </c>
      <c r="AT23">
        <f t="shared" si="7"/>
        <v>0</v>
      </c>
      <c r="AU23">
        <f t="shared" si="7"/>
        <v>0</v>
      </c>
      <c r="AV23">
        <f t="shared" si="7"/>
        <v>0</v>
      </c>
      <c r="AW23">
        <f t="shared" si="7"/>
        <v>0</v>
      </c>
      <c r="AX23">
        <f t="shared" si="7"/>
        <v>0</v>
      </c>
      <c r="AY23" t="str">
        <f t="shared" si="8"/>
        <v>Ferrin</v>
      </c>
      <c r="AZ23">
        <f t="shared" si="8"/>
        <v>0</v>
      </c>
      <c r="BA23">
        <f t="shared" si="8"/>
        <v>0</v>
      </c>
      <c r="BB23">
        <f t="shared" si="8"/>
        <v>0</v>
      </c>
      <c r="BC23">
        <f t="shared" si="8"/>
        <v>0</v>
      </c>
      <c r="BD23">
        <f t="shared" si="8"/>
        <v>0</v>
      </c>
      <c r="BE23">
        <f t="shared" si="8"/>
        <v>0</v>
      </c>
      <c r="BF23">
        <f t="shared" si="8"/>
        <v>0</v>
      </c>
      <c r="BG23">
        <f t="shared" si="8"/>
        <v>0</v>
      </c>
      <c r="BH23">
        <f t="shared" si="8"/>
        <v>0</v>
      </c>
      <c r="BI23">
        <f t="shared" si="9"/>
        <v>0</v>
      </c>
      <c r="BJ23">
        <f t="shared" si="9"/>
        <v>0</v>
      </c>
      <c r="BK23">
        <f t="shared" si="9"/>
        <v>0</v>
      </c>
      <c r="BL23">
        <f t="shared" si="9"/>
        <v>0</v>
      </c>
      <c r="BM23">
        <f t="shared" si="9"/>
        <v>0</v>
      </c>
      <c r="BN23">
        <f t="shared" si="9"/>
        <v>0</v>
      </c>
      <c r="BO23">
        <f t="shared" si="9"/>
        <v>0</v>
      </c>
      <c r="BP23">
        <f t="shared" si="9"/>
        <v>0</v>
      </c>
      <c r="BQ23">
        <f t="shared" si="9"/>
        <v>0</v>
      </c>
      <c r="BR23">
        <f t="shared" si="9"/>
        <v>0</v>
      </c>
      <c r="BS23">
        <f t="shared" si="9"/>
        <v>0</v>
      </c>
    </row>
    <row r="24" spans="2:71" ht="15" customHeight="1" x14ac:dyDescent="0.2">
      <c r="B24">
        <v>12</v>
      </c>
      <c r="C24">
        <v>3</v>
      </c>
      <c r="D24">
        <v>1</v>
      </c>
      <c r="E24" t="s">
        <v>104</v>
      </c>
      <c r="F24" t="s">
        <v>72</v>
      </c>
      <c r="G24" s="5">
        <v>41447</v>
      </c>
      <c r="H24" t="s">
        <v>97</v>
      </c>
      <c r="I24" t="s">
        <v>74</v>
      </c>
      <c r="J24" t="s">
        <v>75</v>
      </c>
      <c r="K24">
        <v>9</v>
      </c>
      <c r="L24" t="s">
        <v>90</v>
      </c>
      <c r="M24" t="s">
        <v>77</v>
      </c>
      <c r="N24" t="s">
        <v>78</v>
      </c>
      <c r="O24">
        <v>71.3</v>
      </c>
      <c r="P24">
        <v>130</v>
      </c>
      <c r="Q24">
        <v>6225</v>
      </c>
      <c r="R24" t="s">
        <v>79</v>
      </c>
      <c r="S24" t="s">
        <v>80</v>
      </c>
      <c r="T24" t="s">
        <v>83</v>
      </c>
      <c r="U24" t="s">
        <v>41</v>
      </c>
      <c r="V24" t="s">
        <v>45</v>
      </c>
      <c r="W24" t="s">
        <v>84</v>
      </c>
      <c r="X24">
        <v>15</v>
      </c>
      <c r="Y24" t="s">
        <v>49</v>
      </c>
      <c r="Z24">
        <v>30</v>
      </c>
      <c r="AA24">
        <v>1</v>
      </c>
      <c r="AB24" t="s">
        <v>32</v>
      </c>
      <c r="AC24" t="s">
        <v>82</v>
      </c>
      <c r="AE24" t="str">
        <f t="shared" si="0"/>
        <v>ConnollyShively</v>
      </c>
      <c r="AF24">
        <v>1</v>
      </c>
      <c r="AG24">
        <v>1</v>
      </c>
      <c r="AH24">
        <v>0</v>
      </c>
      <c r="AI24">
        <v>0</v>
      </c>
      <c r="AJ24">
        <v>1</v>
      </c>
      <c r="AK24" t="s">
        <v>44</v>
      </c>
      <c r="AL24">
        <v>0.4296875</v>
      </c>
      <c r="AM24" t="s">
        <v>46</v>
      </c>
      <c r="AN24">
        <v>0.38392857142857201</v>
      </c>
      <c r="AO24">
        <f t="shared" si="7"/>
        <v>0</v>
      </c>
      <c r="AP24">
        <f t="shared" si="7"/>
        <v>0</v>
      </c>
      <c r="AQ24">
        <f t="shared" si="7"/>
        <v>0</v>
      </c>
      <c r="AR24">
        <f t="shared" si="7"/>
        <v>0</v>
      </c>
      <c r="AS24">
        <f t="shared" si="7"/>
        <v>0</v>
      </c>
      <c r="AT24" t="str">
        <f t="shared" si="7"/>
        <v>Connolly</v>
      </c>
      <c r="AU24">
        <f t="shared" si="7"/>
        <v>0</v>
      </c>
      <c r="AV24">
        <f t="shared" si="7"/>
        <v>0</v>
      </c>
      <c r="AW24">
        <f t="shared" si="7"/>
        <v>0</v>
      </c>
      <c r="AX24" t="str">
        <f t="shared" si="7"/>
        <v>Shively</v>
      </c>
      <c r="AY24">
        <f t="shared" si="8"/>
        <v>0</v>
      </c>
      <c r="AZ24">
        <f t="shared" si="8"/>
        <v>0</v>
      </c>
      <c r="BA24">
        <f t="shared" si="8"/>
        <v>0</v>
      </c>
      <c r="BB24">
        <f t="shared" si="8"/>
        <v>0</v>
      </c>
      <c r="BC24">
        <f t="shared" si="8"/>
        <v>0</v>
      </c>
      <c r="BD24">
        <f t="shared" si="8"/>
        <v>0</v>
      </c>
      <c r="BE24">
        <f t="shared" si="8"/>
        <v>0</v>
      </c>
      <c r="BF24">
        <f t="shared" si="8"/>
        <v>0</v>
      </c>
      <c r="BG24">
        <f t="shared" si="8"/>
        <v>0</v>
      </c>
      <c r="BH24">
        <f t="shared" si="8"/>
        <v>0</v>
      </c>
      <c r="BI24">
        <f t="shared" si="9"/>
        <v>0</v>
      </c>
      <c r="BJ24">
        <f t="shared" si="9"/>
        <v>0</v>
      </c>
      <c r="BK24">
        <f t="shared" si="9"/>
        <v>0</v>
      </c>
      <c r="BL24">
        <f t="shared" si="9"/>
        <v>0</v>
      </c>
      <c r="BM24">
        <f t="shared" si="9"/>
        <v>0</v>
      </c>
      <c r="BN24">
        <f t="shared" si="9"/>
        <v>0</v>
      </c>
      <c r="BO24">
        <f t="shared" si="9"/>
        <v>0</v>
      </c>
      <c r="BP24">
        <f t="shared" si="9"/>
        <v>0</v>
      </c>
      <c r="BQ24">
        <f t="shared" si="9"/>
        <v>0</v>
      </c>
      <c r="BR24">
        <f t="shared" si="9"/>
        <v>0</v>
      </c>
      <c r="BS24">
        <f t="shared" si="9"/>
        <v>0</v>
      </c>
    </row>
    <row r="25" spans="2:71" ht="15" customHeight="1" x14ac:dyDescent="0.2">
      <c r="B25">
        <v>12</v>
      </c>
      <c r="C25">
        <v>3</v>
      </c>
      <c r="D25">
        <v>1</v>
      </c>
      <c r="E25" t="s">
        <v>104</v>
      </c>
      <c r="F25" t="s">
        <v>72</v>
      </c>
      <c r="G25" s="5">
        <v>41447</v>
      </c>
      <c r="H25" t="s">
        <v>97</v>
      </c>
      <c r="I25" t="s">
        <v>74</v>
      </c>
      <c r="J25" t="s">
        <v>75</v>
      </c>
      <c r="K25">
        <v>9</v>
      </c>
      <c r="L25" t="s">
        <v>90</v>
      </c>
      <c r="M25" t="s">
        <v>77</v>
      </c>
      <c r="N25" t="s">
        <v>78</v>
      </c>
      <c r="O25">
        <v>71.3</v>
      </c>
      <c r="P25">
        <v>130</v>
      </c>
      <c r="Q25">
        <v>6225</v>
      </c>
      <c r="R25" t="s">
        <v>79</v>
      </c>
      <c r="S25" t="s">
        <v>80</v>
      </c>
      <c r="T25" t="s">
        <v>81</v>
      </c>
      <c r="U25" t="s">
        <v>42</v>
      </c>
      <c r="V25" t="s">
        <v>44</v>
      </c>
      <c r="W25" t="s">
        <v>78</v>
      </c>
      <c r="X25">
        <v>15</v>
      </c>
      <c r="Y25" t="s">
        <v>46</v>
      </c>
      <c r="Z25">
        <v>15</v>
      </c>
      <c r="AA25">
        <v>1</v>
      </c>
      <c r="AB25" t="s">
        <v>33</v>
      </c>
      <c r="AC25" t="s">
        <v>82</v>
      </c>
      <c r="AE25" t="str">
        <f t="shared" si="0"/>
        <v>FlandersMangold</v>
      </c>
      <c r="AF25">
        <v>0</v>
      </c>
      <c r="AG25">
        <v>0</v>
      </c>
      <c r="AH25">
        <v>1</v>
      </c>
      <c r="AI25">
        <v>0</v>
      </c>
      <c r="AJ25">
        <v>0</v>
      </c>
      <c r="AK25" t="s">
        <v>45</v>
      </c>
      <c r="AL25">
        <v>0.59375</v>
      </c>
      <c r="AM25" t="s">
        <v>49</v>
      </c>
      <c r="AO25">
        <f t="shared" si="7"/>
        <v>0</v>
      </c>
      <c r="AP25">
        <f t="shared" si="7"/>
        <v>0</v>
      </c>
      <c r="AQ25">
        <f t="shared" si="7"/>
        <v>0</v>
      </c>
      <c r="AR25">
        <f t="shared" si="7"/>
        <v>0</v>
      </c>
      <c r="AS25" t="str">
        <f t="shared" si="7"/>
        <v>Flanders</v>
      </c>
      <c r="AT25">
        <f t="shared" si="7"/>
        <v>0</v>
      </c>
      <c r="AU25" t="str">
        <f t="shared" si="7"/>
        <v>Mangold</v>
      </c>
      <c r="AV25">
        <f t="shared" si="7"/>
        <v>0</v>
      </c>
      <c r="AW25">
        <f t="shared" si="7"/>
        <v>0</v>
      </c>
      <c r="AX25">
        <f t="shared" si="7"/>
        <v>0</v>
      </c>
      <c r="AY25">
        <f t="shared" si="8"/>
        <v>0</v>
      </c>
      <c r="AZ25">
        <f t="shared" si="8"/>
        <v>0</v>
      </c>
      <c r="BA25">
        <f t="shared" si="8"/>
        <v>0</v>
      </c>
      <c r="BB25">
        <f t="shared" si="8"/>
        <v>0</v>
      </c>
      <c r="BC25">
        <f t="shared" si="8"/>
        <v>0</v>
      </c>
      <c r="BD25">
        <f t="shared" si="8"/>
        <v>0</v>
      </c>
      <c r="BE25">
        <f t="shared" si="8"/>
        <v>0</v>
      </c>
      <c r="BF25">
        <f t="shared" si="8"/>
        <v>0</v>
      </c>
      <c r="BG25">
        <f t="shared" si="8"/>
        <v>0</v>
      </c>
      <c r="BH25">
        <f t="shared" si="8"/>
        <v>0</v>
      </c>
      <c r="BI25">
        <f t="shared" si="9"/>
        <v>0</v>
      </c>
      <c r="BJ25">
        <f t="shared" si="9"/>
        <v>0</v>
      </c>
      <c r="BK25">
        <f t="shared" si="9"/>
        <v>0</v>
      </c>
      <c r="BL25">
        <f t="shared" si="9"/>
        <v>0</v>
      </c>
      <c r="BM25">
        <f t="shared" si="9"/>
        <v>0</v>
      </c>
      <c r="BN25">
        <f t="shared" si="9"/>
        <v>0</v>
      </c>
      <c r="BO25">
        <f t="shared" si="9"/>
        <v>0</v>
      </c>
      <c r="BP25">
        <f t="shared" si="9"/>
        <v>0</v>
      </c>
      <c r="BQ25">
        <f t="shared" si="9"/>
        <v>0</v>
      </c>
      <c r="BR25">
        <f t="shared" si="9"/>
        <v>0</v>
      </c>
      <c r="BS25">
        <f t="shared" si="9"/>
        <v>0</v>
      </c>
    </row>
    <row r="26" spans="2:71" ht="15" customHeight="1" x14ac:dyDescent="0.2">
      <c r="B26">
        <v>13</v>
      </c>
      <c r="C26">
        <v>1</v>
      </c>
      <c r="D26">
        <v>1</v>
      </c>
      <c r="E26" t="s">
        <v>105</v>
      </c>
      <c r="F26" t="s">
        <v>106</v>
      </c>
      <c r="G26" s="5">
        <v>41448</v>
      </c>
      <c r="H26" t="s">
        <v>73</v>
      </c>
      <c r="I26" t="s">
        <v>74</v>
      </c>
      <c r="J26" t="s">
        <v>75</v>
      </c>
      <c r="K26">
        <v>18</v>
      </c>
      <c r="L26" t="s">
        <v>107</v>
      </c>
      <c r="M26" t="s">
        <v>108</v>
      </c>
      <c r="N26" t="s">
        <v>109</v>
      </c>
      <c r="O26">
        <v>72.2</v>
      </c>
      <c r="P26">
        <v>128</v>
      </c>
      <c r="Q26">
        <v>6772</v>
      </c>
      <c r="R26" t="s">
        <v>110</v>
      </c>
      <c r="S26" t="s">
        <v>111</v>
      </c>
      <c r="T26" t="s">
        <v>83</v>
      </c>
      <c r="U26" t="s">
        <v>41</v>
      </c>
      <c r="V26" t="s">
        <v>41</v>
      </c>
      <c r="W26" t="s">
        <v>109</v>
      </c>
      <c r="X26">
        <v>18</v>
      </c>
      <c r="AA26">
        <v>2</v>
      </c>
      <c r="AB26" t="s">
        <v>32</v>
      </c>
      <c r="AC26" t="s">
        <v>112</v>
      </c>
      <c r="AD26" t="s">
        <v>46</v>
      </c>
      <c r="AE26" t="str">
        <f t="shared" si="0"/>
        <v>Hilts</v>
      </c>
      <c r="AF26">
        <v>2</v>
      </c>
      <c r="AG26">
        <v>1</v>
      </c>
      <c r="AH26">
        <v>0</v>
      </c>
      <c r="AI26">
        <v>0</v>
      </c>
      <c r="AJ26">
        <v>1</v>
      </c>
      <c r="AK26" t="s">
        <v>46</v>
      </c>
      <c r="AL26">
        <v>0.38392857142857201</v>
      </c>
      <c r="AO26">
        <f t="shared" si="7"/>
        <v>0</v>
      </c>
      <c r="AP26" t="str">
        <f t="shared" si="7"/>
        <v>Hilts</v>
      </c>
      <c r="AQ26">
        <f t="shared" si="7"/>
        <v>0</v>
      </c>
      <c r="AR26">
        <f t="shared" si="7"/>
        <v>0</v>
      </c>
      <c r="AS26">
        <f t="shared" si="7"/>
        <v>0</v>
      </c>
      <c r="AT26">
        <f t="shared" si="7"/>
        <v>0</v>
      </c>
      <c r="AU26">
        <f t="shared" si="7"/>
        <v>0</v>
      </c>
      <c r="AV26">
        <f t="shared" si="7"/>
        <v>0</v>
      </c>
      <c r="AW26">
        <f t="shared" si="7"/>
        <v>0</v>
      </c>
      <c r="AX26">
        <f t="shared" si="7"/>
        <v>0</v>
      </c>
      <c r="AY26">
        <f t="shared" si="8"/>
        <v>0</v>
      </c>
      <c r="AZ26">
        <f t="shared" si="8"/>
        <v>0</v>
      </c>
      <c r="BA26">
        <f t="shared" si="8"/>
        <v>0</v>
      </c>
      <c r="BB26">
        <f t="shared" si="8"/>
        <v>0</v>
      </c>
      <c r="BC26">
        <f t="shared" si="8"/>
        <v>0</v>
      </c>
      <c r="BD26">
        <f t="shared" si="8"/>
        <v>0</v>
      </c>
      <c r="BE26">
        <f t="shared" si="8"/>
        <v>0</v>
      </c>
      <c r="BF26">
        <f t="shared" si="8"/>
        <v>0</v>
      </c>
      <c r="BG26">
        <f t="shared" si="8"/>
        <v>0</v>
      </c>
      <c r="BH26">
        <f t="shared" si="8"/>
        <v>0</v>
      </c>
      <c r="BI26">
        <f t="shared" si="9"/>
        <v>0</v>
      </c>
      <c r="BJ26">
        <f t="shared" si="9"/>
        <v>0</v>
      </c>
      <c r="BK26">
        <f t="shared" si="9"/>
        <v>0</v>
      </c>
      <c r="BL26">
        <f t="shared" si="9"/>
        <v>0</v>
      </c>
      <c r="BM26">
        <f t="shared" si="9"/>
        <v>0</v>
      </c>
      <c r="BN26">
        <f t="shared" si="9"/>
        <v>0</v>
      </c>
      <c r="BO26">
        <f t="shared" si="9"/>
        <v>0</v>
      </c>
      <c r="BP26">
        <f t="shared" si="9"/>
        <v>0</v>
      </c>
      <c r="BQ26">
        <f t="shared" si="9"/>
        <v>0</v>
      </c>
      <c r="BR26">
        <f t="shared" si="9"/>
        <v>0</v>
      </c>
      <c r="BS26">
        <f t="shared" si="9"/>
        <v>0</v>
      </c>
    </row>
    <row r="27" spans="2:71" ht="15" customHeight="1" x14ac:dyDescent="0.2">
      <c r="B27">
        <v>13</v>
      </c>
      <c r="C27">
        <v>1</v>
      </c>
      <c r="D27">
        <v>1</v>
      </c>
      <c r="E27" t="s">
        <v>105</v>
      </c>
      <c r="F27" t="s">
        <v>106</v>
      </c>
      <c r="G27" s="5">
        <v>41448</v>
      </c>
      <c r="H27" t="s">
        <v>73</v>
      </c>
      <c r="I27" t="s">
        <v>74</v>
      </c>
      <c r="J27" t="s">
        <v>75</v>
      </c>
      <c r="K27">
        <v>18</v>
      </c>
      <c r="L27" t="s">
        <v>107</v>
      </c>
      <c r="M27" t="s">
        <v>108</v>
      </c>
      <c r="N27" t="s">
        <v>109</v>
      </c>
      <c r="O27">
        <v>72.2</v>
      </c>
      <c r="P27">
        <v>128</v>
      </c>
      <c r="Q27">
        <v>6772</v>
      </c>
      <c r="R27" t="s">
        <v>110</v>
      </c>
      <c r="S27" t="s">
        <v>111</v>
      </c>
      <c r="T27" t="s">
        <v>81</v>
      </c>
      <c r="U27" t="s">
        <v>42</v>
      </c>
      <c r="V27" t="s">
        <v>46</v>
      </c>
      <c r="W27" t="s">
        <v>109</v>
      </c>
      <c r="X27">
        <v>15</v>
      </c>
      <c r="AA27">
        <v>2</v>
      </c>
      <c r="AB27" t="s">
        <v>33</v>
      </c>
      <c r="AC27" t="s">
        <v>112</v>
      </c>
      <c r="AD27" t="s">
        <v>41</v>
      </c>
      <c r="AE27" t="str">
        <f t="shared" si="0"/>
        <v>Mangold</v>
      </c>
      <c r="AF27">
        <v>0</v>
      </c>
      <c r="AG27">
        <v>0</v>
      </c>
      <c r="AH27">
        <v>1</v>
      </c>
      <c r="AI27">
        <v>0</v>
      </c>
      <c r="AJ27">
        <v>0</v>
      </c>
      <c r="AK27" t="s">
        <v>41</v>
      </c>
      <c r="AL27">
        <v>0.47321428571428598</v>
      </c>
      <c r="AO27">
        <f t="shared" si="7"/>
        <v>0</v>
      </c>
      <c r="AP27">
        <f t="shared" si="7"/>
        <v>0</v>
      </c>
      <c r="AQ27">
        <f t="shared" si="7"/>
        <v>0</v>
      </c>
      <c r="AR27">
        <f t="shared" si="7"/>
        <v>0</v>
      </c>
      <c r="AS27">
        <f t="shared" si="7"/>
        <v>0</v>
      </c>
      <c r="AT27">
        <f t="shared" si="7"/>
        <v>0</v>
      </c>
      <c r="AU27" t="str">
        <f t="shared" si="7"/>
        <v>Mangold</v>
      </c>
      <c r="AV27">
        <f t="shared" si="7"/>
        <v>0</v>
      </c>
      <c r="AW27">
        <f t="shared" si="7"/>
        <v>0</v>
      </c>
      <c r="AX27">
        <f t="shared" si="7"/>
        <v>0</v>
      </c>
      <c r="AY27">
        <f t="shared" si="8"/>
        <v>0</v>
      </c>
      <c r="AZ27">
        <f t="shared" si="8"/>
        <v>0</v>
      </c>
      <c r="BA27">
        <f t="shared" si="8"/>
        <v>0</v>
      </c>
      <c r="BB27">
        <f t="shared" si="8"/>
        <v>0</v>
      </c>
      <c r="BC27">
        <f t="shared" si="8"/>
        <v>0</v>
      </c>
      <c r="BD27">
        <f t="shared" si="8"/>
        <v>0</v>
      </c>
      <c r="BE27">
        <f t="shared" si="8"/>
        <v>0</v>
      </c>
      <c r="BF27">
        <f t="shared" si="8"/>
        <v>0</v>
      </c>
      <c r="BG27">
        <f t="shared" si="8"/>
        <v>0</v>
      </c>
      <c r="BH27">
        <f t="shared" si="8"/>
        <v>0</v>
      </c>
      <c r="BI27">
        <f t="shared" si="9"/>
        <v>0</v>
      </c>
      <c r="BJ27">
        <f t="shared" si="9"/>
        <v>0</v>
      </c>
      <c r="BK27">
        <f t="shared" si="9"/>
        <v>0</v>
      </c>
      <c r="BL27">
        <f t="shared" si="9"/>
        <v>0</v>
      </c>
      <c r="BM27">
        <f t="shared" si="9"/>
        <v>0</v>
      </c>
      <c r="BN27">
        <f t="shared" si="9"/>
        <v>0</v>
      </c>
      <c r="BO27">
        <f t="shared" si="9"/>
        <v>0</v>
      </c>
      <c r="BP27">
        <f t="shared" si="9"/>
        <v>0</v>
      </c>
      <c r="BQ27">
        <f t="shared" si="9"/>
        <v>0</v>
      </c>
      <c r="BR27">
        <f t="shared" si="9"/>
        <v>0</v>
      </c>
      <c r="BS27">
        <f t="shared" si="9"/>
        <v>0</v>
      </c>
    </row>
    <row r="28" spans="2:71" ht="15" customHeight="1" x14ac:dyDescent="0.2">
      <c r="B28">
        <v>14</v>
      </c>
      <c r="C28">
        <v>2</v>
      </c>
      <c r="D28">
        <v>1</v>
      </c>
      <c r="E28" t="s">
        <v>113</v>
      </c>
      <c r="F28" t="s">
        <v>106</v>
      </c>
      <c r="G28" s="5">
        <v>41448</v>
      </c>
      <c r="H28" t="s">
        <v>73</v>
      </c>
      <c r="I28" t="s">
        <v>74</v>
      </c>
      <c r="J28" t="s">
        <v>75</v>
      </c>
      <c r="K28">
        <v>18</v>
      </c>
      <c r="L28" t="s">
        <v>107</v>
      </c>
      <c r="M28" t="s">
        <v>108</v>
      </c>
      <c r="N28" t="s">
        <v>109</v>
      </c>
      <c r="O28">
        <v>72.2</v>
      </c>
      <c r="P28">
        <v>128</v>
      </c>
      <c r="Q28">
        <v>6772</v>
      </c>
      <c r="R28" t="s">
        <v>110</v>
      </c>
      <c r="S28" t="s">
        <v>111</v>
      </c>
      <c r="T28" t="s">
        <v>81</v>
      </c>
      <c r="U28" t="s">
        <v>42</v>
      </c>
      <c r="V28" t="s">
        <v>47</v>
      </c>
      <c r="W28" t="s">
        <v>109</v>
      </c>
      <c r="X28">
        <v>20</v>
      </c>
      <c r="AA28">
        <v>2</v>
      </c>
      <c r="AB28" t="s">
        <v>34</v>
      </c>
      <c r="AC28" t="s">
        <v>92</v>
      </c>
      <c r="AD28" t="s">
        <v>48</v>
      </c>
      <c r="AE28" t="str">
        <f t="shared" si="0"/>
        <v>Hickerson</v>
      </c>
      <c r="AF28">
        <v>1</v>
      </c>
      <c r="AG28">
        <v>0</v>
      </c>
      <c r="AH28">
        <v>0</v>
      </c>
      <c r="AI28">
        <v>1</v>
      </c>
      <c r="AJ28">
        <v>0.5</v>
      </c>
      <c r="AK28" t="s">
        <v>48</v>
      </c>
      <c r="AL28">
        <v>0.5546875</v>
      </c>
      <c r="AO28">
        <f t="shared" si="7"/>
        <v>0</v>
      </c>
      <c r="AP28">
        <f t="shared" si="7"/>
        <v>0</v>
      </c>
      <c r="AQ28">
        <f t="shared" si="7"/>
        <v>0</v>
      </c>
      <c r="AR28">
        <f t="shared" si="7"/>
        <v>0</v>
      </c>
      <c r="AS28">
        <f t="shared" si="7"/>
        <v>0</v>
      </c>
      <c r="AT28">
        <f t="shared" si="7"/>
        <v>0</v>
      </c>
      <c r="AU28">
        <f t="shared" si="7"/>
        <v>0</v>
      </c>
      <c r="AV28" t="str">
        <f t="shared" si="7"/>
        <v>Hickerson</v>
      </c>
      <c r="AW28">
        <f t="shared" si="7"/>
        <v>0</v>
      </c>
      <c r="AX28">
        <f t="shared" si="7"/>
        <v>0</v>
      </c>
      <c r="AY28">
        <f t="shared" si="8"/>
        <v>0</v>
      </c>
      <c r="AZ28">
        <f t="shared" si="8"/>
        <v>0</v>
      </c>
      <c r="BA28">
        <f t="shared" si="8"/>
        <v>0</v>
      </c>
      <c r="BB28">
        <f t="shared" si="8"/>
        <v>0</v>
      </c>
      <c r="BC28">
        <f t="shared" si="8"/>
        <v>0</v>
      </c>
      <c r="BD28">
        <f t="shared" si="8"/>
        <v>0</v>
      </c>
      <c r="BE28">
        <f t="shared" si="8"/>
        <v>0</v>
      </c>
      <c r="BF28">
        <f t="shared" si="8"/>
        <v>0</v>
      </c>
      <c r="BG28">
        <f t="shared" si="8"/>
        <v>0</v>
      </c>
      <c r="BH28">
        <f t="shared" si="8"/>
        <v>0</v>
      </c>
      <c r="BI28">
        <f t="shared" si="9"/>
        <v>0</v>
      </c>
      <c r="BJ28">
        <f t="shared" si="9"/>
        <v>0</v>
      </c>
      <c r="BK28">
        <f t="shared" si="9"/>
        <v>0</v>
      </c>
      <c r="BL28">
        <f t="shared" si="9"/>
        <v>0</v>
      </c>
      <c r="BM28">
        <f t="shared" si="9"/>
        <v>0</v>
      </c>
      <c r="BN28">
        <f t="shared" si="9"/>
        <v>0</v>
      </c>
      <c r="BO28">
        <f t="shared" si="9"/>
        <v>0</v>
      </c>
      <c r="BP28">
        <f t="shared" si="9"/>
        <v>0</v>
      </c>
      <c r="BQ28">
        <f t="shared" si="9"/>
        <v>0</v>
      </c>
      <c r="BR28">
        <f t="shared" si="9"/>
        <v>0</v>
      </c>
      <c r="BS28">
        <f t="shared" si="9"/>
        <v>0</v>
      </c>
    </row>
    <row r="29" spans="2:71" ht="15" customHeight="1" x14ac:dyDescent="0.2">
      <c r="B29">
        <v>14</v>
      </c>
      <c r="C29">
        <v>2</v>
      </c>
      <c r="D29">
        <v>1</v>
      </c>
      <c r="E29" t="s">
        <v>113</v>
      </c>
      <c r="F29" t="s">
        <v>106</v>
      </c>
      <c r="G29" s="5">
        <v>41448</v>
      </c>
      <c r="H29" t="s">
        <v>73</v>
      </c>
      <c r="I29" t="s">
        <v>74</v>
      </c>
      <c r="J29" t="s">
        <v>75</v>
      </c>
      <c r="K29">
        <v>18</v>
      </c>
      <c r="L29" t="s">
        <v>107</v>
      </c>
      <c r="M29" t="s">
        <v>108</v>
      </c>
      <c r="N29" t="s">
        <v>109</v>
      </c>
      <c r="O29">
        <v>72.2</v>
      </c>
      <c r="P29">
        <v>128</v>
      </c>
      <c r="Q29">
        <v>6772</v>
      </c>
      <c r="R29" t="s">
        <v>110</v>
      </c>
      <c r="S29" t="s">
        <v>111</v>
      </c>
      <c r="T29" t="s">
        <v>83</v>
      </c>
      <c r="U29" t="s">
        <v>41</v>
      </c>
      <c r="V29" t="s">
        <v>48</v>
      </c>
      <c r="W29" t="s">
        <v>109</v>
      </c>
      <c r="X29">
        <v>20</v>
      </c>
      <c r="AA29">
        <v>2</v>
      </c>
      <c r="AB29" t="s">
        <v>34</v>
      </c>
      <c r="AC29" t="s">
        <v>92</v>
      </c>
      <c r="AD29" t="s">
        <v>47</v>
      </c>
      <c r="AE29" t="str">
        <f t="shared" si="0"/>
        <v>Lynch</v>
      </c>
      <c r="AF29">
        <v>1</v>
      </c>
      <c r="AG29">
        <v>0</v>
      </c>
      <c r="AH29">
        <v>0</v>
      </c>
      <c r="AI29">
        <v>1</v>
      </c>
      <c r="AJ29">
        <v>0.5</v>
      </c>
      <c r="AK29" t="s">
        <v>47</v>
      </c>
      <c r="AL29">
        <v>0.35714285714285698</v>
      </c>
      <c r="AO29">
        <f t="shared" si="7"/>
        <v>0</v>
      </c>
      <c r="AP29">
        <f t="shared" si="7"/>
        <v>0</v>
      </c>
      <c r="AQ29">
        <f t="shared" si="7"/>
        <v>0</v>
      </c>
      <c r="AR29">
        <f t="shared" si="7"/>
        <v>0</v>
      </c>
      <c r="AS29">
        <f t="shared" si="7"/>
        <v>0</v>
      </c>
      <c r="AT29">
        <f t="shared" si="7"/>
        <v>0</v>
      </c>
      <c r="AU29">
        <f t="shared" si="7"/>
        <v>0</v>
      </c>
      <c r="AV29">
        <f t="shared" si="7"/>
        <v>0</v>
      </c>
      <c r="AW29" t="str">
        <f t="shared" si="7"/>
        <v>Lynch</v>
      </c>
      <c r="AX29">
        <f t="shared" si="7"/>
        <v>0</v>
      </c>
      <c r="AY29">
        <f t="shared" si="8"/>
        <v>0</v>
      </c>
      <c r="AZ29">
        <f t="shared" si="8"/>
        <v>0</v>
      </c>
      <c r="BA29">
        <f t="shared" si="8"/>
        <v>0</v>
      </c>
      <c r="BB29">
        <f t="shared" si="8"/>
        <v>0</v>
      </c>
      <c r="BC29">
        <f t="shared" si="8"/>
        <v>0</v>
      </c>
      <c r="BD29">
        <f t="shared" si="8"/>
        <v>0</v>
      </c>
      <c r="BE29">
        <f t="shared" si="8"/>
        <v>0</v>
      </c>
      <c r="BF29">
        <f t="shared" si="8"/>
        <v>0</v>
      </c>
      <c r="BG29">
        <f t="shared" si="8"/>
        <v>0</v>
      </c>
      <c r="BH29">
        <f t="shared" si="8"/>
        <v>0</v>
      </c>
      <c r="BI29">
        <f t="shared" si="9"/>
        <v>0</v>
      </c>
      <c r="BJ29">
        <f t="shared" si="9"/>
        <v>0</v>
      </c>
      <c r="BK29">
        <f t="shared" si="9"/>
        <v>0</v>
      </c>
      <c r="BL29">
        <f t="shared" si="9"/>
        <v>0</v>
      </c>
      <c r="BM29">
        <f t="shared" si="9"/>
        <v>0</v>
      </c>
      <c r="BN29">
        <f t="shared" si="9"/>
        <v>0</v>
      </c>
      <c r="BO29">
        <f t="shared" si="9"/>
        <v>0</v>
      </c>
      <c r="BP29">
        <f t="shared" si="9"/>
        <v>0</v>
      </c>
      <c r="BQ29">
        <f t="shared" si="9"/>
        <v>0</v>
      </c>
      <c r="BR29">
        <f t="shared" si="9"/>
        <v>0</v>
      </c>
      <c r="BS29">
        <f t="shared" si="9"/>
        <v>0</v>
      </c>
    </row>
    <row r="30" spans="2:71" ht="15" customHeight="1" x14ac:dyDescent="0.2">
      <c r="B30">
        <v>15</v>
      </c>
      <c r="C30">
        <v>3</v>
      </c>
      <c r="D30">
        <v>1</v>
      </c>
      <c r="E30" t="s">
        <v>114</v>
      </c>
      <c r="F30" t="s">
        <v>106</v>
      </c>
      <c r="G30" s="5">
        <v>41448</v>
      </c>
      <c r="H30" t="s">
        <v>73</v>
      </c>
      <c r="I30" t="s">
        <v>74</v>
      </c>
      <c r="J30" t="s">
        <v>75</v>
      </c>
      <c r="K30">
        <v>18</v>
      </c>
      <c r="L30" t="s">
        <v>107</v>
      </c>
      <c r="M30" t="s">
        <v>108</v>
      </c>
      <c r="N30" t="s">
        <v>109</v>
      </c>
      <c r="O30">
        <v>72.2</v>
      </c>
      <c r="P30">
        <v>128</v>
      </c>
      <c r="Q30">
        <v>6772</v>
      </c>
      <c r="R30" t="s">
        <v>110</v>
      </c>
      <c r="S30" t="s">
        <v>111</v>
      </c>
      <c r="T30" t="s">
        <v>83</v>
      </c>
      <c r="U30" t="s">
        <v>41</v>
      </c>
      <c r="V30" t="s">
        <v>49</v>
      </c>
      <c r="W30" t="s">
        <v>109</v>
      </c>
      <c r="X30">
        <v>30</v>
      </c>
      <c r="AA30">
        <v>2</v>
      </c>
      <c r="AB30" t="s">
        <v>33</v>
      </c>
      <c r="AC30" t="s">
        <v>82</v>
      </c>
      <c r="AD30" t="s">
        <v>50</v>
      </c>
      <c r="AE30" t="str">
        <f t="shared" si="0"/>
        <v>Shively</v>
      </c>
      <c r="AF30">
        <v>0</v>
      </c>
      <c r="AG30">
        <v>0</v>
      </c>
      <c r="AH30">
        <v>1</v>
      </c>
      <c r="AI30">
        <v>0</v>
      </c>
      <c r="AJ30">
        <v>0</v>
      </c>
      <c r="AK30" t="s">
        <v>50</v>
      </c>
      <c r="AL30">
        <v>0.59523809523809501</v>
      </c>
      <c r="AO30">
        <f t="shared" si="7"/>
        <v>0</v>
      </c>
      <c r="AP30">
        <f t="shared" si="7"/>
        <v>0</v>
      </c>
      <c r="AQ30">
        <f t="shared" si="7"/>
        <v>0</v>
      </c>
      <c r="AR30">
        <f t="shared" si="7"/>
        <v>0</v>
      </c>
      <c r="AS30">
        <f t="shared" si="7"/>
        <v>0</v>
      </c>
      <c r="AT30">
        <f t="shared" si="7"/>
        <v>0</v>
      </c>
      <c r="AU30">
        <f t="shared" si="7"/>
        <v>0</v>
      </c>
      <c r="AV30">
        <f t="shared" si="7"/>
        <v>0</v>
      </c>
      <c r="AW30">
        <f t="shared" si="7"/>
        <v>0</v>
      </c>
      <c r="AX30" t="str">
        <f t="shared" si="7"/>
        <v>Shively</v>
      </c>
      <c r="AY30">
        <f t="shared" si="8"/>
        <v>0</v>
      </c>
      <c r="AZ30">
        <f t="shared" si="8"/>
        <v>0</v>
      </c>
      <c r="BA30">
        <f t="shared" si="8"/>
        <v>0</v>
      </c>
      <c r="BB30">
        <f t="shared" si="8"/>
        <v>0</v>
      </c>
      <c r="BC30">
        <f t="shared" si="8"/>
        <v>0</v>
      </c>
      <c r="BD30">
        <f t="shared" si="8"/>
        <v>0</v>
      </c>
      <c r="BE30">
        <f t="shared" si="8"/>
        <v>0</v>
      </c>
      <c r="BF30">
        <f t="shared" si="8"/>
        <v>0</v>
      </c>
      <c r="BG30">
        <f t="shared" si="8"/>
        <v>0</v>
      </c>
      <c r="BH30">
        <f t="shared" si="8"/>
        <v>0</v>
      </c>
      <c r="BI30">
        <f t="shared" si="9"/>
        <v>0</v>
      </c>
      <c r="BJ30">
        <f t="shared" si="9"/>
        <v>0</v>
      </c>
      <c r="BK30">
        <f t="shared" si="9"/>
        <v>0</v>
      </c>
      <c r="BL30">
        <f t="shared" si="9"/>
        <v>0</v>
      </c>
      <c r="BM30">
        <f t="shared" si="9"/>
        <v>0</v>
      </c>
      <c r="BN30">
        <f t="shared" si="9"/>
        <v>0</v>
      </c>
      <c r="BO30">
        <f t="shared" si="9"/>
        <v>0</v>
      </c>
      <c r="BP30">
        <f t="shared" si="9"/>
        <v>0</v>
      </c>
      <c r="BQ30">
        <f t="shared" si="9"/>
        <v>0</v>
      </c>
      <c r="BR30">
        <f t="shared" si="9"/>
        <v>0</v>
      </c>
      <c r="BS30">
        <f t="shared" si="9"/>
        <v>0</v>
      </c>
    </row>
    <row r="31" spans="2:71" ht="15" customHeight="1" x14ac:dyDescent="0.2">
      <c r="B31">
        <v>15</v>
      </c>
      <c r="C31">
        <v>3</v>
      </c>
      <c r="D31">
        <v>1</v>
      </c>
      <c r="E31" t="s">
        <v>114</v>
      </c>
      <c r="F31" t="s">
        <v>106</v>
      </c>
      <c r="G31" s="5">
        <v>41448</v>
      </c>
      <c r="H31" t="s">
        <v>73</v>
      </c>
      <c r="I31" t="s">
        <v>74</v>
      </c>
      <c r="J31" t="s">
        <v>75</v>
      </c>
      <c r="K31">
        <v>18</v>
      </c>
      <c r="L31" t="s">
        <v>107</v>
      </c>
      <c r="M31" t="s">
        <v>108</v>
      </c>
      <c r="N31" t="s">
        <v>109</v>
      </c>
      <c r="O31">
        <v>72.2</v>
      </c>
      <c r="P31">
        <v>128</v>
      </c>
      <c r="Q31">
        <v>6772</v>
      </c>
      <c r="R31" t="s">
        <v>110</v>
      </c>
      <c r="S31" t="s">
        <v>111</v>
      </c>
      <c r="T31" t="s">
        <v>81</v>
      </c>
      <c r="U31" t="s">
        <v>42</v>
      </c>
      <c r="V31" t="s">
        <v>50</v>
      </c>
      <c r="W31" t="s">
        <v>109</v>
      </c>
      <c r="X31">
        <v>28</v>
      </c>
      <c r="AA31">
        <v>2</v>
      </c>
      <c r="AB31" t="s">
        <v>32</v>
      </c>
      <c r="AC31" t="s">
        <v>82</v>
      </c>
      <c r="AD31" t="s">
        <v>49</v>
      </c>
      <c r="AE31" t="str">
        <f t="shared" si="0"/>
        <v>Ferrin</v>
      </c>
      <c r="AF31">
        <v>2</v>
      </c>
      <c r="AG31">
        <v>1</v>
      </c>
      <c r="AH31">
        <v>0</v>
      </c>
      <c r="AI31">
        <v>0</v>
      </c>
      <c r="AJ31">
        <v>1</v>
      </c>
      <c r="AK31" t="s">
        <v>49</v>
      </c>
      <c r="AO31">
        <f t="shared" si="7"/>
        <v>0</v>
      </c>
      <c r="AP31">
        <f t="shared" si="7"/>
        <v>0</v>
      </c>
      <c r="AQ31">
        <f t="shared" si="7"/>
        <v>0</v>
      </c>
      <c r="AR31">
        <f t="shared" si="7"/>
        <v>0</v>
      </c>
      <c r="AS31">
        <f t="shared" si="7"/>
        <v>0</v>
      </c>
      <c r="AT31">
        <f t="shared" si="7"/>
        <v>0</v>
      </c>
      <c r="AU31">
        <f t="shared" si="7"/>
        <v>0</v>
      </c>
      <c r="AV31">
        <f t="shared" si="7"/>
        <v>0</v>
      </c>
      <c r="AW31">
        <f t="shared" si="7"/>
        <v>0</v>
      </c>
      <c r="AX31">
        <f t="shared" si="7"/>
        <v>0</v>
      </c>
      <c r="AY31" t="str">
        <f t="shared" si="8"/>
        <v>Ferrin</v>
      </c>
      <c r="AZ31">
        <f t="shared" si="8"/>
        <v>0</v>
      </c>
      <c r="BA31">
        <f t="shared" si="8"/>
        <v>0</v>
      </c>
      <c r="BB31">
        <f t="shared" si="8"/>
        <v>0</v>
      </c>
      <c r="BC31">
        <f t="shared" si="8"/>
        <v>0</v>
      </c>
      <c r="BD31">
        <f t="shared" si="8"/>
        <v>0</v>
      </c>
      <c r="BE31">
        <f t="shared" si="8"/>
        <v>0</v>
      </c>
      <c r="BF31">
        <f t="shared" si="8"/>
        <v>0</v>
      </c>
      <c r="BG31">
        <f t="shared" si="8"/>
        <v>0</v>
      </c>
      <c r="BH31">
        <f t="shared" si="8"/>
        <v>0</v>
      </c>
      <c r="BI31">
        <f t="shared" si="9"/>
        <v>0</v>
      </c>
      <c r="BJ31">
        <f t="shared" si="9"/>
        <v>0</v>
      </c>
      <c r="BK31">
        <f t="shared" si="9"/>
        <v>0</v>
      </c>
      <c r="BL31">
        <f t="shared" si="9"/>
        <v>0</v>
      </c>
      <c r="BM31">
        <f t="shared" si="9"/>
        <v>0</v>
      </c>
      <c r="BN31">
        <f t="shared" si="9"/>
        <v>0</v>
      </c>
      <c r="BO31">
        <f t="shared" si="9"/>
        <v>0</v>
      </c>
      <c r="BP31">
        <f t="shared" si="9"/>
        <v>0</v>
      </c>
      <c r="BQ31">
        <f t="shared" si="9"/>
        <v>0</v>
      </c>
      <c r="BR31">
        <f t="shared" si="9"/>
        <v>0</v>
      </c>
      <c r="BS31">
        <f t="shared" si="9"/>
        <v>0</v>
      </c>
    </row>
    <row r="32" spans="2:71" ht="15" customHeight="1" x14ac:dyDescent="0.2">
      <c r="B32">
        <v>16</v>
      </c>
      <c r="C32">
        <v>4</v>
      </c>
      <c r="D32">
        <v>1</v>
      </c>
      <c r="E32" t="s">
        <v>115</v>
      </c>
      <c r="F32" t="s">
        <v>106</v>
      </c>
      <c r="G32" s="5">
        <v>41448</v>
      </c>
      <c r="H32" t="s">
        <v>73</v>
      </c>
      <c r="I32" t="s">
        <v>74</v>
      </c>
      <c r="J32" t="s">
        <v>75</v>
      </c>
      <c r="K32">
        <v>18</v>
      </c>
      <c r="L32" t="s">
        <v>107</v>
      </c>
      <c r="M32" t="s">
        <v>108</v>
      </c>
      <c r="N32" t="s">
        <v>109</v>
      </c>
      <c r="O32">
        <v>72.2</v>
      </c>
      <c r="P32">
        <v>128</v>
      </c>
      <c r="Q32">
        <v>6772</v>
      </c>
      <c r="R32" t="s">
        <v>110</v>
      </c>
      <c r="S32" t="s">
        <v>111</v>
      </c>
      <c r="T32" t="s">
        <v>81</v>
      </c>
      <c r="U32" t="s">
        <v>42</v>
      </c>
      <c r="V32" t="s">
        <v>44</v>
      </c>
      <c r="W32" t="s">
        <v>109</v>
      </c>
      <c r="X32">
        <v>15</v>
      </c>
      <c r="AA32">
        <v>2</v>
      </c>
      <c r="AB32" t="s">
        <v>32</v>
      </c>
      <c r="AC32" t="s">
        <v>112</v>
      </c>
      <c r="AD32" t="s">
        <v>51</v>
      </c>
      <c r="AE32" t="str">
        <f t="shared" si="0"/>
        <v>Flanders</v>
      </c>
      <c r="AF32">
        <v>2</v>
      </c>
      <c r="AG32">
        <v>1</v>
      </c>
      <c r="AH32">
        <v>0</v>
      </c>
      <c r="AI32">
        <v>0</v>
      </c>
      <c r="AJ32">
        <v>1</v>
      </c>
      <c r="AK32" t="s">
        <v>51</v>
      </c>
      <c r="AL32">
        <v>0.3</v>
      </c>
      <c r="AO32">
        <f t="shared" ref="AO32:AX41" si="10">IF(OR($V32=AO$1,$Y32=AO$1),AO$1,0)</f>
        <v>0</v>
      </c>
      <c r="AP32">
        <f t="shared" si="10"/>
        <v>0</v>
      </c>
      <c r="AQ32">
        <f t="shared" si="10"/>
        <v>0</v>
      </c>
      <c r="AR32">
        <f t="shared" si="10"/>
        <v>0</v>
      </c>
      <c r="AS32" t="str">
        <f t="shared" si="10"/>
        <v>Flanders</v>
      </c>
      <c r="AT32">
        <f t="shared" si="10"/>
        <v>0</v>
      </c>
      <c r="AU32">
        <f t="shared" si="10"/>
        <v>0</v>
      </c>
      <c r="AV32">
        <f t="shared" si="10"/>
        <v>0</v>
      </c>
      <c r="AW32">
        <f t="shared" si="10"/>
        <v>0</v>
      </c>
      <c r="AX32">
        <f t="shared" si="10"/>
        <v>0</v>
      </c>
      <c r="AY32">
        <f t="shared" ref="AY32:BH41" si="11">IF(OR($V32=AY$1,$Y32=AY$1),AY$1,0)</f>
        <v>0</v>
      </c>
      <c r="AZ32">
        <f t="shared" si="11"/>
        <v>0</v>
      </c>
      <c r="BA32">
        <f t="shared" si="11"/>
        <v>0</v>
      </c>
      <c r="BB32">
        <f t="shared" si="11"/>
        <v>0</v>
      </c>
      <c r="BC32">
        <f t="shared" si="11"/>
        <v>0</v>
      </c>
      <c r="BD32">
        <f t="shared" si="11"/>
        <v>0</v>
      </c>
      <c r="BE32">
        <f t="shared" si="11"/>
        <v>0</v>
      </c>
      <c r="BF32">
        <f t="shared" si="11"/>
        <v>0</v>
      </c>
      <c r="BG32">
        <f t="shared" si="11"/>
        <v>0</v>
      </c>
      <c r="BH32">
        <f t="shared" si="11"/>
        <v>0</v>
      </c>
      <c r="BI32">
        <f t="shared" ref="BI32:BS41" si="12">IF(OR($V32=BI$1,$Y32=BI$1),BI$1,0)</f>
        <v>0</v>
      </c>
      <c r="BJ32">
        <f t="shared" si="12"/>
        <v>0</v>
      </c>
      <c r="BK32">
        <f t="shared" si="12"/>
        <v>0</v>
      </c>
      <c r="BL32">
        <f t="shared" si="12"/>
        <v>0</v>
      </c>
      <c r="BM32">
        <f t="shared" si="12"/>
        <v>0</v>
      </c>
      <c r="BN32">
        <f t="shared" si="12"/>
        <v>0</v>
      </c>
      <c r="BO32">
        <f t="shared" si="12"/>
        <v>0</v>
      </c>
      <c r="BP32">
        <f t="shared" si="12"/>
        <v>0</v>
      </c>
      <c r="BQ32">
        <f t="shared" si="12"/>
        <v>0</v>
      </c>
      <c r="BR32">
        <f t="shared" si="12"/>
        <v>0</v>
      </c>
      <c r="BS32">
        <f t="shared" si="12"/>
        <v>0</v>
      </c>
    </row>
    <row r="33" spans="2:71" ht="15" customHeight="1" x14ac:dyDescent="0.2">
      <c r="B33">
        <v>16</v>
      </c>
      <c r="C33">
        <v>4</v>
      </c>
      <c r="D33">
        <v>1</v>
      </c>
      <c r="E33" t="s">
        <v>115</v>
      </c>
      <c r="F33" t="s">
        <v>106</v>
      </c>
      <c r="G33" s="5">
        <v>41448</v>
      </c>
      <c r="H33" t="s">
        <v>73</v>
      </c>
      <c r="I33" t="s">
        <v>74</v>
      </c>
      <c r="J33" t="s">
        <v>75</v>
      </c>
      <c r="K33">
        <v>18</v>
      </c>
      <c r="L33" t="s">
        <v>107</v>
      </c>
      <c r="M33" t="s">
        <v>108</v>
      </c>
      <c r="N33" t="s">
        <v>109</v>
      </c>
      <c r="O33">
        <v>72.2</v>
      </c>
      <c r="P33">
        <v>128</v>
      </c>
      <c r="Q33">
        <v>6772</v>
      </c>
      <c r="R33" t="s">
        <v>110</v>
      </c>
      <c r="S33" t="s">
        <v>111</v>
      </c>
      <c r="T33" t="s">
        <v>83</v>
      </c>
      <c r="U33" t="s">
        <v>41</v>
      </c>
      <c r="V33" t="s">
        <v>51</v>
      </c>
      <c r="W33" t="s">
        <v>109</v>
      </c>
      <c r="X33">
        <v>15</v>
      </c>
      <c r="AA33">
        <v>2</v>
      </c>
      <c r="AB33" t="s">
        <v>33</v>
      </c>
      <c r="AC33" t="s">
        <v>112</v>
      </c>
      <c r="AD33" t="s">
        <v>44</v>
      </c>
      <c r="AE33" t="str">
        <f t="shared" si="0"/>
        <v>Macklin</v>
      </c>
      <c r="AF33">
        <v>0</v>
      </c>
      <c r="AG33">
        <v>0</v>
      </c>
      <c r="AH33">
        <v>1</v>
      </c>
      <c r="AI33">
        <v>0</v>
      </c>
      <c r="AJ33">
        <v>0</v>
      </c>
      <c r="AK33" t="s">
        <v>44</v>
      </c>
      <c r="AL33">
        <v>0.4296875</v>
      </c>
      <c r="AO33">
        <f t="shared" si="10"/>
        <v>0</v>
      </c>
      <c r="AP33">
        <f t="shared" si="10"/>
        <v>0</v>
      </c>
      <c r="AQ33">
        <f t="shared" si="10"/>
        <v>0</v>
      </c>
      <c r="AR33">
        <f t="shared" si="10"/>
        <v>0</v>
      </c>
      <c r="AS33">
        <f t="shared" si="10"/>
        <v>0</v>
      </c>
      <c r="AT33">
        <f t="shared" si="10"/>
        <v>0</v>
      </c>
      <c r="AU33">
        <f t="shared" si="10"/>
        <v>0</v>
      </c>
      <c r="AV33">
        <f t="shared" si="10"/>
        <v>0</v>
      </c>
      <c r="AW33">
        <f t="shared" si="10"/>
        <v>0</v>
      </c>
      <c r="AX33">
        <f t="shared" si="10"/>
        <v>0</v>
      </c>
      <c r="AY33">
        <f t="shared" si="11"/>
        <v>0</v>
      </c>
      <c r="AZ33" t="str">
        <f t="shared" si="11"/>
        <v>Macklin</v>
      </c>
      <c r="BA33">
        <f t="shared" si="11"/>
        <v>0</v>
      </c>
      <c r="BB33">
        <f t="shared" si="11"/>
        <v>0</v>
      </c>
      <c r="BC33">
        <f t="shared" si="11"/>
        <v>0</v>
      </c>
      <c r="BD33">
        <f t="shared" si="11"/>
        <v>0</v>
      </c>
      <c r="BE33">
        <f t="shared" si="11"/>
        <v>0</v>
      </c>
      <c r="BF33">
        <f t="shared" si="11"/>
        <v>0</v>
      </c>
      <c r="BG33">
        <f t="shared" si="11"/>
        <v>0</v>
      </c>
      <c r="BH33">
        <f t="shared" si="11"/>
        <v>0</v>
      </c>
      <c r="BI33">
        <f t="shared" si="12"/>
        <v>0</v>
      </c>
      <c r="BJ33">
        <f t="shared" si="12"/>
        <v>0</v>
      </c>
      <c r="BK33">
        <f t="shared" si="12"/>
        <v>0</v>
      </c>
      <c r="BL33">
        <f t="shared" si="12"/>
        <v>0</v>
      </c>
      <c r="BM33">
        <f t="shared" si="12"/>
        <v>0</v>
      </c>
      <c r="BN33">
        <f t="shared" si="12"/>
        <v>0</v>
      </c>
      <c r="BO33">
        <f t="shared" si="12"/>
        <v>0</v>
      </c>
      <c r="BP33">
        <f t="shared" si="12"/>
        <v>0</v>
      </c>
      <c r="BQ33">
        <f t="shared" si="12"/>
        <v>0</v>
      </c>
      <c r="BR33">
        <f t="shared" si="12"/>
        <v>0</v>
      </c>
      <c r="BS33">
        <f t="shared" si="12"/>
        <v>0</v>
      </c>
    </row>
    <row r="34" spans="2:71" ht="15" customHeight="1" x14ac:dyDescent="0.2">
      <c r="B34">
        <v>17</v>
      </c>
      <c r="C34">
        <v>5</v>
      </c>
      <c r="D34">
        <v>1</v>
      </c>
      <c r="E34" t="s">
        <v>116</v>
      </c>
      <c r="F34" t="s">
        <v>106</v>
      </c>
      <c r="G34" s="5">
        <v>41448</v>
      </c>
      <c r="H34" t="s">
        <v>73</v>
      </c>
      <c r="I34" t="s">
        <v>74</v>
      </c>
      <c r="J34" t="s">
        <v>75</v>
      </c>
      <c r="K34">
        <v>18</v>
      </c>
      <c r="L34" t="s">
        <v>107</v>
      </c>
      <c r="M34" t="s">
        <v>108</v>
      </c>
      <c r="N34" t="s">
        <v>109</v>
      </c>
      <c r="O34">
        <v>72.2</v>
      </c>
      <c r="P34">
        <v>128</v>
      </c>
      <c r="Q34">
        <v>6772</v>
      </c>
      <c r="R34" t="s">
        <v>110</v>
      </c>
      <c r="S34" t="s">
        <v>111</v>
      </c>
      <c r="T34" t="s">
        <v>83</v>
      </c>
      <c r="U34" t="s">
        <v>41</v>
      </c>
      <c r="V34" t="s">
        <v>45</v>
      </c>
      <c r="W34" t="s">
        <v>109</v>
      </c>
      <c r="X34">
        <v>15</v>
      </c>
      <c r="AA34">
        <v>2</v>
      </c>
      <c r="AB34" t="s">
        <v>32</v>
      </c>
      <c r="AC34" t="s">
        <v>117</v>
      </c>
      <c r="AD34" t="s">
        <v>42</v>
      </c>
      <c r="AE34" t="str">
        <f t="shared" si="0"/>
        <v>Connolly</v>
      </c>
      <c r="AF34">
        <v>2</v>
      </c>
      <c r="AG34">
        <v>1</v>
      </c>
      <c r="AH34">
        <v>0</v>
      </c>
      <c r="AI34">
        <v>0</v>
      </c>
      <c r="AJ34">
        <v>1</v>
      </c>
      <c r="AK34" t="s">
        <v>42</v>
      </c>
      <c r="AL34">
        <v>0.6171875</v>
      </c>
      <c r="AO34">
        <f t="shared" si="10"/>
        <v>0</v>
      </c>
      <c r="AP34">
        <f t="shared" si="10"/>
        <v>0</v>
      </c>
      <c r="AQ34">
        <f t="shared" si="10"/>
        <v>0</v>
      </c>
      <c r="AR34">
        <f t="shared" si="10"/>
        <v>0</v>
      </c>
      <c r="AS34">
        <f t="shared" si="10"/>
        <v>0</v>
      </c>
      <c r="AT34" t="str">
        <f t="shared" si="10"/>
        <v>Connolly</v>
      </c>
      <c r="AU34">
        <f t="shared" si="10"/>
        <v>0</v>
      </c>
      <c r="AV34">
        <f t="shared" si="10"/>
        <v>0</v>
      </c>
      <c r="AW34">
        <f t="shared" si="10"/>
        <v>0</v>
      </c>
      <c r="AX34">
        <f t="shared" si="10"/>
        <v>0</v>
      </c>
      <c r="AY34">
        <f t="shared" si="11"/>
        <v>0</v>
      </c>
      <c r="AZ34">
        <f t="shared" si="11"/>
        <v>0</v>
      </c>
      <c r="BA34">
        <f t="shared" si="11"/>
        <v>0</v>
      </c>
      <c r="BB34">
        <f t="shared" si="11"/>
        <v>0</v>
      </c>
      <c r="BC34">
        <f t="shared" si="11"/>
        <v>0</v>
      </c>
      <c r="BD34">
        <f t="shared" si="11"/>
        <v>0</v>
      </c>
      <c r="BE34">
        <f t="shared" si="11"/>
        <v>0</v>
      </c>
      <c r="BF34">
        <f t="shared" si="11"/>
        <v>0</v>
      </c>
      <c r="BG34">
        <f t="shared" si="11"/>
        <v>0</v>
      </c>
      <c r="BH34">
        <f t="shared" si="11"/>
        <v>0</v>
      </c>
      <c r="BI34">
        <f t="shared" si="12"/>
        <v>0</v>
      </c>
      <c r="BJ34">
        <f t="shared" si="12"/>
        <v>0</v>
      </c>
      <c r="BK34">
        <f t="shared" si="12"/>
        <v>0</v>
      </c>
      <c r="BL34">
        <f t="shared" si="12"/>
        <v>0</v>
      </c>
      <c r="BM34">
        <f t="shared" si="12"/>
        <v>0</v>
      </c>
      <c r="BN34">
        <f t="shared" si="12"/>
        <v>0</v>
      </c>
      <c r="BO34">
        <f t="shared" si="12"/>
        <v>0</v>
      </c>
      <c r="BP34">
        <f t="shared" si="12"/>
        <v>0</v>
      </c>
      <c r="BQ34">
        <f t="shared" si="12"/>
        <v>0</v>
      </c>
      <c r="BR34">
        <f t="shared" si="12"/>
        <v>0</v>
      </c>
      <c r="BS34">
        <f t="shared" si="12"/>
        <v>0</v>
      </c>
    </row>
    <row r="35" spans="2:71" ht="15" customHeight="1" x14ac:dyDescent="0.2">
      <c r="B35">
        <v>17</v>
      </c>
      <c r="C35">
        <v>5</v>
      </c>
      <c r="D35">
        <v>1</v>
      </c>
      <c r="E35" t="s">
        <v>116</v>
      </c>
      <c r="F35" t="s">
        <v>106</v>
      </c>
      <c r="G35" s="5">
        <v>41448</v>
      </c>
      <c r="H35" t="s">
        <v>73</v>
      </c>
      <c r="I35" t="s">
        <v>74</v>
      </c>
      <c r="J35" t="s">
        <v>75</v>
      </c>
      <c r="K35">
        <v>18</v>
      </c>
      <c r="L35" t="s">
        <v>107</v>
      </c>
      <c r="M35" t="s">
        <v>108</v>
      </c>
      <c r="N35" t="s">
        <v>109</v>
      </c>
      <c r="O35">
        <v>72.2</v>
      </c>
      <c r="P35">
        <v>128</v>
      </c>
      <c r="Q35">
        <v>6772</v>
      </c>
      <c r="R35" t="s">
        <v>110</v>
      </c>
      <c r="S35" t="s">
        <v>111</v>
      </c>
      <c r="T35" t="s">
        <v>81</v>
      </c>
      <c r="U35" t="s">
        <v>42</v>
      </c>
      <c r="V35" t="s">
        <v>42</v>
      </c>
      <c r="W35" t="s">
        <v>109</v>
      </c>
      <c r="X35">
        <v>15</v>
      </c>
      <c r="AA35">
        <v>2</v>
      </c>
      <c r="AB35" t="s">
        <v>33</v>
      </c>
      <c r="AC35" t="s">
        <v>117</v>
      </c>
      <c r="AD35" t="s">
        <v>45</v>
      </c>
      <c r="AE35" t="str">
        <f t="shared" si="0"/>
        <v>Jackson</v>
      </c>
      <c r="AF35">
        <v>0</v>
      </c>
      <c r="AG35">
        <v>0</v>
      </c>
      <c r="AH35">
        <v>1</v>
      </c>
      <c r="AI35">
        <v>0</v>
      </c>
      <c r="AJ35">
        <v>0</v>
      </c>
      <c r="AK35" t="s">
        <v>45</v>
      </c>
      <c r="AL35">
        <v>0.59375</v>
      </c>
      <c r="AO35">
        <f t="shared" si="10"/>
        <v>0</v>
      </c>
      <c r="AP35">
        <f t="shared" si="10"/>
        <v>0</v>
      </c>
      <c r="AQ35" t="str">
        <f t="shared" si="10"/>
        <v>Jackson</v>
      </c>
      <c r="AR35">
        <f t="shared" si="10"/>
        <v>0</v>
      </c>
      <c r="AS35">
        <f t="shared" si="10"/>
        <v>0</v>
      </c>
      <c r="AT35">
        <f t="shared" si="10"/>
        <v>0</v>
      </c>
      <c r="AU35">
        <f t="shared" si="10"/>
        <v>0</v>
      </c>
      <c r="AV35">
        <f t="shared" si="10"/>
        <v>0</v>
      </c>
      <c r="AW35">
        <f t="shared" si="10"/>
        <v>0</v>
      </c>
      <c r="AX35">
        <f t="shared" si="10"/>
        <v>0</v>
      </c>
      <c r="AY35">
        <f t="shared" si="11"/>
        <v>0</v>
      </c>
      <c r="AZ35">
        <f t="shared" si="11"/>
        <v>0</v>
      </c>
      <c r="BA35">
        <f t="shared" si="11"/>
        <v>0</v>
      </c>
      <c r="BB35">
        <f t="shared" si="11"/>
        <v>0</v>
      </c>
      <c r="BC35">
        <f t="shared" si="11"/>
        <v>0</v>
      </c>
      <c r="BD35">
        <f t="shared" si="11"/>
        <v>0</v>
      </c>
      <c r="BE35">
        <f t="shared" si="11"/>
        <v>0</v>
      </c>
      <c r="BF35">
        <f t="shared" si="11"/>
        <v>0</v>
      </c>
      <c r="BG35">
        <f t="shared" si="11"/>
        <v>0</v>
      </c>
      <c r="BH35">
        <f t="shared" si="11"/>
        <v>0</v>
      </c>
      <c r="BI35">
        <f t="shared" si="12"/>
        <v>0</v>
      </c>
      <c r="BJ35">
        <f t="shared" si="12"/>
        <v>0</v>
      </c>
      <c r="BK35">
        <f t="shared" si="12"/>
        <v>0</v>
      </c>
      <c r="BL35">
        <f t="shared" si="12"/>
        <v>0</v>
      </c>
      <c r="BM35">
        <f t="shared" si="12"/>
        <v>0</v>
      </c>
      <c r="BN35">
        <f t="shared" si="12"/>
        <v>0</v>
      </c>
      <c r="BO35">
        <f t="shared" si="12"/>
        <v>0</v>
      </c>
      <c r="BP35">
        <f t="shared" si="12"/>
        <v>0</v>
      </c>
      <c r="BQ35">
        <f t="shared" si="12"/>
        <v>0</v>
      </c>
      <c r="BR35">
        <f t="shared" si="12"/>
        <v>0</v>
      </c>
      <c r="BS35">
        <f t="shared" si="12"/>
        <v>0</v>
      </c>
    </row>
    <row r="36" spans="2:71" ht="15" customHeight="1" x14ac:dyDescent="0.2">
      <c r="B36">
        <v>18</v>
      </c>
      <c r="C36">
        <v>6</v>
      </c>
      <c r="D36">
        <v>1</v>
      </c>
      <c r="E36" t="s">
        <v>118</v>
      </c>
      <c r="F36" t="s">
        <v>106</v>
      </c>
      <c r="G36" s="5">
        <v>41448</v>
      </c>
      <c r="H36" t="s">
        <v>73</v>
      </c>
      <c r="I36" t="s">
        <v>74</v>
      </c>
      <c r="J36" t="s">
        <v>75</v>
      </c>
      <c r="K36">
        <v>18</v>
      </c>
      <c r="L36" t="s">
        <v>107</v>
      </c>
      <c r="M36" t="s">
        <v>108</v>
      </c>
      <c r="N36" t="s">
        <v>109</v>
      </c>
      <c r="O36">
        <v>72.2</v>
      </c>
      <c r="P36">
        <v>128</v>
      </c>
      <c r="Q36">
        <v>6772</v>
      </c>
      <c r="R36" t="s">
        <v>110</v>
      </c>
      <c r="S36" t="s">
        <v>111</v>
      </c>
      <c r="T36" t="s">
        <v>81</v>
      </c>
      <c r="U36" t="s">
        <v>42</v>
      </c>
      <c r="V36" t="s">
        <v>40</v>
      </c>
      <c r="W36" t="s">
        <v>109</v>
      </c>
      <c r="X36">
        <v>15</v>
      </c>
      <c r="AA36">
        <v>2</v>
      </c>
      <c r="AB36" t="s">
        <v>33</v>
      </c>
      <c r="AC36" t="s">
        <v>119</v>
      </c>
      <c r="AD36" t="s">
        <v>43</v>
      </c>
      <c r="AE36" t="str">
        <f t="shared" si="0"/>
        <v>Grise</v>
      </c>
      <c r="AF36">
        <v>0</v>
      </c>
      <c r="AG36">
        <v>0</v>
      </c>
      <c r="AH36">
        <v>1</v>
      </c>
      <c r="AI36">
        <v>0</v>
      </c>
      <c r="AJ36">
        <v>0</v>
      </c>
      <c r="AK36" t="s">
        <v>43</v>
      </c>
      <c r="AL36">
        <v>0.48611111111111099</v>
      </c>
      <c r="AO36" t="str">
        <f t="shared" si="10"/>
        <v>Grise</v>
      </c>
      <c r="AP36">
        <f t="shared" si="10"/>
        <v>0</v>
      </c>
      <c r="AQ36">
        <f t="shared" si="10"/>
        <v>0</v>
      </c>
      <c r="AR36">
        <f t="shared" si="10"/>
        <v>0</v>
      </c>
      <c r="AS36">
        <f t="shared" si="10"/>
        <v>0</v>
      </c>
      <c r="AT36">
        <f t="shared" si="10"/>
        <v>0</v>
      </c>
      <c r="AU36">
        <f t="shared" si="10"/>
        <v>0</v>
      </c>
      <c r="AV36">
        <f t="shared" si="10"/>
        <v>0</v>
      </c>
      <c r="AW36">
        <f t="shared" si="10"/>
        <v>0</v>
      </c>
      <c r="AX36">
        <f t="shared" si="10"/>
        <v>0</v>
      </c>
      <c r="AY36">
        <f t="shared" si="11"/>
        <v>0</v>
      </c>
      <c r="AZ36">
        <f t="shared" si="11"/>
        <v>0</v>
      </c>
      <c r="BA36">
        <f t="shared" si="11"/>
        <v>0</v>
      </c>
      <c r="BB36">
        <f t="shared" si="11"/>
        <v>0</v>
      </c>
      <c r="BC36">
        <f t="shared" si="11"/>
        <v>0</v>
      </c>
      <c r="BD36">
        <f t="shared" si="11"/>
        <v>0</v>
      </c>
      <c r="BE36">
        <f t="shared" si="11"/>
        <v>0</v>
      </c>
      <c r="BF36">
        <f t="shared" si="11"/>
        <v>0</v>
      </c>
      <c r="BG36">
        <f t="shared" si="11"/>
        <v>0</v>
      </c>
      <c r="BH36">
        <f t="shared" si="11"/>
        <v>0</v>
      </c>
      <c r="BI36">
        <f t="shared" si="12"/>
        <v>0</v>
      </c>
      <c r="BJ36">
        <f t="shared" si="12"/>
        <v>0</v>
      </c>
      <c r="BK36">
        <f t="shared" si="12"/>
        <v>0</v>
      </c>
      <c r="BL36">
        <f t="shared" si="12"/>
        <v>0</v>
      </c>
      <c r="BM36">
        <f t="shared" si="12"/>
        <v>0</v>
      </c>
      <c r="BN36">
        <f t="shared" si="12"/>
        <v>0</v>
      </c>
      <c r="BO36">
        <f t="shared" si="12"/>
        <v>0</v>
      </c>
      <c r="BP36">
        <f t="shared" si="12"/>
        <v>0</v>
      </c>
      <c r="BQ36">
        <f t="shared" si="12"/>
        <v>0</v>
      </c>
      <c r="BR36">
        <f t="shared" si="12"/>
        <v>0</v>
      </c>
      <c r="BS36">
        <f t="shared" si="12"/>
        <v>0</v>
      </c>
    </row>
    <row r="37" spans="2:71" ht="15" customHeight="1" x14ac:dyDescent="0.2">
      <c r="B37">
        <v>18</v>
      </c>
      <c r="C37">
        <v>6</v>
      </c>
      <c r="D37">
        <v>1</v>
      </c>
      <c r="E37" t="s">
        <v>118</v>
      </c>
      <c r="F37" t="s">
        <v>106</v>
      </c>
      <c r="G37" s="5">
        <v>41448</v>
      </c>
      <c r="H37" t="s">
        <v>73</v>
      </c>
      <c r="I37" t="s">
        <v>74</v>
      </c>
      <c r="J37" t="s">
        <v>75</v>
      </c>
      <c r="K37">
        <v>18</v>
      </c>
      <c r="L37" t="s">
        <v>107</v>
      </c>
      <c r="M37" t="s">
        <v>108</v>
      </c>
      <c r="N37" t="s">
        <v>109</v>
      </c>
      <c r="O37">
        <v>72.2</v>
      </c>
      <c r="P37">
        <v>128</v>
      </c>
      <c r="Q37">
        <v>6772</v>
      </c>
      <c r="R37" t="s">
        <v>110</v>
      </c>
      <c r="S37" t="s">
        <v>111</v>
      </c>
      <c r="T37" t="s">
        <v>83</v>
      </c>
      <c r="U37" t="s">
        <v>41</v>
      </c>
      <c r="V37" t="s">
        <v>43</v>
      </c>
      <c r="W37" t="s">
        <v>109</v>
      </c>
      <c r="X37">
        <v>10</v>
      </c>
      <c r="AA37">
        <v>2</v>
      </c>
      <c r="AB37" t="s">
        <v>32</v>
      </c>
      <c r="AC37" t="s">
        <v>119</v>
      </c>
      <c r="AD37" t="s">
        <v>40</v>
      </c>
      <c r="AE37" t="str">
        <f t="shared" si="0"/>
        <v>Poirier</v>
      </c>
      <c r="AF37">
        <v>2</v>
      </c>
      <c r="AG37">
        <v>1</v>
      </c>
      <c r="AH37">
        <v>0</v>
      </c>
      <c r="AI37">
        <v>0</v>
      </c>
      <c r="AJ37">
        <v>1</v>
      </c>
      <c r="AK37" t="s">
        <v>40</v>
      </c>
      <c r="AL37">
        <v>0.546875</v>
      </c>
      <c r="AO37">
        <f t="shared" si="10"/>
        <v>0</v>
      </c>
      <c r="AP37">
        <f t="shared" si="10"/>
        <v>0</v>
      </c>
      <c r="AQ37">
        <f t="shared" si="10"/>
        <v>0</v>
      </c>
      <c r="AR37" t="str">
        <f t="shared" si="10"/>
        <v>Poirier</v>
      </c>
      <c r="AS37">
        <f t="shared" si="10"/>
        <v>0</v>
      </c>
      <c r="AT37">
        <f t="shared" si="10"/>
        <v>0</v>
      </c>
      <c r="AU37">
        <f t="shared" si="10"/>
        <v>0</v>
      </c>
      <c r="AV37">
        <f t="shared" si="10"/>
        <v>0</v>
      </c>
      <c r="AW37">
        <f t="shared" si="10"/>
        <v>0</v>
      </c>
      <c r="AX37">
        <f t="shared" si="10"/>
        <v>0</v>
      </c>
      <c r="AY37">
        <f t="shared" si="11"/>
        <v>0</v>
      </c>
      <c r="AZ37">
        <f t="shared" si="11"/>
        <v>0</v>
      </c>
      <c r="BA37">
        <f t="shared" si="11"/>
        <v>0</v>
      </c>
      <c r="BB37">
        <f t="shared" si="11"/>
        <v>0</v>
      </c>
      <c r="BC37">
        <f t="shared" si="11"/>
        <v>0</v>
      </c>
      <c r="BD37">
        <f t="shared" si="11"/>
        <v>0</v>
      </c>
      <c r="BE37">
        <f t="shared" si="11"/>
        <v>0</v>
      </c>
      <c r="BF37">
        <f t="shared" si="11"/>
        <v>0</v>
      </c>
      <c r="BG37">
        <f t="shared" si="11"/>
        <v>0</v>
      </c>
      <c r="BH37">
        <f t="shared" si="11"/>
        <v>0</v>
      </c>
      <c r="BI37">
        <f t="shared" si="12"/>
        <v>0</v>
      </c>
      <c r="BJ37">
        <f t="shared" si="12"/>
        <v>0</v>
      </c>
      <c r="BK37">
        <f t="shared" si="12"/>
        <v>0</v>
      </c>
      <c r="BL37">
        <f t="shared" si="12"/>
        <v>0</v>
      </c>
      <c r="BM37">
        <f t="shared" si="12"/>
        <v>0</v>
      </c>
      <c r="BN37">
        <f t="shared" si="12"/>
        <v>0</v>
      </c>
      <c r="BO37">
        <f t="shared" si="12"/>
        <v>0</v>
      </c>
      <c r="BP37">
        <f t="shared" si="12"/>
        <v>0</v>
      </c>
      <c r="BQ37">
        <f t="shared" si="12"/>
        <v>0</v>
      </c>
      <c r="BR37">
        <f t="shared" si="12"/>
        <v>0</v>
      </c>
      <c r="BS37">
        <f t="shared" si="12"/>
        <v>0</v>
      </c>
    </row>
    <row r="38" spans="2:71" ht="15" customHeight="1" x14ac:dyDescent="0.2">
      <c r="B38">
        <v>1</v>
      </c>
      <c r="C38">
        <v>1</v>
      </c>
      <c r="D38">
        <v>2</v>
      </c>
      <c r="E38" t="s">
        <v>120</v>
      </c>
      <c r="F38" t="s">
        <v>72</v>
      </c>
      <c r="G38" s="5">
        <v>38145</v>
      </c>
      <c r="H38" t="s">
        <v>73</v>
      </c>
      <c r="I38" t="s">
        <v>121</v>
      </c>
      <c r="J38" t="s">
        <v>75</v>
      </c>
      <c r="K38">
        <v>9</v>
      </c>
      <c r="L38" t="s">
        <v>76</v>
      </c>
      <c r="M38" t="s">
        <v>122</v>
      </c>
      <c r="N38" t="s">
        <v>78</v>
      </c>
      <c r="O38">
        <v>71.599999999999994</v>
      </c>
      <c r="P38">
        <v>131</v>
      </c>
      <c r="Q38">
        <v>6561</v>
      </c>
      <c r="R38" t="s">
        <v>79</v>
      </c>
      <c r="S38" t="s">
        <v>80</v>
      </c>
      <c r="T38" t="s">
        <v>83</v>
      </c>
      <c r="U38" t="s">
        <v>45</v>
      </c>
      <c r="V38" t="s">
        <v>40</v>
      </c>
      <c r="W38" t="s">
        <v>123</v>
      </c>
      <c r="X38">
        <v>2</v>
      </c>
      <c r="Y38" t="s">
        <v>42</v>
      </c>
      <c r="Z38">
        <v>0</v>
      </c>
      <c r="AA38">
        <v>1</v>
      </c>
      <c r="AB38" t="s">
        <v>32</v>
      </c>
      <c r="AC38" t="s">
        <v>124</v>
      </c>
      <c r="AE38" t="str">
        <f t="shared" si="0"/>
        <v>GriseJackson</v>
      </c>
      <c r="AF38">
        <v>1</v>
      </c>
      <c r="AG38">
        <v>1</v>
      </c>
      <c r="AH38">
        <v>0</v>
      </c>
      <c r="AI38">
        <v>0</v>
      </c>
      <c r="AJ38">
        <v>1</v>
      </c>
      <c r="AK38" t="s">
        <v>57</v>
      </c>
      <c r="AL38">
        <v>0.44827586206896602</v>
      </c>
      <c r="AM38" t="s">
        <v>54</v>
      </c>
      <c r="AN38">
        <v>0.37288135593220301</v>
      </c>
      <c r="AO38" t="str">
        <f t="shared" si="10"/>
        <v>Grise</v>
      </c>
      <c r="AP38">
        <f t="shared" si="10"/>
        <v>0</v>
      </c>
      <c r="AQ38" t="str">
        <f t="shared" si="10"/>
        <v>Jackson</v>
      </c>
      <c r="AR38">
        <f t="shared" si="10"/>
        <v>0</v>
      </c>
      <c r="AS38">
        <f t="shared" si="10"/>
        <v>0</v>
      </c>
      <c r="AT38">
        <f t="shared" si="10"/>
        <v>0</v>
      </c>
      <c r="AU38">
        <f t="shared" si="10"/>
        <v>0</v>
      </c>
      <c r="AV38">
        <f t="shared" si="10"/>
        <v>0</v>
      </c>
      <c r="AW38">
        <f t="shared" si="10"/>
        <v>0</v>
      </c>
      <c r="AX38">
        <f t="shared" si="10"/>
        <v>0</v>
      </c>
      <c r="AY38">
        <f t="shared" si="11"/>
        <v>0</v>
      </c>
      <c r="AZ38">
        <f t="shared" si="11"/>
        <v>0</v>
      </c>
      <c r="BA38">
        <f t="shared" si="11"/>
        <v>0</v>
      </c>
      <c r="BB38">
        <f t="shared" si="11"/>
        <v>0</v>
      </c>
      <c r="BC38">
        <f t="shared" si="11"/>
        <v>0</v>
      </c>
      <c r="BD38">
        <f t="shared" si="11"/>
        <v>0</v>
      </c>
      <c r="BE38">
        <f t="shared" si="11"/>
        <v>0</v>
      </c>
      <c r="BF38">
        <f t="shared" si="11"/>
        <v>0</v>
      </c>
      <c r="BG38">
        <f t="shared" si="11"/>
        <v>0</v>
      </c>
      <c r="BH38">
        <f t="shared" si="11"/>
        <v>0</v>
      </c>
      <c r="BI38">
        <f t="shared" si="12"/>
        <v>0</v>
      </c>
      <c r="BJ38">
        <f t="shared" si="12"/>
        <v>0</v>
      </c>
      <c r="BK38">
        <f t="shared" si="12"/>
        <v>0</v>
      </c>
      <c r="BL38">
        <f t="shared" si="12"/>
        <v>0</v>
      </c>
      <c r="BM38">
        <f t="shared" si="12"/>
        <v>0</v>
      </c>
      <c r="BN38">
        <f t="shared" si="12"/>
        <v>0</v>
      </c>
      <c r="BO38">
        <f t="shared" si="12"/>
        <v>0</v>
      </c>
      <c r="BP38">
        <f t="shared" si="12"/>
        <v>0</v>
      </c>
      <c r="BQ38">
        <f t="shared" si="12"/>
        <v>0</v>
      </c>
      <c r="BR38">
        <f t="shared" si="12"/>
        <v>0</v>
      </c>
      <c r="BS38">
        <f t="shared" si="12"/>
        <v>0</v>
      </c>
    </row>
    <row r="39" spans="2:71" ht="15" customHeight="1" x14ac:dyDescent="0.2">
      <c r="B39">
        <v>1</v>
      </c>
      <c r="C39">
        <v>1</v>
      </c>
      <c r="D39">
        <v>2</v>
      </c>
      <c r="E39" t="s">
        <v>120</v>
      </c>
      <c r="F39" t="s">
        <v>72</v>
      </c>
      <c r="G39" s="5">
        <v>38145</v>
      </c>
      <c r="H39" t="s">
        <v>73</v>
      </c>
      <c r="I39" t="s">
        <v>121</v>
      </c>
      <c r="J39" t="s">
        <v>75</v>
      </c>
      <c r="K39">
        <v>9</v>
      </c>
      <c r="L39" t="s">
        <v>76</v>
      </c>
      <c r="M39" t="s">
        <v>122</v>
      </c>
      <c r="N39" t="s">
        <v>78</v>
      </c>
      <c r="O39">
        <v>71.599999999999994</v>
      </c>
      <c r="P39">
        <v>131</v>
      </c>
      <c r="Q39">
        <v>6561</v>
      </c>
      <c r="R39" t="s">
        <v>79</v>
      </c>
      <c r="S39" t="s">
        <v>80</v>
      </c>
      <c r="T39" t="s">
        <v>83</v>
      </c>
      <c r="U39" t="s">
        <v>50</v>
      </c>
      <c r="V39" t="s">
        <v>57</v>
      </c>
      <c r="W39" t="s">
        <v>125</v>
      </c>
      <c r="X39">
        <v>0</v>
      </c>
      <c r="Y39" t="s">
        <v>54</v>
      </c>
      <c r="Z39">
        <v>22</v>
      </c>
      <c r="AA39">
        <v>1</v>
      </c>
      <c r="AB39" t="s">
        <v>33</v>
      </c>
      <c r="AC39" t="s">
        <v>124</v>
      </c>
      <c r="AE39" t="str">
        <f t="shared" si="0"/>
        <v>BussFogan</v>
      </c>
      <c r="AF39">
        <v>0</v>
      </c>
      <c r="AG39">
        <v>0</v>
      </c>
      <c r="AH39">
        <v>1</v>
      </c>
      <c r="AI39">
        <v>0</v>
      </c>
      <c r="AJ39">
        <v>0</v>
      </c>
      <c r="AK39" t="s">
        <v>40</v>
      </c>
      <c r="AL39">
        <v>0.546875</v>
      </c>
      <c r="AM39" t="s">
        <v>42</v>
      </c>
      <c r="AN39">
        <v>0.6171875</v>
      </c>
      <c r="AO39">
        <f t="shared" si="10"/>
        <v>0</v>
      </c>
      <c r="AP39">
        <f t="shared" si="10"/>
        <v>0</v>
      </c>
      <c r="AQ39">
        <f t="shared" si="10"/>
        <v>0</v>
      </c>
      <c r="AR39">
        <f t="shared" si="10"/>
        <v>0</v>
      </c>
      <c r="AS39">
        <f t="shared" si="10"/>
        <v>0</v>
      </c>
      <c r="AT39">
        <f t="shared" si="10"/>
        <v>0</v>
      </c>
      <c r="AU39">
        <f t="shared" si="10"/>
        <v>0</v>
      </c>
      <c r="AV39">
        <f t="shared" si="10"/>
        <v>0</v>
      </c>
      <c r="AW39">
        <f t="shared" si="10"/>
        <v>0</v>
      </c>
      <c r="AX39">
        <f t="shared" si="10"/>
        <v>0</v>
      </c>
      <c r="AY39">
        <f t="shared" si="11"/>
        <v>0</v>
      </c>
      <c r="AZ39">
        <f t="shared" si="11"/>
        <v>0</v>
      </c>
      <c r="BA39">
        <f t="shared" si="11"/>
        <v>0</v>
      </c>
      <c r="BB39">
        <f t="shared" si="11"/>
        <v>0</v>
      </c>
      <c r="BC39" t="str">
        <f t="shared" si="11"/>
        <v>Fogan</v>
      </c>
      <c r="BD39">
        <f t="shared" si="11"/>
        <v>0</v>
      </c>
      <c r="BE39">
        <f t="shared" si="11"/>
        <v>0</v>
      </c>
      <c r="BF39" t="str">
        <f t="shared" si="11"/>
        <v>Buss</v>
      </c>
      <c r="BG39">
        <f t="shared" si="11"/>
        <v>0</v>
      </c>
      <c r="BH39">
        <f t="shared" si="11"/>
        <v>0</v>
      </c>
      <c r="BI39">
        <f t="shared" si="12"/>
        <v>0</v>
      </c>
      <c r="BJ39">
        <f t="shared" si="12"/>
        <v>0</v>
      </c>
      <c r="BK39">
        <f t="shared" si="12"/>
        <v>0</v>
      </c>
      <c r="BL39">
        <f t="shared" si="12"/>
        <v>0</v>
      </c>
      <c r="BM39">
        <f t="shared" si="12"/>
        <v>0</v>
      </c>
      <c r="BN39">
        <f t="shared" si="12"/>
        <v>0</v>
      </c>
      <c r="BO39">
        <f t="shared" si="12"/>
        <v>0</v>
      </c>
      <c r="BP39">
        <f t="shared" si="12"/>
        <v>0</v>
      </c>
      <c r="BQ39">
        <f t="shared" si="12"/>
        <v>0</v>
      </c>
      <c r="BR39">
        <f t="shared" si="12"/>
        <v>0</v>
      </c>
      <c r="BS39">
        <f t="shared" si="12"/>
        <v>0</v>
      </c>
    </row>
    <row r="40" spans="2:71" ht="15" customHeight="1" x14ac:dyDescent="0.2">
      <c r="B40">
        <v>2</v>
      </c>
      <c r="C40">
        <v>2</v>
      </c>
      <c r="D40">
        <v>2</v>
      </c>
      <c r="E40" t="s">
        <v>126</v>
      </c>
      <c r="F40" t="s">
        <v>72</v>
      </c>
      <c r="G40" s="5">
        <v>38145</v>
      </c>
      <c r="H40" t="s">
        <v>73</v>
      </c>
      <c r="I40" t="s">
        <v>121</v>
      </c>
      <c r="J40" t="s">
        <v>75</v>
      </c>
      <c r="K40">
        <v>9</v>
      </c>
      <c r="L40" t="s">
        <v>76</v>
      </c>
      <c r="M40" t="s">
        <v>122</v>
      </c>
      <c r="N40" t="s">
        <v>78</v>
      </c>
      <c r="O40">
        <v>71.599999999999994</v>
      </c>
      <c r="P40">
        <v>131</v>
      </c>
      <c r="Q40">
        <v>6561</v>
      </c>
      <c r="R40" t="s">
        <v>79</v>
      </c>
      <c r="S40" t="s">
        <v>80</v>
      </c>
      <c r="T40" t="s">
        <v>83</v>
      </c>
      <c r="U40" t="s">
        <v>50</v>
      </c>
      <c r="V40" t="s">
        <v>50</v>
      </c>
      <c r="W40" t="s">
        <v>125</v>
      </c>
      <c r="X40">
        <v>12</v>
      </c>
      <c r="Y40" t="s">
        <v>56</v>
      </c>
      <c r="Z40">
        <v>5</v>
      </c>
      <c r="AA40">
        <v>1</v>
      </c>
      <c r="AB40" t="s">
        <v>34</v>
      </c>
      <c r="AC40" t="s">
        <v>92</v>
      </c>
      <c r="AE40" t="str">
        <f t="shared" si="0"/>
        <v>FerrinWeisberger</v>
      </c>
      <c r="AF40">
        <v>0.5</v>
      </c>
      <c r="AG40">
        <v>0</v>
      </c>
      <c r="AH40">
        <v>0</v>
      </c>
      <c r="AI40">
        <v>1</v>
      </c>
      <c r="AJ40">
        <v>0.5</v>
      </c>
      <c r="AK40" t="s">
        <v>44</v>
      </c>
      <c r="AL40">
        <v>0.4296875</v>
      </c>
      <c r="AM40" t="s">
        <v>53</v>
      </c>
      <c r="AN40">
        <v>0.59649122807017496</v>
      </c>
      <c r="AO40">
        <f t="shared" si="10"/>
        <v>0</v>
      </c>
      <c r="AP40">
        <f t="shared" si="10"/>
        <v>0</v>
      </c>
      <c r="AQ40">
        <f t="shared" si="10"/>
        <v>0</v>
      </c>
      <c r="AR40">
        <f t="shared" si="10"/>
        <v>0</v>
      </c>
      <c r="AS40">
        <f t="shared" si="10"/>
        <v>0</v>
      </c>
      <c r="AT40">
        <f t="shared" si="10"/>
        <v>0</v>
      </c>
      <c r="AU40">
        <f t="shared" si="10"/>
        <v>0</v>
      </c>
      <c r="AV40">
        <f t="shared" si="10"/>
        <v>0</v>
      </c>
      <c r="AW40">
        <f t="shared" si="10"/>
        <v>0</v>
      </c>
      <c r="AX40">
        <f t="shared" si="10"/>
        <v>0</v>
      </c>
      <c r="AY40" t="str">
        <f t="shared" si="11"/>
        <v>Ferrin</v>
      </c>
      <c r="AZ40">
        <f t="shared" si="11"/>
        <v>0</v>
      </c>
      <c r="BA40">
        <f t="shared" si="11"/>
        <v>0</v>
      </c>
      <c r="BB40">
        <f t="shared" si="11"/>
        <v>0</v>
      </c>
      <c r="BC40">
        <f t="shared" si="11"/>
        <v>0</v>
      </c>
      <c r="BD40">
        <f t="shared" si="11"/>
        <v>0</v>
      </c>
      <c r="BE40" t="str">
        <f t="shared" si="11"/>
        <v>Weisberger</v>
      </c>
      <c r="BF40">
        <f t="shared" si="11"/>
        <v>0</v>
      </c>
      <c r="BG40">
        <f t="shared" si="11"/>
        <v>0</v>
      </c>
      <c r="BH40">
        <f t="shared" si="11"/>
        <v>0</v>
      </c>
      <c r="BI40">
        <f t="shared" si="12"/>
        <v>0</v>
      </c>
      <c r="BJ40">
        <f t="shared" si="12"/>
        <v>0</v>
      </c>
      <c r="BK40">
        <f t="shared" si="12"/>
        <v>0</v>
      </c>
      <c r="BL40">
        <f t="shared" si="12"/>
        <v>0</v>
      </c>
      <c r="BM40">
        <f t="shared" si="12"/>
        <v>0</v>
      </c>
      <c r="BN40">
        <f t="shared" si="12"/>
        <v>0</v>
      </c>
      <c r="BO40">
        <f t="shared" si="12"/>
        <v>0</v>
      </c>
      <c r="BP40">
        <f t="shared" si="12"/>
        <v>0</v>
      </c>
      <c r="BQ40">
        <f t="shared" si="12"/>
        <v>0</v>
      </c>
      <c r="BR40">
        <f t="shared" si="12"/>
        <v>0</v>
      </c>
      <c r="BS40">
        <f t="shared" si="12"/>
        <v>0</v>
      </c>
    </row>
    <row r="41" spans="2:71" ht="15" customHeight="1" x14ac:dyDescent="0.2">
      <c r="B41">
        <v>2</v>
      </c>
      <c r="C41">
        <v>2</v>
      </c>
      <c r="D41">
        <v>2</v>
      </c>
      <c r="E41" t="s">
        <v>126</v>
      </c>
      <c r="F41" t="s">
        <v>72</v>
      </c>
      <c r="G41" s="5">
        <v>38145</v>
      </c>
      <c r="H41" t="s">
        <v>73</v>
      </c>
      <c r="I41" t="s">
        <v>121</v>
      </c>
      <c r="J41" t="s">
        <v>75</v>
      </c>
      <c r="K41">
        <v>9</v>
      </c>
      <c r="L41" t="s">
        <v>76</v>
      </c>
      <c r="M41" t="s">
        <v>122</v>
      </c>
      <c r="N41" t="s">
        <v>78</v>
      </c>
      <c r="O41">
        <v>71.599999999999994</v>
      </c>
      <c r="P41">
        <v>131</v>
      </c>
      <c r="Q41">
        <v>6561</v>
      </c>
      <c r="R41" t="s">
        <v>79</v>
      </c>
      <c r="S41" t="s">
        <v>80</v>
      </c>
      <c r="T41" t="s">
        <v>83</v>
      </c>
      <c r="U41" t="s">
        <v>45</v>
      </c>
      <c r="V41" t="s">
        <v>44</v>
      </c>
      <c r="W41" t="s">
        <v>123</v>
      </c>
      <c r="X41">
        <v>5</v>
      </c>
      <c r="Y41" t="s">
        <v>53</v>
      </c>
      <c r="Z41">
        <v>21</v>
      </c>
      <c r="AA41">
        <v>1</v>
      </c>
      <c r="AB41" t="s">
        <v>34</v>
      </c>
      <c r="AC41" t="s">
        <v>92</v>
      </c>
      <c r="AE41" t="str">
        <f t="shared" si="0"/>
        <v>FlandersForster</v>
      </c>
      <c r="AF41">
        <v>0.5</v>
      </c>
      <c r="AG41">
        <v>0</v>
      </c>
      <c r="AH41">
        <v>0</v>
      </c>
      <c r="AI41">
        <v>1</v>
      </c>
      <c r="AJ41">
        <v>0.5</v>
      </c>
      <c r="AK41" t="s">
        <v>50</v>
      </c>
      <c r="AL41">
        <v>0.59523809523809501</v>
      </c>
      <c r="AM41" t="s">
        <v>56</v>
      </c>
      <c r="AN41">
        <v>0.5</v>
      </c>
      <c r="AO41">
        <f t="shared" si="10"/>
        <v>0</v>
      </c>
      <c r="AP41">
        <f t="shared" si="10"/>
        <v>0</v>
      </c>
      <c r="AQ41">
        <f t="shared" si="10"/>
        <v>0</v>
      </c>
      <c r="AR41">
        <f t="shared" si="10"/>
        <v>0</v>
      </c>
      <c r="AS41" t="str">
        <f t="shared" si="10"/>
        <v>Flanders</v>
      </c>
      <c r="AT41">
        <f t="shared" si="10"/>
        <v>0</v>
      </c>
      <c r="AU41">
        <f t="shared" si="10"/>
        <v>0</v>
      </c>
      <c r="AV41">
        <f t="shared" si="10"/>
        <v>0</v>
      </c>
      <c r="AW41">
        <f t="shared" si="10"/>
        <v>0</v>
      </c>
      <c r="AX41">
        <f t="shared" si="10"/>
        <v>0</v>
      </c>
      <c r="AY41">
        <f t="shared" si="11"/>
        <v>0</v>
      </c>
      <c r="AZ41">
        <f t="shared" si="11"/>
        <v>0</v>
      </c>
      <c r="BA41">
        <f t="shared" si="11"/>
        <v>0</v>
      </c>
      <c r="BB41" t="str">
        <f t="shared" si="11"/>
        <v>Forster</v>
      </c>
      <c r="BC41">
        <f t="shared" si="11"/>
        <v>0</v>
      </c>
      <c r="BD41">
        <f t="shared" si="11"/>
        <v>0</v>
      </c>
      <c r="BE41">
        <f t="shared" si="11"/>
        <v>0</v>
      </c>
      <c r="BF41">
        <f t="shared" si="11"/>
        <v>0</v>
      </c>
      <c r="BG41">
        <f t="shared" si="11"/>
        <v>0</v>
      </c>
      <c r="BH41">
        <f t="shared" si="11"/>
        <v>0</v>
      </c>
      <c r="BI41">
        <f t="shared" si="12"/>
        <v>0</v>
      </c>
      <c r="BJ41">
        <f t="shared" si="12"/>
        <v>0</v>
      </c>
      <c r="BK41">
        <f t="shared" si="12"/>
        <v>0</v>
      </c>
      <c r="BL41">
        <f t="shared" si="12"/>
        <v>0</v>
      </c>
      <c r="BM41">
        <f t="shared" si="12"/>
        <v>0</v>
      </c>
      <c r="BN41">
        <f t="shared" si="12"/>
        <v>0</v>
      </c>
      <c r="BO41">
        <f t="shared" si="12"/>
        <v>0</v>
      </c>
      <c r="BP41">
        <f t="shared" si="12"/>
        <v>0</v>
      </c>
      <c r="BQ41">
        <f t="shared" si="12"/>
        <v>0</v>
      </c>
      <c r="BR41">
        <f t="shared" si="12"/>
        <v>0</v>
      </c>
      <c r="BS41">
        <f t="shared" si="12"/>
        <v>0</v>
      </c>
    </row>
    <row r="42" spans="2:71" ht="15" customHeight="1" x14ac:dyDescent="0.2">
      <c r="B42">
        <v>3</v>
      </c>
      <c r="C42">
        <v>3</v>
      </c>
      <c r="D42">
        <v>2</v>
      </c>
      <c r="E42" t="s">
        <v>127</v>
      </c>
      <c r="F42" t="s">
        <v>72</v>
      </c>
      <c r="G42" s="5">
        <v>38145</v>
      </c>
      <c r="H42" t="s">
        <v>73</v>
      </c>
      <c r="I42" t="s">
        <v>121</v>
      </c>
      <c r="J42" t="s">
        <v>75</v>
      </c>
      <c r="K42">
        <v>9</v>
      </c>
      <c r="L42" t="s">
        <v>76</v>
      </c>
      <c r="M42" t="s">
        <v>122</v>
      </c>
      <c r="N42" t="s">
        <v>78</v>
      </c>
      <c r="O42">
        <v>71.599999999999994</v>
      </c>
      <c r="P42">
        <v>131</v>
      </c>
      <c r="Q42">
        <v>6561</v>
      </c>
      <c r="R42" t="s">
        <v>79</v>
      </c>
      <c r="S42" t="s">
        <v>80</v>
      </c>
      <c r="T42" t="s">
        <v>83</v>
      </c>
      <c r="U42" t="s">
        <v>45</v>
      </c>
      <c r="V42" t="s">
        <v>45</v>
      </c>
      <c r="W42" t="s">
        <v>123</v>
      </c>
      <c r="X42">
        <v>0</v>
      </c>
      <c r="Y42" t="s">
        <v>52</v>
      </c>
      <c r="Z42">
        <v>8</v>
      </c>
      <c r="AA42">
        <v>1</v>
      </c>
      <c r="AB42" t="s">
        <v>34</v>
      </c>
      <c r="AC42" t="s">
        <v>92</v>
      </c>
      <c r="AE42" t="str">
        <f t="shared" si="0"/>
        <v>ConnollyConnors</v>
      </c>
      <c r="AF42">
        <v>0.5</v>
      </c>
      <c r="AG42">
        <v>0</v>
      </c>
      <c r="AH42">
        <v>0</v>
      </c>
      <c r="AI42">
        <v>1</v>
      </c>
      <c r="AJ42">
        <v>0.5</v>
      </c>
      <c r="AK42" t="s">
        <v>55</v>
      </c>
      <c r="AL42">
        <v>0.44067796610169502</v>
      </c>
      <c r="AM42" t="s">
        <v>46</v>
      </c>
      <c r="AN42">
        <v>0.38392857142857201</v>
      </c>
      <c r="AO42">
        <f t="shared" ref="AO42:AX51" si="13">IF(OR($V42=AO$1,$Y42=AO$1),AO$1,0)</f>
        <v>0</v>
      </c>
      <c r="AP42">
        <f t="shared" si="13"/>
        <v>0</v>
      </c>
      <c r="AQ42">
        <f t="shared" si="13"/>
        <v>0</v>
      </c>
      <c r="AR42">
        <f t="shared" si="13"/>
        <v>0</v>
      </c>
      <c r="AS42">
        <f t="shared" si="13"/>
        <v>0</v>
      </c>
      <c r="AT42" t="str">
        <f t="shared" si="13"/>
        <v>Connolly</v>
      </c>
      <c r="AU42">
        <f t="shared" si="13"/>
        <v>0</v>
      </c>
      <c r="AV42">
        <f t="shared" si="13"/>
        <v>0</v>
      </c>
      <c r="AW42">
        <f t="shared" si="13"/>
        <v>0</v>
      </c>
      <c r="AX42">
        <f t="shared" si="13"/>
        <v>0</v>
      </c>
      <c r="AY42">
        <f t="shared" ref="AY42:BH51" si="14">IF(OR($V42=AY$1,$Y42=AY$1),AY$1,0)</f>
        <v>0</v>
      </c>
      <c r="AZ42">
        <f t="shared" si="14"/>
        <v>0</v>
      </c>
      <c r="BA42" t="str">
        <f t="shared" si="14"/>
        <v>Connors</v>
      </c>
      <c r="BB42">
        <f t="shared" si="14"/>
        <v>0</v>
      </c>
      <c r="BC42">
        <f t="shared" si="14"/>
        <v>0</v>
      </c>
      <c r="BD42">
        <f t="shared" si="14"/>
        <v>0</v>
      </c>
      <c r="BE42">
        <f t="shared" si="14"/>
        <v>0</v>
      </c>
      <c r="BF42">
        <f t="shared" si="14"/>
        <v>0</v>
      </c>
      <c r="BG42">
        <f t="shared" si="14"/>
        <v>0</v>
      </c>
      <c r="BH42">
        <f t="shared" si="14"/>
        <v>0</v>
      </c>
      <c r="BI42">
        <f t="shared" ref="BI42:BS51" si="15">IF(OR($V42=BI$1,$Y42=BI$1),BI$1,0)</f>
        <v>0</v>
      </c>
      <c r="BJ42">
        <f t="shared" si="15"/>
        <v>0</v>
      </c>
      <c r="BK42">
        <f t="shared" si="15"/>
        <v>0</v>
      </c>
      <c r="BL42">
        <f t="shared" si="15"/>
        <v>0</v>
      </c>
      <c r="BM42">
        <f t="shared" si="15"/>
        <v>0</v>
      </c>
      <c r="BN42">
        <f t="shared" si="15"/>
        <v>0</v>
      </c>
      <c r="BO42">
        <f t="shared" si="15"/>
        <v>0</v>
      </c>
      <c r="BP42">
        <f t="shared" si="15"/>
        <v>0</v>
      </c>
      <c r="BQ42">
        <f t="shared" si="15"/>
        <v>0</v>
      </c>
      <c r="BR42">
        <f t="shared" si="15"/>
        <v>0</v>
      </c>
      <c r="BS42">
        <f t="shared" si="15"/>
        <v>0</v>
      </c>
    </row>
    <row r="43" spans="2:71" ht="15" customHeight="1" x14ac:dyDescent="0.2">
      <c r="B43">
        <v>3</v>
      </c>
      <c r="C43">
        <v>3</v>
      </c>
      <c r="D43">
        <v>2</v>
      </c>
      <c r="E43" t="s">
        <v>127</v>
      </c>
      <c r="F43" t="s">
        <v>72</v>
      </c>
      <c r="G43" s="5">
        <v>38145</v>
      </c>
      <c r="H43" t="s">
        <v>73</v>
      </c>
      <c r="I43" t="s">
        <v>121</v>
      </c>
      <c r="J43" t="s">
        <v>75</v>
      </c>
      <c r="K43">
        <v>9</v>
      </c>
      <c r="L43" t="s">
        <v>76</v>
      </c>
      <c r="M43" t="s">
        <v>122</v>
      </c>
      <c r="N43" t="s">
        <v>78</v>
      </c>
      <c r="O43">
        <v>71.599999999999994</v>
      </c>
      <c r="P43">
        <v>131</v>
      </c>
      <c r="Q43">
        <v>6561</v>
      </c>
      <c r="R43" t="s">
        <v>79</v>
      </c>
      <c r="S43" t="s">
        <v>80</v>
      </c>
      <c r="T43" t="s">
        <v>83</v>
      </c>
      <c r="U43" t="s">
        <v>50</v>
      </c>
      <c r="V43" t="s">
        <v>55</v>
      </c>
      <c r="W43" t="s">
        <v>125</v>
      </c>
      <c r="X43">
        <v>24</v>
      </c>
      <c r="Y43" t="s">
        <v>46</v>
      </c>
      <c r="Z43">
        <v>4</v>
      </c>
      <c r="AA43">
        <v>1</v>
      </c>
      <c r="AB43" t="s">
        <v>34</v>
      </c>
      <c r="AC43" t="s">
        <v>92</v>
      </c>
      <c r="AE43" t="str">
        <f t="shared" si="0"/>
        <v>ColeMangold</v>
      </c>
      <c r="AF43">
        <v>0.5</v>
      </c>
      <c r="AG43">
        <v>0</v>
      </c>
      <c r="AH43">
        <v>0</v>
      </c>
      <c r="AI43">
        <v>1</v>
      </c>
      <c r="AJ43">
        <v>0.5</v>
      </c>
      <c r="AK43" t="s">
        <v>45</v>
      </c>
      <c r="AL43">
        <v>0.59375</v>
      </c>
      <c r="AM43" t="s">
        <v>52</v>
      </c>
      <c r="AN43">
        <v>0.34745762711864397</v>
      </c>
      <c r="AO43">
        <f t="shared" si="13"/>
        <v>0</v>
      </c>
      <c r="AP43">
        <f t="shared" si="13"/>
        <v>0</v>
      </c>
      <c r="AQ43">
        <f t="shared" si="13"/>
        <v>0</v>
      </c>
      <c r="AR43">
        <f t="shared" si="13"/>
        <v>0</v>
      </c>
      <c r="AS43">
        <f t="shared" si="13"/>
        <v>0</v>
      </c>
      <c r="AT43">
        <f t="shared" si="13"/>
        <v>0</v>
      </c>
      <c r="AU43" t="str">
        <f t="shared" si="13"/>
        <v>Mangold</v>
      </c>
      <c r="AV43">
        <f t="shared" si="13"/>
        <v>0</v>
      </c>
      <c r="AW43">
        <f t="shared" si="13"/>
        <v>0</v>
      </c>
      <c r="AX43">
        <f t="shared" si="13"/>
        <v>0</v>
      </c>
      <c r="AY43">
        <f t="shared" si="14"/>
        <v>0</v>
      </c>
      <c r="AZ43">
        <f t="shared" si="14"/>
        <v>0</v>
      </c>
      <c r="BA43">
        <f t="shared" si="14"/>
        <v>0</v>
      </c>
      <c r="BB43">
        <f t="shared" si="14"/>
        <v>0</v>
      </c>
      <c r="BC43">
        <f t="shared" si="14"/>
        <v>0</v>
      </c>
      <c r="BD43" t="str">
        <f t="shared" si="14"/>
        <v>Cole</v>
      </c>
      <c r="BE43">
        <f t="shared" si="14"/>
        <v>0</v>
      </c>
      <c r="BF43">
        <f t="shared" si="14"/>
        <v>0</v>
      </c>
      <c r="BG43">
        <f t="shared" si="14"/>
        <v>0</v>
      </c>
      <c r="BH43">
        <f t="shared" si="14"/>
        <v>0</v>
      </c>
      <c r="BI43">
        <f t="shared" si="15"/>
        <v>0</v>
      </c>
      <c r="BJ43">
        <f t="shared" si="15"/>
        <v>0</v>
      </c>
      <c r="BK43">
        <f t="shared" si="15"/>
        <v>0</v>
      </c>
      <c r="BL43">
        <f t="shared" si="15"/>
        <v>0</v>
      </c>
      <c r="BM43">
        <f t="shared" si="15"/>
        <v>0</v>
      </c>
      <c r="BN43">
        <f t="shared" si="15"/>
        <v>0</v>
      </c>
      <c r="BO43">
        <f t="shared" si="15"/>
        <v>0</v>
      </c>
      <c r="BP43">
        <f t="shared" si="15"/>
        <v>0</v>
      </c>
      <c r="BQ43">
        <f t="shared" si="15"/>
        <v>0</v>
      </c>
      <c r="BR43">
        <f t="shared" si="15"/>
        <v>0</v>
      </c>
      <c r="BS43">
        <f t="shared" si="15"/>
        <v>0</v>
      </c>
    </row>
    <row r="44" spans="2:71" ht="15" customHeight="1" x14ac:dyDescent="0.2">
      <c r="B44">
        <v>4</v>
      </c>
      <c r="C44">
        <v>4</v>
      </c>
      <c r="D44">
        <v>2</v>
      </c>
      <c r="E44" t="s">
        <v>128</v>
      </c>
      <c r="F44" t="s">
        <v>72</v>
      </c>
      <c r="G44" s="5">
        <v>38145</v>
      </c>
      <c r="H44" t="s">
        <v>73</v>
      </c>
      <c r="I44" t="s">
        <v>121</v>
      </c>
      <c r="J44" t="s">
        <v>75</v>
      </c>
      <c r="K44">
        <v>9</v>
      </c>
      <c r="L44" t="s">
        <v>76</v>
      </c>
      <c r="M44" t="s">
        <v>122</v>
      </c>
      <c r="N44" t="s">
        <v>78</v>
      </c>
      <c r="O44">
        <v>71.599999999999994</v>
      </c>
      <c r="P44">
        <v>131</v>
      </c>
      <c r="Q44">
        <v>6561</v>
      </c>
      <c r="R44" t="s">
        <v>79</v>
      </c>
      <c r="S44" t="s">
        <v>80</v>
      </c>
      <c r="T44" t="s">
        <v>83</v>
      </c>
      <c r="U44" t="s">
        <v>50</v>
      </c>
      <c r="V44" t="s">
        <v>47</v>
      </c>
      <c r="W44" t="s">
        <v>125</v>
      </c>
      <c r="X44">
        <v>8</v>
      </c>
      <c r="Y44" t="s">
        <v>49</v>
      </c>
      <c r="Z44">
        <v>11</v>
      </c>
      <c r="AA44">
        <v>1</v>
      </c>
      <c r="AB44" t="s">
        <v>33</v>
      </c>
      <c r="AC44" t="s">
        <v>129</v>
      </c>
      <c r="AE44" t="str">
        <f t="shared" si="0"/>
        <v>HickersonShively</v>
      </c>
      <c r="AF44">
        <v>0</v>
      </c>
      <c r="AG44">
        <v>0</v>
      </c>
      <c r="AH44">
        <v>1</v>
      </c>
      <c r="AI44">
        <v>0</v>
      </c>
      <c r="AJ44">
        <v>0</v>
      </c>
      <c r="AK44" t="s">
        <v>41</v>
      </c>
      <c r="AL44">
        <v>0.47321428571428598</v>
      </c>
      <c r="AM44" t="s">
        <v>48</v>
      </c>
      <c r="AN44">
        <v>0.5546875</v>
      </c>
      <c r="AO44">
        <f t="shared" si="13"/>
        <v>0</v>
      </c>
      <c r="AP44">
        <f t="shared" si="13"/>
        <v>0</v>
      </c>
      <c r="AQ44">
        <f t="shared" si="13"/>
        <v>0</v>
      </c>
      <c r="AR44">
        <f t="shared" si="13"/>
        <v>0</v>
      </c>
      <c r="AS44">
        <f t="shared" si="13"/>
        <v>0</v>
      </c>
      <c r="AT44">
        <f t="shared" si="13"/>
        <v>0</v>
      </c>
      <c r="AU44">
        <f t="shared" si="13"/>
        <v>0</v>
      </c>
      <c r="AV44" t="str">
        <f t="shared" si="13"/>
        <v>Hickerson</v>
      </c>
      <c r="AW44">
        <f t="shared" si="13"/>
        <v>0</v>
      </c>
      <c r="AX44" t="str">
        <f t="shared" si="13"/>
        <v>Shively</v>
      </c>
      <c r="AY44">
        <f t="shared" si="14"/>
        <v>0</v>
      </c>
      <c r="AZ44">
        <f t="shared" si="14"/>
        <v>0</v>
      </c>
      <c r="BA44">
        <f t="shared" si="14"/>
        <v>0</v>
      </c>
      <c r="BB44">
        <f t="shared" si="14"/>
        <v>0</v>
      </c>
      <c r="BC44">
        <f t="shared" si="14"/>
        <v>0</v>
      </c>
      <c r="BD44">
        <f t="shared" si="14"/>
        <v>0</v>
      </c>
      <c r="BE44">
        <f t="shared" si="14"/>
        <v>0</v>
      </c>
      <c r="BF44">
        <f t="shared" si="14"/>
        <v>0</v>
      </c>
      <c r="BG44">
        <f t="shared" si="14"/>
        <v>0</v>
      </c>
      <c r="BH44">
        <f t="shared" si="14"/>
        <v>0</v>
      </c>
      <c r="BI44">
        <f t="shared" si="15"/>
        <v>0</v>
      </c>
      <c r="BJ44">
        <f t="shared" si="15"/>
        <v>0</v>
      </c>
      <c r="BK44">
        <f t="shared" si="15"/>
        <v>0</v>
      </c>
      <c r="BL44">
        <f t="shared" si="15"/>
        <v>0</v>
      </c>
      <c r="BM44">
        <f t="shared" si="15"/>
        <v>0</v>
      </c>
      <c r="BN44">
        <f t="shared" si="15"/>
        <v>0</v>
      </c>
      <c r="BO44">
        <f t="shared" si="15"/>
        <v>0</v>
      </c>
      <c r="BP44">
        <f t="shared" si="15"/>
        <v>0</v>
      </c>
      <c r="BQ44">
        <f t="shared" si="15"/>
        <v>0</v>
      </c>
      <c r="BR44">
        <f t="shared" si="15"/>
        <v>0</v>
      </c>
      <c r="BS44">
        <f t="shared" si="15"/>
        <v>0</v>
      </c>
    </row>
    <row r="45" spans="2:71" ht="15" customHeight="1" x14ac:dyDescent="0.2">
      <c r="B45">
        <v>4</v>
      </c>
      <c r="C45">
        <v>4</v>
      </c>
      <c r="D45">
        <v>2</v>
      </c>
      <c r="E45" t="s">
        <v>128</v>
      </c>
      <c r="F45" t="s">
        <v>72</v>
      </c>
      <c r="G45" s="5">
        <v>38145</v>
      </c>
      <c r="H45" t="s">
        <v>73</v>
      </c>
      <c r="I45" t="s">
        <v>121</v>
      </c>
      <c r="J45" t="s">
        <v>75</v>
      </c>
      <c r="K45">
        <v>9</v>
      </c>
      <c r="L45" t="s">
        <v>76</v>
      </c>
      <c r="M45" t="s">
        <v>122</v>
      </c>
      <c r="N45" t="s">
        <v>78</v>
      </c>
      <c r="O45">
        <v>71.599999999999994</v>
      </c>
      <c r="P45">
        <v>131</v>
      </c>
      <c r="Q45">
        <v>6561</v>
      </c>
      <c r="R45" t="s">
        <v>79</v>
      </c>
      <c r="S45" t="s">
        <v>80</v>
      </c>
      <c r="T45" t="s">
        <v>83</v>
      </c>
      <c r="U45" t="s">
        <v>45</v>
      </c>
      <c r="V45" t="s">
        <v>41</v>
      </c>
      <c r="W45" t="s">
        <v>123</v>
      </c>
      <c r="X45">
        <v>7</v>
      </c>
      <c r="Y45" t="s">
        <v>48</v>
      </c>
      <c r="Z45">
        <v>8</v>
      </c>
      <c r="AA45">
        <v>1</v>
      </c>
      <c r="AB45" t="s">
        <v>32</v>
      </c>
      <c r="AC45" t="s">
        <v>129</v>
      </c>
      <c r="AE45" t="str">
        <f t="shared" si="0"/>
        <v>HiltsLynch</v>
      </c>
      <c r="AF45">
        <v>1</v>
      </c>
      <c r="AG45">
        <v>1</v>
      </c>
      <c r="AH45">
        <v>0</v>
      </c>
      <c r="AI45">
        <v>0</v>
      </c>
      <c r="AJ45">
        <v>1</v>
      </c>
      <c r="AK45" t="s">
        <v>47</v>
      </c>
      <c r="AL45">
        <v>0.35714285714285698</v>
      </c>
      <c r="AM45" t="s">
        <v>49</v>
      </c>
      <c r="AO45">
        <f t="shared" si="13"/>
        <v>0</v>
      </c>
      <c r="AP45" t="str">
        <f t="shared" si="13"/>
        <v>Hilts</v>
      </c>
      <c r="AQ45">
        <f t="shared" si="13"/>
        <v>0</v>
      </c>
      <c r="AR45">
        <f t="shared" si="13"/>
        <v>0</v>
      </c>
      <c r="AS45">
        <f t="shared" si="13"/>
        <v>0</v>
      </c>
      <c r="AT45">
        <f t="shared" si="13"/>
        <v>0</v>
      </c>
      <c r="AU45">
        <f t="shared" si="13"/>
        <v>0</v>
      </c>
      <c r="AV45">
        <f t="shared" si="13"/>
        <v>0</v>
      </c>
      <c r="AW45" t="str">
        <f t="shared" si="13"/>
        <v>Lynch</v>
      </c>
      <c r="AX45">
        <f t="shared" si="13"/>
        <v>0</v>
      </c>
      <c r="AY45">
        <f t="shared" si="14"/>
        <v>0</v>
      </c>
      <c r="AZ45">
        <f t="shared" si="14"/>
        <v>0</v>
      </c>
      <c r="BA45">
        <f t="shared" si="14"/>
        <v>0</v>
      </c>
      <c r="BB45">
        <f t="shared" si="14"/>
        <v>0</v>
      </c>
      <c r="BC45">
        <f t="shared" si="14"/>
        <v>0</v>
      </c>
      <c r="BD45">
        <f t="shared" si="14"/>
        <v>0</v>
      </c>
      <c r="BE45">
        <f t="shared" si="14"/>
        <v>0</v>
      </c>
      <c r="BF45">
        <f t="shared" si="14"/>
        <v>0</v>
      </c>
      <c r="BG45">
        <f t="shared" si="14"/>
        <v>0</v>
      </c>
      <c r="BH45">
        <f t="shared" si="14"/>
        <v>0</v>
      </c>
      <c r="BI45">
        <f t="shared" si="15"/>
        <v>0</v>
      </c>
      <c r="BJ45">
        <f t="shared" si="15"/>
        <v>0</v>
      </c>
      <c r="BK45">
        <f t="shared" si="15"/>
        <v>0</v>
      </c>
      <c r="BL45">
        <f t="shared" si="15"/>
        <v>0</v>
      </c>
      <c r="BM45">
        <f t="shared" si="15"/>
        <v>0</v>
      </c>
      <c r="BN45">
        <f t="shared" si="15"/>
        <v>0</v>
      </c>
      <c r="BO45">
        <f t="shared" si="15"/>
        <v>0</v>
      </c>
      <c r="BP45">
        <f t="shared" si="15"/>
        <v>0</v>
      </c>
      <c r="BQ45">
        <f t="shared" si="15"/>
        <v>0</v>
      </c>
      <c r="BR45">
        <f t="shared" si="15"/>
        <v>0</v>
      </c>
      <c r="BS45">
        <f t="shared" si="15"/>
        <v>0</v>
      </c>
    </row>
    <row r="46" spans="2:71" ht="15" customHeight="1" x14ac:dyDescent="0.2">
      <c r="B46">
        <v>5</v>
      </c>
      <c r="C46">
        <v>1</v>
      </c>
      <c r="D46">
        <v>2</v>
      </c>
      <c r="E46" t="s">
        <v>130</v>
      </c>
      <c r="F46" t="s">
        <v>72</v>
      </c>
      <c r="G46" s="5">
        <v>38145</v>
      </c>
      <c r="H46" t="s">
        <v>73</v>
      </c>
      <c r="I46" t="s">
        <v>121</v>
      </c>
      <c r="J46" t="s">
        <v>75</v>
      </c>
      <c r="K46">
        <v>9</v>
      </c>
      <c r="L46" t="s">
        <v>90</v>
      </c>
      <c r="M46" t="s">
        <v>122</v>
      </c>
      <c r="N46" t="s">
        <v>78</v>
      </c>
      <c r="O46">
        <v>71.599999999999994</v>
      </c>
      <c r="P46">
        <v>131</v>
      </c>
      <c r="Q46">
        <v>6561</v>
      </c>
      <c r="R46" t="s">
        <v>131</v>
      </c>
      <c r="S46" t="s">
        <v>80</v>
      </c>
      <c r="T46" t="s">
        <v>83</v>
      </c>
      <c r="U46" t="s">
        <v>45</v>
      </c>
      <c r="V46" t="s">
        <v>40</v>
      </c>
      <c r="W46" t="s">
        <v>123</v>
      </c>
      <c r="X46">
        <v>2</v>
      </c>
      <c r="Y46" t="s">
        <v>42</v>
      </c>
      <c r="Z46">
        <v>0</v>
      </c>
      <c r="AA46">
        <v>1</v>
      </c>
      <c r="AB46" t="s">
        <v>32</v>
      </c>
      <c r="AC46" t="s">
        <v>112</v>
      </c>
      <c r="AE46" t="str">
        <f t="shared" si="0"/>
        <v>GriseJackson</v>
      </c>
      <c r="AF46">
        <v>1</v>
      </c>
      <c r="AG46">
        <v>1</v>
      </c>
      <c r="AH46">
        <v>0</v>
      </c>
      <c r="AI46">
        <v>0</v>
      </c>
      <c r="AJ46">
        <v>1</v>
      </c>
      <c r="AK46" t="s">
        <v>57</v>
      </c>
      <c r="AL46">
        <v>0.44827586206896602</v>
      </c>
      <c r="AM46" t="s">
        <v>54</v>
      </c>
      <c r="AN46">
        <v>0.37288135593220301</v>
      </c>
      <c r="AO46" t="str">
        <f t="shared" si="13"/>
        <v>Grise</v>
      </c>
      <c r="AP46">
        <f t="shared" si="13"/>
        <v>0</v>
      </c>
      <c r="AQ46" t="str">
        <f t="shared" si="13"/>
        <v>Jackson</v>
      </c>
      <c r="AR46">
        <f t="shared" si="13"/>
        <v>0</v>
      </c>
      <c r="AS46">
        <f t="shared" si="13"/>
        <v>0</v>
      </c>
      <c r="AT46">
        <f t="shared" si="13"/>
        <v>0</v>
      </c>
      <c r="AU46">
        <f t="shared" si="13"/>
        <v>0</v>
      </c>
      <c r="AV46">
        <f t="shared" si="13"/>
        <v>0</v>
      </c>
      <c r="AW46">
        <f t="shared" si="13"/>
        <v>0</v>
      </c>
      <c r="AX46">
        <f t="shared" si="13"/>
        <v>0</v>
      </c>
      <c r="AY46">
        <f t="shared" si="14"/>
        <v>0</v>
      </c>
      <c r="AZ46">
        <f t="shared" si="14"/>
        <v>0</v>
      </c>
      <c r="BA46">
        <f t="shared" si="14"/>
        <v>0</v>
      </c>
      <c r="BB46">
        <f t="shared" si="14"/>
        <v>0</v>
      </c>
      <c r="BC46">
        <f t="shared" si="14"/>
        <v>0</v>
      </c>
      <c r="BD46">
        <f t="shared" si="14"/>
        <v>0</v>
      </c>
      <c r="BE46">
        <f t="shared" si="14"/>
        <v>0</v>
      </c>
      <c r="BF46">
        <f t="shared" si="14"/>
        <v>0</v>
      </c>
      <c r="BG46">
        <f t="shared" si="14"/>
        <v>0</v>
      </c>
      <c r="BH46">
        <f t="shared" si="14"/>
        <v>0</v>
      </c>
      <c r="BI46">
        <f t="shared" si="15"/>
        <v>0</v>
      </c>
      <c r="BJ46">
        <f t="shared" si="15"/>
        <v>0</v>
      </c>
      <c r="BK46">
        <f t="shared" si="15"/>
        <v>0</v>
      </c>
      <c r="BL46">
        <f t="shared" si="15"/>
        <v>0</v>
      </c>
      <c r="BM46">
        <f t="shared" si="15"/>
        <v>0</v>
      </c>
      <c r="BN46">
        <f t="shared" si="15"/>
        <v>0</v>
      </c>
      <c r="BO46">
        <f t="shared" si="15"/>
        <v>0</v>
      </c>
      <c r="BP46">
        <f t="shared" si="15"/>
        <v>0</v>
      </c>
      <c r="BQ46">
        <f t="shared" si="15"/>
        <v>0</v>
      </c>
      <c r="BR46">
        <f t="shared" si="15"/>
        <v>0</v>
      </c>
      <c r="BS46">
        <f t="shared" si="15"/>
        <v>0</v>
      </c>
    </row>
    <row r="47" spans="2:71" ht="15" customHeight="1" x14ac:dyDescent="0.2">
      <c r="B47">
        <v>5</v>
      </c>
      <c r="C47">
        <v>1</v>
      </c>
      <c r="D47">
        <v>2</v>
      </c>
      <c r="E47" t="s">
        <v>130</v>
      </c>
      <c r="F47" t="s">
        <v>72</v>
      </c>
      <c r="G47" s="5">
        <v>38145</v>
      </c>
      <c r="H47" t="s">
        <v>73</v>
      </c>
      <c r="I47" t="s">
        <v>121</v>
      </c>
      <c r="J47" t="s">
        <v>75</v>
      </c>
      <c r="K47">
        <v>9</v>
      </c>
      <c r="L47" t="s">
        <v>90</v>
      </c>
      <c r="M47" t="s">
        <v>122</v>
      </c>
      <c r="N47" t="s">
        <v>78</v>
      </c>
      <c r="O47">
        <v>71.599999999999994</v>
      </c>
      <c r="P47">
        <v>131</v>
      </c>
      <c r="Q47">
        <v>6561</v>
      </c>
      <c r="R47" t="s">
        <v>131</v>
      </c>
      <c r="S47" t="s">
        <v>80</v>
      </c>
      <c r="T47" t="s">
        <v>83</v>
      </c>
      <c r="U47" t="s">
        <v>50</v>
      </c>
      <c r="V47" t="s">
        <v>57</v>
      </c>
      <c r="W47" t="s">
        <v>125</v>
      </c>
      <c r="X47">
        <v>0</v>
      </c>
      <c r="Y47" t="s">
        <v>54</v>
      </c>
      <c r="Z47">
        <v>22</v>
      </c>
      <c r="AA47">
        <v>1</v>
      </c>
      <c r="AB47" t="s">
        <v>33</v>
      </c>
      <c r="AC47" t="s">
        <v>112</v>
      </c>
      <c r="AE47" t="str">
        <f t="shared" si="0"/>
        <v>BussFogan</v>
      </c>
      <c r="AF47">
        <v>0</v>
      </c>
      <c r="AG47">
        <v>0</v>
      </c>
      <c r="AH47">
        <v>1</v>
      </c>
      <c r="AI47">
        <v>0</v>
      </c>
      <c r="AJ47">
        <v>0</v>
      </c>
      <c r="AK47" t="s">
        <v>40</v>
      </c>
      <c r="AL47">
        <v>0.546875</v>
      </c>
      <c r="AM47" t="s">
        <v>42</v>
      </c>
      <c r="AN47">
        <v>0.6171875</v>
      </c>
      <c r="AO47">
        <f t="shared" si="13"/>
        <v>0</v>
      </c>
      <c r="AP47">
        <f t="shared" si="13"/>
        <v>0</v>
      </c>
      <c r="AQ47">
        <f t="shared" si="13"/>
        <v>0</v>
      </c>
      <c r="AR47">
        <f t="shared" si="13"/>
        <v>0</v>
      </c>
      <c r="AS47">
        <f t="shared" si="13"/>
        <v>0</v>
      </c>
      <c r="AT47">
        <f t="shared" si="13"/>
        <v>0</v>
      </c>
      <c r="AU47">
        <f t="shared" si="13"/>
        <v>0</v>
      </c>
      <c r="AV47">
        <f t="shared" si="13"/>
        <v>0</v>
      </c>
      <c r="AW47">
        <f t="shared" si="13"/>
        <v>0</v>
      </c>
      <c r="AX47">
        <f t="shared" si="13"/>
        <v>0</v>
      </c>
      <c r="AY47">
        <f t="shared" si="14"/>
        <v>0</v>
      </c>
      <c r="AZ47">
        <f t="shared" si="14"/>
        <v>0</v>
      </c>
      <c r="BA47">
        <f t="shared" si="14"/>
        <v>0</v>
      </c>
      <c r="BB47">
        <f t="shared" si="14"/>
        <v>0</v>
      </c>
      <c r="BC47" t="str">
        <f t="shared" si="14"/>
        <v>Fogan</v>
      </c>
      <c r="BD47">
        <f t="shared" si="14"/>
        <v>0</v>
      </c>
      <c r="BE47">
        <f t="shared" si="14"/>
        <v>0</v>
      </c>
      <c r="BF47" t="str">
        <f t="shared" si="14"/>
        <v>Buss</v>
      </c>
      <c r="BG47">
        <f t="shared" si="14"/>
        <v>0</v>
      </c>
      <c r="BH47">
        <f t="shared" si="14"/>
        <v>0</v>
      </c>
      <c r="BI47">
        <f t="shared" si="15"/>
        <v>0</v>
      </c>
      <c r="BJ47">
        <f t="shared" si="15"/>
        <v>0</v>
      </c>
      <c r="BK47">
        <f t="shared" si="15"/>
        <v>0</v>
      </c>
      <c r="BL47">
        <f t="shared" si="15"/>
        <v>0</v>
      </c>
      <c r="BM47">
        <f t="shared" si="15"/>
        <v>0</v>
      </c>
      <c r="BN47">
        <f t="shared" si="15"/>
        <v>0</v>
      </c>
      <c r="BO47">
        <f t="shared" si="15"/>
        <v>0</v>
      </c>
      <c r="BP47">
        <f t="shared" si="15"/>
        <v>0</v>
      </c>
      <c r="BQ47">
        <f t="shared" si="15"/>
        <v>0</v>
      </c>
      <c r="BR47">
        <f t="shared" si="15"/>
        <v>0</v>
      </c>
      <c r="BS47">
        <f t="shared" si="15"/>
        <v>0</v>
      </c>
    </row>
    <row r="48" spans="2:71" ht="15" customHeight="1" x14ac:dyDescent="0.2">
      <c r="B48">
        <v>6</v>
      </c>
      <c r="C48">
        <v>2</v>
      </c>
      <c r="D48">
        <v>2</v>
      </c>
      <c r="E48" t="s">
        <v>132</v>
      </c>
      <c r="F48" t="s">
        <v>72</v>
      </c>
      <c r="G48" s="5">
        <v>38145</v>
      </c>
      <c r="H48" t="s">
        <v>73</v>
      </c>
      <c r="I48" t="s">
        <v>121</v>
      </c>
      <c r="J48" t="s">
        <v>75</v>
      </c>
      <c r="K48">
        <v>9</v>
      </c>
      <c r="L48" t="s">
        <v>90</v>
      </c>
      <c r="M48" t="s">
        <v>122</v>
      </c>
      <c r="N48" t="s">
        <v>78</v>
      </c>
      <c r="O48">
        <v>71.599999999999994</v>
      </c>
      <c r="P48">
        <v>131</v>
      </c>
      <c r="Q48">
        <v>6561</v>
      </c>
      <c r="R48" t="s">
        <v>131</v>
      </c>
      <c r="S48" t="s">
        <v>80</v>
      </c>
      <c r="T48" t="s">
        <v>83</v>
      </c>
      <c r="U48" t="s">
        <v>50</v>
      </c>
      <c r="V48" t="s">
        <v>50</v>
      </c>
      <c r="W48" t="s">
        <v>125</v>
      </c>
      <c r="X48">
        <v>12</v>
      </c>
      <c r="Y48" t="s">
        <v>56</v>
      </c>
      <c r="Z48">
        <v>5</v>
      </c>
      <c r="AA48">
        <v>1</v>
      </c>
      <c r="AB48" t="s">
        <v>33</v>
      </c>
      <c r="AC48" t="s">
        <v>112</v>
      </c>
      <c r="AE48" t="str">
        <f t="shared" si="0"/>
        <v>FerrinWeisberger</v>
      </c>
      <c r="AF48">
        <v>0</v>
      </c>
      <c r="AG48">
        <v>0</v>
      </c>
      <c r="AH48">
        <v>1</v>
      </c>
      <c r="AI48">
        <v>0</v>
      </c>
      <c r="AJ48">
        <v>0</v>
      </c>
      <c r="AK48" t="s">
        <v>44</v>
      </c>
      <c r="AL48">
        <v>0.4296875</v>
      </c>
      <c r="AM48" t="s">
        <v>53</v>
      </c>
      <c r="AN48">
        <v>0.59649122807017496</v>
      </c>
      <c r="AO48">
        <f t="shared" si="13"/>
        <v>0</v>
      </c>
      <c r="AP48">
        <f t="shared" si="13"/>
        <v>0</v>
      </c>
      <c r="AQ48">
        <f t="shared" si="13"/>
        <v>0</v>
      </c>
      <c r="AR48">
        <f t="shared" si="13"/>
        <v>0</v>
      </c>
      <c r="AS48">
        <f t="shared" si="13"/>
        <v>0</v>
      </c>
      <c r="AT48">
        <f t="shared" si="13"/>
        <v>0</v>
      </c>
      <c r="AU48">
        <f t="shared" si="13"/>
        <v>0</v>
      </c>
      <c r="AV48">
        <f t="shared" si="13"/>
        <v>0</v>
      </c>
      <c r="AW48">
        <f t="shared" si="13"/>
        <v>0</v>
      </c>
      <c r="AX48">
        <f t="shared" si="13"/>
        <v>0</v>
      </c>
      <c r="AY48" t="str">
        <f t="shared" si="14"/>
        <v>Ferrin</v>
      </c>
      <c r="AZ48">
        <f t="shared" si="14"/>
        <v>0</v>
      </c>
      <c r="BA48">
        <f t="shared" si="14"/>
        <v>0</v>
      </c>
      <c r="BB48">
        <f t="shared" si="14"/>
        <v>0</v>
      </c>
      <c r="BC48">
        <f t="shared" si="14"/>
        <v>0</v>
      </c>
      <c r="BD48">
        <f t="shared" si="14"/>
        <v>0</v>
      </c>
      <c r="BE48" t="str">
        <f t="shared" si="14"/>
        <v>Weisberger</v>
      </c>
      <c r="BF48">
        <f t="shared" si="14"/>
        <v>0</v>
      </c>
      <c r="BG48">
        <f t="shared" si="14"/>
        <v>0</v>
      </c>
      <c r="BH48">
        <f t="shared" si="14"/>
        <v>0</v>
      </c>
      <c r="BI48">
        <f t="shared" si="15"/>
        <v>0</v>
      </c>
      <c r="BJ48">
        <f t="shared" si="15"/>
        <v>0</v>
      </c>
      <c r="BK48">
        <f t="shared" si="15"/>
        <v>0</v>
      </c>
      <c r="BL48">
        <f t="shared" si="15"/>
        <v>0</v>
      </c>
      <c r="BM48">
        <f t="shared" si="15"/>
        <v>0</v>
      </c>
      <c r="BN48">
        <f t="shared" si="15"/>
        <v>0</v>
      </c>
      <c r="BO48">
        <f t="shared" si="15"/>
        <v>0</v>
      </c>
      <c r="BP48">
        <f t="shared" si="15"/>
        <v>0</v>
      </c>
      <c r="BQ48">
        <f t="shared" si="15"/>
        <v>0</v>
      </c>
      <c r="BR48">
        <f t="shared" si="15"/>
        <v>0</v>
      </c>
      <c r="BS48">
        <f t="shared" si="15"/>
        <v>0</v>
      </c>
    </row>
    <row r="49" spans="2:71" ht="15" customHeight="1" x14ac:dyDescent="0.2">
      <c r="B49">
        <v>6</v>
      </c>
      <c r="C49">
        <v>2</v>
      </c>
      <c r="D49">
        <v>2</v>
      </c>
      <c r="E49" t="s">
        <v>132</v>
      </c>
      <c r="F49" t="s">
        <v>72</v>
      </c>
      <c r="G49" s="5">
        <v>38145</v>
      </c>
      <c r="H49" t="s">
        <v>73</v>
      </c>
      <c r="I49" t="s">
        <v>121</v>
      </c>
      <c r="J49" t="s">
        <v>75</v>
      </c>
      <c r="K49">
        <v>9</v>
      </c>
      <c r="L49" t="s">
        <v>90</v>
      </c>
      <c r="M49" t="s">
        <v>122</v>
      </c>
      <c r="N49" t="s">
        <v>78</v>
      </c>
      <c r="O49">
        <v>71.599999999999994</v>
      </c>
      <c r="P49">
        <v>131</v>
      </c>
      <c r="Q49">
        <v>6561</v>
      </c>
      <c r="R49" t="s">
        <v>131</v>
      </c>
      <c r="S49" t="s">
        <v>80</v>
      </c>
      <c r="T49" t="s">
        <v>83</v>
      </c>
      <c r="U49" t="s">
        <v>45</v>
      </c>
      <c r="V49" t="s">
        <v>44</v>
      </c>
      <c r="W49" t="s">
        <v>123</v>
      </c>
      <c r="X49">
        <v>5</v>
      </c>
      <c r="Y49" t="s">
        <v>53</v>
      </c>
      <c r="Z49">
        <v>21</v>
      </c>
      <c r="AA49">
        <v>1</v>
      </c>
      <c r="AB49" t="s">
        <v>32</v>
      </c>
      <c r="AC49" t="s">
        <v>112</v>
      </c>
      <c r="AE49" t="str">
        <f t="shared" si="0"/>
        <v>FlandersForster</v>
      </c>
      <c r="AF49">
        <v>1</v>
      </c>
      <c r="AG49">
        <v>1</v>
      </c>
      <c r="AH49">
        <v>0</v>
      </c>
      <c r="AI49">
        <v>0</v>
      </c>
      <c r="AJ49">
        <v>1</v>
      </c>
      <c r="AK49" t="s">
        <v>50</v>
      </c>
      <c r="AL49">
        <v>0.59523809523809501</v>
      </c>
      <c r="AM49" t="s">
        <v>56</v>
      </c>
      <c r="AN49">
        <v>0.5</v>
      </c>
      <c r="AO49">
        <f t="shared" si="13"/>
        <v>0</v>
      </c>
      <c r="AP49">
        <f t="shared" si="13"/>
        <v>0</v>
      </c>
      <c r="AQ49">
        <f t="shared" si="13"/>
        <v>0</v>
      </c>
      <c r="AR49">
        <f t="shared" si="13"/>
        <v>0</v>
      </c>
      <c r="AS49" t="str">
        <f t="shared" si="13"/>
        <v>Flanders</v>
      </c>
      <c r="AT49">
        <f t="shared" si="13"/>
        <v>0</v>
      </c>
      <c r="AU49">
        <f t="shared" si="13"/>
        <v>0</v>
      </c>
      <c r="AV49">
        <f t="shared" si="13"/>
        <v>0</v>
      </c>
      <c r="AW49">
        <f t="shared" si="13"/>
        <v>0</v>
      </c>
      <c r="AX49">
        <f t="shared" si="13"/>
        <v>0</v>
      </c>
      <c r="AY49">
        <f t="shared" si="14"/>
        <v>0</v>
      </c>
      <c r="AZ49">
        <f t="shared" si="14"/>
        <v>0</v>
      </c>
      <c r="BA49">
        <f t="shared" si="14"/>
        <v>0</v>
      </c>
      <c r="BB49" t="str">
        <f t="shared" si="14"/>
        <v>Forster</v>
      </c>
      <c r="BC49">
        <f t="shared" si="14"/>
        <v>0</v>
      </c>
      <c r="BD49">
        <f t="shared" si="14"/>
        <v>0</v>
      </c>
      <c r="BE49">
        <f t="shared" si="14"/>
        <v>0</v>
      </c>
      <c r="BF49">
        <f t="shared" si="14"/>
        <v>0</v>
      </c>
      <c r="BG49">
        <f t="shared" si="14"/>
        <v>0</v>
      </c>
      <c r="BH49">
        <f t="shared" si="14"/>
        <v>0</v>
      </c>
      <c r="BI49">
        <f t="shared" si="15"/>
        <v>0</v>
      </c>
      <c r="BJ49">
        <f t="shared" si="15"/>
        <v>0</v>
      </c>
      <c r="BK49">
        <f t="shared" si="15"/>
        <v>0</v>
      </c>
      <c r="BL49">
        <f t="shared" si="15"/>
        <v>0</v>
      </c>
      <c r="BM49">
        <f t="shared" si="15"/>
        <v>0</v>
      </c>
      <c r="BN49">
        <f t="shared" si="15"/>
        <v>0</v>
      </c>
      <c r="BO49">
        <f t="shared" si="15"/>
        <v>0</v>
      </c>
      <c r="BP49">
        <f t="shared" si="15"/>
        <v>0</v>
      </c>
      <c r="BQ49">
        <f t="shared" si="15"/>
        <v>0</v>
      </c>
      <c r="BR49">
        <f t="shared" si="15"/>
        <v>0</v>
      </c>
      <c r="BS49">
        <f t="shared" si="15"/>
        <v>0</v>
      </c>
    </row>
    <row r="50" spans="2:71" ht="15" customHeight="1" x14ac:dyDescent="0.2">
      <c r="B50">
        <v>7</v>
      </c>
      <c r="C50">
        <v>3</v>
      </c>
      <c r="D50">
        <v>2</v>
      </c>
      <c r="E50" t="s">
        <v>133</v>
      </c>
      <c r="F50" t="s">
        <v>72</v>
      </c>
      <c r="G50" s="5">
        <v>38145</v>
      </c>
      <c r="H50" t="s">
        <v>73</v>
      </c>
      <c r="I50" t="s">
        <v>121</v>
      </c>
      <c r="J50" t="s">
        <v>75</v>
      </c>
      <c r="K50">
        <v>9</v>
      </c>
      <c r="L50" t="s">
        <v>90</v>
      </c>
      <c r="M50" t="s">
        <v>122</v>
      </c>
      <c r="N50" t="s">
        <v>78</v>
      </c>
      <c r="O50">
        <v>71.599999999999994</v>
      </c>
      <c r="P50">
        <v>131</v>
      </c>
      <c r="Q50">
        <v>6561</v>
      </c>
      <c r="R50" t="s">
        <v>131</v>
      </c>
      <c r="S50" t="s">
        <v>80</v>
      </c>
      <c r="T50" t="s">
        <v>83</v>
      </c>
      <c r="U50" t="s">
        <v>45</v>
      </c>
      <c r="V50" t="s">
        <v>45</v>
      </c>
      <c r="W50" t="s">
        <v>123</v>
      </c>
      <c r="X50">
        <v>0</v>
      </c>
      <c r="Y50" t="s">
        <v>52</v>
      </c>
      <c r="Z50">
        <v>8</v>
      </c>
      <c r="AA50">
        <v>1</v>
      </c>
      <c r="AB50" t="s">
        <v>32</v>
      </c>
      <c r="AC50" t="s">
        <v>112</v>
      </c>
      <c r="AE50" t="str">
        <f t="shared" si="0"/>
        <v>ConnollyConnors</v>
      </c>
      <c r="AF50">
        <v>1</v>
      </c>
      <c r="AG50">
        <v>1</v>
      </c>
      <c r="AH50">
        <v>0</v>
      </c>
      <c r="AI50">
        <v>0</v>
      </c>
      <c r="AJ50">
        <v>1</v>
      </c>
      <c r="AK50" t="s">
        <v>55</v>
      </c>
      <c r="AL50">
        <v>0.44067796610169502</v>
      </c>
      <c r="AM50" t="s">
        <v>46</v>
      </c>
      <c r="AN50">
        <v>0.38392857142857201</v>
      </c>
      <c r="AO50">
        <f t="shared" si="13"/>
        <v>0</v>
      </c>
      <c r="AP50">
        <f t="shared" si="13"/>
        <v>0</v>
      </c>
      <c r="AQ50">
        <f t="shared" si="13"/>
        <v>0</v>
      </c>
      <c r="AR50">
        <f t="shared" si="13"/>
        <v>0</v>
      </c>
      <c r="AS50">
        <f t="shared" si="13"/>
        <v>0</v>
      </c>
      <c r="AT50" t="str">
        <f t="shared" si="13"/>
        <v>Connolly</v>
      </c>
      <c r="AU50">
        <f t="shared" si="13"/>
        <v>0</v>
      </c>
      <c r="AV50">
        <f t="shared" si="13"/>
        <v>0</v>
      </c>
      <c r="AW50">
        <f t="shared" si="13"/>
        <v>0</v>
      </c>
      <c r="AX50">
        <f t="shared" si="13"/>
        <v>0</v>
      </c>
      <c r="AY50">
        <f t="shared" si="14"/>
        <v>0</v>
      </c>
      <c r="AZ50">
        <f t="shared" si="14"/>
        <v>0</v>
      </c>
      <c r="BA50" t="str">
        <f t="shared" si="14"/>
        <v>Connors</v>
      </c>
      <c r="BB50">
        <f t="shared" si="14"/>
        <v>0</v>
      </c>
      <c r="BC50">
        <f t="shared" si="14"/>
        <v>0</v>
      </c>
      <c r="BD50">
        <f t="shared" si="14"/>
        <v>0</v>
      </c>
      <c r="BE50">
        <f t="shared" si="14"/>
        <v>0</v>
      </c>
      <c r="BF50">
        <f t="shared" si="14"/>
        <v>0</v>
      </c>
      <c r="BG50">
        <f t="shared" si="14"/>
        <v>0</v>
      </c>
      <c r="BH50">
        <f t="shared" si="14"/>
        <v>0</v>
      </c>
      <c r="BI50">
        <f t="shared" si="15"/>
        <v>0</v>
      </c>
      <c r="BJ50">
        <f t="shared" si="15"/>
        <v>0</v>
      </c>
      <c r="BK50">
        <f t="shared" si="15"/>
        <v>0</v>
      </c>
      <c r="BL50">
        <f t="shared" si="15"/>
        <v>0</v>
      </c>
      <c r="BM50">
        <f t="shared" si="15"/>
        <v>0</v>
      </c>
      <c r="BN50">
        <f t="shared" si="15"/>
        <v>0</v>
      </c>
      <c r="BO50">
        <f t="shared" si="15"/>
        <v>0</v>
      </c>
      <c r="BP50">
        <f t="shared" si="15"/>
        <v>0</v>
      </c>
      <c r="BQ50">
        <f t="shared" si="15"/>
        <v>0</v>
      </c>
      <c r="BR50">
        <f t="shared" si="15"/>
        <v>0</v>
      </c>
      <c r="BS50">
        <f t="shared" si="15"/>
        <v>0</v>
      </c>
    </row>
    <row r="51" spans="2:71" ht="15" customHeight="1" x14ac:dyDescent="0.2">
      <c r="B51">
        <v>7</v>
      </c>
      <c r="C51">
        <v>3</v>
      </c>
      <c r="D51">
        <v>2</v>
      </c>
      <c r="E51" t="s">
        <v>133</v>
      </c>
      <c r="F51" t="s">
        <v>72</v>
      </c>
      <c r="G51" s="5">
        <v>38145</v>
      </c>
      <c r="H51" t="s">
        <v>73</v>
      </c>
      <c r="I51" t="s">
        <v>121</v>
      </c>
      <c r="J51" t="s">
        <v>75</v>
      </c>
      <c r="K51">
        <v>9</v>
      </c>
      <c r="L51" t="s">
        <v>90</v>
      </c>
      <c r="M51" t="s">
        <v>122</v>
      </c>
      <c r="N51" t="s">
        <v>78</v>
      </c>
      <c r="O51">
        <v>71.599999999999994</v>
      </c>
      <c r="P51">
        <v>131</v>
      </c>
      <c r="Q51">
        <v>6561</v>
      </c>
      <c r="R51" t="s">
        <v>131</v>
      </c>
      <c r="S51" t="s">
        <v>80</v>
      </c>
      <c r="T51" t="s">
        <v>83</v>
      </c>
      <c r="U51" t="s">
        <v>50</v>
      </c>
      <c r="V51" t="s">
        <v>55</v>
      </c>
      <c r="W51" t="s">
        <v>125</v>
      </c>
      <c r="X51">
        <v>24</v>
      </c>
      <c r="Y51" t="s">
        <v>46</v>
      </c>
      <c r="Z51">
        <v>4</v>
      </c>
      <c r="AA51">
        <v>1</v>
      </c>
      <c r="AB51" t="s">
        <v>33</v>
      </c>
      <c r="AC51" t="s">
        <v>112</v>
      </c>
      <c r="AE51" t="str">
        <f t="shared" si="0"/>
        <v>ColeMangold</v>
      </c>
      <c r="AF51">
        <v>0</v>
      </c>
      <c r="AG51">
        <v>0</v>
      </c>
      <c r="AH51">
        <v>1</v>
      </c>
      <c r="AI51">
        <v>0</v>
      </c>
      <c r="AJ51">
        <v>0</v>
      </c>
      <c r="AK51" t="s">
        <v>45</v>
      </c>
      <c r="AL51">
        <v>0.59375</v>
      </c>
      <c r="AM51" t="s">
        <v>52</v>
      </c>
      <c r="AN51">
        <v>0.34745762711864397</v>
      </c>
      <c r="AO51">
        <f t="shared" si="13"/>
        <v>0</v>
      </c>
      <c r="AP51">
        <f t="shared" si="13"/>
        <v>0</v>
      </c>
      <c r="AQ51">
        <f t="shared" si="13"/>
        <v>0</v>
      </c>
      <c r="AR51">
        <f t="shared" si="13"/>
        <v>0</v>
      </c>
      <c r="AS51">
        <f t="shared" si="13"/>
        <v>0</v>
      </c>
      <c r="AT51">
        <f t="shared" si="13"/>
        <v>0</v>
      </c>
      <c r="AU51" t="str">
        <f t="shared" si="13"/>
        <v>Mangold</v>
      </c>
      <c r="AV51">
        <f t="shared" si="13"/>
        <v>0</v>
      </c>
      <c r="AW51">
        <f t="shared" si="13"/>
        <v>0</v>
      </c>
      <c r="AX51">
        <f t="shared" si="13"/>
        <v>0</v>
      </c>
      <c r="AY51">
        <f t="shared" si="14"/>
        <v>0</v>
      </c>
      <c r="AZ51">
        <f t="shared" si="14"/>
        <v>0</v>
      </c>
      <c r="BA51">
        <f t="shared" si="14"/>
        <v>0</v>
      </c>
      <c r="BB51">
        <f t="shared" si="14"/>
        <v>0</v>
      </c>
      <c r="BC51">
        <f t="shared" si="14"/>
        <v>0</v>
      </c>
      <c r="BD51" t="str">
        <f t="shared" si="14"/>
        <v>Cole</v>
      </c>
      <c r="BE51">
        <f t="shared" si="14"/>
        <v>0</v>
      </c>
      <c r="BF51">
        <f t="shared" si="14"/>
        <v>0</v>
      </c>
      <c r="BG51">
        <f t="shared" si="14"/>
        <v>0</v>
      </c>
      <c r="BH51">
        <f t="shared" si="14"/>
        <v>0</v>
      </c>
      <c r="BI51">
        <f t="shared" si="15"/>
        <v>0</v>
      </c>
      <c r="BJ51">
        <f t="shared" si="15"/>
        <v>0</v>
      </c>
      <c r="BK51">
        <f t="shared" si="15"/>
        <v>0</v>
      </c>
      <c r="BL51">
        <f t="shared" si="15"/>
        <v>0</v>
      </c>
      <c r="BM51">
        <f t="shared" si="15"/>
        <v>0</v>
      </c>
      <c r="BN51">
        <f t="shared" si="15"/>
        <v>0</v>
      </c>
      <c r="BO51">
        <f t="shared" si="15"/>
        <v>0</v>
      </c>
      <c r="BP51">
        <f t="shared" si="15"/>
        <v>0</v>
      </c>
      <c r="BQ51">
        <f t="shared" si="15"/>
        <v>0</v>
      </c>
      <c r="BR51">
        <f t="shared" si="15"/>
        <v>0</v>
      </c>
      <c r="BS51">
        <f t="shared" si="15"/>
        <v>0</v>
      </c>
    </row>
    <row r="52" spans="2:71" ht="15" customHeight="1" x14ac:dyDescent="0.2">
      <c r="B52">
        <v>8</v>
      </c>
      <c r="C52">
        <v>4</v>
      </c>
      <c r="D52">
        <v>2</v>
      </c>
      <c r="E52" t="s">
        <v>134</v>
      </c>
      <c r="F52" t="s">
        <v>72</v>
      </c>
      <c r="G52" s="5">
        <v>38145</v>
      </c>
      <c r="H52" t="s">
        <v>73</v>
      </c>
      <c r="I52" t="s">
        <v>121</v>
      </c>
      <c r="J52" t="s">
        <v>75</v>
      </c>
      <c r="K52">
        <v>9</v>
      </c>
      <c r="L52" t="s">
        <v>90</v>
      </c>
      <c r="M52" t="s">
        <v>122</v>
      </c>
      <c r="N52" t="s">
        <v>78</v>
      </c>
      <c r="O52">
        <v>71.599999999999994</v>
      </c>
      <c r="P52">
        <v>131</v>
      </c>
      <c r="Q52">
        <v>6561</v>
      </c>
      <c r="R52" t="s">
        <v>131</v>
      </c>
      <c r="S52" t="s">
        <v>80</v>
      </c>
      <c r="T52" t="s">
        <v>83</v>
      </c>
      <c r="U52" t="s">
        <v>50</v>
      </c>
      <c r="V52" t="s">
        <v>47</v>
      </c>
      <c r="W52" t="s">
        <v>125</v>
      </c>
      <c r="X52">
        <v>8</v>
      </c>
      <c r="Y52" t="s">
        <v>49</v>
      </c>
      <c r="Z52">
        <v>11</v>
      </c>
      <c r="AA52">
        <v>1</v>
      </c>
      <c r="AB52" t="s">
        <v>33</v>
      </c>
      <c r="AC52" t="s">
        <v>82</v>
      </c>
      <c r="AE52" t="str">
        <f t="shared" si="0"/>
        <v>HickersonShively</v>
      </c>
      <c r="AF52">
        <v>0</v>
      </c>
      <c r="AG52">
        <v>0</v>
      </c>
      <c r="AH52">
        <v>1</v>
      </c>
      <c r="AI52">
        <v>0</v>
      </c>
      <c r="AJ52">
        <v>0</v>
      </c>
      <c r="AK52" t="s">
        <v>41</v>
      </c>
      <c r="AL52">
        <v>0.47321428571428598</v>
      </c>
      <c r="AM52" t="s">
        <v>48</v>
      </c>
      <c r="AN52">
        <v>0.5546875</v>
      </c>
      <c r="AO52">
        <f t="shared" ref="AO52:AX61" si="16">IF(OR($V52=AO$1,$Y52=AO$1),AO$1,0)</f>
        <v>0</v>
      </c>
      <c r="AP52">
        <f t="shared" si="16"/>
        <v>0</v>
      </c>
      <c r="AQ52">
        <f t="shared" si="16"/>
        <v>0</v>
      </c>
      <c r="AR52">
        <f t="shared" si="16"/>
        <v>0</v>
      </c>
      <c r="AS52">
        <f t="shared" si="16"/>
        <v>0</v>
      </c>
      <c r="AT52">
        <f t="shared" si="16"/>
        <v>0</v>
      </c>
      <c r="AU52">
        <f t="shared" si="16"/>
        <v>0</v>
      </c>
      <c r="AV52" t="str">
        <f t="shared" si="16"/>
        <v>Hickerson</v>
      </c>
      <c r="AW52">
        <f t="shared" si="16"/>
        <v>0</v>
      </c>
      <c r="AX52" t="str">
        <f t="shared" si="16"/>
        <v>Shively</v>
      </c>
      <c r="AY52">
        <f t="shared" ref="AY52:BH61" si="17">IF(OR($V52=AY$1,$Y52=AY$1),AY$1,0)</f>
        <v>0</v>
      </c>
      <c r="AZ52">
        <f t="shared" si="17"/>
        <v>0</v>
      </c>
      <c r="BA52">
        <f t="shared" si="17"/>
        <v>0</v>
      </c>
      <c r="BB52">
        <f t="shared" si="17"/>
        <v>0</v>
      </c>
      <c r="BC52">
        <f t="shared" si="17"/>
        <v>0</v>
      </c>
      <c r="BD52">
        <f t="shared" si="17"/>
        <v>0</v>
      </c>
      <c r="BE52">
        <f t="shared" si="17"/>
        <v>0</v>
      </c>
      <c r="BF52">
        <f t="shared" si="17"/>
        <v>0</v>
      </c>
      <c r="BG52">
        <f t="shared" si="17"/>
        <v>0</v>
      </c>
      <c r="BH52">
        <f t="shared" si="17"/>
        <v>0</v>
      </c>
      <c r="BI52">
        <f t="shared" ref="BI52:BS61" si="18">IF(OR($V52=BI$1,$Y52=BI$1),BI$1,0)</f>
        <v>0</v>
      </c>
      <c r="BJ52">
        <f t="shared" si="18"/>
        <v>0</v>
      </c>
      <c r="BK52">
        <f t="shared" si="18"/>
        <v>0</v>
      </c>
      <c r="BL52">
        <f t="shared" si="18"/>
        <v>0</v>
      </c>
      <c r="BM52">
        <f t="shared" si="18"/>
        <v>0</v>
      </c>
      <c r="BN52">
        <f t="shared" si="18"/>
        <v>0</v>
      </c>
      <c r="BO52">
        <f t="shared" si="18"/>
        <v>0</v>
      </c>
      <c r="BP52">
        <f t="shared" si="18"/>
        <v>0</v>
      </c>
      <c r="BQ52">
        <f t="shared" si="18"/>
        <v>0</v>
      </c>
      <c r="BR52">
        <f t="shared" si="18"/>
        <v>0</v>
      </c>
      <c r="BS52">
        <f t="shared" si="18"/>
        <v>0</v>
      </c>
    </row>
    <row r="53" spans="2:71" ht="15" customHeight="1" x14ac:dyDescent="0.2">
      <c r="B53">
        <v>8</v>
      </c>
      <c r="C53">
        <v>4</v>
      </c>
      <c r="D53">
        <v>2</v>
      </c>
      <c r="E53" t="s">
        <v>134</v>
      </c>
      <c r="F53" t="s">
        <v>72</v>
      </c>
      <c r="G53" s="5">
        <v>38145</v>
      </c>
      <c r="H53" t="s">
        <v>73</v>
      </c>
      <c r="I53" t="s">
        <v>121</v>
      </c>
      <c r="J53" t="s">
        <v>75</v>
      </c>
      <c r="K53">
        <v>9</v>
      </c>
      <c r="L53" t="s">
        <v>90</v>
      </c>
      <c r="M53" t="s">
        <v>122</v>
      </c>
      <c r="N53" t="s">
        <v>78</v>
      </c>
      <c r="O53">
        <v>71.599999999999994</v>
      </c>
      <c r="P53">
        <v>131</v>
      </c>
      <c r="Q53">
        <v>6561</v>
      </c>
      <c r="R53" t="s">
        <v>131</v>
      </c>
      <c r="S53" t="s">
        <v>80</v>
      </c>
      <c r="T53" t="s">
        <v>83</v>
      </c>
      <c r="U53" t="s">
        <v>45</v>
      </c>
      <c r="V53" t="s">
        <v>41</v>
      </c>
      <c r="W53" t="s">
        <v>123</v>
      </c>
      <c r="X53">
        <v>7</v>
      </c>
      <c r="Y53" t="s">
        <v>48</v>
      </c>
      <c r="Z53">
        <v>8</v>
      </c>
      <c r="AA53">
        <v>1</v>
      </c>
      <c r="AB53" t="s">
        <v>32</v>
      </c>
      <c r="AC53" t="s">
        <v>82</v>
      </c>
      <c r="AE53" t="str">
        <f t="shared" si="0"/>
        <v>HiltsLynch</v>
      </c>
      <c r="AF53">
        <v>1</v>
      </c>
      <c r="AG53">
        <v>1</v>
      </c>
      <c r="AH53">
        <v>0</v>
      </c>
      <c r="AI53">
        <v>0</v>
      </c>
      <c r="AJ53">
        <v>1</v>
      </c>
      <c r="AK53" t="s">
        <v>47</v>
      </c>
      <c r="AL53">
        <v>0.35714285714285698</v>
      </c>
      <c r="AM53" t="s">
        <v>49</v>
      </c>
      <c r="AO53">
        <f t="shared" si="16"/>
        <v>0</v>
      </c>
      <c r="AP53" t="str">
        <f t="shared" si="16"/>
        <v>Hilts</v>
      </c>
      <c r="AQ53">
        <f t="shared" si="16"/>
        <v>0</v>
      </c>
      <c r="AR53">
        <f t="shared" si="16"/>
        <v>0</v>
      </c>
      <c r="AS53">
        <f t="shared" si="16"/>
        <v>0</v>
      </c>
      <c r="AT53">
        <f t="shared" si="16"/>
        <v>0</v>
      </c>
      <c r="AU53">
        <f t="shared" si="16"/>
        <v>0</v>
      </c>
      <c r="AV53">
        <f t="shared" si="16"/>
        <v>0</v>
      </c>
      <c r="AW53" t="str">
        <f t="shared" si="16"/>
        <v>Lynch</v>
      </c>
      <c r="AX53">
        <f t="shared" si="16"/>
        <v>0</v>
      </c>
      <c r="AY53">
        <f t="shared" si="17"/>
        <v>0</v>
      </c>
      <c r="AZ53">
        <f t="shared" si="17"/>
        <v>0</v>
      </c>
      <c r="BA53">
        <f t="shared" si="17"/>
        <v>0</v>
      </c>
      <c r="BB53">
        <f t="shared" si="17"/>
        <v>0</v>
      </c>
      <c r="BC53">
        <f t="shared" si="17"/>
        <v>0</v>
      </c>
      <c r="BD53">
        <f t="shared" si="17"/>
        <v>0</v>
      </c>
      <c r="BE53">
        <f t="shared" si="17"/>
        <v>0</v>
      </c>
      <c r="BF53">
        <f t="shared" si="17"/>
        <v>0</v>
      </c>
      <c r="BG53">
        <f t="shared" si="17"/>
        <v>0</v>
      </c>
      <c r="BH53">
        <f t="shared" si="17"/>
        <v>0</v>
      </c>
      <c r="BI53">
        <f t="shared" si="18"/>
        <v>0</v>
      </c>
      <c r="BJ53">
        <f t="shared" si="18"/>
        <v>0</v>
      </c>
      <c r="BK53">
        <f t="shared" si="18"/>
        <v>0</v>
      </c>
      <c r="BL53">
        <f t="shared" si="18"/>
        <v>0</v>
      </c>
      <c r="BM53">
        <f t="shared" si="18"/>
        <v>0</v>
      </c>
      <c r="BN53">
        <f t="shared" si="18"/>
        <v>0</v>
      </c>
      <c r="BO53">
        <f t="shared" si="18"/>
        <v>0</v>
      </c>
      <c r="BP53">
        <f t="shared" si="18"/>
        <v>0</v>
      </c>
      <c r="BQ53">
        <f t="shared" si="18"/>
        <v>0</v>
      </c>
      <c r="BR53">
        <f t="shared" si="18"/>
        <v>0</v>
      </c>
      <c r="BS53">
        <f t="shared" si="18"/>
        <v>0</v>
      </c>
    </row>
    <row r="54" spans="2:71" ht="15" customHeight="1" x14ac:dyDescent="0.2">
      <c r="B54">
        <v>9</v>
      </c>
      <c r="C54">
        <v>1</v>
      </c>
      <c r="D54">
        <v>2</v>
      </c>
      <c r="E54" t="s">
        <v>135</v>
      </c>
      <c r="F54" t="s">
        <v>72</v>
      </c>
      <c r="G54" s="5">
        <v>38145</v>
      </c>
      <c r="H54" t="s">
        <v>97</v>
      </c>
      <c r="I54" t="s">
        <v>121</v>
      </c>
      <c r="J54" t="s">
        <v>75</v>
      </c>
      <c r="K54">
        <v>9</v>
      </c>
      <c r="L54" t="s">
        <v>76</v>
      </c>
      <c r="M54" t="s">
        <v>136</v>
      </c>
      <c r="N54" t="s">
        <v>78</v>
      </c>
      <c r="O54">
        <v>70.599999999999994</v>
      </c>
      <c r="P54">
        <v>133</v>
      </c>
      <c r="Q54">
        <v>6328</v>
      </c>
      <c r="R54" t="s">
        <v>137</v>
      </c>
      <c r="S54" t="s">
        <v>80</v>
      </c>
      <c r="T54" t="s">
        <v>83</v>
      </c>
      <c r="U54" t="s">
        <v>45</v>
      </c>
      <c r="V54" t="s">
        <v>53</v>
      </c>
      <c r="W54" t="s">
        <v>123</v>
      </c>
      <c r="X54">
        <v>21</v>
      </c>
      <c r="Y54" t="s">
        <v>48</v>
      </c>
      <c r="Z54">
        <v>8</v>
      </c>
      <c r="AA54">
        <v>1</v>
      </c>
      <c r="AB54" t="s">
        <v>32</v>
      </c>
      <c r="AC54" t="s">
        <v>138</v>
      </c>
      <c r="AE54" t="str">
        <f t="shared" si="0"/>
        <v>ForsterLynch</v>
      </c>
      <c r="AF54">
        <v>1</v>
      </c>
      <c r="AG54">
        <v>1</v>
      </c>
      <c r="AH54">
        <v>0</v>
      </c>
      <c r="AI54">
        <v>0</v>
      </c>
      <c r="AJ54">
        <v>1</v>
      </c>
      <c r="AK54" t="s">
        <v>55</v>
      </c>
      <c r="AL54">
        <v>0.44067796610169502</v>
      </c>
      <c r="AM54" t="s">
        <v>50</v>
      </c>
      <c r="AN54">
        <v>0.59523809523809501</v>
      </c>
      <c r="AO54">
        <f t="shared" si="16"/>
        <v>0</v>
      </c>
      <c r="AP54">
        <f t="shared" si="16"/>
        <v>0</v>
      </c>
      <c r="AQ54">
        <f t="shared" si="16"/>
        <v>0</v>
      </c>
      <c r="AR54">
        <f t="shared" si="16"/>
        <v>0</v>
      </c>
      <c r="AS54">
        <f t="shared" si="16"/>
        <v>0</v>
      </c>
      <c r="AT54">
        <f t="shared" si="16"/>
        <v>0</v>
      </c>
      <c r="AU54">
        <f t="shared" si="16"/>
        <v>0</v>
      </c>
      <c r="AV54">
        <f t="shared" si="16"/>
        <v>0</v>
      </c>
      <c r="AW54" t="str">
        <f t="shared" si="16"/>
        <v>Lynch</v>
      </c>
      <c r="AX54">
        <f t="shared" si="16"/>
        <v>0</v>
      </c>
      <c r="AY54">
        <f t="shared" si="17"/>
        <v>0</v>
      </c>
      <c r="AZ54">
        <f t="shared" si="17"/>
        <v>0</v>
      </c>
      <c r="BA54">
        <f t="shared" si="17"/>
        <v>0</v>
      </c>
      <c r="BB54" t="str">
        <f t="shared" si="17"/>
        <v>Forster</v>
      </c>
      <c r="BC54">
        <f t="shared" si="17"/>
        <v>0</v>
      </c>
      <c r="BD54">
        <f t="shared" si="17"/>
        <v>0</v>
      </c>
      <c r="BE54">
        <f t="shared" si="17"/>
        <v>0</v>
      </c>
      <c r="BF54">
        <f t="shared" si="17"/>
        <v>0</v>
      </c>
      <c r="BG54">
        <f t="shared" si="17"/>
        <v>0</v>
      </c>
      <c r="BH54">
        <f t="shared" si="17"/>
        <v>0</v>
      </c>
      <c r="BI54">
        <f t="shared" si="18"/>
        <v>0</v>
      </c>
      <c r="BJ54">
        <f t="shared" si="18"/>
        <v>0</v>
      </c>
      <c r="BK54">
        <f t="shared" si="18"/>
        <v>0</v>
      </c>
      <c r="BL54">
        <f t="shared" si="18"/>
        <v>0</v>
      </c>
      <c r="BM54">
        <f t="shared" si="18"/>
        <v>0</v>
      </c>
      <c r="BN54">
        <f t="shared" si="18"/>
        <v>0</v>
      </c>
      <c r="BO54">
        <f t="shared" si="18"/>
        <v>0</v>
      </c>
      <c r="BP54">
        <f t="shared" si="18"/>
        <v>0</v>
      </c>
      <c r="BQ54">
        <f t="shared" si="18"/>
        <v>0</v>
      </c>
      <c r="BR54">
        <f t="shared" si="18"/>
        <v>0</v>
      </c>
      <c r="BS54">
        <f t="shared" si="18"/>
        <v>0</v>
      </c>
    </row>
    <row r="55" spans="2:71" ht="15" customHeight="1" x14ac:dyDescent="0.2">
      <c r="B55">
        <v>9</v>
      </c>
      <c r="C55">
        <v>1</v>
      </c>
      <c r="D55">
        <v>2</v>
      </c>
      <c r="E55" t="s">
        <v>135</v>
      </c>
      <c r="F55" t="s">
        <v>72</v>
      </c>
      <c r="G55" s="5">
        <v>38145</v>
      </c>
      <c r="H55" t="s">
        <v>97</v>
      </c>
      <c r="I55" t="s">
        <v>121</v>
      </c>
      <c r="J55" t="s">
        <v>75</v>
      </c>
      <c r="K55">
        <v>9</v>
      </c>
      <c r="L55" t="s">
        <v>76</v>
      </c>
      <c r="M55" t="s">
        <v>136</v>
      </c>
      <c r="N55" t="s">
        <v>78</v>
      </c>
      <c r="O55">
        <v>70.599999999999994</v>
      </c>
      <c r="P55">
        <v>133</v>
      </c>
      <c r="Q55">
        <v>6328</v>
      </c>
      <c r="R55" t="s">
        <v>137</v>
      </c>
      <c r="S55" t="s">
        <v>80</v>
      </c>
      <c r="T55" t="s">
        <v>83</v>
      </c>
      <c r="U55" t="s">
        <v>50</v>
      </c>
      <c r="V55" t="s">
        <v>55</v>
      </c>
      <c r="W55" t="s">
        <v>125</v>
      </c>
      <c r="X55">
        <v>24</v>
      </c>
      <c r="Y55" t="s">
        <v>50</v>
      </c>
      <c r="Z55">
        <v>12</v>
      </c>
      <c r="AA55">
        <v>1</v>
      </c>
      <c r="AB55" t="s">
        <v>33</v>
      </c>
      <c r="AC55" t="s">
        <v>138</v>
      </c>
      <c r="AE55" t="str">
        <f t="shared" si="0"/>
        <v>ColeFerrin</v>
      </c>
      <c r="AF55">
        <v>0</v>
      </c>
      <c r="AG55">
        <v>0</v>
      </c>
      <c r="AH55">
        <v>1</v>
      </c>
      <c r="AI55">
        <v>0</v>
      </c>
      <c r="AJ55">
        <v>0</v>
      </c>
      <c r="AK55" t="s">
        <v>53</v>
      </c>
      <c r="AL55">
        <v>0.59649122807017496</v>
      </c>
      <c r="AM55" t="s">
        <v>48</v>
      </c>
      <c r="AN55">
        <v>0.5546875</v>
      </c>
      <c r="AO55">
        <f t="shared" si="16"/>
        <v>0</v>
      </c>
      <c r="AP55">
        <f t="shared" si="16"/>
        <v>0</v>
      </c>
      <c r="AQ55">
        <f t="shared" si="16"/>
        <v>0</v>
      </c>
      <c r="AR55">
        <f t="shared" si="16"/>
        <v>0</v>
      </c>
      <c r="AS55">
        <f t="shared" si="16"/>
        <v>0</v>
      </c>
      <c r="AT55">
        <f t="shared" si="16"/>
        <v>0</v>
      </c>
      <c r="AU55">
        <f t="shared" si="16"/>
        <v>0</v>
      </c>
      <c r="AV55">
        <f t="shared" si="16"/>
        <v>0</v>
      </c>
      <c r="AW55">
        <f t="shared" si="16"/>
        <v>0</v>
      </c>
      <c r="AX55">
        <f t="shared" si="16"/>
        <v>0</v>
      </c>
      <c r="AY55" t="str">
        <f t="shared" si="17"/>
        <v>Ferrin</v>
      </c>
      <c r="AZ55">
        <f t="shared" si="17"/>
        <v>0</v>
      </c>
      <c r="BA55">
        <f t="shared" si="17"/>
        <v>0</v>
      </c>
      <c r="BB55">
        <f t="shared" si="17"/>
        <v>0</v>
      </c>
      <c r="BC55">
        <f t="shared" si="17"/>
        <v>0</v>
      </c>
      <c r="BD55" t="str">
        <f t="shared" si="17"/>
        <v>Cole</v>
      </c>
      <c r="BE55">
        <f t="shared" si="17"/>
        <v>0</v>
      </c>
      <c r="BF55">
        <f t="shared" si="17"/>
        <v>0</v>
      </c>
      <c r="BG55">
        <f t="shared" si="17"/>
        <v>0</v>
      </c>
      <c r="BH55">
        <f t="shared" si="17"/>
        <v>0</v>
      </c>
      <c r="BI55">
        <f t="shared" si="18"/>
        <v>0</v>
      </c>
      <c r="BJ55">
        <f t="shared" si="18"/>
        <v>0</v>
      </c>
      <c r="BK55">
        <f t="shared" si="18"/>
        <v>0</v>
      </c>
      <c r="BL55">
        <f t="shared" si="18"/>
        <v>0</v>
      </c>
      <c r="BM55">
        <f t="shared" si="18"/>
        <v>0</v>
      </c>
      <c r="BN55">
        <f t="shared" si="18"/>
        <v>0</v>
      </c>
      <c r="BO55">
        <f t="shared" si="18"/>
        <v>0</v>
      </c>
      <c r="BP55">
        <f t="shared" si="18"/>
        <v>0</v>
      </c>
      <c r="BQ55">
        <f t="shared" si="18"/>
        <v>0</v>
      </c>
      <c r="BR55">
        <f t="shared" si="18"/>
        <v>0</v>
      </c>
      <c r="BS55">
        <f t="shared" si="18"/>
        <v>0</v>
      </c>
    </row>
    <row r="56" spans="2:71" ht="15" customHeight="1" x14ac:dyDescent="0.2">
      <c r="B56">
        <v>10</v>
      </c>
      <c r="C56">
        <v>2</v>
      </c>
      <c r="D56">
        <v>2</v>
      </c>
      <c r="E56" t="s">
        <v>139</v>
      </c>
      <c r="F56" t="s">
        <v>72</v>
      </c>
      <c r="G56" s="5">
        <v>38145</v>
      </c>
      <c r="H56" t="s">
        <v>97</v>
      </c>
      <c r="I56" t="s">
        <v>121</v>
      </c>
      <c r="J56" t="s">
        <v>75</v>
      </c>
      <c r="K56">
        <v>9</v>
      </c>
      <c r="L56" t="s">
        <v>76</v>
      </c>
      <c r="M56" t="s">
        <v>136</v>
      </c>
      <c r="N56" t="s">
        <v>78</v>
      </c>
      <c r="O56">
        <v>70.599999999999994</v>
      </c>
      <c r="P56">
        <v>133</v>
      </c>
      <c r="Q56">
        <v>6328</v>
      </c>
      <c r="R56" t="s">
        <v>137</v>
      </c>
      <c r="S56" t="s">
        <v>80</v>
      </c>
      <c r="T56" t="s">
        <v>83</v>
      </c>
      <c r="U56" t="s">
        <v>50</v>
      </c>
      <c r="V56" t="s">
        <v>54</v>
      </c>
      <c r="W56" t="s">
        <v>125</v>
      </c>
      <c r="X56">
        <v>22</v>
      </c>
      <c r="Y56" t="s">
        <v>56</v>
      </c>
      <c r="Z56">
        <v>5</v>
      </c>
      <c r="AA56">
        <v>1</v>
      </c>
      <c r="AB56" t="s">
        <v>33</v>
      </c>
      <c r="AC56" t="s">
        <v>140</v>
      </c>
      <c r="AE56" t="str">
        <f t="shared" si="0"/>
        <v>FoganWeisberger</v>
      </c>
      <c r="AF56">
        <v>0</v>
      </c>
      <c r="AG56">
        <v>0</v>
      </c>
      <c r="AH56">
        <v>1</v>
      </c>
      <c r="AI56">
        <v>0</v>
      </c>
      <c r="AJ56">
        <v>0</v>
      </c>
      <c r="AK56" t="s">
        <v>45</v>
      </c>
      <c r="AL56">
        <v>0.59375</v>
      </c>
      <c r="AM56" t="s">
        <v>42</v>
      </c>
      <c r="AN56">
        <v>0.6171875</v>
      </c>
      <c r="AO56">
        <f t="shared" si="16"/>
        <v>0</v>
      </c>
      <c r="AP56">
        <f t="shared" si="16"/>
        <v>0</v>
      </c>
      <c r="AQ56">
        <f t="shared" si="16"/>
        <v>0</v>
      </c>
      <c r="AR56">
        <f t="shared" si="16"/>
        <v>0</v>
      </c>
      <c r="AS56">
        <f t="shared" si="16"/>
        <v>0</v>
      </c>
      <c r="AT56">
        <f t="shared" si="16"/>
        <v>0</v>
      </c>
      <c r="AU56">
        <f t="shared" si="16"/>
        <v>0</v>
      </c>
      <c r="AV56">
        <f t="shared" si="16"/>
        <v>0</v>
      </c>
      <c r="AW56">
        <f t="shared" si="16"/>
        <v>0</v>
      </c>
      <c r="AX56">
        <f t="shared" si="16"/>
        <v>0</v>
      </c>
      <c r="AY56">
        <f t="shared" si="17"/>
        <v>0</v>
      </c>
      <c r="AZ56">
        <f t="shared" si="17"/>
        <v>0</v>
      </c>
      <c r="BA56">
        <f t="shared" si="17"/>
        <v>0</v>
      </c>
      <c r="BB56">
        <f t="shared" si="17"/>
        <v>0</v>
      </c>
      <c r="BC56" t="str">
        <f t="shared" si="17"/>
        <v>Fogan</v>
      </c>
      <c r="BD56">
        <f t="shared" si="17"/>
        <v>0</v>
      </c>
      <c r="BE56" t="str">
        <f t="shared" si="17"/>
        <v>Weisberger</v>
      </c>
      <c r="BF56">
        <f t="shared" si="17"/>
        <v>0</v>
      </c>
      <c r="BG56">
        <f t="shared" si="17"/>
        <v>0</v>
      </c>
      <c r="BH56">
        <f t="shared" si="17"/>
        <v>0</v>
      </c>
      <c r="BI56">
        <f t="shared" si="18"/>
        <v>0</v>
      </c>
      <c r="BJ56">
        <f t="shared" si="18"/>
        <v>0</v>
      </c>
      <c r="BK56">
        <f t="shared" si="18"/>
        <v>0</v>
      </c>
      <c r="BL56">
        <f t="shared" si="18"/>
        <v>0</v>
      </c>
      <c r="BM56">
        <f t="shared" si="18"/>
        <v>0</v>
      </c>
      <c r="BN56">
        <f t="shared" si="18"/>
        <v>0</v>
      </c>
      <c r="BO56">
        <f t="shared" si="18"/>
        <v>0</v>
      </c>
      <c r="BP56">
        <f t="shared" si="18"/>
        <v>0</v>
      </c>
      <c r="BQ56">
        <f t="shared" si="18"/>
        <v>0</v>
      </c>
      <c r="BR56">
        <f t="shared" si="18"/>
        <v>0</v>
      </c>
      <c r="BS56">
        <f t="shared" si="18"/>
        <v>0</v>
      </c>
    </row>
    <row r="57" spans="2:71" ht="15" customHeight="1" x14ac:dyDescent="0.2">
      <c r="B57">
        <v>10</v>
      </c>
      <c r="C57">
        <v>2</v>
      </c>
      <c r="D57">
        <v>2</v>
      </c>
      <c r="E57" t="s">
        <v>139</v>
      </c>
      <c r="F57" t="s">
        <v>72</v>
      </c>
      <c r="G57" s="5">
        <v>38145</v>
      </c>
      <c r="H57" t="s">
        <v>97</v>
      </c>
      <c r="I57" t="s">
        <v>121</v>
      </c>
      <c r="J57" t="s">
        <v>75</v>
      </c>
      <c r="K57">
        <v>9</v>
      </c>
      <c r="L57" t="s">
        <v>76</v>
      </c>
      <c r="M57" t="s">
        <v>136</v>
      </c>
      <c r="N57" t="s">
        <v>78</v>
      </c>
      <c r="O57">
        <v>70.599999999999994</v>
      </c>
      <c r="P57">
        <v>133</v>
      </c>
      <c r="Q57">
        <v>6328</v>
      </c>
      <c r="R57" t="s">
        <v>137</v>
      </c>
      <c r="S57" t="s">
        <v>80</v>
      </c>
      <c r="T57" t="s">
        <v>83</v>
      </c>
      <c r="U57" t="s">
        <v>45</v>
      </c>
      <c r="V57" t="s">
        <v>45</v>
      </c>
      <c r="W57" t="s">
        <v>123</v>
      </c>
      <c r="X57">
        <v>0</v>
      </c>
      <c r="Y57" t="s">
        <v>42</v>
      </c>
      <c r="Z57">
        <v>0</v>
      </c>
      <c r="AA57">
        <v>1</v>
      </c>
      <c r="AB57" t="s">
        <v>32</v>
      </c>
      <c r="AC57" t="s">
        <v>140</v>
      </c>
      <c r="AE57" t="str">
        <f t="shared" si="0"/>
        <v>ConnollyJackson</v>
      </c>
      <c r="AF57">
        <v>1</v>
      </c>
      <c r="AG57">
        <v>1</v>
      </c>
      <c r="AH57">
        <v>0</v>
      </c>
      <c r="AI57">
        <v>0</v>
      </c>
      <c r="AJ57">
        <v>1</v>
      </c>
      <c r="AK57" t="s">
        <v>54</v>
      </c>
      <c r="AL57">
        <v>0.37288135593220301</v>
      </c>
      <c r="AM57" t="s">
        <v>56</v>
      </c>
      <c r="AN57">
        <v>0.5</v>
      </c>
      <c r="AO57">
        <f t="shared" si="16"/>
        <v>0</v>
      </c>
      <c r="AP57">
        <f t="shared" si="16"/>
        <v>0</v>
      </c>
      <c r="AQ57" t="str">
        <f t="shared" si="16"/>
        <v>Jackson</v>
      </c>
      <c r="AR57">
        <f t="shared" si="16"/>
        <v>0</v>
      </c>
      <c r="AS57">
        <f t="shared" si="16"/>
        <v>0</v>
      </c>
      <c r="AT57" t="str">
        <f t="shared" si="16"/>
        <v>Connolly</v>
      </c>
      <c r="AU57">
        <f t="shared" si="16"/>
        <v>0</v>
      </c>
      <c r="AV57">
        <f t="shared" si="16"/>
        <v>0</v>
      </c>
      <c r="AW57">
        <f t="shared" si="16"/>
        <v>0</v>
      </c>
      <c r="AX57">
        <f t="shared" si="16"/>
        <v>0</v>
      </c>
      <c r="AY57">
        <f t="shared" si="17"/>
        <v>0</v>
      </c>
      <c r="AZ57">
        <f t="shared" si="17"/>
        <v>0</v>
      </c>
      <c r="BA57">
        <f t="shared" si="17"/>
        <v>0</v>
      </c>
      <c r="BB57">
        <f t="shared" si="17"/>
        <v>0</v>
      </c>
      <c r="BC57">
        <f t="shared" si="17"/>
        <v>0</v>
      </c>
      <c r="BD57">
        <f t="shared" si="17"/>
        <v>0</v>
      </c>
      <c r="BE57">
        <f t="shared" si="17"/>
        <v>0</v>
      </c>
      <c r="BF57">
        <f t="shared" si="17"/>
        <v>0</v>
      </c>
      <c r="BG57">
        <f t="shared" si="17"/>
        <v>0</v>
      </c>
      <c r="BH57">
        <f t="shared" si="17"/>
        <v>0</v>
      </c>
      <c r="BI57">
        <f t="shared" si="18"/>
        <v>0</v>
      </c>
      <c r="BJ57">
        <f t="shared" si="18"/>
        <v>0</v>
      </c>
      <c r="BK57">
        <f t="shared" si="18"/>
        <v>0</v>
      </c>
      <c r="BL57">
        <f t="shared" si="18"/>
        <v>0</v>
      </c>
      <c r="BM57">
        <f t="shared" si="18"/>
        <v>0</v>
      </c>
      <c r="BN57">
        <f t="shared" si="18"/>
        <v>0</v>
      </c>
      <c r="BO57">
        <f t="shared" si="18"/>
        <v>0</v>
      </c>
      <c r="BP57">
        <f t="shared" si="18"/>
        <v>0</v>
      </c>
      <c r="BQ57">
        <f t="shared" si="18"/>
        <v>0</v>
      </c>
      <c r="BR57">
        <f t="shared" si="18"/>
        <v>0</v>
      </c>
      <c r="BS57">
        <f t="shared" si="18"/>
        <v>0</v>
      </c>
    </row>
    <row r="58" spans="2:71" ht="15" customHeight="1" x14ac:dyDescent="0.2">
      <c r="B58">
        <v>11</v>
      </c>
      <c r="C58">
        <v>3</v>
      </c>
      <c r="D58">
        <v>2</v>
      </c>
      <c r="E58" t="s">
        <v>141</v>
      </c>
      <c r="F58" t="s">
        <v>72</v>
      </c>
      <c r="G58" s="5">
        <v>38145</v>
      </c>
      <c r="H58" t="s">
        <v>97</v>
      </c>
      <c r="I58" t="s">
        <v>121</v>
      </c>
      <c r="J58" t="s">
        <v>75</v>
      </c>
      <c r="K58">
        <v>9</v>
      </c>
      <c r="L58" t="s">
        <v>76</v>
      </c>
      <c r="M58" t="s">
        <v>136</v>
      </c>
      <c r="N58" t="s">
        <v>78</v>
      </c>
      <c r="O58">
        <v>70.599999999999994</v>
      </c>
      <c r="P58">
        <v>133</v>
      </c>
      <c r="Q58">
        <v>6328</v>
      </c>
      <c r="R58" t="s">
        <v>137</v>
      </c>
      <c r="S58" t="s">
        <v>80</v>
      </c>
      <c r="T58" t="s">
        <v>83</v>
      </c>
      <c r="U58" t="s">
        <v>45</v>
      </c>
      <c r="V58" t="s">
        <v>44</v>
      </c>
      <c r="W58" t="s">
        <v>123</v>
      </c>
      <c r="X58">
        <v>5</v>
      </c>
      <c r="Y58" t="s">
        <v>41</v>
      </c>
      <c r="Z58">
        <v>7</v>
      </c>
      <c r="AA58">
        <v>1</v>
      </c>
      <c r="AB58" t="s">
        <v>33</v>
      </c>
      <c r="AC58" t="s">
        <v>95</v>
      </c>
      <c r="AE58" t="str">
        <f t="shared" si="0"/>
        <v>FlandersHilts</v>
      </c>
      <c r="AF58">
        <v>0</v>
      </c>
      <c r="AG58">
        <v>0</v>
      </c>
      <c r="AH58">
        <v>1</v>
      </c>
      <c r="AI58">
        <v>0</v>
      </c>
      <c r="AJ58">
        <v>0</v>
      </c>
      <c r="AK58" t="s">
        <v>57</v>
      </c>
      <c r="AL58">
        <v>0.44827586206896602</v>
      </c>
      <c r="AM58" t="s">
        <v>47</v>
      </c>
      <c r="AN58">
        <v>0.35714285714285698</v>
      </c>
      <c r="AO58">
        <f t="shared" si="16"/>
        <v>0</v>
      </c>
      <c r="AP58" t="str">
        <f t="shared" si="16"/>
        <v>Hilts</v>
      </c>
      <c r="AQ58">
        <f t="shared" si="16"/>
        <v>0</v>
      </c>
      <c r="AR58">
        <f t="shared" si="16"/>
        <v>0</v>
      </c>
      <c r="AS58" t="str">
        <f t="shared" si="16"/>
        <v>Flanders</v>
      </c>
      <c r="AT58">
        <f t="shared" si="16"/>
        <v>0</v>
      </c>
      <c r="AU58">
        <f t="shared" si="16"/>
        <v>0</v>
      </c>
      <c r="AV58">
        <f t="shared" si="16"/>
        <v>0</v>
      </c>
      <c r="AW58">
        <f t="shared" si="16"/>
        <v>0</v>
      </c>
      <c r="AX58">
        <f t="shared" si="16"/>
        <v>0</v>
      </c>
      <c r="AY58">
        <f t="shared" si="17"/>
        <v>0</v>
      </c>
      <c r="AZ58">
        <f t="shared" si="17"/>
        <v>0</v>
      </c>
      <c r="BA58">
        <f t="shared" si="17"/>
        <v>0</v>
      </c>
      <c r="BB58">
        <f t="shared" si="17"/>
        <v>0</v>
      </c>
      <c r="BC58">
        <f t="shared" si="17"/>
        <v>0</v>
      </c>
      <c r="BD58">
        <f t="shared" si="17"/>
        <v>0</v>
      </c>
      <c r="BE58">
        <f t="shared" si="17"/>
        <v>0</v>
      </c>
      <c r="BF58">
        <f t="shared" si="17"/>
        <v>0</v>
      </c>
      <c r="BG58">
        <f t="shared" si="17"/>
        <v>0</v>
      </c>
      <c r="BH58">
        <f t="shared" si="17"/>
        <v>0</v>
      </c>
      <c r="BI58">
        <f t="shared" si="18"/>
        <v>0</v>
      </c>
      <c r="BJ58">
        <f t="shared" si="18"/>
        <v>0</v>
      </c>
      <c r="BK58">
        <f t="shared" si="18"/>
        <v>0</v>
      </c>
      <c r="BL58">
        <f t="shared" si="18"/>
        <v>0</v>
      </c>
      <c r="BM58">
        <f t="shared" si="18"/>
        <v>0</v>
      </c>
      <c r="BN58">
        <f t="shared" si="18"/>
        <v>0</v>
      </c>
      <c r="BO58">
        <f t="shared" si="18"/>
        <v>0</v>
      </c>
      <c r="BP58">
        <f t="shared" si="18"/>
        <v>0</v>
      </c>
      <c r="BQ58">
        <f t="shared" si="18"/>
        <v>0</v>
      </c>
      <c r="BR58">
        <f t="shared" si="18"/>
        <v>0</v>
      </c>
      <c r="BS58">
        <f t="shared" si="18"/>
        <v>0</v>
      </c>
    </row>
    <row r="59" spans="2:71" ht="15" customHeight="1" x14ac:dyDescent="0.2">
      <c r="B59">
        <v>11</v>
      </c>
      <c r="C59">
        <v>3</v>
      </c>
      <c r="D59">
        <v>2</v>
      </c>
      <c r="E59" t="s">
        <v>141</v>
      </c>
      <c r="F59" t="s">
        <v>72</v>
      </c>
      <c r="G59" s="5">
        <v>38145</v>
      </c>
      <c r="H59" t="s">
        <v>97</v>
      </c>
      <c r="I59" t="s">
        <v>121</v>
      </c>
      <c r="J59" t="s">
        <v>75</v>
      </c>
      <c r="K59">
        <v>9</v>
      </c>
      <c r="L59" t="s">
        <v>76</v>
      </c>
      <c r="M59" t="s">
        <v>136</v>
      </c>
      <c r="N59" t="s">
        <v>78</v>
      </c>
      <c r="O59">
        <v>70.599999999999994</v>
      </c>
      <c r="P59">
        <v>133</v>
      </c>
      <c r="Q59">
        <v>6328</v>
      </c>
      <c r="R59" t="s">
        <v>137</v>
      </c>
      <c r="S59" t="s">
        <v>80</v>
      </c>
      <c r="T59" t="s">
        <v>83</v>
      </c>
      <c r="U59" t="s">
        <v>50</v>
      </c>
      <c r="V59" t="s">
        <v>57</v>
      </c>
      <c r="W59" t="s">
        <v>125</v>
      </c>
      <c r="X59">
        <v>0</v>
      </c>
      <c r="Y59" t="s">
        <v>47</v>
      </c>
      <c r="Z59">
        <v>8</v>
      </c>
      <c r="AA59">
        <v>1</v>
      </c>
      <c r="AB59" t="s">
        <v>32</v>
      </c>
      <c r="AC59" t="s">
        <v>95</v>
      </c>
      <c r="AE59" t="str">
        <f t="shared" si="0"/>
        <v>BussHickerson</v>
      </c>
      <c r="AF59">
        <v>1</v>
      </c>
      <c r="AG59">
        <v>1</v>
      </c>
      <c r="AH59">
        <v>0</v>
      </c>
      <c r="AI59">
        <v>0</v>
      </c>
      <c r="AJ59">
        <v>1</v>
      </c>
      <c r="AK59" t="s">
        <v>44</v>
      </c>
      <c r="AL59">
        <v>0.4296875</v>
      </c>
      <c r="AM59" t="s">
        <v>41</v>
      </c>
      <c r="AN59">
        <v>0.47321428571428598</v>
      </c>
      <c r="AO59">
        <f t="shared" si="16"/>
        <v>0</v>
      </c>
      <c r="AP59">
        <f t="shared" si="16"/>
        <v>0</v>
      </c>
      <c r="AQ59">
        <f t="shared" si="16"/>
        <v>0</v>
      </c>
      <c r="AR59">
        <f t="shared" si="16"/>
        <v>0</v>
      </c>
      <c r="AS59">
        <f t="shared" si="16"/>
        <v>0</v>
      </c>
      <c r="AT59">
        <f t="shared" si="16"/>
        <v>0</v>
      </c>
      <c r="AU59">
        <f t="shared" si="16"/>
        <v>0</v>
      </c>
      <c r="AV59" t="str">
        <f t="shared" si="16"/>
        <v>Hickerson</v>
      </c>
      <c r="AW59">
        <f t="shared" si="16"/>
        <v>0</v>
      </c>
      <c r="AX59">
        <f t="shared" si="16"/>
        <v>0</v>
      </c>
      <c r="AY59">
        <f t="shared" si="17"/>
        <v>0</v>
      </c>
      <c r="AZ59">
        <f t="shared" si="17"/>
        <v>0</v>
      </c>
      <c r="BA59">
        <f t="shared" si="17"/>
        <v>0</v>
      </c>
      <c r="BB59">
        <f t="shared" si="17"/>
        <v>0</v>
      </c>
      <c r="BC59">
        <f t="shared" si="17"/>
        <v>0</v>
      </c>
      <c r="BD59">
        <f t="shared" si="17"/>
        <v>0</v>
      </c>
      <c r="BE59">
        <f t="shared" si="17"/>
        <v>0</v>
      </c>
      <c r="BF59" t="str">
        <f t="shared" si="17"/>
        <v>Buss</v>
      </c>
      <c r="BG59">
        <f t="shared" si="17"/>
        <v>0</v>
      </c>
      <c r="BH59">
        <f t="shared" si="17"/>
        <v>0</v>
      </c>
      <c r="BI59">
        <f t="shared" si="18"/>
        <v>0</v>
      </c>
      <c r="BJ59">
        <f t="shared" si="18"/>
        <v>0</v>
      </c>
      <c r="BK59">
        <f t="shared" si="18"/>
        <v>0</v>
      </c>
      <c r="BL59">
        <f t="shared" si="18"/>
        <v>0</v>
      </c>
      <c r="BM59">
        <f t="shared" si="18"/>
        <v>0</v>
      </c>
      <c r="BN59">
        <f t="shared" si="18"/>
        <v>0</v>
      </c>
      <c r="BO59">
        <f t="shared" si="18"/>
        <v>0</v>
      </c>
      <c r="BP59">
        <f t="shared" si="18"/>
        <v>0</v>
      </c>
      <c r="BQ59">
        <f t="shared" si="18"/>
        <v>0</v>
      </c>
      <c r="BR59">
        <f t="shared" si="18"/>
        <v>0</v>
      </c>
      <c r="BS59">
        <f t="shared" si="18"/>
        <v>0</v>
      </c>
    </row>
    <row r="60" spans="2:71" ht="15" customHeight="1" x14ac:dyDescent="0.2">
      <c r="B60">
        <v>12</v>
      </c>
      <c r="C60">
        <v>4</v>
      </c>
      <c r="D60">
        <v>2</v>
      </c>
      <c r="E60" t="s">
        <v>142</v>
      </c>
      <c r="F60" t="s">
        <v>72</v>
      </c>
      <c r="G60" s="5">
        <v>38145</v>
      </c>
      <c r="H60" t="s">
        <v>97</v>
      </c>
      <c r="I60" t="s">
        <v>121</v>
      </c>
      <c r="J60" t="s">
        <v>75</v>
      </c>
      <c r="K60">
        <v>9</v>
      </c>
      <c r="L60" t="s">
        <v>76</v>
      </c>
      <c r="M60" t="s">
        <v>136</v>
      </c>
      <c r="N60" t="s">
        <v>78</v>
      </c>
      <c r="O60">
        <v>70.599999999999994</v>
      </c>
      <c r="P60">
        <v>133</v>
      </c>
      <c r="Q60">
        <v>6328</v>
      </c>
      <c r="R60" t="s">
        <v>137</v>
      </c>
      <c r="S60" t="s">
        <v>80</v>
      </c>
      <c r="T60" t="s">
        <v>83</v>
      </c>
      <c r="U60" t="s">
        <v>50</v>
      </c>
      <c r="V60" t="s">
        <v>46</v>
      </c>
      <c r="W60" t="s">
        <v>125</v>
      </c>
      <c r="X60">
        <v>4</v>
      </c>
      <c r="Y60" t="s">
        <v>49</v>
      </c>
      <c r="Z60">
        <v>11</v>
      </c>
      <c r="AA60">
        <v>1</v>
      </c>
      <c r="AB60" t="s">
        <v>32</v>
      </c>
      <c r="AC60" t="s">
        <v>143</v>
      </c>
      <c r="AE60" t="str">
        <f t="shared" si="0"/>
        <v>MangoldShively</v>
      </c>
      <c r="AF60">
        <v>1</v>
      </c>
      <c r="AG60">
        <v>1</v>
      </c>
      <c r="AH60">
        <v>0</v>
      </c>
      <c r="AI60">
        <v>0</v>
      </c>
      <c r="AJ60">
        <v>1</v>
      </c>
      <c r="AK60" t="s">
        <v>52</v>
      </c>
      <c r="AL60">
        <v>0.34745762711864397</v>
      </c>
      <c r="AM60" t="s">
        <v>40</v>
      </c>
      <c r="AN60">
        <v>0.546875</v>
      </c>
      <c r="AO60">
        <f t="shared" si="16"/>
        <v>0</v>
      </c>
      <c r="AP60">
        <f t="shared" si="16"/>
        <v>0</v>
      </c>
      <c r="AQ60">
        <f t="shared" si="16"/>
        <v>0</v>
      </c>
      <c r="AR60">
        <f t="shared" si="16"/>
        <v>0</v>
      </c>
      <c r="AS60">
        <f t="shared" si="16"/>
        <v>0</v>
      </c>
      <c r="AT60">
        <f t="shared" si="16"/>
        <v>0</v>
      </c>
      <c r="AU60" t="str">
        <f t="shared" si="16"/>
        <v>Mangold</v>
      </c>
      <c r="AV60">
        <f t="shared" si="16"/>
        <v>0</v>
      </c>
      <c r="AW60">
        <f t="shared" si="16"/>
        <v>0</v>
      </c>
      <c r="AX60" t="str">
        <f t="shared" si="16"/>
        <v>Shively</v>
      </c>
      <c r="AY60">
        <f t="shared" si="17"/>
        <v>0</v>
      </c>
      <c r="AZ60">
        <f t="shared" si="17"/>
        <v>0</v>
      </c>
      <c r="BA60">
        <f t="shared" si="17"/>
        <v>0</v>
      </c>
      <c r="BB60">
        <f t="shared" si="17"/>
        <v>0</v>
      </c>
      <c r="BC60">
        <f t="shared" si="17"/>
        <v>0</v>
      </c>
      <c r="BD60">
        <f t="shared" si="17"/>
        <v>0</v>
      </c>
      <c r="BE60">
        <f t="shared" si="17"/>
        <v>0</v>
      </c>
      <c r="BF60">
        <f t="shared" si="17"/>
        <v>0</v>
      </c>
      <c r="BG60">
        <f t="shared" si="17"/>
        <v>0</v>
      </c>
      <c r="BH60">
        <f t="shared" si="17"/>
        <v>0</v>
      </c>
      <c r="BI60">
        <f t="shared" si="18"/>
        <v>0</v>
      </c>
      <c r="BJ60">
        <f t="shared" si="18"/>
        <v>0</v>
      </c>
      <c r="BK60">
        <f t="shared" si="18"/>
        <v>0</v>
      </c>
      <c r="BL60">
        <f t="shared" si="18"/>
        <v>0</v>
      </c>
      <c r="BM60">
        <f t="shared" si="18"/>
        <v>0</v>
      </c>
      <c r="BN60">
        <f t="shared" si="18"/>
        <v>0</v>
      </c>
      <c r="BO60">
        <f t="shared" si="18"/>
        <v>0</v>
      </c>
      <c r="BP60">
        <f t="shared" si="18"/>
        <v>0</v>
      </c>
      <c r="BQ60">
        <f t="shared" si="18"/>
        <v>0</v>
      </c>
      <c r="BR60">
        <f t="shared" si="18"/>
        <v>0</v>
      </c>
      <c r="BS60">
        <f t="shared" si="18"/>
        <v>0</v>
      </c>
    </row>
    <row r="61" spans="2:71" ht="15" customHeight="1" x14ac:dyDescent="0.2">
      <c r="B61">
        <v>12</v>
      </c>
      <c r="C61">
        <v>4</v>
      </c>
      <c r="D61">
        <v>2</v>
      </c>
      <c r="E61" t="s">
        <v>142</v>
      </c>
      <c r="F61" t="s">
        <v>72</v>
      </c>
      <c r="G61" s="5">
        <v>38145</v>
      </c>
      <c r="H61" t="s">
        <v>97</v>
      </c>
      <c r="I61" t="s">
        <v>121</v>
      </c>
      <c r="J61" t="s">
        <v>75</v>
      </c>
      <c r="K61">
        <v>9</v>
      </c>
      <c r="L61" t="s">
        <v>76</v>
      </c>
      <c r="M61" t="s">
        <v>136</v>
      </c>
      <c r="N61" t="s">
        <v>78</v>
      </c>
      <c r="O61">
        <v>70.599999999999994</v>
      </c>
      <c r="P61">
        <v>133</v>
      </c>
      <c r="Q61">
        <v>6328</v>
      </c>
      <c r="R61" t="s">
        <v>137</v>
      </c>
      <c r="S61" t="s">
        <v>80</v>
      </c>
      <c r="T61" t="s">
        <v>83</v>
      </c>
      <c r="U61" t="s">
        <v>45</v>
      </c>
      <c r="V61" t="s">
        <v>52</v>
      </c>
      <c r="W61" t="s">
        <v>123</v>
      </c>
      <c r="X61">
        <v>8</v>
      </c>
      <c r="Y61" t="s">
        <v>40</v>
      </c>
      <c r="Z61">
        <v>2</v>
      </c>
      <c r="AA61">
        <v>1</v>
      </c>
      <c r="AB61" t="s">
        <v>33</v>
      </c>
      <c r="AC61" t="s">
        <v>143</v>
      </c>
      <c r="AE61" t="str">
        <f t="shared" si="0"/>
        <v>ConnorsGrise</v>
      </c>
      <c r="AF61">
        <v>0</v>
      </c>
      <c r="AG61">
        <v>0</v>
      </c>
      <c r="AH61">
        <v>1</v>
      </c>
      <c r="AI61">
        <v>0</v>
      </c>
      <c r="AJ61">
        <v>0</v>
      </c>
      <c r="AK61" t="s">
        <v>46</v>
      </c>
      <c r="AL61">
        <v>0.38392857142857201</v>
      </c>
      <c r="AM61" t="s">
        <v>49</v>
      </c>
      <c r="AO61" t="str">
        <f t="shared" si="16"/>
        <v>Grise</v>
      </c>
      <c r="AP61">
        <f t="shared" si="16"/>
        <v>0</v>
      </c>
      <c r="AQ61">
        <f t="shared" si="16"/>
        <v>0</v>
      </c>
      <c r="AR61">
        <f t="shared" si="16"/>
        <v>0</v>
      </c>
      <c r="AS61">
        <f t="shared" si="16"/>
        <v>0</v>
      </c>
      <c r="AT61">
        <f t="shared" si="16"/>
        <v>0</v>
      </c>
      <c r="AU61">
        <f t="shared" si="16"/>
        <v>0</v>
      </c>
      <c r="AV61">
        <f t="shared" si="16"/>
        <v>0</v>
      </c>
      <c r="AW61">
        <f t="shared" si="16"/>
        <v>0</v>
      </c>
      <c r="AX61">
        <f t="shared" si="16"/>
        <v>0</v>
      </c>
      <c r="AY61">
        <f t="shared" si="17"/>
        <v>0</v>
      </c>
      <c r="AZ61">
        <f t="shared" si="17"/>
        <v>0</v>
      </c>
      <c r="BA61" t="str">
        <f t="shared" si="17"/>
        <v>Connors</v>
      </c>
      <c r="BB61">
        <f t="shared" si="17"/>
        <v>0</v>
      </c>
      <c r="BC61">
        <f t="shared" si="17"/>
        <v>0</v>
      </c>
      <c r="BD61">
        <f t="shared" si="17"/>
        <v>0</v>
      </c>
      <c r="BE61">
        <f t="shared" si="17"/>
        <v>0</v>
      </c>
      <c r="BF61">
        <f t="shared" si="17"/>
        <v>0</v>
      </c>
      <c r="BG61">
        <f t="shared" si="17"/>
        <v>0</v>
      </c>
      <c r="BH61">
        <f t="shared" si="17"/>
        <v>0</v>
      </c>
      <c r="BI61">
        <f t="shared" si="18"/>
        <v>0</v>
      </c>
      <c r="BJ61">
        <f t="shared" si="18"/>
        <v>0</v>
      </c>
      <c r="BK61">
        <f t="shared" si="18"/>
        <v>0</v>
      </c>
      <c r="BL61">
        <f t="shared" si="18"/>
        <v>0</v>
      </c>
      <c r="BM61">
        <f t="shared" si="18"/>
        <v>0</v>
      </c>
      <c r="BN61">
        <f t="shared" si="18"/>
        <v>0</v>
      </c>
      <c r="BO61">
        <f t="shared" si="18"/>
        <v>0</v>
      </c>
      <c r="BP61">
        <f t="shared" si="18"/>
        <v>0</v>
      </c>
      <c r="BQ61">
        <f t="shared" si="18"/>
        <v>0</v>
      </c>
      <c r="BR61">
        <f t="shared" si="18"/>
        <v>0</v>
      </c>
      <c r="BS61">
        <f t="shared" si="18"/>
        <v>0</v>
      </c>
    </row>
    <row r="62" spans="2:71" ht="15" customHeight="1" x14ac:dyDescent="0.2">
      <c r="B62">
        <v>13</v>
      </c>
      <c r="C62">
        <v>1</v>
      </c>
      <c r="D62">
        <v>2</v>
      </c>
      <c r="E62" t="s">
        <v>144</v>
      </c>
      <c r="F62" t="s">
        <v>72</v>
      </c>
      <c r="G62" s="5">
        <v>38145</v>
      </c>
      <c r="H62" t="s">
        <v>97</v>
      </c>
      <c r="I62" t="s">
        <v>121</v>
      </c>
      <c r="J62" t="s">
        <v>75</v>
      </c>
      <c r="K62">
        <v>9</v>
      </c>
      <c r="L62" t="s">
        <v>90</v>
      </c>
      <c r="M62" t="s">
        <v>136</v>
      </c>
      <c r="N62" t="s">
        <v>78</v>
      </c>
      <c r="O62">
        <v>70.599999999999994</v>
      </c>
      <c r="P62">
        <v>133</v>
      </c>
      <c r="Q62">
        <v>6328</v>
      </c>
      <c r="R62" t="s">
        <v>145</v>
      </c>
      <c r="S62" t="s">
        <v>80</v>
      </c>
      <c r="T62" t="s">
        <v>83</v>
      </c>
      <c r="U62" t="s">
        <v>45</v>
      </c>
      <c r="V62" t="s">
        <v>53</v>
      </c>
      <c r="W62" t="s">
        <v>123</v>
      </c>
      <c r="X62">
        <v>21</v>
      </c>
      <c r="Y62" t="s">
        <v>48</v>
      </c>
      <c r="Z62">
        <v>8</v>
      </c>
      <c r="AA62">
        <v>1</v>
      </c>
      <c r="AB62" t="s">
        <v>32</v>
      </c>
      <c r="AC62" t="s">
        <v>146</v>
      </c>
      <c r="AE62" t="str">
        <f t="shared" si="0"/>
        <v>ForsterLynch</v>
      </c>
      <c r="AF62">
        <v>1</v>
      </c>
      <c r="AG62">
        <v>1</v>
      </c>
      <c r="AH62">
        <v>0</v>
      </c>
      <c r="AI62">
        <v>0</v>
      </c>
      <c r="AJ62">
        <v>1</v>
      </c>
      <c r="AK62" t="s">
        <v>55</v>
      </c>
      <c r="AL62">
        <v>0.44067796610169502</v>
      </c>
      <c r="AM62" t="s">
        <v>50</v>
      </c>
      <c r="AN62">
        <v>0.59523809523809501</v>
      </c>
      <c r="AO62">
        <f t="shared" ref="AO62:AX71" si="19">IF(OR($V62=AO$1,$Y62=AO$1),AO$1,0)</f>
        <v>0</v>
      </c>
      <c r="AP62">
        <f t="shared" si="19"/>
        <v>0</v>
      </c>
      <c r="AQ62">
        <f t="shared" si="19"/>
        <v>0</v>
      </c>
      <c r="AR62">
        <f t="shared" si="19"/>
        <v>0</v>
      </c>
      <c r="AS62">
        <f t="shared" si="19"/>
        <v>0</v>
      </c>
      <c r="AT62">
        <f t="shared" si="19"/>
        <v>0</v>
      </c>
      <c r="AU62">
        <f t="shared" si="19"/>
        <v>0</v>
      </c>
      <c r="AV62">
        <f t="shared" si="19"/>
        <v>0</v>
      </c>
      <c r="AW62" t="str">
        <f t="shared" si="19"/>
        <v>Lynch</v>
      </c>
      <c r="AX62">
        <f t="shared" si="19"/>
        <v>0</v>
      </c>
      <c r="AY62">
        <f t="shared" ref="AY62:BH71" si="20">IF(OR($V62=AY$1,$Y62=AY$1),AY$1,0)</f>
        <v>0</v>
      </c>
      <c r="AZ62">
        <f t="shared" si="20"/>
        <v>0</v>
      </c>
      <c r="BA62">
        <f t="shared" si="20"/>
        <v>0</v>
      </c>
      <c r="BB62" t="str">
        <f t="shared" si="20"/>
        <v>Forster</v>
      </c>
      <c r="BC62">
        <f t="shared" si="20"/>
        <v>0</v>
      </c>
      <c r="BD62">
        <f t="shared" si="20"/>
        <v>0</v>
      </c>
      <c r="BE62">
        <f t="shared" si="20"/>
        <v>0</v>
      </c>
      <c r="BF62">
        <f t="shared" si="20"/>
        <v>0</v>
      </c>
      <c r="BG62">
        <f t="shared" si="20"/>
        <v>0</v>
      </c>
      <c r="BH62">
        <f t="shared" si="20"/>
        <v>0</v>
      </c>
      <c r="BI62">
        <f t="shared" ref="BI62:BS71" si="21">IF(OR($V62=BI$1,$Y62=BI$1),BI$1,0)</f>
        <v>0</v>
      </c>
      <c r="BJ62">
        <f t="shared" si="21"/>
        <v>0</v>
      </c>
      <c r="BK62">
        <f t="shared" si="21"/>
        <v>0</v>
      </c>
      <c r="BL62">
        <f t="shared" si="21"/>
        <v>0</v>
      </c>
      <c r="BM62">
        <f t="shared" si="21"/>
        <v>0</v>
      </c>
      <c r="BN62">
        <f t="shared" si="21"/>
        <v>0</v>
      </c>
      <c r="BO62">
        <f t="shared" si="21"/>
        <v>0</v>
      </c>
      <c r="BP62">
        <f t="shared" si="21"/>
        <v>0</v>
      </c>
      <c r="BQ62">
        <f t="shared" si="21"/>
        <v>0</v>
      </c>
      <c r="BR62">
        <f t="shared" si="21"/>
        <v>0</v>
      </c>
      <c r="BS62">
        <f t="shared" si="21"/>
        <v>0</v>
      </c>
    </row>
    <row r="63" spans="2:71" ht="15" customHeight="1" x14ac:dyDescent="0.2">
      <c r="B63">
        <v>13</v>
      </c>
      <c r="C63">
        <v>1</v>
      </c>
      <c r="D63">
        <v>2</v>
      </c>
      <c r="E63" t="s">
        <v>144</v>
      </c>
      <c r="F63" t="s">
        <v>72</v>
      </c>
      <c r="G63" s="5">
        <v>38145</v>
      </c>
      <c r="H63" t="s">
        <v>97</v>
      </c>
      <c r="I63" t="s">
        <v>121</v>
      </c>
      <c r="J63" t="s">
        <v>75</v>
      </c>
      <c r="K63">
        <v>9</v>
      </c>
      <c r="L63" t="s">
        <v>90</v>
      </c>
      <c r="M63" t="s">
        <v>136</v>
      </c>
      <c r="N63" t="s">
        <v>78</v>
      </c>
      <c r="O63">
        <v>70.599999999999994</v>
      </c>
      <c r="P63">
        <v>133</v>
      </c>
      <c r="Q63">
        <v>6328</v>
      </c>
      <c r="R63" t="s">
        <v>145</v>
      </c>
      <c r="S63" t="s">
        <v>80</v>
      </c>
      <c r="T63" t="s">
        <v>83</v>
      </c>
      <c r="U63" t="s">
        <v>50</v>
      </c>
      <c r="V63" t="s">
        <v>55</v>
      </c>
      <c r="W63" t="s">
        <v>125</v>
      </c>
      <c r="X63">
        <v>24</v>
      </c>
      <c r="Y63" t="s">
        <v>50</v>
      </c>
      <c r="Z63">
        <v>12</v>
      </c>
      <c r="AA63">
        <v>1</v>
      </c>
      <c r="AB63" t="s">
        <v>33</v>
      </c>
      <c r="AC63" t="s">
        <v>146</v>
      </c>
      <c r="AE63" t="str">
        <f t="shared" si="0"/>
        <v>ColeFerrin</v>
      </c>
      <c r="AF63">
        <v>0</v>
      </c>
      <c r="AG63">
        <v>0</v>
      </c>
      <c r="AH63">
        <v>1</v>
      </c>
      <c r="AI63">
        <v>0</v>
      </c>
      <c r="AJ63">
        <v>0</v>
      </c>
      <c r="AK63" t="s">
        <v>53</v>
      </c>
      <c r="AL63">
        <v>0.59649122807017496</v>
      </c>
      <c r="AM63" t="s">
        <v>48</v>
      </c>
      <c r="AN63">
        <v>0.5546875</v>
      </c>
      <c r="AO63">
        <f t="shared" si="19"/>
        <v>0</v>
      </c>
      <c r="AP63">
        <f t="shared" si="19"/>
        <v>0</v>
      </c>
      <c r="AQ63">
        <f t="shared" si="19"/>
        <v>0</v>
      </c>
      <c r="AR63">
        <f t="shared" si="19"/>
        <v>0</v>
      </c>
      <c r="AS63">
        <f t="shared" si="19"/>
        <v>0</v>
      </c>
      <c r="AT63">
        <f t="shared" si="19"/>
        <v>0</v>
      </c>
      <c r="AU63">
        <f t="shared" si="19"/>
        <v>0</v>
      </c>
      <c r="AV63">
        <f t="shared" si="19"/>
        <v>0</v>
      </c>
      <c r="AW63">
        <f t="shared" si="19"/>
        <v>0</v>
      </c>
      <c r="AX63">
        <f t="shared" si="19"/>
        <v>0</v>
      </c>
      <c r="AY63" t="str">
        <f t="shared" si="20"/>
        <v>Ferrin</v>
      </c>
      <c r="AZ63">
        <f t="shared" si="20"/>
        <v>0</v>
      </c>
      <c r="BA63">
        <f t="shared" si="20"/>
        <v>0</v>
      </c>
      <c r="BB63">
        <f t="shared" si="20"/>
        <v>0</v>
      </c>
      <c r="BC63">
        <f t="shared" si="20"/>
        <v>0</v>
      </c>
      <c r="BD63" t="str">
        <f t="shared" si="20"/>
        <v>Cole</v>
      </c>
      <c r="BE63">
        <f t="shared" si="20"/>
        <v>0</v>
      </c>
      <c r="BF63">
        <f t="shared" si="20"/>
        <v>0</v>
      </c>
      <c r="BG63">
        <f t="shared" si="20"/>
        <v>0</v>
      </c>
      <c r="BH63">
        <f t="shared" si="20"/>
        <v>0</v>
      </c>
      <c r="BI63">
        <f t="shared" si="21"/>
        <v>0</v>
      </c>
      <c r="BJ63">
        <f t="shared" si="21"/>
        <v>0</v>
      </c>
      <c r="BK63">
        <f t="shared" si="21"/>
        <v>0</v>
      </c>
      <c r="BL63">
        <f t="shared" si="21"/>
        <v>0</v>
      </c>
      <c r="BM63">
        <f t="shared" si="21"/>
        <v>0</v>
      </c>
      <c r="BN63">
        <f t="shared" si="21"/>
        <v>0</v>
      </c>
      <c r="BO63">
        <f t="shared" si="21"/>
        <v>0</v>
      </c>
      <c r="BP63">
        <f t="shared" si="21"/>
        <v>0</v>
      </c>
      <c r="BQ63">
        <f t="shared" si="21"/>
        <v>0</v>
      </c>
      <c r="BR63">
        <f t="shared" si="21"/>
        <v>0</v>
      </c>
      <c r="BS63">
        <f t="shared" si="21"/>
        <v>0</v>
      </c>
    </row>
    <row r="64" spans="2:71" ht="15" customHeight="1" x14ac:dyDescent="0.2">
      <c r="B64">
        <v>14</v>
      </c>
      <c r="C64">
        <v>2</v>
      </c>
      <c r="D64">
        <v>2</v>
      </c>
      <c r="E64" t="s">
        <v>147</v>
      </c>
      <c r="F64" t="s">
        <v>72</v>
      </c>
      <c r="G64" s="5">
        <v>38145</v>
      </c>
      <c r="H64" t="s">
        <v>97</v>
      </c>
      <c r="I64" t="s">
        <v>121</v>
      </c>
      <c r="J64" t="s">
        <v>75</v>
      </c>
      <c r="K64">
        <v>9</v>
      </c>
      <c r="L64" t="s">
        <v>90</v>
      </c>
      <c r="M64" t="s">
        <v>136</v>
      </c>
      <c r="N64" t="s">
        <v>78</v>
      </c>
      <c r="O64">
        <v>70.599999999999994</v>
      </c>
      <c r="P64">
        <v>133</v>
      </c>
      <c r="Q64">
        <v>6328</v>
      </c>
      <c r="R64" t="s">
        <v>145</v>
      </c>
      <c r="S64" t="s">
        <v>80</v>
      </c>
      <c r="T64" t="s">
        <v>83</v>
      </c>
      <c r="U64" t="s">
        <v>50</v>
      </c>
      <c r="V64" t="s">
        <v>54</v>
      </c>
      <c r="W64" t="s">
        <v>125</v>
      </c>
      <c r="X64">
        <v>22</v>
      </c>
      <c r="Y64" t="s">
        <v>56</v>
      </c>
      <c r="Z64">
        <v>5</v>
      </c>
      <c r="AA64">
        <v>1</v>
      </c>
      <c r="AB64" t="s">
        <v>33</v>
      </c>
      <c r="AC64" t="s">
        <v>148</v>
      </c>
      <c r="AE64" t="str">
        <f t="shared" si="0"/>
        <v>FoganWeisberger</v>
      </c>
      <c r="AF64">
        <v>0</v>
      </c>
      <c r="AG64">
        <v>0</v>
      </c>
      <c r="AH64">
        <v>1</v>
      </c>
      <c r="AI64">
        <v>0</v>
      </c>
      <c r="AJ64">
        <v>0</v>
      </c>
      <c r="AK64" t="s">
        <v>45</v>
      </c>
      <c r="AL64">
        <v>0.59375</v>
      </c>
      <c r="AM64" t="s">
        <v>42</v>
      </c>
      <c r="AN64">
        <v>0.6171875</v>
      </c>
      <c r="AO64">
        <f t="shared" si="19"/>
        <v>0</v>
      </c>
      <c r="AP64">
        <f t="shared" si="19"/>
        <v>0</v>
      </c>
      <c r="AQ64">
        <f t="shared" si="19"/>
        <v>0</v>
      </c>
      <c r="AR64">
        <f t="shared" si="19"/>
        <v>0</v>
      </c>
      <c r="AS64">
        <f t="shared" si="19"/>
        <v>0</v>
      </c>
      <c r="AT64">
        <f t="shared" si="19"/>
        <v>0</v>
      </c>
      <c r="AU64">
        <f t="shared" si="19"/>
        <v>0</v>
      </c>
      <c r="AV64">
        <f t="shared" si="19"/>
        <v>0</v>
      </c>
      <c r="AW64">
        <f t="shared" si="19"/>
        <v>0</v>
      </c>
      <c r="AX64">
        <f t="shared" si="19"/>
        <v>0</v>
      </c>
      <c r="AY64">
        <f t="shared" si="20"/>
        <v>0</v>
      </c>
      <c r="AZ64">
        <f t="shared" si="20"/>
        <v>0</v>
      </c>
      <c r="BA64">
        <f t="shared" si="20"/>
        <v>0</v>
      </c>
      <c r="BB64">
        <f t="shared" si="20"/>
        <v>0</v>
      </c>
      <c r="BC64" t="str">
        <f t="shared" si="20"/>
        <v>Fogan</v>
      </c>
      <c r="BD64">
        <f t="shared" si="20"/>
        <v>0</v>
      </c>
      <c r="BE64" t="str">
        <f t="shared" si="20"/>
        <v>Weisberger</v>
      </c>
      <c r="BF64">
        <f t="shared" si="20"/>
        <v>0</v>
      </c>
      <c r="BG64">
        <f t="shared" si="20"/>
        <v>0</v>
      </c>
      <c r="BH64">
        <f t="shared" si="20"/>
        <v>0</v>
      </c>
      <c r="BI64">
        <f t="shared" si="21"/>
        <v>0</v>
      </c>
      <c r="BJ64">
        <f t="shared" si="21"/>
        <v>0</v>
      </c>
      <c r="BK64">
        <f t="shared" si="21"/>
        <v>0</v>
      </c>
      <c r="BL64">
        <f t="shared" si="21"/>
        <v>0</v>
      </c>
      <c r="BM64">
        <f t="shared" si="21"/>
        <v>0</v>
      </c>
      <c r="BN64">
        <f t="shared" si="21"/>
        <v>0</v>
      </c>
      <c r="BO64">
        <f t="shared" si="21"/>
        <v>0</v>
      </c>
      <c r="BP64">
        <f t="shared" si="21"/>
        <v>0</v>
      </c>
      <c r="BQ64">
        <f t="shared" si="21"/>
        <v>0</v>
      </c>
      <c r="BR64">
        <f t="shared" si="21"/>
        <v>0</v>
      </c>
      <c r="BS64">
        <f t="shared" si="21"/>
        <v>0</v>
      </c>
    </row>
    <row r="65" spans="2:71" ht="15" customHeight="1" x14ac:dyDescent="0.2">
      <c r="B65">
        <v>14</v>
      </c>
      <c r="C65">
        <v>2</v>
      </c>
      <c r="D65">
        <v>2</v>
      </c>
      <c r="E65" t="s">
        <v>147</v>
      </c>
      <c r="F65" t="s">
        <v>72</v>
      </c>
      <c r="G65" s="5">
        <v>38145</v>
      </c>
      <c r="H65" t="s">
        <v>97</v>
      </c>
      <c r="I65" t="s">
        <v>121</v>
      </c>
      <c r="J65" t="s">
        <v>75</v>
      </c>
      <c r="K65">
        <v>9</v>
      </c>
      <c r="L65" t="s">
        <v>90</v>
      </c>
      <c r="M65" t="s">
        <v>136</v>
      </c>
      <c r="N65" t="s">
        <v>78</v>
      </c>
      <c r="O65">
        <v>70.599999999999994</v>
      </c>
      <c r="P65">
        <v>133</v>
      </c>
      <c r="Q65">
        <v>6328</v>
      </c>
      <c r="R65" t="s">
        <v>145</v>
      </c>
      <c r="S65" t="s">
        <v>80</v>
      </c>
      <c r="T65" t="s">
        <v>83</v>
      </c>
      <c r="U65" t="s">
        <v>45</v>
      </c>
      <c r="V65" t="s">
        <v>45</v>
      </c>
      <c r="W65" t="s">
        <v>123</v>
      </c>
      <c r="X65">
        <v>0</v>
      </c>
      <c r="Y65" t="s">
        <v>42</v>
      </c>
      <c r="Z65">
        <v>0</v>
      </c>
      <c r="AA65">
        <v>1</v>
      </c>
      <c r="AB65" t="s">
        <v>32</v>
      </c>
      <c r="AC65" t="s">
        <v>148</v>
      </c>
      <c r="AE65" t="str">
        <f t="shared" si="0"/>
        <v>ConnollyJackson</v>
      </c>
      <c r="AF65">
        <v>1</v>
      </c>
      <c r="AG65">
        <v>1</v>
      </c>
      <c r="AH65">
        <v>0</v>
      </c>
      <c r="AI65">
        <v>0</v>
      </c>
      <c r="AJ65">
        <v>1</v>
      </c>
      <c r="AK65" t="s">
        <v>54</v>
      </c>
      <c r="AL65">
        <v>0.37288135593220301</v>
      </c>
      <c r="AM65" t="s">
        <v>56</v>
      </c>
      <c r="AN65">
        <v>0.5</v>
      </c>
      <c r="AO65">
        <f t="shared" si="19"/>
        <v>0</v>
      </c>
      <c r="AP65">
        <f t="shared" si="19"/>
        <v>0</v>
      </c>
      <c r="AQ65" t="str">
        <f t="shared" si="19"/>
        <v>Jackson</v>
      </c>
      <c r="AR65">
        <f t="shared" si="19"/>
        <v>0</v>
      </c>
      <c r="AS65">
        <f t="shared" si="19"/>
        <v>0</v>
      </c>
      <c r="AT65" t="str">
        <f t="shared" si="19"/>
        <v>Connolly</v>
      </c>
      <c r="AU65">
        <f t="shared" si="19"/>
        <v>0</v>
      </c>
      <c r="AV65">
        <f t="shared" si="19"/>
        <v>0</v>
      </c>
      <c r="AW65">
        <f t="shared" si="19"/>
        <v>0</v>
      </c>
      <c r="AX65">
        <f t="shared" si="19"/>
        <v>0</v>
      </c>
      <c r="AY65">
        <f t="shared" si="20"/>
        <v>0</v>
      </c>
      <c r="AZ65">
        <f t="shared" si="20"/>
        <v>0</v>
      </c>
      <c r="BA65">
        <f t="shared" si="20"/>
        <v>0</v>
      </c>
      <c r="BB65">
        <f t="shared" si="20"/>
        <v>0</v>
      </c>
      <c r="BC65">
        <f t="shared" si="20"/>
        <v>0</v>
      </c>
      <c r="BD65">
        <f t="shared" si="20"/>
        <v>0</v>
      </c>
      <c r="BE65">
        <f t="shared" si="20"/>
        <v>0</v>
      </c>
      <c r="BF65">
        <f t="shared" si="20"/>
        <v>0</v>
      </c>
      <c r="BG65">
        <f t="shared" si="20"/>
        <v>0</v>
      </c>
      <c r="BH65">
        <f t="shared" si="20"/>
        <v>0</v>
      </c>
      <c r="BI65">
        <f t="shared" si="21"/>
        <v>0</v>
      </c>
      <c r="BJ65">
        <f t="shared" si="21"/>
        <v>0</v>
      </c>
      <c r="BK65">
        <f t="shared" si="21"/>
        <v>0</v>
      </c>
      <c r="BL65">
        <f t="shared" si="21"/>
        <v>0</v>
      </c>
      <c r="BM65">
        <f t="shared" si="21"/>
        <v>0</v>
      </c>
      <c r="BN65">
        <f t="shared" si="21"/>
        <v>0</v>
      </c>
      <c r="BO65">
        <f t="shared" si="21"/>
        <v>0</v>
      </c>
      <c r="BP65">
        <f t="shared" si="21"/>
        <v>0</v>
      </c>
      <c r="BQ65">
        <f t="shared" si="21"/>
        <v>0</v>
      </c>
      <c r="BR65">
        <f t="shared" si="21"/>
        <v>0</v>
      </c>
      <c r="BS65">
        <f t="shared" si="21"/>
        <v>0</v>
      </c>
    </row>
    <row r="66" spans="2:71" ht="15" customHeight="1" x14ac:dyDescent="0.2">
      <c r="B66">
        <v>15</v>
      </c>
      <c r="C66">
        <v>3</v>
      </c>
      <c r="D66">
        <v>2</v>
      </c>
      <c r="E66" t="s">
        <v>149</v>
      </c>
      <c r="F66" t="s">
        <v>72</v>
      </c>
      <c r="G66" s="5">
        <v>38145</v>
      </c>
      <c r="H66" t="s">
        <v>97</v>
      </c>
      <c r="I66" t="s">
        <v>121</v>
      </c>
      <c r="J66" t="s">
        <v>75</v>
      </c>
      <c r="K66">
        <v>9</v>
      </c>
      <c r="L66" t="s">
        <v>90</v>
      </c>
      <c r="M66" t="s">
        <v>136</v>
      </c>
      <c r="N66" t="s">
        <v>78</v>
      </c>
      <c r="O66">
        <v>70.599999999999994</v>
      </c>
      <c r="P66">
        <v>133</v>
      </c>
      <c r="Q66">
        <v>6328</v>
      </c>
      <c r="R66" t="s">
        <v>145</v>
      </c>
      <c r="S66" t="s">
        <v>80</v>
      </c>
      <c r="T66" t="s">
        <v>83</v>
      </c>
      <c r="U66" t="s">
        <v>45</v>
      </c>
      <c r="V66" t="s">
        <v>44</v>
      </c>
      <c r="W66" t="s">
        <v>123</v>
      </c>
      <c r="X66">
        <v>5</v>
      </c>
      <c r="Y66" t="s">
        <v>41</v>
      </c>
      <c r="Z66">
        <v>7</v>
      </c>
      <c r="AA66">
        <v>1</v>
      </c>
      <c r="AB66" t="s">
        <v>33</v>
      </c>
      <c r="AC66" t="s">
        <v>150</v>
      </c>
      <c r="AE66" t="str">
        <f t="shared" ref="AE66:AE129" si="22">$V66&amp;$Y66</f>
        <v>FlandersHilts</v>
      </c>
      <c r="AF66">
        <v>0</v>
      </c>
      <c r="AG66">
        <v>0</v>
      </c>
      <c r="AH66">
        <v>1</v>
      </c>
      <c r="AI66">
        <v>0</v>
      </c>
      <c r="AJ66">
        <v>0</v>
      </c>
      <c r="AK66" t="s">
        <v>57</v>
      </c>
      <c r="AL66">
        <v>0.44827586206896602</v>
      </c>
      <c r="AM66" t="s">
        <v>47</v>
      </c>
      <c r="AN66">
        <v>0.35714285714285698</v>
      </c>
      <c r="AO66">
        <f t="shared" si="19"/>
        <v>0</v>
      </c>
      <c r="AP66" t="str">
        <f t="shared" si="19"/>
        <v>Hilts</v>
      </c>
      <c r="AQ66">
        <f t="shared" si="19"/>
        <v>0</v>
      </c>
      <c r="AR66">
        <f t="shared" si="19"/>
        <v>0</v>
      </c>
      <c r="AS66" t="str">
        <f t="shared" si="19"/>
        <v>Flanders</v>
      </c>
      <c r="AT66">
        <f t="shared" si="19"/>
        <v>0</v>
      </c>
      <c r="AU66">
        <f t="shared" si="19"/>
        <v>0</v>
      </c>
      <c r="AV66">
        <f t="shared" si="19"/>
        <v>0</v>
      </c>
      <c r="AW66">
        <f t="shared" si="19"/>
        <v>0</v>
      </c>
      <c r="AX66">
        <f t="shared" si="19"/>
        <v>0</v>
      </c>
      <c r="AY66">
        <f t="shared" si="20"/>
        <v>0</v>
      </c>
      <c r="AZ66">
        <f t="shared" si="20"/>
        <v>0</v>
      </c>
      <c r="BA66">
        <f t="shared" si="20"/>
        <v>0</v>
      </c>
      <c r="BB66">
        <f t="shared" si="20"/>
        <v>0</v>
      </c>
      <c r="BC66">
        <f t="shared" si="20"/>
        <v>0</v>
      </c>
      <c r="BD66">
        <f t="shared" si="20"/>
        <v>0</v>
      </c>
      <c r="BE66">
        <f t="shared" si="20"/>
        <v>0</v>
      </c>
      <c r="BF66">
        <f t="shared" si="20"/>
        <v>0</v>
      </c>
      <c r="BG66">
        <f t="shared" si="20"/>
        <v>0</v>
      </c>
      <c r="BH66">
        <f t="shared" si="20"/>
        <v>0</v>
      </c>
      <c r="BI66">
        <f t="shared" si="21"/>
        <v>0</v>
      </c>
      <c r="BJ66">
        <f t="shared" si="21"/>
        <v>0</v>
      </c>
      <c r="BK66">
        <f t="shared" si="21"/>
        <v>0</v>
      </c>
      <c r="BL66">
        <f t="shared" si="21"/>
        <v>0</v>
      </c>
      <c r="BM66">
        <f t="shared" si="21"/>
        <v>0</v>
      </c>
      <c r="BN66">
        <f t="shared" si="21"/>
        <v>0</v>
      </c>
      <c r="BO66">
        <f t="shared" si="21"/>
        <v>0</v>
      </c>
      <c r="BP66">
        <f t="shared" si="21"/>
        <v>0</v>
      </c>
      <c r="BQ66">
        <f t="shared" si="21"/>
        <v>0</v>
      </c>
      <c r="BR66">
        <f t="shared" si="21"/>
        <v>0</v>
      </c>
      <c r="BS66">
        <f t="shared" si="21"/>
        <v>0</v>
      </c>
    </row>
    <row r="67" spans="2:71" ht="15" customHeight="1" x14ac:dyDescent="0.2">
      <c r="B67">
        <v>15</v>
      </c>
      <c r="C67">
        <v>3</v>
      </c>
      <c r="D67">
        <v>2</v>
      </c>
      <c r="E67" t="s">
        <v>149</v>
      </c>
      <c r="F67" t="s">
        <v>72</v>
      </c>
      <c r="G67" s="5">
        <v>38145</v>
      </c>
      <c r="H67" t="s">
        <v>97</v>
      </c>
      <c r="I67" t="s">
        <v>121</v>
      </c>
      <c r="J67" t="s">
        <v>75</v>
      </c>
      <c r="K67">
        <v>9</v>
      </c>
      <c r="L67" t="s">
        <v>90</v>
      </c>
      <c r="M67" t="s">
        <v>136</v>
      </c>
      <c r="N67" t="s">
        <v>78</v>
      </c>
      <c r="O67">
        <v>70.599999999999994</v>
      </c>
      <c r="P67">
        <v>133</v>
      </c>
      <c r="Q67">
        <v>6328</v>
      </c>
      <c r="R67" t="s">
        <v>145</v>
      </c>
      <c r="S67" t="s">
        <v>80</v>
      </c>
      <c r="T67" t="s">
        <v>83</v>
      </c>
      <c r="U67" t="s">
        <v>50</v>
      </c>
      <c r="V67" t="s">
        <v>57</v>
      </c>
      <c r="W67" t="s">
        <v>125</v>
      </c>
      <c r="X67">
        <v>0</v>
      </c>
      <c r="Y67" t="s">
        <v>47</v>
      </c>
      <c r="Z67">
        <v>8</v>
      </c>
      <c r="AA67">
        <v>1</v>
      </c>
      <c r="AB67" t="s">
        <v>32</v>
      </c>
      <c r="AC67" t="s">
        <v>150</v>
      </c>
      <c r="AE67" t="str">
        <f t="shared" si="22"/>
        <v>BussHickerson</v>
      </c>
      <c r="AF67">
        <v>1</v>
      </c>
      <c r="AG67">
        <v>1</v>
      </c>
      <c r="AH67">
        <v>0</v>
      </c>
      <c r="AI67">
        <v>0</v>
      </c>
      <c r="AJ67">
        <v>1</v>
      </c>
      <c r="AK67" t="s">
        <v>44</v>
      </c>
      <c r="AL67">
        <v>0.4296875</v>
      </c>
      <c r="AM67" t="s">
        <v>41</v>
      </c>
      <c r="AN67">
        <v>0.47321428571428598</v>
      </c>
      <c r="AO67">
        <f t="shared" si="19"/>
        <v>0</v>
      </c>
      <c r="AP67">
        <f t="shared" si="19"/>
        <v>0</v>
      </c>
      <c r="AQ67">
        <f t="shared" si="19"/>
        <v>0</v>
      </c>
      <c r="AR67">
        <f t="shared" si="19"/>
        <v>0</v>
      </c>
      <c r="AS67">
        <f t="shared" si="19"/>
        <v>0</v>
      </c>
      <c r="AT67">
        <f t="shared" si="19"/>
        <v>0</v>
      </c>
      <c r="AU67">
        <f t="shared" si="19"/>
        <v>0</v>
      </c>
      <c r="AV67" t="str">
        <f t="shared" si="19"/>
        <v>Hickerson</v>
      </c>
      <c r="AW67">
        <f t="shared" si="19"/>
        <v>0</v>
      </c>
      <c r="AX67">
        <f t="shared" si="19"/>
        <v>0</v>
      </c>
      <c r="AY67">
        <f t="shared" si="20"/>
        <v>0</v>
      </c>
      <c r="AZ67">
        <f t="shared" si="20"/>
        <v>0</v>
      </c>
      <c r="BA67">
        <f t="shared" si="20"/>
        <v>0</v>
      </c>
      <c r="BB67">
        <f t="shared" si="20"/>
        <v>0</v>
      </c>
      <c r="BC67">
        <f t="shared" si="20"/>
        <v>0</v>
      </c>
      <c r="BD67">
        <f t="shared" si="20"/>
        <v>0</v>
      </c>
      <c r="BE67">
        <f t="shared" si="20"/>
        <v>0</v>
      </c>
      <c r="BF67" t="str">
        <f t="shared" si="20"/>
        <v>Buss</v>
      </c>
      <c r="BG67">
        <f t="shared" si="20"/>
        <v>0</v>
      </c>
      <c r="BH67">
        <f t="shared" si="20"/>
        <v>0</v>
      </c>
      <c r="BI67">
        <f t="shared" si="21"/>
        <v>0</v>
      </c>
      <c r="BJ67">
        <f t="shared" si="21"/>
        <v>0</v>
      </c>
      <c r="BK67">
        <f t="shared" si="21"/>
        <v>0</v>
      </c>
      <c r="BL67">
        <f t="shared" si="21"/>
        <v>0</v>
      </c>
      <c r="BM67">
        <f t="shared" si="21"/>
        <v>0</v>
      </c>
      <c r="BN67">
        <f t="shared" si="21"/>
        <v>0</v>
      </c>
      <c r="BO67">
        <f t="shared" si="21"/>
        <v>0</v>
      </c>
      <c r="BP67">
        <f t="shared" si="21"/>
        <v>0</v>
      </c>
      <c r="BQ67">
        <f t="shared" si="21"/>
        <v>0</v>
      </c>
      <c r="BR67">
        <f t="shared" si="21"/>
        <v>0</v>
      </c>
      <c r="BS67">
        <f t="shared" si="21"/>
        <v>0</v>
      </c>
    </row>
    <row r="68" spans="2:71" ht="15" customHeight="1" x14ac:dyDescent="0.2">
      <c r="B68">
        <v>16</v>
      </c>
      <c r="C68">
        <v>4</v>
      </c>
      <c r="D68">
        <v>2</v>
      </c>
      <c r="E68" t="s">
        <v>151</v>
      </c>
      <c r="F68" t="s">
        <v>72</v>
      </c>
      <c r="G68" s="5">
        <v>38145</v>
      </c>
      <c r="H68" t="s">
        <v>97</v>
      </c>
      <c r="I68" t="s">
        <v>121</v>
      </c>
      <c r="J68" t="s">
        <v>75</v>
      </c>
      <c r="K68">
        <v>9</v>
      </c>
      <c r="L68" t="s">
        <v>90</v>
      </c>
      <c r="M68" t="s">
        <v>136</v>
      </c>
      <c r="N68" t="s">
        <v>78</v>
      </c>
      <c r="O68">
        <v>70.599999999999994</v>
      </c>
      <c r="P68">
        <v>133</v>
      </c>
      <c r="Q68">
        <v>6328</v>
      </c>
      <c r="R68" t="s">
        <v>145</v>
      </c>
      <c r="S68" t="s">
        <v>80</v>
      </c>
      <c r="T68" t="s">
        <v>83</v>
      </c>
      <c r="U68" t="s">
        <v>50</v>
      </c>
      <c r="V68" t="s">
        <v>46</v>
      </c>
      <c r="W68" t="s">
        <v>125</v>
      </c>
      <c r="X68">
        <v>4</v>
      </c>
      <c r="Y68" t="s">
        <v>49</v>
      </c>
      <c r="Z68">
        <v>11</v>
      </c>
      <c r="AA68">
        <v>1</v>
      </c>
      <c r="AB68" t="s">
        <v>33</v>
      </c>
      <c r="AC68" t="s">
        <v>152</v>
      </c>
      <c r="AE68" t="str">
        <f t="shared" si="22"/>
        <v>MangoldShively</v>
      </c>
      <c r="AF68">
        <v>0</v>
      </c>
      <c r="AG68">
        <v>0</v>
      </c>
      <c r="AH68">
        <v>1</v>
      </c>
      <c r="AI68">
        <v>0</v>
      </c>
      <c r="AJ68">
        <v>0</v>
      </c>
      <c r="AK68" t="s">
        <v>52</v>
      </c>
      <c r="AL68">
        <v>0.34745762711864397</v>
      </c>
      <c r="AM68" t="s">
        <v>40</v>
      </c>
      <c r="AN68">
        <v>0.546875</v>
      </c>
      <c r="AO68">
        <f t="shared" si="19"/>
        <v>0</v>
      </c>
      <c r="AP68">
        <f t="shared" si="19"/>
        <v>0</v>
      </c>
      <c r="AQ68">
        <f t="shared" si="19"/>
        <v>0</v>
      </c>
      <c r="AR68">
        <f t="shared" si="19"/>
        <v>0</v>
      </c>
      <c r="AS68">
        <f t="shared" si="19"/>
        <v>0</v>
      </c>
      <c r="AT68">
        <f t="shared" si="19"/>
        <v>0</v>
      </c>
      <c r="AU68" t="str">
        <f t="shared" si="19"/>
        <v>Mangold</v>
      </c>
      <c r="AV68">
        <f t="shared" si="19"/>
        <v>0</v>
      </c>
      <c r="AW68">
        <f t="shared" si="19"/>
        <v>0</v>
      </c>
      <c r="AX68" t="str">
        <f t="shared" si="19"/>
        <v>Shively</v>
      </c>
      <c r="AY68">
        <f t="shared" si="20"/>
        <v>0</v>
      </c>
      <c r="AZ68">
        <f t="shared" si="20"/>
        <v>0</v>
      </c>
      <c r="BA68">
        <f t="shared" si="20"/>
        <v>0</v>
      </c>
      <c r="BB68">
        <f t="shared" si="20"/>
        <v>0</v>
      </c>
      <c r="BC68">
        <f t="shared" si="20"/>
        <v>0</v>
      </c>
      <c r="BD68">
        <f t="shared" si="20"/>
        <v>0</v>
      </c>
      <c r="BE68">
        <f t="shared" si="20"/>
        <v>0</v>
      </c>
      <c r="BF68">
        <f t="shared" si="20"/>
        <v>0</v>
      </c>
      <c r="BG68">
        <f t="shared" si="20"/>
        <v>0</v>
      </c>
      <c r="BH68">
        <f t="shared" si="20"/>
        <v>0</v>
      </c>
      <c r="BI68">
        <f t="shared" si="21"/>
        <v>0</v>
      </c>
      <c r="BJ68">
        <f t="shared" si="21"/>
        <v>0</v>
      </c>
      <c r="BK68">
        <f t="shared" si="21"/>
        <v>0</v>
      </c>
      <c r="BL68">
        <f t="shared" si="21"/>
        <v>0</v>
      </c>
      <c r="BM68">
        <f t="shared" si="21"/>
        <v>0</v>
      </c>
      <c r="BN68">
        <f t="shared" si="21"/>
        <v>0</v>
      </c>
      <c r="BO68">
        <f t="shared" si="21"/>
        <v>0</v>
      </c>
      <c r="BP68">
        <f t="shared" si="21"/>
        <v>0</v>
      </c>
      <c r="BQ68">
        <f t="shared" si="21"/>
        <v>0</v>
      </c>
      <c r="BR68">
        <f t="shared" si="21"/>
        <v>0</v>
      </c>
      <c r="BS68">
        <f t="shared" si="21"/>
        <v>0</v>
      </c>
    </row>
    <row r="69" spans="2:71" ht="15" customHeight="1" x14ac:dyDescent="0.2">
      <c r="B69">
        <v>16</v>
      </c>
      <c r="C69">
        <v>4</v>
      </c>
      <c r="D69">
        <v>2</v>
      </c>
      <c r="E69" t="s">
        <v>151</v>
      </c>
      <c r="F69" t="s">
        <v>72</v>
      </c>
      <c r="G69" s="5">
        <v>38145</v>
      </c>
      <c r="H69" t="s">
        <v>97</v>
      </c>
      <c r="I69" t="s">
        <v>121</v>
      </c>
      <c r="J69" t="s">
        <v>75</v>
      </c>
      <c r="K69">
        <v>9</v>
      </c>
      <c r="L69" t="s">
        <v>90</v>
      </c>
      <c r="M69" t="s">
        <v>136</v>
      </c>
      <c r="N69" t="s">
        <v>78</v>
      </c>
      <c r="O69">
        <v>70.599999999999994</v>
      </c>
      <c r="P69">
        <v>133</v>
      </c>
      <c r="Q69">
        <v>6328</v>
      </c>
      <c r="R69" t="s">
        <v>145</v>
      </c>
      <c r="S69" t="s">
        <v>80</v>
      </c>
      <c r="T69" t="s">
        <v>83</v>
      </c>
      <c r="U69" t="s">
        <v>45</v>
      </c>
      <c r="V69" t="s">
        <v>52</v>
      </c>
      <c r="W69" t="s">
        <v>123</v>
      </c>
      <c r="X69">
        <v>8</v>
      </c>
      <c r="Y69" t="s">
        <v>40</v>
      </c>
      <c r="Z69">
        <v>2</v>
      </c>
      <c r="AA69">
        <v>1</v>
      </c>
      <c r="AB69" t="s">
        <v>32</v>
      </c>
      <c r="AC69" t="s">
        <v>152</v>
      </c>
      <c r="AE69" t="str">
        <f t="shared" si="22"/>
        <v>ConnorsGrise</v>
      </c>
      <c r="AF69">
        <v>1</v>
      </c>
      <c r="AG69">
        <v>1</v>
      </c>
      <c r="AH69">
        <v>0</v>
      </c>
      <c r="AI69">
        <v>0</v>
      </c>
      <c r="AJ69">
        <v>1</v>
      </c>
      <c r="AK69" t="s">
        <v>46</v>
      </c>
      <c r="AL69">
        <v>0.38392857142857201</v>
      </c>
      <c r="AM69" t="s">
        <v>49</v>
      </c>
      <c r="AO69" t="str">
        <f t="shared" si="19"/>
        <v>Grise</v>
      </c>
      <c r="AP69">
        <f t="shared" si="19"/>
        <v>0</v>
      </c>
      <c r="AQ69">
        <f t="shared" si="19"/>
        <v>0</v>
      </c>
      <c r="AR69">
        <f t="shared" si="19"/>
        <v>0</v>
      </c>
      <c r="AS69">
        <f t="shared" si="19"/>
        <v>0</v>
      </c>
      <c r="AT69">
        <f t="shared" si="19"/>
        <v>0</v>
      </c>
      <c r="AU69">
        <f t="shared" si="19"/>
        <v>0</v>
      </c>
      <c r="AV69">
        <f t="shared" si="19"/>
        <v>0</v>
      </c>
      <c r="AW69">
        <f t="shared" si="19"/>
        <v>0</v>
      </c>
      <c r="AX69">
        <f t="shared" si="19"/>
        <v>0</v>
      </c>
      <c r="AY69">
        <f t="shared" si="20"/>
        <v>0</v>
      </c>
      <c r="AZ69">
        <f t="shared" si="20"/>
        <v>0</v>
      </c>
      <c r="BA69" t="str">
        <f t="shared" si="20"/>
        <v>Connors</v>
      </c>
      <c r="BB69">
        <f t="shared" si="20"/>
        <v>0</v>
      </c>
      <c r="BC69">
        <f t="shared" si="20"/>
        <v>0</v>
      </c>
      <c r="BD69">
        <f t="shared" si="20"/>
        <v>0</v>
      </c>
      <c r="BE69">
        <f t="shared" si="20"/>
        <v>0</v>
      </c>
      <c r="BF69">
        <f t="shared" si="20"/>
        <v>0</v>
      </c>
      <c r="BG69">
        <f t="shared" si="20"/>
        <v>0</v>
      </c>
      <c r="BH69">
        <f t="shared" si="20"/>
        <v>0</v>
      </c>
      <c r="BI69">
        <f t="shared" si="21"/>
        <v>0</v>
      </c>
      <c r="BJ69">
        <f t="shared" si="21"/>
        <v>0</v>
      </c>
      <c r="BK69">
        <f t="shared" si="21"/>
        <v>0</v>
      </c>
      <c r="BL69">
        <f t="shared" si="21"/>
        <v>0</v>
      </c>
      <c r="BM69">
        <f t="shared" si="21"/>
        <v>0</v>
      </c>
      <c r="BN69">
        <f t="shared" si="21"/>
        <v>0</v>
      </c>
      <c r="BO69">
        <f t="shared" si="21"/>
        <v>0</v>
      </c>
      <c r="BP69">
        <f t="shared" si="21"/>
        <v>0</v>
      </c>
      <c r="BQ69">
        <f t="shared" si="21"/>
        <v>0</v>
      </c>
      <c r="BR69">
        <f t="shared" si="21"/>
        <v>0</v>
      </c>
      <c r="BS69">
        <f t="shared" si="21"/>
        <v>0</v>
      </c>
    </row>
    <row r="70" spans="2:71" ht="15" customHeight="1" x14ac:dyDescent="0.2">
      <c r="B70">
        <v>17</v>
      </c>
      <c r="C70">
        <v>1</v>
      </c>
      <c r="D70">
        <v>2</v>
      </c>
      <c r="E70" t="s">
        <v>153</v>
      </c>
      <c r="F70" t="s">
        <v>106</v>
      </c>
      <c r="G70" s="5">
        <v>41798</v>
      </c>
      <c r="H70" t="s">
        <v>73</v>
      </c>
      <c r="I70" t="s">
        <v>121</v>
      </c>
      <c r="J70" t="s">
        <v>75</v>
      </c>
      <c r="K70">
        <v>18</v>
      </c>
      <c r="L70" t="s">
        <v>107</v>
      </c>
      <c r="M70" t="s">
        <v>154</v>
      </c>
      <c r="N70" t="s">
        <v>78</v>
      </c>
      <c r="O70">
        <v>70.900000000000006</v>
      </c>
      <c r="P70">
        <v>132</v>
      </c>
      <c r="Q70">
        <v>6183</v>
      </c>
      <c r="R70" t="s">
        <v>110</v>
      </c>
      <c r="S70" t="s">
        <v>111</v>
      </c>
      <c r="T70" t="s">
        <v>83</v>
      </c>
      <c r="U70" t="s">
        <v>45</v>
      </c>
      <c r="V70" t="s">
        <v>44</v>
      </c>
      <c r="W70" t="s">
        <v>78</v>
      </c>
      <c r="X70">
        <v>5</v>
      </c>
      <c r="AA70">
        <v>2</v>
      </c>
      <c r="AB70" t="s">
        <v>33</v>
      </c>
      <c r="AC70" t="s">
        <v>155</v>
      </c>
      <c r="AD70" t="s">
        <v>50</v>
      </c>
      <c r="AE70" t="str">
        <f t="shared" si="22"/>
        <v>Flanders</v>
      </c>
      <c r="AF70">
        <v>0</v>
      </c>
      <c r="AG70">
        <v>0</v>
      </c>
      <c r="AH70">
        <v>1</v>
      </c>
      <c r="AI70">
        <v>0</v>
      </c>
      <c r="AJ70">
        <v>0</v>
      </c>
      <c r="AK70" t="s">
        <v>50</v>
      </c>
      <c r="AL70">
        <v>0.59523809523809501</v>
      </c>
      <c r="AO70">
        <f t="shared" si="19"/>
        <v>0</v>
      </c>
      <c r="AP70">
        <f t="shared" si="19"/>
        <v>0</v>
      </c>
      <c r="AQ70">
        <f t="shared" si="19"/>
        <v>0</v>
      </c>
      <c r="AR70">
        <f t="shared" si="19"/>
        <v>0</v>
      </c>
      <c r="AS70" t="str">
        <f t="shared" si="19"/>
        <v>Flanders</v>
      </c>
      <c r="AT70">
        <f t="shared" si="19"/>
        <v>0</v>
      </c>
      <c r="AU70">
        <f t="shared" si="19"/>
        <v>0</v>
      </c>
      <c r="AV70">
        <f t="shared" si="19"/>
        <v>0</v>
      </c>
      <c r="AW70">
        <f t="shared" si="19"/>
        <v>0</v>
      </c>
      <c r="AX70">
        <f t="shared" si="19"/>
        <v>0</v>
      </c>
      <c r="AY70">
        <f t="shared" si="20"/>
        <v>0</v>
      </c>
      <c r="AZ70">
        <f t="shared" si="20"/>
        <v>0</v>
      </c>
      <c r="BA70">
        <f t="shared" si="20"/>
        <v>0</v>
      </c>
      <c r="BB70">
        <f t="shared" si="20"/>
        <v>0</v>
      </c>
      <c r="BC70">
        <f t="shared" si="20"/>
        <v>0</v>
      </c>
      <c r="BD70">
        <f t="shared" si="20"/>
        <v>0</v>
      </c>
      <c r="BE70">
        <f t="shared" si="20"/>
        <v>0</v>
      </c>
      <c r="BF70">
        <f t="shared" si="20"/>
        <v>0</v>
      </c>
      <c r="BG70">
        <f t="shared" si="20"/>
        <v>0</v>
      </c>
      <c r="BH70">
        <f t="shared" si="20"/>
        <v>0</v>
      </c>
      <c r="BI70">
        <f t="shared" si="21"/>
        <v>0</v>
      </c>
      <c r="BJ70">
        <f t="shared" si="21"/>
        <v>0</v>
      </c>
      <c r="BK70">
        <f t="shared" si="21"/>
        <v>0</v>
      </c>
      <c r="BL70">
        <f t="shared" si="21"/>
        <v>0</v>
      </c>
      <c r="BM70">
        <f t="shared" si="21"/>
        <v>0</v>
      </c>
      <c r="BN70">
        <f t="shared" si="21"/>
        <v>0</v>
      </c>
      <c r="BO70">
        <f t="shared" si="21"/>
        <v>0</v>
      </c>
      <c r="BP70">
        <f t="shared" si="21"/>
        <v>0</v>
      </c>
      <c r="BQ70">
        <f t="shared" si="21"/>
        <v>0</v>
      </c>
      <c r="BR70">
        <f t="shared" si="21"/>
        <v>0</v>
      </c>
      <c r="BS70">
        <f t="shared" si="21"/>
        <v>0</v>
      </c>
    </row>
    <row r="71" spans="2:71" ht="15" customHeight="1" x14ac:dyDescent="0.2">
      <c r="B71">
        <v>18</v>
      </c>
      <c r="C71">
        <v>2</v>
      </c>
      <c r="D71">
        <v>2</v>
      </c>
      <c r="E71" t="s">
        <v>156</v>
      </c>
      <c r="F71" t="s">
        <v>106</v>
      </c>
      <c r="G71" s="5">
        <v>41798</v>
      </c>
      <c r="H71" t="s">
        <v>73</v>
      </c>
      <c r="I71" t="s">
        <v>121</v>
      </c>
      <c r="J71" t="s">
        <v>75</v>
      </c>
      <c r="K71">
        <v>18</v>
      </c>
      <c r="L71" t="s">
        <v>107</v>
      </c>
      <c r="M71" t="s">
        <v>154</v>
      </c>
      <c r="N71" t="s">
        <v>78</v>
      </c>
      <c r="O71">
        <v>70.900000000000006</v>
      </c>
      <c r="P71">
        <v>132</v>
      </c>
      <c r="Q71">
        <v>6183</v>
      </c>
      <c r="R71" t="s">
        <v>110</v>
      </c>
      <c r="S71" t="s">
        <v>111</v>
      </c>
      <c r="T71" t="s">
        <v>83</v>
      </c>
      <c r="U71" t="s">
        <v>45</v>
      </c>
      <c r="V71" t="s">
        <v>52</v>
      </c>
      <c r="W71" t="s">
        <v>78</v>
      </c>
      <c r="X71">
        <v>8</v>
      </c>
      <c r="AA71">
        <v>2</v>
      </c>
      <c r="AB71" t="s">
        <v>33</v>
      </c>
      <c r="AC71" t="s">
        <v>157</v>
      </c>
      <c r="AD71" t="s">
        <v>54</v>
      </c>
      <c r="AE71" t="str">
        <f t="shared" si="22"/>
        <v>Connors</v>
      </c>
      <c r="AF71">
        <v>0</v>
      </c>
      <c r="AG71">
        <v>0</v>
      </c>
      <c r="AH71">
        <v>1</v>
      </c>
      <c r="AI71">
        <v>0</v>
      </c>
      <c r="AJ71">
        <v>0</v>
      </c>
      <c r="AK71" t="s">
        <v>54</v>
      </c>
      <c r="AL71">
        <v>0.37288135593220301</v>
      </c>
      <c r="AO71">
        <f t="shared" si="19"/>
        <v>0</v>
      </c>
      <c r="AP71">
        <f t="shared" si="19"/>
        <v>0</v>
      </c>
      <c r="AQ71">
        <f t="shared" si="19"/>
        <v>0</v>
      </c>
      <c r="AR71">
        <f t="shared" si="19"/>
        <v>0</v>
      </c>
      <c r="AS71">
        <f t="shared" si="19"/>
        <v>0</v>
      </c>
      <c r="AT71">
        <f t="shared" si="19"/>
        <v>0</v>
      </c>
      <c r="AU71">
        <f t="shared" si="19"/>
        <v>0</v>
      </c>
      <c r="AV71">
        <f t="shared" si="19"/>
        <v>0</v>
      </c>
      <c r="AW71">
        <f t="shared" si="19"/>
        <v>0</v>
      </c>
      <c r="AX71">
        <f t="shared" si="19"/>
        <v>0</v>
      </c>
      <c r="AY71">
        <f t="shared" si="20"/>
        <v>0</v>
      </c>
      <c r="AZ71">
        <f t="shared" si="20"/>
        <v>0</v>
      </c>
      <c r="BA71" t="str">
        <f t="shared" si="20"/>
        <v>Connors</v>
      </c>
      <c r="BB71">
        <f t="shared" si="20"/>
        <v>0</v>
      </c>
      <c r="BC71">
        <f t="shared" si="20"/>
        <v>0</v>
      </c>
      <c r="BD71">
        <f t="shared" si="20"/>
        <v>0</v>
      </c>
      <c r="BE71">
        <f t="shared" si="20"/>
        <v>0</v>
      </c>
      <c r="BF71">
        <f t="shared" si="20"/>
        <v>0</v>
      </c>
      <c r="BG71">
        <f t="shared" si="20"/>
        <v>0</v>
      </c>
      <c r="BH71">
        <f t="shared" si="20"/>
        <v>0</v>
      </c>
      <c r="BI71">
        <f t="shared" si="21"/>
        <v>0</v>
      </c>
      <c r="BJ71">
        <f t="shared" si="21"/>
        <v>0</v>
      </c>
      <c r="BK71">
        <f t="shared" si="21"/>
        <v>0</v>
      </c>
      <c r="BL71">
        <f t="shared" si="21"/>
        <v>0</v>
      </c>
      <c r="BM71">
        <f t="shared" si="21"/>
        <v>0</v>
      </c>
      <c r="BN71">
        <f t="shared" si="21"/>
        <v>0</v>
      </c>
      <c r="BO71">
        <f t="shared" si="21"/>
        <v>0</v>
      </c>
      <c r="BP71">
        <f t="shared" si="21"/>
        <v>0</v>
      </c>
      <c r="BQ71">
        <f t="shared" si="21"/>
        <v>0</v>
      </c>
      <c r="BR71">
        <f t="shared" si="21"/>
        <v>0</v>
      </c>
      <c r="BS71">
        <f t="shared" si="21"/>
        <v>0</v>
      </c>
    </row>
    <row r="72" spans="2:71" ht="15" customHeight="1" x14ac:dyDescent="0.2">
      <c r="B72">
        <v>18</v>
      </c>
      <c r="C72">
        <v>3</v>
      </c>
      <c r="D72">
        <v>2</v>
      </c>
      <c r="E72" t="s">
        <v>158</v>
      </c>
      <c r="F72" t="s">
        <v>106</v>
      </c>
      <c r="G72" s="5">
        <v>41798</v>
      </c>
      <c r="H72" t="s">
        <v>73</v>
      </c>
      <c r="I72" t="s">
        <v>121</v>
      </c>
      <c r="J72" t="s">
        <v>75</v>
      </c>
      <c r="K72">
        <v>18</v>
      </c>
      <c r="L72" t="s">
        <v>107</v>
      </c>
      <c r="M72" t="s">
        <v>154</v>
      </c>
      <c r="N72" t="s">
        <v>78</v>
      </c>
      <c r="O72">
        <v>70.900000000000006</v>
      </c>
      <c r="P72">
        <v>132</v>
      </c>
      <c r="Q72">
        <v>6183</v>
      </c>
      <c r="R72" t="s">
        <v>110</v>
      </c>
      <c r="S72" t="s">
        <v>111</v>
      </c>
      <c r="T72" t="s">
        <v>83</v>
      </c>
      <c r="U72" t="s">
        <v>45</v>
      </c>
      <c r="V72" t="s">
        <v>45</v>
      </c>
      <c r="W72" t="s">
        <v>78</v>
      </c>
      <c r="X72">
        <v>0</v>
      </c>
      <c r="AA72">
        <v>2</v>
      </c>
      <c r="AB72" t="s">
        <v>33</v>
      </c>
      <c r="AC72" t="s">
        <v>159</v>
      </c>
      <c r="AD72" t="s">
        <v>49</v>
      </c>
      <c r="AE72" t="str">
        <f t="shared" si="22"/>
        <v>Connolly</v>
      </c>
      <c r="AF72">
        <v>0</v>
      </c>
      <c r="AG72">
        <v>0</v>
      </c>
      <c r="AH72">
        <v>1</v>
      </c>
      <c r="AI72">
        <v>0</v>
      </c>
      <c r="AJ72">
        <v>0</v>
      </c>
      <c r="AK72" t="s">
        <v>49</v>
      </c>
      <c r="AO72">
        <f t="shared" ref="AO72:AX81" si="23">IF(OR($V72=AO$1,$Y72=AO$1),AO$1,0)</f>
        <v>0</v>
      </c>
      <c r="AP72">
        <f t="shared" si="23"/>
        <v>0</v>
      </c>
      <c r="AQ72">
        <f t="shared" si="23"/>
        <v>0</v>
      </c>
      <c r="AR72">
        <f t="shared" si="23"/>
        <v>0</v>
      </c>
      <c r="AS72">
        <f t="shared" si="23"/>
        <v>0</v>
      </c>
      <c r="AT72" t="str">
        <f t="shared" si="23"/>
        <v>Connolly</v>
      </c>
      <c r="AU72">
        <f t="shared" si="23"/>
        <v>0</v>
      </c>
      <c r="AV72">
        <f t="shared" si="23"/>
        <v>0</v>
      </c>
      <c r="AW72">
        <f t="shared" si="23"/>
        <v>0</v>
      </c>
      <c r="AX72">
        <f t="shared" si="23"/>
        <v>0</v>
      </c>
      <c r="AY72">
        <f t="shared" ref="AY72:BH81" si="24">IF(OR($V72=AY$1,$Y72=AY$1),AY$1,0)</f>
        <v>0</v>
      </c>
      <c r="AZ72">
        <f t="shared" si="24"/>
        <v>0</v>
      </c>
      <c r="BA72">
        <f t="shared" si="24"/>
        <v>0</v>
      </c>
      <c r="BB72">
        <f t="shared" si="24"/>
        <v>0</v>
      </c>
      <c r="BC72">
        <f t="shared" si="24"/>
        <v>0</v>
      </c>
      <c r="BD72">
        <f t="shared" si="24"/>
        <v>0</v>
      </c>
      <c r="BE72">
        <f t="shared" si="24"/>
        <v>0</v>
      </c>
      <c r="BF72">
        <f t="shared" si="24"/>
        <v>0</v>
      </c>
      <c r="BG72">
        <f t="shared" si="24"/>
        <v>0</v>
      </c>
      <c r="BH72">
        <f t="shared" si="24"/>
        <v>0</v>
      </c>
      <c r="BI72">
        <f t="shared" ref="BI72:BS81" si="25">IF(OR($V72=BI$1,$Y72=BI$1),BI$1,0)</f>
        <v>0</v>
      </c>
      <c r="BJ72">
        <f t="shared" si="25"/>
        <v>0</v>
      </c>
      <c r="BK72">
        <f t="shared" si="25"/>
        <v>0</v>
      </c>
      <c r="BL72">
        <f t="shared" si="25"/>
        <v>0</v>
      </c>
      <c r="BM72">
        <f t="shared" si="25"/>
        <v>0</v>
      </c>
      <c r="BN72">
        <f t="shared" si="25"/>
        <v>0</v>
      </c>
      <c r="BO72">
        <f t="shared" si="25"/>
        <v>0</v>
      </c>
      <c r="BP72">
        <f t="shared" si="25"/>
        <v>0</v>
      </c>
      <c r="BQ72">
        <f t="shared" si="25"/>
        <v>0</v>
      </c>
      <c r="BR72">
        <f t="shared" si="25"/>
        <v>0</v>
      </c>
      <c r="BS72">
        <f t="shared" si="25"/>
        <v>0</v>
      </c>
    </row>
    <row r="73" spans="2:71" ht="15" customHeight="1" x14ac:dyDescent="0.2">
      <c r="B73">
        <v>18</v>
      </c>
      <c r="C73">
        <v>4</v>
      </c>
      <c r="D73">
        <v>2</v>
      </c>
      <c r="E73" t="s">
        <v>160</v>
      </c>
      <c r="F73" t="s">
        <v>106</v>
      </c>
      <c r="G73" s="5">
        <v>41798</v>
      </c>
      <c r="H73" t="s">
        <v>73</v>
      </c>
      <c r="I73" t="s">
        <v>121</v>
      </c>
      <c r="J73" t="s">
        <v>75</v>
      </c>
      <c r="K73">
        <v>18</v>
      </c>
      <c r="L73" t="s">
        <v>107</v>
      </c>
      <c r="M73" t="s">
        <v>154</v>
      </c>
      <c r="N73" t="s">
        <v>78</v>
      </c>
      <c r="O73">
        <v>70.900000000000006</v>
      </c>
      <c r="P73">
        <v>132</v>
      </c>
      <c r="Q73">
        <v>6183</v>
      </c>
      <c r="R73" t="s">
        <v>110</v>
      </c>
      <c r="S73" t="s">
        <v>111</v>
      </c>
      <c r="T73" t="s">
        <v>83</v>
      </c>
      <c r="U73" t="s">
        <v>45</v>
      </c>
      <c r="V73" t="s">
        <v>40</v>
      </c>
      <c r="W73" t="s">
        <v>78</v>
      </c>
      <c r="X73">
        <v>2</v>
      </c>
      <c r="AA73">
        <v>2</v>
      </c>
      <c r="AB73" t="s">
        <v>32</v>
      </c>
      <c r="AC73" t="s">
        <v>161</v>
      </c>
      <c r="AD73" t="s">
        <v>55</v>
      </c>
      <c r="AE73" t="str">
        <f t="shared" si="22"/>
        <v>Grise</v>
      </c>
      <c r="AF73">
        <v>2</v>
      </c>
      <c r="AG73">
        <v>1</v>
      </c>
      <c r="AH73">
        <v>0</v>
      </c>
      <c r="AI73">
        <v>0</v>
      </c>
      <c r="AJ73">
        <v>1</v>
      </c>
      <c r="AK73" t="s">
        <v>55</v>
      </c>
      <c r="AL73">
        <v>0.44067796610169502</v>
      </c>
      <c r="AO73" t="str">
        <f t="shared" si="23"/>
        <v>Grise</v>
      </c>
      <c r="AP73">
        <f t="shared" si="23"/>
        <v>0</v>
      </c>
      <c r="AQ73">
        <f t="shared" si="23"/>
        <v>0</v>
      </c>
      <c r="AR73">
        <f t="shared" si="23"/>
        <v>0</v>
      </c>
      <c r="AS73">
        <f t="shared" si="23"/>
        <v>0</v>
      </c>
      <c r="AT73">
        <f t="shared" si="23"/>
        <v>0</v>
      </c>
      <c r="AU73">
        <f t="shared" si="23"/>
        <v>0</v>
      </c>
      <c r="AV73">
        <f t="shared" si="23"/>
        <v>0</v>
      </c>
      <c r="AW73">
        <f t="shared" si="23"/>
        <v>0</v>
      </c>
      <c r="AX73">
        <f t="shared" si="23"/>
        <v>0</v>
      </c>
      <c r="AY73">
        <f t="shared" si="24"/>
        <v>0</v>
      </c>
      <c r="AZ73">
        <f t="shared" si="24"/>
        <v>0</v>
      </c>
      <c r="BA73">
        <f t="shared" si="24"/>
        <v>0</v>
      </c>
      <c r="BB73">
        <f t="shared" si="24"/>
        <v>0</v>
      </c>
      <c r="BC73">
        <f t="shared" si="24"/>
        <v>0</v>
      </c>
      <c r="BD73">
        <f t="shared" si="24"/>
        <v>0</v>
      </c>
      <c r="BE73">
        <f t="shared" si="24"/>
        <v>0</v>
      </c>
      <c r="BF73">
        <f t="shared" si="24"/>
        <v>0</v>
      </c>
      <c r="BG73">
        <f t="shared" si="24"/>
        <v>0</v>
      </c>
      <c r="BH73">
        <f t="shared" si="24"/>
        <v>0</v>
      </c>
      <c r="BI73">
        <f t="shared" si="25"/>
        <v>0</v>
      </c>
      <c r="BJ73">
        <f t="shared" si="25"/>
        <v>0</v>
      </c>
      <c r="BK73">
        <f t="shared" si="25"/>
        <v>0</v>
      </c>
      <c r="BL73">
        <f t="shared" si="25"/>
        <v>0</v>
      </c>
      <c r="BM73">
        <f t="shared" si="25"/>
        <v>0</v>
      </c>
      <c r="BN73">
        <f t="shared" si="25"/>
        <v>0</v>
      </c>
      <c r="BO73">
        <f t="shared" si="25"/>
        <v>0</v>
      </c>
      <c r="BP73">
        <f t="shared" si="25"/>
        <v>0</v>
      </c>
      <c r="BQ73">
        <f t="shared" si="25"/>
        <v>0</v>
      </c>
      <c r="BR73">
        <f t="shared" si="25"/>
        <v>0</v>
      </c>
      <c r="BS73">
        <f t="shared" si="25"/>
        <v>0</v>
      </c>
    </row>
    <row r="74" spans="2:71" ht="15" customHeight="1" x14ac:dyDescent="0.2">
      <c r="B74">
        <v>19</v>
      </c>
      <c r="C74">
        <v>5</v>
      </c>
      <c r="D74">
        <v>2</v>
      </c>
      <c r="E74" t="s">
        <v>162</v>
      </c>
      <c r="F74" t="s">
        <v>106</v>
      </c>
      <c r="G74" s="5">
        <v>41798</v>
      </c>
      <c r="H74" t="s">
        <v>73</v>
      </c>
      <c r="I74" t="s">
        <v>121</v>
      </c>
      <c r="J74" t="s">
        <v>75</v>
      </c>
      <c r="K74">
        <v>18</v>
      </c>
      <c r="L74" t="s">
        <v>107</v>
      </c>
      <c r="M74" t="s">
        <v>154</v>
      </c>
      <c r="N74" t="s">
        <v>78</v>
      </c>
      <c r="O74">
        <v>70.900000000000006</v>
      </c>
      <c r="P74">
        <v>132</v>
      </c>
      <c r="Q74">
        <v>6183</v>
      </c>
      <c r="R74" t="s">
        <v>110</v>
      </c>
      <c r="S74" t="s">
        <v>111</v>
      </c>
      <c r="T74" t="s">
        <v>83</v>
      </c>
      <c r="U74" t="s">
        <v>45</v>
      </c>
      <c r="V74" t="s">
        <v>48</v>
      </c>
      <c r="W74" t="s">
        <v>78</v>
      </c>
      <c r="X74">
        <v>8</v>
      </c>
      <c r="AA74">
        <v>2</v>
      </c>
      <c r="AB74" t="s">
        <v>33</v>
      </c>
      <c r="AC74" t="s">
        <v>117</v>
      </c>
      <c r="AD74" t="s">
        <v>56</v>
      </c>
      <c r="AE74" t="str">
        <f t="shared" si="22"/>
        <v>Lynch</v>
      </c>
      <c r="AF74">
        <v>0</v>
      </c>
      <c r="AG74">
        <v>0</v>
      </c>
      <c r="AH74">
        <v>1</v>
      </c>
      <c r="AI74">
        <v>0</v>
      </c>
      <c r="AJ74">
        <v>0</v>
      </c>
      <c r="AK74" t="s">
        <v>56</v>
      </c>
      <c r="AL74">
        <v>0.5</v>
      </c>
      <c r="AO74">
        <f t="shared" si="23"/>
        <v>0</v>
      </c>
      <c r="AP74">
        <f t="shared" si="23"/>
        <v>0</v>
      </c>
      <c r="AQ74">
        <f t="shared" si="23"/>
        <v>0</v>
      </c>
      <c r="AR74">
        <f t="shared" si="23"/>
        <v>0</v>
      </c>
      <c r="AS74">
        <f t="shared" si="23"/>
        <v>0</v>
      </c>
      <c r="AT74">
        <f t="shared" si="23"/>
        <v>0</v>
      </c>
      <c r="AU74">
        <f t="shared" si="23"/>
        <v>0</v>
      </c>
      <c r="AV74">
        <f t="shared" si="23"/>
        <v>0</v>
      </c>
      <c r="AW74" t="str">
        <f t="shared" si="23"/>
        <v>Lynch</v>
      </c>
      <c r="AX74">
        <f t="shared" si="23"/>
        <v>0</v>
      </c>
      <c r="AY74">
        <f t="shared" si="24"/>
        <v>0</v>
      </c>
      <c r="AZ74">
        <f t="shared" si="24"/>
        <v>0</v>
      </c>
      <c r="BA74">
        <f t="shared" si="24"/>
        <v>0</v>
      </c>
      <c r="BB74">
        <f t="shared" si="24"/>
        <v>0</v>
      </c>
      <c r="BC74">
        <f t="shared" si="24"/>
        <v>0</v>
      </c>
      <c r="BD74">
        <f t="shared" si="24"/>
        <v>0</v>
      </c>
      <c r="BE74">
        <f t="shared" si="24"/>
        <v>0</v>
      </c>
      <c r="BF74">
        <f t="shared" si="24"/>
        <v>0</v>
      </c>
      <c r="BG74">
        <f t="shared" si="24"/>
        <v>0</v>
      </c>
      <c r="BH74">
        <f t="shared" si="24"/>
        <v>0</v>
      </c>
      <c r="BI74">
        <f t="shared" si="25"/>
        <v>0</v>
      </c>
      <c r="BJ74">
        <f t="shared" si="25"/>
        <v>0</v>
      </c>
      <c r="BK74">
        <f t="shared" si="25"/>
        <v>0</v>
      </c>
      <c r="BL74">
        <f t="shared" si="25"/>
        <v>0</v>
      </c>
      <c r="BM74">
        <f t="shared" si="25"/>
        <v>0</v>
      </c>
      <c r="BN74">
        <f t="shared" si="25"/>
        <v>0</v>
      </c>
      <c r="BO74">
        <f t="shared" si="25"/>
        <v>0</v>
      </c>
      <c r="BP74">
        <f t="shared" si="25"/>
        <v>0</v>
      </c>
      <c r="BQ74">
        <f t="shared" si="25"/>
        <v>0</v>
      </c>
      <c r="BR74">
        <f t="shared" si="25"/>
        <v>0</v>
      </c>
      <c r="BS74">
        <f t="shared" si="25"/>
        <v>0</v>
      </c>
    </row>
    <row r="75" spans="2:71" ht="15" customHeight="1" x14ac:dyDescent="0.2">
      <c r="B75">
        <v>19</v>
      </c>
      <c r="C75">
        <v>6</v>
      </c>
      <c r="D75">
        <v>2</v>
      </c>
      <c r="E75" t="s">
        <v>163</v>
      </c>
      <c r="F75" t="s">
        <v>106</v>
      </c>
      <c r="G75" s="5">
        <v>41798</v>
      </c>
      <c r="H75" t="s">
        <v>73</v>
      </c>
      <c r="I75" t="s">
        <v>121</v>
      </c>
      <c r="J75" t="s">
        <v>75</v>
      </c>
      <c r="K75">
        <v>18</v>
      </c>
      <c r="L75" t="s">
        <v>107</v>
      </c>
      <c r="M75" t="s">
        <v>154</v>
      </c>
      <c r="N75" t="s">
        <v>78</v>
      </c>
      <c r="O75">
        <v>70.900000000000006</v>
      </c>
      <c r="P75">
        <v>132</v>
      </c>
      <c r="Q75">
        <v>6183</v>
      </c>
      <c r="R75" t="s">
        <v>110</v>
      </c>
      <c r="S75" t="s">
        <v>111</v>
      </c>
      <c r="T75" t="s">
        <v>83</v>
      </c>
      <c r="U75" t="s">
        <v>45</v>
      </c>
      <c r="V75" t="s">
        <v>53</v>
      </c>
      <c r="W75" t="s">
        <v>78</v>
      </c>
      <c r="X75">
        <v>21</v>
      </c>
      <c r="AA75">
        <v>2</v>
      </c>
      <c r="AB75" t="s">
        <v>32</v>
      </c>
      <c r="AC75" t="s">
        <v>95</v>
      </c>
      <c r="AD75" t="s">
        <v>47</v>
      </c>
      <c r="AE75" t="str">
        <f t="shared" si="22"/>
        <v>Forster</v>
      </c>
      <c r="AF75">
        <v>2</v>
      </c>
      <c r="AG75">
        <v>1</v>
      </c>
      <c r="AH75">
        <v>0</v>
      </c>
      <c r="AI75">
        <v>0</v>
      </c>
      <c r="AJ75">
        <v>1</v>
      </c>
      <c r="AK75" t="s">
        <v>47</v>
      </c>
      <c r="AL75">
        <v>0.35714285714285698</v>
      </c>
      <c r="AO75">
        <f t="shared" si="23"/>
        <v>0</v>
      </c>
      <c r="AP75">
        <f t="shared" si="23"/>
        <v>0</v>
      </c>
      <c r="AQ75">
        <f t="shared" si="23"/>
        <v>0</v>
      </c>
      <c r="AR75">
        <f t="shared" si="23"/>
        <v>0</v>
      </c>
      <c r="AS75">
        <f t="shared" si="23"/>
        <v>0</v>
      </c>
      <c r="AT75">
        <f t="shared" si="23"/>
        <v>0</v>
      </c>
      <c r="AU75">
        <f t="shared" si="23"/>
        <v>0</v>
      </c>
      <c r="AV75">
        <f t="shared" si="23"/>
        <v>0</v>
      </c>
      <c r="AW75">
        <f t="shared" si="23"/>
        <v>0</v>
      </c>
      <c r="AX75">
        <f t="shared" si="23"/>
        <v>0</v>
      </c>
      <c r="AY75">
        <f t="shared" si="24"/>
        <v>0</v>
      </c>
      <c r="AZ75">
        <f t="shared" si="24"/>
        <v>0</v>
      </c>
      <c r="BA75">
        <f t="shared" si="24"/>
        <v>0</v>
      </c>
      <c r="BB75" t="str">
        <f t="shared" si="24"/>
        <v>Forster</v>
      </c>
      <c r="BC75">
        <f t="shared" si="24"/>
        <v>0</v>
      </c>
      <c r="BD75">
        <f t="shared" si="24"/>
        <v>0</v>
      </c>
      <c r="BE75">
        <f t="shared" si="24"/>
        <v>0</v>
      </c>
      <c r="BF75">
        <f t="shared" si="24"/>
        <v>0</v>
      </c>
      <c r="BG75">
        <f t="shared" si="24"/>
        <v>0</v>
      </c>
      <c r="BH75">
        <f t="shared" si="24"/>
        <v>0</v>
      </c>
      <c r="BI75">
        <f t="shared" si="25"/>
        <v>0</v>
      </c>
      <c r="BJ75">
        <f t="shared" si="25"/>
        <v>0</v>
      </c>
      <c r="BK75">
        <f t="shared" si="25"/>
        <v>0</v>
      </c>
      <c r="BL75">
        <f t="shared" si="25"/>
        <v>0</v>
      </c>
      <c r="BM75">
        <f t="shared" si="25"/>
        <v>0</v>
      </c>
      <c r="BN75">
        <f t="shared" si="25"/>
        <v>0</v>
      </c>
      <c r="BO75">
        <f t="shared" si="25"/>
        <v>0</v>
      </c>
      <c r="BP75">
        <f t="shared" si="25"/>
        <v>0</v>
      </c>
      <c r="BQ75">
        <f t="shared" si="25"/>
        <v>0</v>
      </c>
      <c r="BR75">
        <f t="shared" si="25"/>
        <v>0</v>
      </c>
      <c r="BS75">
        <f t="shared" si="25"/>
        <v>0</v>
      </c>
    </row>
    <row r="76" spans="2:71" ht="15" customHeight="1" x14ac:dyDescent="0.2">
      <c r="B76">
        <v>20</v>
      </c>
      <c r="C76">
        <v>7</v>
      </c>
      <c r="D76">
        <v>2</v>
      </c>
      <c r="E76" t="s">
        <v>164</v>
      </c>
      <c r="F76" t="s">
        <v>106</v>
      </c>
      <c r="G76" s="5">
        <v>41798</v>
      </c>
      <c r="H76" t="s">
        <v>73</v>
      </c>
      <c r="I76" t="s">
        <v>121</v>
      </c>
      <c r="J76" t="s">
        <v>75</v>
      </c>
      <c r="K76">
        <v>18</v>
      </c>
      <c r="L76" t="s">
        <v>107</v>
      </c>
      <c r="M76" t="s">
        <v>154</v>
      </c>
      <c r="N76" t="s">
        <v>78</v>
      </c>
      <c r="O76">
        <v>70.900000000000006</v>
      </c>
      <c r="P76">
        <v>132</v>
      </c>
      <c r="Q76">
        <v>6183</v>
      </c>
      <c r="R76" t="s">
        <v>110</v>
      </c>
      <c r="S76" t="s">
        <v>111</v>
      </c>
      <c r="T76" t="s">
        <v>83</v>
      </c>
      <c r="U76" t="s">
        <v>45</v>
      </c>
      <c r="V76" t="s">
        <v>42</v>
      </c>
      <c r="W76" t="s">
        <v>78</v>
      </c>
      <c r="X76">
        <v>0</v>
      </c>
      <c r="AA76">
        <v>2</v>
      </c>
      <c r="AB76" t="s">
        <v>32</v>
      </c>
      <c r="AC76" t="s">
        <v>117</v>
      </c>
      <c r="AD76" t="s">
        <v>57</v>
      </c>
      <c r="AE76" t="str">
        <f t="shared" si="22"/>
        <v>Jackson</v>
      </c>
      <c r="AF76">
        <v>2</v>
      </c>
      <c r="AG76">
        <v>1</v>
      </c>
      <c r="AH76">
        <v>0</v>
      </c>
      <c r="AI76">
        <v>0</v>
      </c>
      <c r="AJ76">
        <v>1</v>
      </c>
      <c r="AK76" t="s">
        <v>57</v>
      </c>
      <c r="AL76">
        <v>0.44827586206896602</v>
      </c>
      <c r="AO76">
        <f t="shared" si="23"/>
        <v>0</v>
      </c>
      <c r="AP76">
        <f t="shared" si="23"/>
        <v>0</v>
      </c>
      <c r="AQ76" t="str">
        <f t="shared" si="23"/>
        <v>Jackson</v>
      </c>
      <c r="AR76">
        <f t="shared" si="23"/>
        <v>0</v>
      </c>
      <c r="AS76">
        <f t="shared" si="23"/>
        <v>0</v>
      </c>
      <c r="AT76">
        <f t="shared" si="23"/>
        <v>0</v>
      </c>
      <c r="AU76">
        <f t="shared" si="23"/>
        <v>0</v>
      </c>
      <c r="AV76">
        <f t="shared" si="23"/>
        <v>0</v>
      </c>
      <c r="AW76">
        <f t="shared" si="23"/>
        <v>0</v>
      </c>
      <c r="AX76">
        <f t="shared" si="23"/>
        <v>0</v>
      </c>
      <c r="AY76">
        <f t="shared" si="24"/>
        <v>0</v>
      </c>
      <c r="AZ76">
        <f t="shared" si="24"/>
        <v>0</v>
      </c>
      <c r="BA76">
        <f t="shared" si="24"/>
        <v>0</v>
      </c>
      <c r="BB76">
        <f t="shared" si="24"/>
        <v>0</v>
      </c>
      <c r="BC76">
        <f t="shared" si="24"/>
        <v>0</v>
      </c>
      <c r="BD76">
        <f t="shared" si="24"/>
        <v>0</v>
      </c>
      <c r="BE76">
        <f t="shared" si="24"/>
        <v>0</v>
      </c>
      <c r="BF76">
        <f t="shared" si="24"/>
        <v>0</v>
      </c>
      <c r="BG76">
        <f t="shared" si="24"/>
        <v>0</v>
      </c>
      <c r="BH76">
        <f t="shared" si="24"/>
        <v>0</v>
      </c>
      <c r="BI76">
        <f t="shared" si="25"/>
        <v>0</v>
      </c>
      <c r="BJ76">
        <f t="shared" si="25"/>
        <v>0</v>
      </c>
      <c r="BK76">
        <f t="shared" si="25"/>
        <v>0</v>
      </c>
      <c r="BL76">
        <f t="shared" si="25"/>
        <v>0</v>
      </c>
      <c r="BM76">
        <f t="shared" si="25"/>
        <v>0</v>
      </c>
      <c r="BN76">
        <f t="shared" si="25"/>
        <v>0</v>
      </c>
      <c r="BO76">
        <f t="shared" si="25"/>
        <v>0</v>
      </c>
      <c r="BP76">
        <f t="shared" si="25"/>
        <v>0</v>
      </c>
      <c r="BQ76">
        <f t="shared" si="25"/>
        <v>0</v>
      </c>
      <c r="BR76">
        <f t="shared" si="25"/>
        <v>0</v>
      </c>
      <c r="BS76">
        <f t="shared" si="25"/>
        <v>0</v>
      </c>
    </row>
    <row r="77" spans="2:71" ht="15" customHeight="1" x14ac:dyDescent="0.2">
      <c r="B77">
        <v>20</v>
      </c>
      <c r="C77">
        <v>8</v>
      </c>
      <c r="D77">
        <v>2</v>
      </c>
      <c r="E77" t="s">
        <v>165</v>
      </c>
      <c r="F77" t="s">
        <v>106</v>
      </c>
      <c r="G77" s="5">
        <v>41798</v>
      </c>
      <c r="H77" t="s">
        <v>73</v>
      </c>
      <c r="I77" t="s">
        <v>121</v>
      </c>
      <c r="J77" t="s">
        <v>75</v>
      </c>
      <c r="K77">
        <v>18</v>
      </c>
      <c r="L77" t="s">
        <v>107</v>
      </c>
      <c r="M77" t="s">
        <v>154</v>
      </c>
      <c r="N77" t="s">
        <v>78</v>
      </c>
      <c r="O77">
        <v>70.900000000000006</v>
      </c>
      <c r="P77">
        <v>132</v>
      </c>
      <c r="Q77">
        <v>6183</v>
      </c>
      <c r="R77" t="s">
        <v>110</v>
      </c>
      <c r="S77" t="s">
        <v>111</v>
      </c>
      <c r="T77" t="s">
        <v>83</v>
      </c>
      <c r="U77" t="s">
        <v>45</v>
      </c>
      <c r="V77" t="s">
        <v>41</v>
      </c>
      <c r="W77" t="s">
        <v>78</v>
      </c>
      <c r="X77">
        <v>7</v>
      </c>
      <c r="AA77">
        <v>2</v>
      </c>
      <c r="AB77" t="s">
        <v>33</v>
      </c>
      <c r="AC77" t="s">
        <v>86</v>
      </c>
      <c r="AD77" t="s">
        <v>46</v>
      </c>
      <c r="AE77" t="str">
        <f t="shared" si="22"/>
        <v>Hilts</v>
      </c>
      <c r="AF77">
        <v>0</v>
      </c>
      <c r="AG77">
        <v>0</v>
      </c>
      <c r="AH77">
        <v>1</v>
      </c>
      <c r="AI77">
        <v>0</v>
      </c>
      <c r="AJ77">
        <v>0</v>
      </c>
      <c r="AK77" t="s">
        <v>46</v>
      </c>
      <c r="AL77">
        <v>0.38392857142857201</v>
      </c>
      <c r="AO77">
        <f t="shared" si="23"/>
        <v>0</v>
      </c>
      <c r="AP77" t="str">
        <f t="shared" si="23"/>
        <v>Hilts</v>
      </c>
      <c r="AQ77">
        <f t="shared" si="23"/>
        <v>0</v>
      </c>
      <c r="AR77">
        <f t="shared" si="23"/>
        <v>0</v>
      </c>
      <c r="AS77">
        <f t="shared" si="23"/>
        <v>0</v>
      </c>
      <c r="AT77">
        <f t="shared" si="23"/>
        <v>0</v>
      </c>
      <c r="AU77">
        <f t="shared" si="23"/>
        <v>0</v>
      </c>
      <c r="AV77">
        <f t="shared" si="23"/>
        <v>0</v>
      </c>
      <c r="AW77">
        <f t="shared" si="23"/>
        <v>0</v>
      </c>
      <c r="AX77">
        <f t="shared" si="23"/>
        <v>0</v>
      </c>
      <c r="AY77">
        <f t="shared" si="24"/>
        <v>0</v>
      </c>
      <c r="AZ77">
        <f t="shared" si="24"/>
        <v>0</v>
      </c>
      <c r="BA77">
        <f t="shared" si="24"/>
        <v>0</v>
      </c>
      <c r="BB77">
        <f t="shared" si="24"/>
        <v>0</v>
      </c>
      <c r="BC77">
        <f t="shared" si="24"/>
        <v>0</v>
      </c>
      <c r="BD77">
        <f t="shared" si="24"/>
        <v>0</v>
      </c>
      <c r="BE77">
        <f t="shared" si="24"/>
        <v>0</v>
      </c>
      <c r="BF77">
        <f t="shared" si="24"/>
        <v>0</v>
      </c>
      <c r="BG77">
        <f t="shared" si="24"/>
        <v>0</v>
      </c>
      <c r="BH77">
        <f t="shared" si="24"/>
        <v>0</v>
      </c>
      <c r="BI77">
        <f t="shared" si="25"/>
        <v>0</v>
      </c>
      <c r="BJ77">
        <f t="shared" si="25"/>
        <v>0</v>
      </c>
      <c r="BK77">
        <f t="shared" si="25"/>
        <v>0</v>
      </c>
      <c r="BL77">
        <f t="shared" si="25"/>
        <v>0</v>
      </c>
      <c r="BM77">
        <f t="shared" si="25"/>
        <v>0</v>
      </c>
      <c r="BN77">
        <f t="shared" si="25"/>
        <v>0</v>
      </c>
      <c r="BO77">
        <f t="shared" si="25"/>
        <v>0</v>
      </c>
      <c r="BP77">
        <f t="shared" si="25"/>
        <v>0</v>
      </c>
      <c r="BQ77">
        <f t="shared" si="25"/>
        <v>0</v>
      </c>
      <c r="BR77">
        <f t="shared" si="25"/>
        <v>0</v>
      </c>
      <c r="BS77">
        <f t="shared" si="25"/>
        <v>0</v>
      </c>
    </row>
    <row r="78" spans="2:71" ht="15" customHeight="1" x14ac:dyDescent="0.2">
      <c r="B78">
        <v>21</v>
      </c>
      <c r="C78">
        <v>1</v>
      </c>
      <c r="D78">
        <v>2</v>
      </c>
      <c r="E78" t="s">
        <v>153</v>
      </c>
      <c r="F78" t="s">
        <v>106</v>
      </c>
      <c r="G78" s="5">
        <v>41798</v>
      </c>
      <c r="H78" t="s">
        <v>73</v>
      </c>
      <c r="I78" t="s">
        <v>121</v>
      </c>
      <c r="J78" t="s">
        <v>75</v>
      </c>
      <c r="K78">
        <v>18</v>
      </c>
      <c r="L78" t="s">
        <v>107</v>
      </c>
      <c r="M78" t="s">
        <v>154</v>
      </c>
      <c r="N78" t="s">
        <v>78</v>
      </c>
      <c r="O78">
        <v>70.900000000000006</v>
      </c>
      <c r="P78">
        <v>132</v>
      </c>
      <c r="Q78">
        <v>6183</v>
      </c>
      <c r="R78" t="s">
        <v>110</v>
      </c>
      <c r="S78" t="s">
        <v>111</v>
      </c>
      <c r="T78" t="s">
        <v>83</v>
      </c>
      <c r="U78" t="s">
        <v>50</v>
      </c>
      <c r="V78" t="s">
        <v>50</v>
      </c>
      <c r="W78" t="s">
        <v>109</v>
      </c>
      <c r="X78">
        <v>12</v>
      </c>
      <c r="AA78">
        <v>2</v>
      </c>
      <c r="AB78" t="s">
        <v>32</v>
      </c>
      <c r="AC78" t="s">
        <v>155</v>
      </c>
      <c r="AD78" t="s">
        <v>44</v>
      </c>
      <c r="AE78" t="str">
        <f t="shared" si="22"/>
        <v>Ferrin</v>
      </c>
      <c r="AF78">
        <v>2</v>
      </c>
      <c r="AG78">
        <v>1</v>
      </c>
      <c r="AH78">
        <v>0</v>
      </c>
      <c r="AI78">
        <v>0</v>
      </c>
      <c r="AJ78">
        <v>1</v>
      </c>
      <c r="AK78" t="s">
        <v>44</v>
      </c>
      <c r="AL78">
        <v>0.4296875</v>
      </c>
      <c r="AO78">
        <f t="shared" si="23"/>
        <v>0</v>
      </c>
      <c r="AP78">
        <f t="shared" si="23"/>
        <v>0</v>
      </c>
      <c r="AQ78">
        <f t="shared" si="23"/>
        <v>0</v>
      </c>
      <c r="AR78">
        <f t="shared" si="23"/>
        <v>0</v>
      </c>
      <c r="AS78">
        <f t="shared" si="23"/>
        <v>0</v>
      </c>
      <c r="AT78">
        <f t="shared" si="23"/>
        <v>0</v>
      </c>
      <c r="AU78">
        <f t="shared" si="23"/>
        <v>0</v>
      </c>
      <c r="AV78">
        <f t="shared" si="23"/>
        <v>0</v>
      </c>
      <c r="AW78">
        <f t="shared" si="23"/>
        <v>0</v>
      </c>
      <c r="AX78">
        <f t="shared" si="23"/>
        <v>0</v>
      </c>
      <c r="AY78" t="str">
        <f t="shared" si="24"/>
        <v>Ferrin</v>
      </c>
      <c r="AZ78">
        <f t="shared" si="24"/>
        <v>0</v>
      </c>
      <c r="BA78">
        <f t="shared" si="24"/>
        <v>0</v>
      </c>
      <c r="BB78">
        <f t="shared" si="24"/>
        <v>0</v>
      </c>
      <c r="BC78">
        <f t="shared" si="24"/>
        <v>0</v>
      </c>
      <c r="BD78">
        <f t="shared" si="24"/>
        <v>0</v>
      </c>
      <c r="BE78">
        <f t="shared" si="24"/>
        <v>0</v>
      </c>
      <c r="BF78">
        <f t="shared" si="24"/>
        <v>0</v>
      </c>
      <c r="BG78">
        <f t="shared" si="24"/>
        <v>0</v>
      </c>
      <c r="BH78">
        <f t="shared" si="24"/>
        <v>0</v>
      </c>
      <c r="BI78">
        <f t="shared" si="25"/>
        <v>0</v>
      </c>
      <c r="BJ78">
        <f t="shared" si="25"/>
        <v>0</v>
      </c>
      <c r="BK78">
        <f t="shared" si="25"/>
        <v>0</v>
      </c>
      <c r="BL78">
        <f t="shared" si="25"/>
        <v>0</v>
      </c>
      <c r="BM78">
        <f t="shared" si="25"/>
        <v>0</v>
      </c>
      <c r="BN78">
        <f t="shared" si="25"/>
        <v>0</v>
      </c>
      <c r="BO78">
        <f t="shared" si="25"/>
        <v>0</v>
      </c>
      <c r="BP78">
        <f t="shared" si="25"/>
        <v>0</v>
      </c>
      <c r="BQ78">
        <f t="shared" si="25"/>
        <v>0</v>
      </c>
      <c r="BR78">
        <f t="shared" si="25"/>
        <v>0</v>
      </c>
      <c r="BS78">
        <f t="shared" si="25"/>
        <v>0</v>
      </c>
    </row>
    <row r="79" spans="2:71" ht="15" customHeight="1" x14ac:dyDescent="0.2">
      <c r="B79">
        <v>21</v>
      </c>
      <c r="C79">
        <v>2</v>
      </c>
      <c r="D79">
        <v>2</v>
      </c>
      <c r="E79" t="s">
        <v>156</v>
      </c>
      <c r="F79" t="s">
        <v>106</v>
      </c>
      <c r="G79" s="5">
        <v>41798</v>
      </c>
      <c r="H79" t="s">
        <v>73</v>
      </c>
      <c r="I79" t="s">
        <v>121</v>
      </c>
      <c r="J79" t="s">
        <v>75</v>
      </c>
      <c r="K79">
        <v>18</v>
      </c>
      <c r="L79" t="s">
        <v>107</v>
      </c>
      <c r="M79" t="s">
        <v>154</v>
      </c>
      <c r="N79" t="s">
        <v>78</v>
      </c>
      <c r="O79">
        <v>70.900000000000006</v>
      </c>
      <c r="P79">
        <v>132</v>
      </c>
      <c r="Q79">
        <v>6183</v>
      </c>
      <c r="R79" t="s">
        <v>110</v>
      </c>
      <c r="S79" t="s">
        <v>111</v>
      </c>
      <c r="T79" t="s">
        <v>83</v>
      </c>
      <c r="U79" t="s">
        <v>50</v>
      </c>
      <c r="V79" t="s">
        <v>54</v>
      </c>
      <c r="W79" t="s">
        <v>109</v>
      </c>
      <c r="X79">
        <v>22</v>
      </c>
      <c r="AA79">
        <v>2</v>
      </c>
      <c r="AB79" t="s">
        <v>32</v>
      </c>
      <c r="AC79" t="s">
        <v>157</v>
      </c>
      <c r="AD79" t="s">
        <v>52</v>
      </c>
      <c r="AE79" t="str">
        <f t="shared" si="22"/>
        <v>Fogan</v>
      </c>
      <c r="AF79">
        <v>2</v>
      </c>
      <c r="AG79">
        <v>1</v>
      </c>
      <c r="AH79">
        <v>0</v>
      </c>
      <c r="AI79">
        <v>0</v>
      </c>
      <c r="AJ79">
        <v>1</v>
      </c>
      <c r="AK79" t="s">
        <v>52</v>
      </c>
      <c r="AL79">
        <v>0.34745762711864397</v>
      </c>
      <c r="AO79">
        <f t="shared" si="23"/>
        <v>0</v>
      </c>
      <c r="AP79">
        <f t="shared" si="23"/>
        <v>0</v>
      </c>
      <c r="AQ79">
        <f t="shared" si="23"/>
        <v>0</v>
      </c>
      <c r="AR79">
        <f t="shared" si="23"/>
        <v>0</v>
      </c>
      <c r="AS79">
        <f t="shared" si="23"/>
        <v>0</v>
      </c>
      <c r="AT79">
        <f t="shared" si="23"/>
        <v>0</v>
      </c>
      <c r="AU79">
        <f t="shared" si="23"/>
        <v>0</v>
      </c>
      <c r="AV79">
        <f t="shared" si="23"/>
        <v>0</v>
      </c>
      <c r="AW79">
        <f t="shared" si="23"/>
        <v>0</v>
      </c>
      <c r="AX79">
        <f t="shared" si="23"/>
        <v>0</v>
      </c>
      <c r="AY79">
        <f t="shared" si="24"/>
        <v>0</v>
      </c>
      <c r="AZ79">
        <f t="shared" si="24"/>
        <v>0</v>
      </c>
      <c r="BA79">
        <f t="shared" si="24"/>
        <v>0</v>
      </c>
      <c r="BB79">
        <f t="shared" si="24"/>
        <v>0</v>
      </c>
      <c r="BC79" t="str">
        <f t="shared" si="24"/>
        <v>Fogan</v>
      </c>
      <c r="BD79">
        <f t="shared" si="24"/>
        <v>0</v>
      </c>
      <c r="BE79">
        <f t="shared" si="24"/>
        <v>0</v>
      </c>
      <c r="BF79">
        <f t="shared" si="24"/>
        <v>0</v>
      </c>
      <c r="BG79">
        <f t="shared" si="24"/>
        <v>0</v>
      </c>
      <c r="BH79">
        <f t="shared" si="24"/>
        <v>0</v>
      </c>
      <c r="BI79">
        <f t="shared" si="25"/>
        <v>0</v>
      </c>
      <c r="BJ79">
        <f t="shared" si="25"/>
        <v>0</v>
      </c>
      <c r="BK79">
        <f t="shared" si="25"/>
        <v>0</v>
      </c>
      <c r="BL79">
        <f t="shared" si="25"/>
        <v>0</v>
      </c>
      <c r="BM79">
        <f t="shared" si="25"/>
        <v>0</v>
      </c>
      <c r="BN79">
        <f t="shared" si="25"/>
        <v>0</v>
      </c>
      <c r="BO79">
        <f t="shared" si="25"/>
        <v>0</v>
      </c>
      <c r="BP79">
        <f t="shared" si="25"/>
        <v>0</v>
      </c>
      <c r="BQ79">
        <f t="shared" si="25"/>
        <v>0</v>
      </c>
      <c r="BR79">
        <f t="shared" si="25"/>
        <v>0</v>
      </c>
      <c r="BS79">
        <f t="shared" si="25"/>
        <v>0</v>
      </c>
    </row>
    <row r="80" spans="2:71" ht="15" customHeight="1" x14ac:dyDescent="0.2">
      <c r="B80">
        <v>22</v>
      </c>
      <c r="C80">
        <v>3</v>
      </c>
      <c r="D80">
        <v>2</v>
      </c>
      <c r="E80" t="s">
        <v>158</v>
      </c>
      <c r="F80" t="s">
        <v>106</v>
      </c>
      <c r="G80" s="5">
        <v>41798</v>
      </c>
      <c r="H80" t="s">
        <v>73</v>
      </c>
      <c r="I80" t="s">
        <v>121</v>
      </c>
      <c r="J80" t="s">
        <v>75</v>
      </c>
      <c r="K80">
        <v>18</v>
      </c>
      <c r="L80" t="s">
        <v>107</v>
      </c>
      <c r="M80" t="s">
        <v>154</v>
      </c>
      <c r="N80" t="s">
        <v>78</v>
      </c>
      <c r="O80">
        <v>70.900000000000006</v>
      </c>
      <c r="P80">
        <v>132</v>
      </c>
      <c r="Q80">
        <v>6183</v>
      </c>
      <c r="R80" t="s">
        <v>110</v>
      </c>
      <c r="S80" t="s">
        <v>111</v>
      </c>
      <c r="T80" t="s">
        <v>83</v>
      </c>
      <c r="U80" t="s">
        <v>50</v>
      </c>
      <c r="V80" t="s">
        <v>49</v>
      </c>
      <c r="W80" t="s">
        <v>109</v>
      </c>
      <c r="X80">
        <v>11</v>
      </c>
      <c r="AA80">
        <v>2</v>
      </c>
      <c r="AB80" t="s">
        <v>32</v>
      </c>
      <c r="AC80" t="s">
        <v>159</v>
      </c>
      <c r="AD80" t="s">
        <v>45</v>
      </c>
      <c r="AE80" t="str">
        <f t="shared" si="22"/>
        <v>Shively</v>
      </c>
      <c r="AF80">
        <v>2</v>
      </c>
      <c r="AG80">
        <v>1</v>
      </c>
      <c r="AH80">
        <v>0</v>
      </c>
      <c r="AI80">
        <v>0</v>
      </c>
      <c r="AJ80">
        <v>1</v>
      </c>
      <c r="AK80" t="s">
        <v>45</v>
      </c>
      <c r="AL80">
        <v>0.59375</v>
      </c>
      <c r="AO80">
        <f t="shared" si="23"/>
        <v>0</v>
      </c>
      <c r="AP80">
        <f t="shared" si="23"/>
        <v>0</v>
      </c>
      <c r="AQ80">
        <f t="shared" si="23"/>
        <v>0</v>
      </c>
      <c r="AR80">
        <f t="shared" si="23"/>
        <v>0</v>
      </c>
      <c r="AS80">
        <f t="shared" si="23"/>
        <v>0</v>
      </c>
      <c r="AT80">
        <f t="shared" si="23"/>
        <v>0</v>
      </c>
      <c r="AU80">
        <f t="shared" si="23"/>
        <v>0</v>
      </c>
      <c r="AV80">
        <f t="shared" si="23"/>
        <v>0</v>
      </c>
      <c r="AW80">
        <f t="shared" si="23"/>
        <v>0</v>
      </c>
      <c r="AX80" t="str">
        <f t="shared" si="23"/>
        <v>Shively</v>
      </c>
      <c r="AY80">
        <f t="shared" si="24"/>
        <v>0</v>
      </c>
      <c r="AZ80">
        <f t="shared" si="24"/>
        <v>0</v>
      </c>
      <c r="BA80">
        <f t="shared" si="24"/>
        <v>0</v>
      </c>
      <c r="BB80">
        <f t="shared" si="24"/>
        <v>0</v>
      </c>
      <c r="BC80">
        <f t="shared" si="24"/>
        <v>0</v>
      </c>
      <c r="BD80">
        <f t="shared" si="24"/>
        <v>0</v>
      </c>
      <c r="BE80">
        <f t="shared" si="24"/>
        <v>0</v>
      </c>
      <c r="BF80">
        <f t="shared" si="24"/>
        <v>0</v>
      </c>
      <c r="BG80">
        <f t="shared" si="24"/>
        <v>0</v>
      </c>
      <c r="BH80">
        <f t="shared" si="24"/>
        <v>0</v>
      </c>
      <c r="BI80">
        <f t="shared" si="25"/>
        <v>0</v>
      </c>
      <c r="BJ80">
        <f t="shared" si="25"/>
        <v>0</v>
      </c>
      <c r="BK80">
        <f t="shared" si="25"/>
        <v>0</v>
      </c>
      <c r="BL80">
        <f t="shared" si="25"/>
        <v>0</v>
      </c>
      <c r="BM80">
        <f t="shared" si="25"/>
        <v>0</v>
      </c>
      <c r="BN80">
        <f t="shared" si="25"/>
        <v>0</v>
      </c>
      <c r="BO80">
        <f t="shared" si="25"/>
        <v>0</v>
      </c>
      <c r="BP80">
        <f t="shared" si="25"/>
        <v>0</v>
      </c>
      <c r="BQ80">
        <f t="shared" si="25"/>
        <v>0</v>
      </c>
      <c r="BR80">
        <f t="shared" si="25"/>
        <v>0</v>
      </c>
      <c r="BS80">
        <f t="shared" si="25"/>
        <v>0</v>
      </c>
    </row>
    <row r="81" spans="2:71" ht="15" customHeight="1" x14ac:dyDescent="0.2">
      <c r="B81">
        <v>22</v>
      </c>
      <c r="C81">
        <v>4</v>
      </c>
      <c r="D81">
        <v>2</v>
      </c>
      <c r="E81" t="s">
        <v>160</v>
      </c>
      <c r="F81" t="s">
        <v>106</v>
      </c>
      <c r="G81" s="5">
        <v>41798</v>
      </c>
      <c r="H81" t="s">
        <v>73</v>
      </c>
      <c r="I81" t="s">
        <v>121</v>
      </c>
      <c r="J81" t="s">
        <v>75</v>
      </c>
      <c r="K81">
        <v>18</v>
      </c>
      <c r="L81" t="s">
        <v>107</v>
      </c>
      <c r="M81" t="s">
        <v>154</v>
      </c>
      <c r="N81" t="s">
        <v>78</v>
      </c>
      <c r="O81">
        <v>70.900000000000006</v>
      </c>
      <c r="P81">
        <v>132</v>
      </c>
      <c r="Q81">
        <v>6183</v>
      </c>
      <c r="R81" t="s">
        <v>110</v>
      </c>
      <c r="S81" t="s">
        <v>111</v>
      </c>
      <c r="T81" t="s">
        <v>83</v>
      </c>
      <c r="U81" t="s">
        <v>50</v>
      </c>
      <c r="V81" t="s">
        <v>55</v>
      </c>
      <c r="W81" t="s">
        <v>109</v>
      </c>
      <c r="X81">
        <v>24</v>
      </c>
      <c r="AA81">
        <v>2</v>
      </c>
      <c r="AB81" t="s">
        <v>33</v>
      </c>
      <c r="AC81" t="s">
        <v>161</v>
      </c>
      <c r="AD81" t="s">
        <v>40</v>
      </c>
      <c r="AE81" t="str">
        <f t="shared" si="22"/>
        <v>Cole</v>
      </c>
      <c r="AF81">
        <v>0</v>
      </c>
      <c r="AG81">
        <v>0</v>
      </c>
      <c r="AH81">
        <v>1</v>
      </c>
      <c r="AI81">
        <v>0</v>
      </c>
      <c r="AJ81">
        <v>0</v>
      </c>
      <c r="AK81" t="s">
        <v>40</v>
      </c>
      <c r="AL81">
        <v>0.546875</v>
      </c>
      <c r="AO81">
        <f t="shared" si="23"/>
        <v>0</v>
      </c>
      <c r="AP81">
        <f t="shared" si="23"/>
        <v>0</v>
      </c>
      <c r="AQ81">
        <f t="shared" si="23"/>
        <v>0</v>
      </c>
      <c r="AR81">
        <f t="shared" si="23"/>
        <v>0</v>
      </c>
      <c r="AS81">
        <f t="shared" si="23"/>
        <v>0</v>
      </c>
      <c r="AT81">
        <f t="shared" si="23"/>
        <v>0</v>
      </c>
      <c r="AU81">
        <f t="shared" si="23"/>
        <v>0</v>
      </c>
      <c r="AV81">
        <f t="shared" si="23"/>
        <v>0</v>
      </c>
      <c r="AW81">
        <f t="shared" si="23"/>
        <v>0</v>
      </c>
      <c r="AX81">
        <f t="shared" si="23"/>
        <v>0</v>
      </c>
      <c r="AY81">
        <f t="shared" si="24"/>
        <v>0</v>
      </c>
      <c r="AZ81">
        <f t="shared" si="24"/>
        <v>0</v>
      </c>
      <c r="BA81">
        <f t="shared" si="24"/>
        <v>0</v>
      </c>
      <c r="BB81">
        <f t="shared" si="24"/>
        <v>0</v>
      </c>
      <c r="BC81">
        <f t="shared" si="24"/>
        <v>0</v>
      </c>
      <c r="BD81" t="str">
        <f t="shared" si="24"/>
        <v>Cole</v>
      </c>
      <c r="BE81">
        <f t="shared" si="24"/>
        <v>0</v>
      </c>
      <c r="BF81">
        <f t="shared" si="24"/>
        <v>0</v>
      </c>
      <c r="BG81">
        <f t="shared" si="24"/>
        <v>0</v>
      </c>
      <c r="BH81">
        <f t="shared" si="24"/>
        <v>0</v>
      </c>
      <c r="BI81">
        <f t="shared" si="25"/>
        <v>0</v>
      </c>
      <c r="BJ81">
        <f t="shared" si="25"/>
        <v>0</v>
      </c>
      <c r="BK81">
        <f t="shared" si="25"/>
        <v>0</v>
      </c>
      <c r="BL81">
        <f t="shared" si="25"/>
        <v>0</v>
      </c>
      <c r="BM81">
        <f t="shared" si="25"/>
        <v>0</v>
      </c>
      <c r="BN81">
        <f t="shared" si="25"/>
        <v>0</v>
      </c>
      <c r="BO81">
        <f t="shared" si="25"/>
        <v>0</v>
      </c>
      <c r="BP81">
        <f t="shared" si="25"/>
        <v>0</v>
      </c>
      <c r="BQ81">
        <f t="shared" si="25"/>
        <v>0</v>
      </c>
      <c r="BR81">
        <f t="shared" si="25"/>
        <v>0</v>
      </c>
      <c r="BS81">
        <f t="shared" si="25"/>
        <v>0</v>
      </c>
    </row>
    <row r="82" spans="2:71" ht="15" customHeight="1" x14ac:dyDescent="0.2">
      <c r="B82">
        <v>23</v>
      </c>
      <c r="C82">
        <v>5</v>
      </c>
      <c r="D82">
        <v>2</v>
      </c>
      <c r="E82" t="s">
        <v>162</v>
      </c>
      <c r="F82" t="s">
        <v>106</v>
      </c>
      <c r="G82" s="5">
        <v>41798</v>
      </c>
      <c r="H82" t="s">
        <v>73</v>
      </c>
      <c r="I82" t="s">
        <v>121</v>
      </c>
      <c r="J82" t="s">
        <v>75</v>
      </c>
      <c r="K82">
        <v>18</v>
      </c>
      <c r="L82" t="s">
        <v>107</v>
      </c>
      <c r="M82" t="s">
        <v>154</v>
      </c>
      <c r="N82" t="s">
        <v>78</v>
      </c>
      <c r="O82">
        <v>70.900000000000006</v>
      </c>
      <c r="P82">
        <v>132</v>
      </c>
      <c r="Q82">
        <v>6183</v>
      </c>
      <c r="R82" t="s">
        <v>110</v>
      </c>
      <c r="S82" t="s">
        <v>111</v>
      </c>
      <c r="T82" t="s">
        <v>83</v>
      </c>
      <c r="U82" t="s">
        <v>50</v>
      </c>
      <c r="V82" t="s">
        <v>56</v>
      </c>
      <c r="W82" t="s">
        <v>109</v>
      </c>
      <c r="X82">
        <v>5</v>
      </c>
      <c r="AA82">
        <v>2</v>
      </c>
      <c r="AB82" t="s">
        <v>32</v>
      </c>
      <c r="AC82" t="s">
        <v>117</v>
      </c>
      <c r="AD82" t="s">
        <v>48</v>
      </c>
      <c r="AE82" t="str">
        <f t="shared" si="22"/>
        <v>Weisberger</v>
      </c>
      <c r="AF82">
        <v>2</v>
      </c>
      <c r="AG82">
        <v>1</v>
      </c>
      <c r="AH82">
        <v>0</v>
      </c>
      <c r="AI82">
        <v>0</v>
      </c>
      <c r="AJ82">
        <v>1</v>
      </c>
      <c r="AK82" t="s">
        <v>48</v>
      </c>
      <c r="AL82">
        <v>0.5546875</v>
      </c>
      <c r="AO82">
        <f t="shared" ref="AO82:AX91" si="26">IF(OR($V82=AO$1,$Y82=AO$1),AO$1,0)</f>
        <v>0</v>
      </c>
      <c r="AP82">
        <f t="shared" si="26"/>
        <v>0</v>
      </c>
      <c r="AQ82">
        <f t="shared" si="26"/>
        <v>0</v>
      </c>
      <c r="AR82">
        <f t="shared" si="26"/>
        <v>0</v>
      </c>
      <c r="AS82">
        <f t="shared" si="26"/>
        <v>0</v>
      </c>
      <c r="AT82">
        <f t="shared" si="26"/>
        <v>0</v>
      </c>
      <c r="AU82">
        <f t="shared" si="26"/>
        <v>0</v>
      </c>
      <c r="AV82">
        <f t="shared" si="26"/>
        <v>0</v>
      </c>
      <c r="AW82">
        <f t="shared" si="26"/>
        <v>0</v>
      </c>
      <c r="AX82">
        <f t="shared" si="26"/>
        <v>0</v>
      </c>
      <c r="AY82">
        <f t="shared" ref="AY82:BH91" si="27">IF(OR($V82=AY$1,$Y82=AY$1),AY$1,0)</f>
        <v>0</v>
      </c>
      <c r="AZ82">
        <f t="shared" si="27"/>
        <v>0</v>
      </c>
      <c r="BA82">
        <f t="shared" si="27"/>
        <v>0</v>
      </c>
      <c r="BB82">
        <f t="shared" si="27"/>
        <v>0</v>
      </c>
      <c r="BC82">
        <f t="shared" si="27"/>
        <v>0</v>
      </c>
      <c r="BD82">
        <f t="shared" si="27"/>
        <v>0</v>
      </c>
      <c r="BE82" t="str">
        <f t="shared" si="27"/>
        <v>Weisberger</v>
      </c>
      <c r="BF82">
        <f t="shared" si="27"/>
        <v>0</v>
      </c>
      <c r="BG82">
        <f t="shared" si="27"/>
        <v>0</v>
      </c>
      <c r="BH82">
        <f t="shared" si="27"/>
        <v>0</v>
      </c>
      <c r="BI82">
        <f t="shared" ref="BI82:BS91" si="28">IF(OR($V82=BI$1,$Y82=BI$1),BI$1,0)</f>
        <v>0</v>
      </c>
      <c r="BJ82">
        <f t="shared" si="28"/>
        <v>0</v>
      </c>
      <c r="BK82">
        <f t="shared" si="28"/>
        <v>0</v>
      </c>
      <c r="BL82">
        <f t="shared" si="28"/>
        <v>0</v>
      </c>
      <c r="BM82">
        <f t="shared" si="28"/>
        <v>0</v>
      </c>
      <c r="BN82">
        <f t="shared" si="28"/>
        <v>0</v>
      </c>
      <c r="BO82">
        <f t="shared" si="28"/>
        <v>0</v>
      </c>
      <c r="BP82">
        <f t="shared" si="28"/>
        <v>0</v>
      </c>
      <c r="BQ82">
        <f t="shared" si="28"/>
        <v>0</v>
      </c>
      <c r="BR82">
        <f t="shared" si="28"/>
        <v>0</v>
      </c>
      <c r="BS82">
        <f t="shared" si="28"/>
        <v>0</v>
      </c>
    </row>
    <row r="83" spans="2:71" ht="15" customHeight="1" x14ac:dyDescent="0.2">
      <c r="B83">
        <v>23</v>
      </c>
      <c r="C83">
        <v>6</v>
      </c>
      <c r="D83">
        <v>2</v>
      </c>
      <c r="E83" t="s">
        <v>163</v>
      </c>
      <c r="F83" t="s">
        <v>106</v>
      </c>
      <c r="G83" s="5">
        <v>41798</v>
      </c>
      <c r="H83" t="s">
        <v>73</v>
      </c>
      <c r="I83" t="s">
        <v>121</v>
      </c>
      <c r="J83" t="s">
        <v>75</v>
      </c>
      <c r="K83">
        <v>18</v>
      </c>
      <c r="L83" t="s">
        <v>107</v>
      </c>
      <c r="M83" t="s">
        <v>154</v>
      </c>
      <c r="N83" t="s">
        <v>78</v>
      </c>
      <c r="O83">
        <v>70.900000000000006</v>
      </c>
      <c r="P83">
        <v>132</v>
      </c>
      <c r="Q83">
        <v>6183</v>
      </c>
      <c r="R83" t="s">
        <v>110</v>
      </c>
      <c r="S83" t="s">
        <v>111</v>
      </c>
      <c r="T83" t="s">
        <v>83</v>
      </c>
      <c r="U83" t="s">
        <v>50</v>
      </c>
      <c r="V83" t="s">
        <v>47</v>
      </c>
      <c r="W83" t="s">
        <v>109</v>
      </c>
      <c r="X83">
        <v>8</v>
      </c>
      <c r="AA83">
        <v>2</v>
      </c>
      <c r="AB83" t="s">
        <v>33</v>
      </c>
      <c r="AC83" t="s">
        <v>95</v>
      </c>
      <c r="AD83" t="s">
        <v>53</v>
      </c>
      <c r="AE83" t="str">
        <f t="shared" si="22"/>
        <v>Hickerson</v>
      </c>
      <c r="AF83">
        <v>0</v>
      </c>
      <c r="AG83">
        <v>0</v>
      </c>
      <c r="AH83">
        <v>1</v>
      </c>
      <c r="AI83">
        <v>0</v>
      </c>
      <c r="AJ83">
        <v>0</v>
      </c>
      <c r="AK83" t="s">
        <v>53</v>
      </c>
      <c r="AL83">
        <v>0.59649122807017496</v>
      </c>
      <c r="AO83">
        <f t="shared" si="26"/>
        <v>0</v>
      </c>
      <c r="AP83">
        <f t="shared" si="26"/>
        <v>0</v>
      </c>
      <c r="AQ83">
        <f t="shared" si="26"/>
        <v>0</v>
      </c>
      <c r="AR83">
        <f t="shared" si="26"/>
        <v>0</v>
      </c>
      <c r="AS83">
        <f t="shared" si="26"/>
        <v>0</v>
      </c>
      <c r="AT83">
        <f t="shared" si="26"/>
        <v>0</v>
      </c>
      <c r="AU83">
        <f t="shared" si="26"/>
        <v>0</v>
      </c>
      <c r="AV83" t="str">
        <f t="shared" si="26"/>
        <v>Hickerson</v>
      </c>
      <c r="AW83">
        <f t="shared" si="26"/>
        <v>0</v>
      </c>
      <c r="AX83">
        <f t="shared" si="26"/>
        <v>0</v>
      </c>
      <c r="AY83">
        <f t="shared" si="27"/>
        <v>0</v>
      </c>
      <c r="AZ83">
        <f t="shared" si="27"/>
        <v>0</v>
      </c>
      <c r="BA83">
        <f t="shared" si="27"/>
        <v>0</v>
      </c>
      <c r="BB83">
        <f t="shared" si="27"/>
        <v>0</v>
      </c>
      <c r="BC83">
        <f t="shared" si="27"/>
        <v>0</v>
      </c>
      <c r="BD83">
        <f t="shared" si="27"/>
        <v>0</v>
      </c>
      <c r="BE83">
        <f t="shared" si="27"/>
        <v>0</v>
      </c>
      <c r="BF83">
        <f t="shared" si="27"/>
        <v>0</v>
      </c>
      <c r="BG83">
        <f t="shared" si="27"/>
        <v>0</v>
      </c>
      <c r="BH83">
        <f t="shared" si="27"/>
        <v>0</v>
      </c>
      <c r="BI83">
        <f t="shared" si="28"/>
        <v>0</v>
      </c>
      <c r="BJ83">
        <f t="shared" si="28"/>
        <v>0</v>
      </c>
      <c r="BK83">
        <f t="shared" si="28"/>
        <v>0</v>
      </c>
      <c r="BL83">
        <f t="shared" si="28"/>
        <v>0</v>
      </c>
      <c r="BM83">
        <f t="shared" si="28"/>
        <v>0</v>
      </c>
      <c r="BN83">
        <f t="shared" si="28"/>
        <v>0</v>
      </c>
      <c r="BO83">
        <f t="shared" si="28"/>
        <v>0</v>
      </c>
      <c r="BP83">
        <f t="shared" si="28"/>
        <v>0</v>
      </c>
      <c r="BQ83">
        <f t="shared" si="28"/>
        <v>0</v>
      </c>
      <c r="BR83">
        <f t="shared" si="28"/>
        <v>0</v>
      </c>
      <c r="BS83">
        <f t="shared" si="28"/>
        <v>0</v>
      </c>
    </row>
    <row r="84" spans="2:71" ht="15" customHeight="1" x14ac:dyDescent="0.2">
      <c r="B84">
        <v>24</v>
      </c>
      <c r="C84">
        <v>7</v>
      </c>
      <c r="D84">
        <v>2</v>
      </c>
      <c r="E84" t="s">
        <v>164</v>
      </c>
      <c r="F84" t="s">
        <v>106</v>
      </c>
      <c r="G84" s="5">
        <v>41798</v>
      </c>
      <c r="H84" t="s">
        <v>73</v>
      </c>
      <c r="I84" t="s">
        <v>121</v>
      </c>
      <c r="J84" t="s">
        <v>75</v>
      </c>
      <c r="K84">
        <v>18</v>
      </c>
      <c r="L84" t="s">
        <v>107</v>
      </c>
      <c r="M84" t="s">
        <v>154</v>
      </c>
      <c r="N84" t="s">
        <v>78</v>
      </c>
      <c r="O84">
        <v>70.900000000000006</v>
      </c>
      <c r="P84">
        <v>132</v>
      </c>
      <c r="Q84">
        <v>6183</v>
      </c>
      <c r="R84" t="s">
        <v>110</v>
      </c>
      <c r="S84" t="s">
        <v>111</v>
      </c>
      <c r="T84" t="s">
        <v>83</v>
      </c>
      <c r="U84" t="s">
        <v>50</v>
      </c>
      <c r="V84" t="s">
        <v>57</v>
      </c>
      <c r="W84" t="s">
        <v>109</v>
      </c>
      <c r="X84">
        <v>0</v>
      </c>
      <c r="AA84">
        <v>2</v>
      </c>
      <c r="AB84" t="s">
        <v>33</v>
      </c>
      <c r="AC84" t="s">
        <v>117</v>
      </c>
      <c r="AD84" t="s">
        <v>42</v>
      </c>
      <c r="AE84" t="str">
        <f t="shared" si="22"/>
        <v>Buss</v>
      </c>
      <c r="AF84">
        <v>0</v>
      </c>
      <c r="AG84">
        <v>0</v>
      </c>
      <c r="AH84">
        <v>1</v>
      </c>
      <c r="AI84">
        <v>0</v>
      </c>
      <c r="AJ84">
        <v>0</v>
      </c>
      <c r="AK84" t="s">
        <v>42</v>
      </c>
      <c r="AL84">
        <v>0.6171875</v>
      </c>
      <c r="AO84">
        <f t="shared" si="26"/>
        <v>0</v>
      </c>
      <c r="AP84">
        <f t="shared" si="26"/>
        <v>0</v>
      </c>
      <c r="AQ84">
        <f t="shared" si="26"/>
        <v>0</v>
      </c>
      <c r="AR84">
        <f t="shared" si="26"/>
        <v>0</v>
      </c>
      <c r="AS84">
        <f t="shared" si="26"/>
        <v>0</v>
      </c>
      <c r="AT84">
        <f t="shared" si="26"/>
        <v>0</v>
      </c>
      <c r="AU84">
        <f t="shared" si="26"/>
        <v>0</v>
      </c>
      <c r="AV84">
        <f t="shared" si="26"/>
        <v>0</v>
      </c>
      <c r="AW84">
        <f t="shared" si="26"/>
        <v>0</v>
      </c>
      <c r="AX84">
        <f t="shared" si="26"/>
        <v>0</v>
      </c>
      <c r="AY84">
        <f t="shared" si="27"/>
        <v>0</v>
      </c>
      <c r="AZ84">
        <f t="shared" si="27"/>
        <v>0</v>
      </c>
      <c r="BA84">
        <f t="shared" si="27"/>
        <v>0</v>
      </c>
      <c r="BB84">
        <f t="shared" si="27"/>
        <v>0</v>
      </c>
      <c r="BC84">
        <f t="shared" si="27"/>
        <v>0</v>
      </c>
      <c r="BD84">
        <f t="shared" si="27"/>
        <v>0</v>
      </c>
      <c r="BE84">
        <f t="shared" si="27"/>
        <v>0</v>
      </c>
      <c r="BF84" t="str">
        <f t="shared" si="27"/>
        <v>Buss</v>
      </c>
      <c r="BG84">
        <f t="shared" si="27"/>
        <v>0</v>
      </c>
      <c r="BH84">
        <f t="shared" si="27"/>
        <v>0</v>
      </c>
      <c r="BI84">
        <f t="shared" si="28"/>
        <v>0</v>
      </c>
      <c r="BJ84">
        <f t="shared" si="28"/>
        <v>0</v>
      </c>
      <c r="BK84">
        <f t="shared" si="28"/>
        <v>0</v>
      </c>
      <c r="BL84">
        <f t="shared" si="28"/>
        <v>0</v>
      </c>
      <c r="BM84">
        <f t="shared" si="28"/>
        <v>0</v>
      </c>
      <c r="BN84">
        <f t="shared" si="28"/>
        <v>0</v>
      </c>
      <c r="BO84">
        <f t="shared" si="28"/>
        <v>0</v>
      </c>
      <c r="BP84">
        <f t="shared" si="28"/>
        <v>0</v>
      </c>
      <c r="BQ84">
        <f t="shared" si="28"/>
        <v>0</v>
      </c>
      <c r="BR84">
        <f t="shared" si="28"/>
        <v>0</v>
      </c>
      <c r="BS84">
        <f t="shared" si="28"/>
        <v>0</v>
      </c>
    </row>
    <row r="85" spans="2:71" ht="15" customHeight="1" x14ac:dyDescent="0.2">
      <c r="B85">
        <v>24</v>
      </c>
      <c r="C85">
        <v>8</v>
      </c>
      <c r="D85">
        <v>2</v>
      </c>
      <c r="E85" t="s">
        <v>165</v>
      </c>
      <c r="F85" t="s">
        <v>106</v>
      </c>
      <c r="G85" s="5">
        <v>41798</v>
      </c>
      <c r="H85" t="s">
        <v>73</v>
      </c>
      <c r="I85" t="s">
        <v>121</v>
      </c>
      <c r="J85" t="s">
        <v>75</v>
      </c>
      <c r="K85">
        <v>18</v>
      </c>
      <c r="L85" t="s">
        <v>107</v>
      </c>
      <c r="M85" t="s">
        <v>154</v>
      </c>
      <c r="N85" t="s">
        <v>78</v>
      </c>
      <c r="O85">
        <v>70.900000000000006</v>
      </c>
      <c r="P85">
        <v>132</v>
      </c>
      <c r="Q85">
        <v>6183</v>
      </c>
      <c r="R85" t="s">
        <v>110</v>
      </c>
      <c r="S85" t="s">
        <v>111</v>
      </c>
      <c r="T85" t="s">
        <v>83</v>
      </c>
      <c r="U85" t="s">
        <v>50</v>
      </c>
      <c r="V85" t="s">
        <v>46</v>
      </c>
      <c r="W85" t="s">
        <v>109</v>
      </c>
      <c r="X85">
        <v>4</v>
      </c>
      <c r="AA85">
        <v>2</v>
      </c>
      <c r="AB85" t="s">
        <v>32</v>
      </c>
      <c r="AC85" t="s">
        <v>86</v>
      </c>
      <c r="AD85" t="s">
        <v>41</v>
      </c>
      <c r="AE85" t="str">
        <f t="shared" si="22"/>
        <v>Mangold</v>
      </c>
      <c r="AF85">
        <v>2</v>
      </c>
      <c r="AG85">
        <v>1</v>
      </c>
      <c r="AH85">
        <v>0</v>
      </c>
      <c r="AI85">
        <v>0</v>
      </c>
      <c r="AJ85">
        <v>1</v>
      </c>
      <c r="AK85" t="s">
        <v>41</v>
      </c>
      <c r="AL85">
        <v>0.47321428571428598</v>
      </c>
      <c r="AO85">
        <f t="shared" si="26"/>
        <v>0</v>
      </c>
      <c r="AP85">
        <f t="shared" si="26"/>
        <v>0</v>
      </c>
      <c r="AQ85">
        <f t="shared" si="26"/>
        <v>0</v>
      </c>
      <c r="AR85">
        <f t="shared" si="26"/>
        <v>0</v>
      </c>
      <c r="AS85">
        <f t="shared" si="26"/>
        <v>0</v>
      </c>
      <c r="AT85">
        <f t="shared" si="26"/>
        <v>0</v>
      </c>
      <c r="AU85" t="str">
        <f t="shared" si="26"/>
        <v>Mangold</v>
      </c>
      <c r="AV85">
        <f t="shared" si="26"/>
        <v>0</v>
      </c>
      <c r="AW85">
        <f t="shared" si="26"/>
        <v>0</v>
      </c>
      <c r="AX85">
        <f t="shared" si="26"/>
        <v>0</v>
      </c>
      <c r="AY85">
        <f t="shared" si="27"/>
        <v>0</v>
      </c>
      <c r="AZ85">
        <f t="shared" si="27"/>
        <v>0</v>
      </c>
      <c r="BA85">
        <f t="shared" si="27"/>
        <v>0</v>
      </c>
      <c r="BB85">
        <f t="shared" si="27"/>
        <v>0</v>
      </c>
      <c r="BC85">
        <f t="shared" si="27"/>
        <v>0</v>
      </c>
      <c r="BD85">
        <f t="shared" si="27"/>
        <v>0</v>
      </c>
      <c r="BE85">
        <f t="shared" si="27"/>
        <v>0</v>
      </c>
      <c r="BF85">
        <f t="shared" si="27"/>
        <v>0</v>
      </c>
      <c r="BG85">
        <f t="shared" si="27"/>
        <v>0</v>
      </c>
      <c r="BH85">
        <f t="shared" si="27"/>
        <v>0</v>
      </c>
      <c r="BI85">
        <f t="shared" si="28"/>
        <v>0</v>
      </c>
      <c r="BJ85">
        <f t="shared" si="28"/>
        <v>0</v>
      </c>
      <c r="BK85">
        <f t="shared" si="28"/>
        <v>0</v>
      </c>
      <c r="BL85">
        <f t="shared" si="28"/>
        <v>0</v>
      </c>
      <c r="BM85">
        <f t="shared" si="28"/>
        <v>0</v>
      </c>
      <c r="BN85">
        <f t="shared" si="28"/>
        <v>0</v>
      </c>
      <c r="BO85">
        <f t="shared" si="28"/>
        <v>0</v>
      </c>
      <c r="BP85">
        <f t="shared" si="28"/>
        <v>0</v>
      </c>
      <c r="BQ85">
        <f t="shared" si="28"/>
        <v>0</v>
      </c>
      <c r="BR85">
        <f t="shared" si="28"/>
        <v>0</v>
      </c>
      <c r="BS85">
        <f t="shared" si="28"/>
        <v>0</v>
      </c>
    </row>
    <row r="86" spans="2:71" ht="15" customHeight="1" x14ac:dyDescent="0.2">
      <c r="B86">
        <v>1</v>
      </c>
      <c r="C86">
        <v>1</v>
      </c>
      <c r="D86">
        <v>3</v>
      </c>
      <c r="E86" t="s">
        <v>166</v>
      </c>
      <c r="F86" t="s">
        <v>72</v>
      </c>
      <c r="G86" s="5">
        <v>42168</v>
      </c>
      <c r="H86" t="s">
        <v>73</v>
      </c>
      <c r="I86" t="s">
        <v>167</v>
      </c>
      <c r="J86" t="s">
        <v>168</v>
      </c>
      <c r="K86">
        <v>9</v>
      </c>
      <c r="L86" t="s">
        <v>76</v>
      </c>
      <c r="M86" t="s">
        <v>169</v>
      </c>
      <c r="N86" t="s">
        <v>123</v>
      </c>
      <c r="O86">
        <v>71.099999999999994</v>
      </c>
      <c r="P86">
        <v>135</v>
      </c>
      <c r="Q86">
        <v>6323</v>
      </c>
      <c r="R86" t="s">
        <v>79</v>
      </c>
      <c r="S86" t="s">
        <v>80</v>
      </c>
      <c r="T86" t="s">
        <v>81</v>
      </c>
      <c r="U86" t="s">
        <v>49</v>
      </c>
      <c r="V86" t="s">
        <v>50</v>
      </c>
      <c r="W86" t="s">
        <v>170</v>
      </c>
      <c r="X86">
        <v>24</v>
      </c>
      <c r="Y86" t="s">
        <v>49</v>
      </c>
      <c r="Z86">
        <v>21</v>
      </c>
      <c r="AA86">
        <v>1</v>
      </c>
      <c r="AB86" t="s">
        <v>32</v>
      </c>
      <c r="AC86" t="s">
        <v>171</v>
      </c>
      <c r="AE86" t="str">
        <f t="shared" si="22"/>
        <v>FerrinShively</v>
      </c>
      <c r="AF86">
        <v>1</v>
      </c>
      <c r="AG86">
        <v>1</v>
      </c>
      <c r="AH86">
        <v>0</v>
      </c>
      <c r="AI86">
        <v>0</v>
      </c>
      <c r="AJ86">
        <v>1</v>
      </c>
      <c r="AK86" t="s">
        <v>45</v>
      </c>
      <c r="AL86">
        <v>0.59375</v>
      </c>
      <c r="AM86" t="s">
        <v>41</v>
      </c>
      <c r="AN86">
        <v>0.47321428571428598</v>
      </c>
      <c r="AO86">
        <f t="shared" si="26"/>
        <v>0</v>
      </c>
      <c r="AP86">
        <f t="shared" si="26"/>
        <v>0</v>
      </c>
      <c r="AQ86">
        <f t="shared" si="26"/>
        <v>0</v>
      </c>
      <c r="AR86">
        <f t="shared" si="26"/>
        <v>0</v>
      </c>
      <c r="AS86">
        <f t="shared" si="26"/>
        <v>0</v>
      </c>
      <c r="AT86">
        <f t="shared" si="26"/>
        <v>0</v>
      </c>
      <c r="AU86">
        <f t="shared" si="26"/>
        <v>0</v>
      </c>
      <c r="AV86">
        <f t="shared" si="26"/>
        <v>0</v>
      </c>
      <c r="AW86">
        <f t="shared" si="26"/>
        <v>0</v>
      </c>
      <c r="AX86" t="str">
        <f t="shared" si="26"/>
        <v>Shively</v>
      </c>
      <c r="AY86" t="str">
        <f t="shared" si="27"/>
        <v>Ferrin</v>
      </c>
      <c r="AZ86">
        <f t="shared" si="27"/>
        <v>0</v>
      </c>
      <c r="BA86">
        <f t="shared" si="27"/>
        <v>0</v>
      </c>
      <c r="BB86">
        <f t="shared" si="27"/>
        <v>0</v>
      </c>
      <c r="BC86">
        <f t="shared" si="27"/>
        <v>0</v>
      </c>
      <c r="BD86">
        <f t="shared" si="27"/>
        <v>0</v>
      </c>
      <c r="BE86">
        <f t="shared" si="27"/>
        <v>0</v>
      </c>
      <c r="BF86">
        <f t="shared" si="27"/>
        <v>0</v>
      </c>
      <c r="BG86">
        <f t="shared" si="27"/>
        <v>0</v>
      </c>
      <c r="BH86">
        <f t="shared" si="27"/>
        <v>0</v>
      </c>
      <c r="BI86">
        <f t="shared" si="28"/>
        <v>0</v>
      </c>
      <c r="BJ86">
        <f t="shared" si="28"/>
        <v>0</v>
      </c>
      <c r="BK86">
        <f t="shared" si="28"/>
        <v>0</v>
      </c>
      <c r="BL86">
        <f t="shared" si="28"/>
        <v>0</v>
      </c>
      <c r="BM86">
        <f t="shared" si="28"/>
        <v>0</v>
      </c>
      <c r="BN86">
        <f t="shared" si="28"/>
        <v>0</v>
      </c>
      <c r="BO86">
        <f t="shared" si="28"/>
        <v>0</v>
      </c>
      <c r="BP86">
        <f t="shared" si="28"/>
        <v>0</v>
      </c>
      <c r="BQ86">
        <f t="shared" si="28"/>
        <v>0</v>
      </c>
      <c r="BR86">
        <f t="shared" si="28"/>
        <v>0</v>
      </c>
      <c r="BS86">
        <f t="shared" si="28"/>
        <v>0</v>
      </c>
    </row>
    <row r="87" spans="2:71" ht="15" customHeight="1" x14ac:dyDescent="0.2">
      <c r="B87">
        <v>1</v>
      </c>
      <c r="C87">
        <v>1</v>
      </c>
      <c r="D87">
        <v>3</v>
      </c>
      <c r="E87" t="s">
        <v>166</v>
      </c>
      <c r="F87" t="s">
        <v>72</v>
      </c>
      <c r="G87" s="5">
        <v>42168</v>
      </c>
      <c r="H87" t="s">
        <v>73</v>
      </c>
      <c r="I87" t="s">
        <v>167</v>
      </c>
      <c r="J87" t="s">
        <v>168</v>
      </c>
      <c r="K87">
        <v>9</v>
      </c>
      <c r="L87" t="s">
        <v>76</v>
      </c>
      <c r="M87" t="s">
        <v>169</v>
      </c>
      <c r="N87" t="s">
        <v>123</v>
      </c>
      <c r="O87">
        <v>71.099999999999994</v>
      </c>
      <c r="P87">
        <v>135</v>
      </c>
      <c r="Q87">
        <v>6323</v>
      </c>
      <c r="R87" t="s">
        <v>79</v>
      </c>
      <c r="S87" t="s">
        <v>80</v>
      </c>
      <c r="T87" t="s">
        <v>83</v>
      </c>
      <c r="U87" t="s">
        <v>48</v>
      </c>
      <c r="V87" t="s">
        <v>45</v>
      </c>
      <c r="W87" t="s">
        <v>123</v>
      </c>
      <c r="X87">
        <v>10.7911504424779</v>
      </c>
      <c r="Y87" t="s">
        <v>41</v>
      </c>
      <c r="Z87">
        <v>21.226548672566398</v>
      </c>
      <c r="AA87">
        <v>1</v>
      </c>
      <c r="AB87" t="s">
        <v>33</v>
      </c>
      <c r="AC87" t="s">
        <v>171</v>
      </c>
      <c r="AE87" t="str">
        <f t="shared" si="22"/>
        <v>ConnollyHilts</v>
      </c>
      <c r="AF87">
        <v>0</v>
      </c>
      <c r="AG87">
        <v>0</v>
      </c>
      <c r="AH87">
        <v>1</v>
      </c>
      <c r="AI87">
        <v>0</v>
      </c>
      <c r="AJ87">
        <v>0</v>
      </c>
      <c r="AK87" t="s">
        <v>50</v>
      </c>
      <c r="AL87">
        <v>0.59523809523809501</v>
      </c>
      <c r="AM87" t="s">
        <v>49</v>
      </c>
      <c r="AO87">
        <f t="shared" si="26"/>
        <v>0</v>
      </c>
      <c r="AP87" t="str">
        <f t="shared" si="26"/>
        <v>Hilts</v>
      </c>
      <c r="AQ87">
        <f t="shared" si="26"/>
        <v>0</v>
      </c>
      <c r="AR87">
        <f t="shared" si="26"/>
        <v>0</v>
      </c>
      <c r="AS87">
        <f t="shared" si="26"/>
        <v>0</v>
      </c>
      <c r="AT87" t="str">
        <f t="shared" si="26"/>
        <v>Connolly</v>
      </c>
      <c r="AU87">
        <f t="shared" si="26"/>
        <v>0</v>
      </c>
      <c r="AV87">
        <f t="shared" si="26"/>
        <v>0</v>
      </c>
      <c r="AW87">
        <f t="shared" si="26"/>
        <v>0</v>
      </c>
      <c r="AX87">
        <f t="shared" si="26"/>
        <v>0</v>
      </c>
      <c r="AY87">
        <f t="shared" si="27"/>
        <v>0</v>
      </c>
      <c r="AZ87">
        <f t="shared" si="27"/>
        <v>0</v>
      </c>
      <c r="BA87">
        <f t="shared" si="27"/>
        <v>0</v>
      </c>
      <c r="BB87">
        <f t="shared" si="27"/>
        <v>0</v>
      </c>
      <c r="BC87">
        <f t="shared" si="27"/>
        <v>0</v>
      </c>
      <c r="BD87">
        <f t="shared" si="27"/>
        <v>0</v>
      </c>
      <c r="BE87">
        <f t="shared" si="27"/>
        <v>0</v>
      </c>
      <c r="BF87">
        <f t="shared" si="27"/>
        <v>0</v>
      </c>
      <c r="BG87">
        <f t="shared" si="27"/>
        <v>0</v>
      </c>
      <c r="BH87">
        <f t="shared" si="27"/>
        <v>0</v>
      </c>
      <c r="BI87">
        <f t="shared" si="28"/>
        <v>0</v>
      </c>
      <c r="BJ87">
        <f t="shared" si="28"/>
        <v>0</v>
      </c>
      <c r="BK87">
        <f t="shared" si="28"/>
        <v>0</v>
      </c>
      <c r="BL87">
        <f t="shared" si="28"/>
        <v>0</v>
      </c>
      <c r="BM87">
        <f t="shared" si="28"/>
        <v>0</v>
      </c>
      <c r="BN87">
        <f t="shared" si="28"/>
        <v>0</v>
      </c>
      <c r="BO87">
        <f t="shared" si="28"/>
        <v>0</v>
      </c>
      <c r="BP87">
        <f t="shared" si="28"/>
        <v>0</v>
      </c>
      <c r="BQ87">
        <f t="shared" si="28"/>
        <v>0</v>
      </c>
      <c r="BR87">
        <f t="shared" si="28"/>
        <v>0</v>
      </c>
      <c r="BS87">
        <f t="shared" si="28"/>
        <v>0</v>
      </c>
    </row>
    <row r="88" spans="2:71" ht="15" customHeight="1" x14ac:dyDescent="0.2">
      <c r="B88">
        <v>2</v>
      </c>
      <c r="C88">
        <v>2</v>
      </c>
      <c r="D88">
        <v>3</v>
      </c>
      <c r="E88" t="s">
        <v>172</v>
      </c>
      <c r="F88" t="s">
        <v>72</v>
      </c>
      <c r="G88" s="5">
        <v>42168</v>
      </c>
      <c r="H88" t="s">
        <v>73</v>
      </c>
      <c r="I88" t="s">
        <v>167</v>
      </c>
      <c r="J88" t="s">
        <v>168</v>
      </c>
      <c r="K88">
        <v>9</v>
      </c>
      <c r="L88" t="s">
        <v>76</v>
      </c>
      <c r="M88" t="s">
        <v>169</v>
      </c>
      <c r="N88" t="s">
        <v>123</v>
      </c>
      <c r="O88">
        <v>71.099999999999994</v>
      </c>
      <c r="P88">
        <v>135</v>
      </c>
      <c r="Q88">
        <v>6323</v>
      </c>
      <c r="R88" t="s">
        <v>79</v>
      </c>
      <c r="S88" t="s">
        <v>80</v>
      </c>
      <c r="T88" t="s">
        <v>83</v>
      </c>
      <c r="U88" t="s">
        <v>48</v>
      </c>
      <c r="V88" t="s">
        <v>54</v>
      </c>
      <c r="W88" t="s">
        <v>123</v>
      </c>
      <c r="X88">
        <v>29.646017699115099</v>
      </c>
      <c r="Y88" t="s">
        <v>56</v>
      </c>
      <c r="Z88">
        <v>18.736283185840701</v>
      </c>
      <c r="AA88">
        <v>1</v>
      </c>
      <c r="AB88" t="s">
        <v>32</v>
      </c>
      <c r="AC88" t="s">
        <v>171</v>
      </c>
      <c r="AE88" t="str">
        <f t="shared" si="22"/>
        <v>FoganWeisberger</v>
      </c>
      <c r="AF88">
        <v>1</v>
      </c>
      <c r="AG88">
        <v>1</v>
      </c>
      <c r="AH88">
        <v>0</v>
      </c>
      <c r="AI88">
        <v>0</v>
      </c>
      <c r="AJ88">
        <v>1</v>
      </c>
      <c r="AK88" t="s">
        <v>40</v>
      </c>
      <c r="AL88">
        <v>0.546875</v>
      </c>
      <c r="AM88" t="s">
        <v>42</v>
      </c>
      <c r="AN88">
        <v>0.6171875</v>
      </c>
      <c r="AO88">
        <f t="shared" si="26"/>
        <v>0</v>
      </c>
      <c r="AP88">
        <f t="shared" si="26"/>
        <v>0</v>
      </c>
      <c r="AQ88">
        <f t="shared" si="26"/>
        <v>0</v>
      </c>
      <c r="AR88">
        <f t="shared" si="26"/>
        <v>0</v>
      </c>
      <c r="AS88">
        <f t="shared" si="26"/>
        <v>0</v>
      </c>
      <c r="AT88">
        <f t="shared" si="26"/>
        <v>0</v>
      </c>
      <c r="AU88">
        <f t="shared" si="26"/>
        <v>0</v>
      </c>
      <c r="AV88">
        <f t="shared" si="26"/>
        <v>0</v>
      </c>
      <c r="AW88">
        <f t="shared" si="26"/>
        <v>0</v>
      </c>
      <c r="AX88">
        <f t="shared" si="26"/>
        <v>0</v>
      </c>
      <c r="AY88">
        <f t="shared" si="27"/>
        <v>0</v>
      </c>
      <c r="AZ88">
        <f t="shared" si="27"/>
        <v>0</v>
      </c>
      <c r="BA88">
        <f t="shared" si="27"/>
        <v>0</v>
      </c>
      <c r="BB88">
        <f t="shared" si="27"/>
        <v>0</v>
      </c>
      <c r="BC88" t="str">
        <f t="shared" si="27"/>
        <v>Fogan</v>
      </c>
      <c r="BD88">
        <f t="shared" si="27"/>
        <v>0</v>
      </c>
      <c r="BE88" t="str">
        <f t="shared" si="27"/>
        <v>Weisberger</v>
      </c>
      <c r="BF88">
        <f t="shared" si="27"/>
        <v>0</v>
      </c>
      <c r="BG88">
        <f t="shared" si="27"/>
        <v>0</v>
      </c>
      <c r="BH88">
        <f t="shared" si="27"/>
        <v>0</v>
      </c>
      <c r="BI88">
        <f t="shared" si="28"/>
        <v>0</v>
      </c>
      <c r="BJ88">
        <f t="shared" si="28"/>
        <v>0</v>
      </c>
      <c r="BK88">
        <f t="shared" si="28"/>
        <v>0</v>
      </c>
      <c r="BL88">
        <f t="shared" si="28"/>
        <v>0</v>
      </c>
      <c r="BM88">
        <f t="shared" si="28"/>
        <v>0</v>
      </c>
      <c r="BN88">
        <f t="shared" si="28"/>
        <v>0</v>
      </c>
      <c r="BO88">
        <f t="shared" si="28"/>
        <v>0</v>
      </c>
      <c r="BP88">
        <f t="shared" si="28"/>
        <v>0</v>
      </c>
      <c r="BQ88">
        <f t="shared" si="28"/>
        <v>0</v>
      </c>
      <c r="BR88">
        <f t="shared" si="28"/>
        <v>0</v>
      </c>
      <c r="BS88">
        <f t="shared" si="28"/>
        <v>0</v>
      </c>
    </row>
    <row r="89" spans="2:71" ht="15" customHeight="1" x14ac:dyDescent="0.2">
      <c r="B89">
        <v>2</v>
      </c>
      <c r="C89">
        <v>2</v>
      </c>
      <c r="D89">
        <v>3</v>
      </c>
      <c r="E89" t="s">
        <v>172</v>
      </c>
      <c r="F89" t="s">
        <v>72</v>
      </c>
      <c r="G89" s="5">
        <v>42168</v>
      </c>
      <c r="H89" t="s">
        <v>73</v>
      </c>
      <c r="I89" t="s">
        <v>167</v>
      </c>
      <c r="J89" t="s">
        <v>168</v>
      </c>
      <c r="K89">
        <v>9</v>
      </c>
      <c r="L89" t="s">
        <v>76</v>
      </c>
      <c r="M89" t="s">
        <v>169</v>
      </c>
      <c r="N89" t="s">
        <v>123</v>
      </c>
      <c r="O89">
        <v>71.099999999999994</v>
      </c>
      <c r="P89">
        <v>135</v>
      </c>
      <c r="Q89">
        <v>6323</v>
      </c>
      <c r="R89" t="s">
        <v>79</v>
      </c>
      <c r="S89" t="s">
        <v>80</v>
      </c>
      <c r="T89" t="s">
        <v>81</v>
      </c>
      <c r="U89" t="s">
        <v>49</v>
      </c>
      <c r="V89" t="s">
        <v>40</v>
      </c>
      <c r="W89" t="s">
        <v>170</v>
      </c>
      <c r="X89">
        <v>17</v>
      </c>
      <c r="Y89" t="s">
        <v>42</v>
      </c>
      <c r="Z89">
        <v>15</v>
      </c>
      <c r="AA89">
        <v>1</v>
      </c>
      <c r="AB89" t="s">
        <v>33</v>
      </c>
      <c r="AC89" t="s">
        <v>171</v>
      </c>
      <c r="AE89" t="str">
        <f t="shared" si="22"/>
        <v>GriseJackson</v>
      </c>
      <c r="AF89">
        <v>0</v>
      </c>
      <c r="AG89">
        <v>0</v>
      </c>
      <c r="AH89">
        <v>1</v>
      </c>
      <c r="AI89">
        <v>0</v>
      </c>
      <c r="AJ89">
        <v>0</v>
      </c>
      <c r="AK89" t="s">
        <v>54</v>
      </c>
      <c r="AL89">
        <v>0.37288135593220301</v>
      </c>
      <c r="AM89" t="s">
        <v>56</v>
      </c>
      <c r="AN89">
        <v>0.5</v>
      </c>
      <c r="AO89" t="str">
        <f t="shared" si="26"/>
        <v>Grise</v>
      </c>
      <c r="AP89">
        <f t="shared" si="26"/>
        <v>0</v>
      </c>
      <c r="AQ89" t="str">
        <f t="shared" si="26"/>
        <v>Jackson</v>
      </c>
      <c r="AR89">
        <f t="shared" si="26"/>
        <v>0</v>
      </c>
      <c r="AS89">
        <f t="shared" si="26"/>
        <v>0</v>
      </c>
      <c r="AT89">
        <f t="shared" si="26"/>
        <v>0</v>
      </c>
      <c r="AU89">
        <f t="shared" si="26"/>
        <v>0</v>
      </c>
      <c r="AV89">
        <f t="shared" si="26"/>
        <v>0</v>
      </c>
      <c r="AW89">
        <f t="shared" si="26"/>
        <v>0</v>
      </c>
      <c r="AX89">
        <f t="shared" si="26"/>
        <v>0</v>
      </c>
      <c r="AY89">
        <f t="shared" si="27"/>
        <v>0</v>
      </c>
      <c r="AZ89">
        <f t="shared" si="27"/>
        <v>0</v>
      </c>
      <c r="BA89">
        <f t="shared" si="27"/>
        <v>0</v>
      </c>
      <c r="BB89">
        <f t="shared" si="27"/>
        <v>0</v>
      </c>
      <c r="BC89">
        <f t="shared" si="27"/>
        <v>0</v>
      </c>
      <c r="BD89">
        <f t="shared" si="27"/>
        <v>0</v>
      </c>
      <c r="BE89">
        <f t="shared" si="27"/>
        <v>0</v>
      </c>
      <c r="BF89">
        <f t="shared" si="27"/>
        <v>0</v>
      </c>
      <c r="BG89">
        <f t="shared" si="27"/>
        <v>0</v>
      </c>
      <c r="BH89">
        <f t="shared" si="27"/>
        <v>0</v>
      </c>
      <c r="BI89">
        <f t="shared" si="28"/>
        <v>0</v>
      </c>
      <c r="BJ89">
        <f t="shared" si="28"/>
        <v>0</v>
      </c>
      <c r="BK89">
        <f t="shared" si="28"/>
        <v>0</v>
      </c>
      <c r="BL89">
        <f t="shared" si="28"/>
        <v>0</v>
      </c>
      <c r="BM89">
        <f t="shared" si="28"/>
        <v>0</v>
      </c>
      <c r="BN89">
        <f t="shared" si="28"/>
        <v>0</v>
      </c>
      <c r="BO89">
        <f t="shared" si="28"/>
        <v>0</v>
      </c>
      <c r="BP89">
        <f t="shared" si="28"/>
        <v>0</v>
      </c>
      <c r="BQ89">
        <f t="shared" si="28"/>
        <v>0</v>
      </c>
      <c r="BR89">
        <f t="shared" si="28"/>
        <v>0</v>
      </c>
      <c r="BS89">
        <f t="shared" si="28"/>
        <v>0</v>
      </c>
    </row>
    <row r="90" spans="2:71" ht="15" customHeight="1" x14ac:dyDescent="0.2">
      <c r="B90">
        <v>3</v>
      </c>
      <c r="C90">
        <v>3</v>
      </c>
      <c r="D90">
        <v>3</v>
      </c>
      <c r="E90" t="s">
        <v>173</v>
      </c>
      <c r="F90" t="s">
        <v>72</v>
      </c>
      <c r="G90" s="5">
        <v>42168</v>
      </c>
      <c r="H90" t="s">
        <v>73</v>
      </c>
      <c r="I90" t="s">
        <v>167</v>
      </c>
      <c r="J90" t="s">
        <v>168</v>
      </c>
      <c r="K90">
        <v>9</v>
      </c>
      <c r="L90" t="s">
        <v>76</v>
      </c>
      <c r="M90" t="s">
        <v>169</v>
      </c>
      <c r="N90" t="s">
        <v>123</v>
      </c>
      <c r="O90">
        <v>71.099999999999994</v>
      </c>
      <c r="P90">
        <v>135</v>
      </c>
      <c r="Q90">
        <v>6323</v>
      </c>
      <c r="R90" t="s">
        <v>79</v>
      </c>
      <c r="S90" t="s">
        <v>80</v>
      </c>
      <c r="T90" t="s">
        <v>81</v>
      </c>
      <c r="U90" t="s">
        <v>49</v>
      </c>
      <c r="V90" t="s">
        <v>44</v>
      </c>
      <c r="W90" t="s">
        <v>170</v>
      </c>
      <c r="X90">
        <v>15.890265486725699</v>
      </c>
      <c r="Y90" t="s">
        <v>53</v>
      </c>
      <c r="Z90">
        <v>29.646017699115099</v>
      </c>
      <c r="AA90">
        <v>1</v>
      </c>
      <c r="AB90" t="s">
        <v>33</v>
      </c>
      <c r="AC90" t="s">
        <v>174</v>
      </c>
      <c r="AE90" t="str">
        <f t="shared" si="22"/>
        <v>FlandersForster</v>
      </c>
      <c r="AF90">
        <v>0</v>
      </c>
      <c r="AG90">
        <v>0</v>
      </c>
      <c r="AH90">
        <v>1</v>
      </c>
      <c r="AI90">
        <v>0</v>
      </c>
      <c r="AJ90">
        <v>0</v>
      </c>
      <c r="AK90" t="s">
        <v>58</v>
      </c>
      <c r="AL90">
        <v>0.65476190476190499</v>
      </c>
      <c r="AM90" t="s">
        <v>60</v>
      </c>
      <c r="AN90">
        <v>0.5</v>
      </c>
      <c r="AO90">
        <f t="shared" si="26"/>
        <v>0</v>
      </c>
      <c r="AP90">
        <f t="shared" si="26"/>
        <v>0</v>
      </c>
      <c r="AQ90">
        <f t="shared" si="26"/>
        <v>0</v>
      </c>
      <c r="AR90">
        <f t="shared" si="26"/>
        <v>0</v>
      </c>
      <c r="AS90" t="str">
        <f t="shared" si="26"/>
        <v>Flanders</v>
      </c>
      <c r="AT90">
        <f t="shared" si="26"/>
        <v>0</v>
      </c>
      <c r="AU90">
        <f t="shared" si="26"/>
        <v>0</v>
      </c>
      <c r="AV90">
        <f t="shared" si="26"/>
        <v>0</v>
      </c>
      <c r="AW90">
        <f t="shared" si="26"/>
        <v>0</v>
      </c>
      <c r="AX90">
        <f t="shared" si="26"/>
        <v>0</v>
      </c>
      <c r="AY90">
        <f t="shared" si="27"/>
        <v>0</v>
      </c>
      <c r="AZ90">
        <f t="shared" si="27"/>
        <v>0</v>
      </c>
      <c r="BA90">
        <f t="shared" si="27"/>
        <v>0</v>
      </c>
      <c r="BB90" t="str">
        <f t="shared" si="27"/>
        <v>Forster</v>
      </c>
      <c r="BC90">
        <f t="shared" si="27"/>
        <v>0</v>
      </c>
      <c r="BD90">
        <f t="shared" si="27"/>
        <v>0</v>
      </c>
      <c r="BE90">
        <f t="shared" si="27"/>
        <v>0</v>
      </c>
      <c r="BF90">
        <f t="shared" si="27"/>
        <v>0</v>
      </c>
      <c r="BG90">
        <f t="shared" si="27"/>
        <v>0</v>
      </c>
      <c r="BH90">
        <f t="shared" si="27"/>
        <v>0</v>
      </c>
      <c r="BI90">
        <f t="shared" si="28"/>
        <v>0</v>
      </c>
      <c r="BJ90">
        <f t="shared" si="28"/>
        <v>0</v>
      </c>
      <c r="BK90">
        <f t="shared" si="28"/>
        <v>0</v>
      </c>
      <c r="BL90">
        <f t="shared" si="28"/>
        <v>0</v>
      </c>
      <c r="BM90">
        <f t="shared" si="28"/>
        <v>0</v>
      </c>
      <c r="BN90">
        <f t="shared" si="28"/>
        <v>0</v>
      </c>
      <c r="BO90">
        <f t="shared" si="28"/>
        <v>0</v>
      </c>
      <c r="BP90">
        <f t="shared" si="28"/>
        <v>0</v>
      </c>
      <c r="BQ90">
        <f t="shared" si="28"/>
        <v>0</v>
      </c>
      <c r="BR90">
        <f t="shared" si="28"/>
        <v>0</v>
      </c>
      <c r="BS90">
        <f t="shared" si="28"/>
        <v>0</v>
      </c>
    </row>
    <row r="91" spans="2:71" ht="15" customHeight="1" x14ac:dyDescent="0.2">
      <c r="B91">
        <v>3</v>
      </c>
      <c r="C91">
        <v>3</v>
      </c>
      <c r="D91">
        <v>3</v>
      </c>
      <c r="E91" t="s">
        <v>173</v>
      </c>
      <c r="F91" t="s">
        <v>72</v>
      </c>
      <c r="G91" s="5">
        <v>42168</v>
      </c>
      <c r="H91" t="s">
        <v>73</v>
      </c>
      <c r="I91" t="s">
        <v>167</v>
      </c>
      <c r="J91" t="s">
        <v>168</v>
      </c>
      <c r="K91">
        <v>9</v>
      </c>
      <c r="L91" t="s">
        <v>76</v>
      </c>
      <c r="M91" t="s">
        <v>169</v>
      </c>
      <c r="N91" t="s">
        <v>123</v>
      </c>
      <c r="O91">
        <v>71.099999999999994</v>
      </c>
      <c r="P91">
        <v>135</v>
      </c>
      <c r="Q91">
        <v>6323</v>
      </c>
      <c r="R91" t="s">
        <v>79</v>
      </c>
      <c r="S91" t="s">
        <v>80</v>
      </c>
      <c r="T91" t="s">
        <v>83</v>
      </c>
      <c r="U91" t="s">
        <v>48</v>
      </c>
      <c r="V91" t="s">
        <v>58</v>
      </c>
      <c r="W91" t="s">
        <v>123</v>
      </c>
      <c r="X91">
        <v>13.044247787610599</v>
      </c>
      <c r="Y91" t="s">
        <v>60</v>
      </c>
      <c r="Z91">
        <v>16.957522123893799</v>
      </c>
      <c r="AA91">
        <v>1</v>
      </c>
      <c r="AB91" t="s">
        <v>32</v>
      </c>
      <c r="AC91" t="s">
        <v>174</v>
      </c>
      <c r="AE91" t="str">
        <f t="shared" si="22"/>
        <v>GrayZimmer</v>
      </c>
      <c r="AF91">
        <v>1</v>
      </c>
      <c r="AG91">
        <v>1</v>
      </c>
      <c r="AH91">
        <v>0</v>
      </c>
      <c r="AI91">
        <v>0</v>
      </c>
      <c r="AJ91">
        <v>1</v>
      </c>
      <c r="AK91" t="s">
        <v>44</v>
      </c>
      <c r="AL91">
        <v>0.4296875</v>
      </c>
      <c r="AM91" t="s">
        <v>53</v>
      </c>
      <c r="AN91">
        <v>0.59649122807017496</v>
      </c>
      <c r="AO91">
        <f t="shared" si="26"/>
        <v>0</v>
      </c>
      <c r="AP91">
        <f t="shared" si="26"/>
        <v>0</v>
      </c>
      <c r="AQ91">
        <f t="shared" si="26"/>
        <v>0</v>
      </c>
      <c r="AR91">
        <f t="shared" si="26"/>
        <v>0</v>
      </c>
      <c r="AS91">
        <f t="shared" si="26"/>
        <v>0</v>
      </c>
      <c r="AT91">
        <f t="shared" si="26"/>
        <v>0</v>
      </c>
      <c r="AU91">
        <f t="shared" si="26"/>
        <v>0</v>
      </c>
      <c r="AV91">
        <f t="shared" si="26"/>
        <v>0</v>
      </c>
      <c r="AW91">
        <f t="shared" si="26"/>
        <v>0</v>
      </c>
      <c r="AX91">
        <f t="shared" si="26"/>
        <v>0</v>
      </c>
      <c r="AY91">
        <f t="shared" si="27"/>
        <v>0</v>
      </c>
      <c r="AZ91">
        <f t="shared" si="27"/>
        <v>0</v>
      </c>
      <c r="BA91">
        <f t="shared" si="27"/>
        <v>0</v>
      </c>
      <c r="BB91">
        <f t="shared" si="27"/>
        <v>0</v>
      </c>
      <c r="BC91">
        <f t="shared" si="27"/>
        <v>0</v>
      </c>
      <c r="BD91">
        <f t="shared" si="27"/>
        <v>0</v>
      </c>
      <c r="BE91">
        <f t="shared" si="27"/>
        <v>0</v>
      </c>
      <c r="BF91">
        <f t="shared" si="27"/>
        <v>0</v>
      </c>
      <c r="BG91" t="str">
        <f t="shared" si="27"/>
        <v>Gray</v>
      </c>
      <c r="BH91">
        <f t="shared" si="27"/>
        <v>0</v>
      </c>
      <c r="BI91" t="str">
        <f t="shared" si="28"/>
        <v>Zimmer</v>
      </c>
      <c r="BJ91">
        <f t="shared" si="28"/>
        <v>0</v>
      </c>
      <c r="BK91">
        <f t="shared" si="28"/>
        <v>0</v>
      </c>
      <c r="BL91">
        <f t="shared" si="28"/>
        <v>0</v>
      </c>
      <c r="BM91">
        <f t="shared" si="28"/>
        <v>0</v>
      </c>
      <c r="BN91">
        <f t="shared" si="28"/>
        <v>0</v>
      </c>
      <c r="BO91">
        <f t="shared" si="28"/>
        <v>0</v>
      </c>
      <c r="BP91">
        <f t="shared" si="28"/>
        <v>0</v>
      </c>
      <c r="BQ91">
        <f t="shared" si="28"/>
        <v>0</v>
      </c>
      <c r="BR91">
        <f t="shared" si="28"/>
        <v>0</v>
      </c>
      <c r="BS91">
        <f t="shared" si="28"/>
        <v>0</v>
      </c>
    </row>
    <row r="92" spans="2:71" ht="15" customHeight="1" x14ac:dyDescent="0.2">
      <c r="B92">
        <v>4</v>
      </c>
      <c r="C92">
        <v>4</v>
      </c>
      <c r="D92">
        <v>3</v>
      </c>
      <c r="E92" t="s">
        <v>175</v>
      </c>
      <c r="F92" t="s">
        <v>72</v>
      </c>
      <c r="G92" s="5">
        <v>42168</v>
      </c>
      <c r="H92" t="s">
        <v>73</v>
      </c>
      <c r="I92" t="s">
        <v>167</v>
      </c>
      <c r="J92" t="s">
        <v>168</v>
      </c>
      <c r="K92">
        <v>9</v>
      </c>
      <c r="L92" t="s">
        <v>76</v>
      </c>
      <c r="M92" t="s">
        <v>169</v>
      </c>
      <c r="N92" t="s">
        <v>123</v>
      </c>
      <c r="O92">
        <v>71.099999999999994</v>
      </c>
      <c r="P92">
        <v>135</v>
      </c>
      <c r="Q92">
        <v>6323</v>
      </c>
      <c r="R92" t="s">
        <v>79</v>
      </c>
      <c r="S92" t="s">
        <v>80</v>
      </c>
      <c r="T92" t="s">
        <v>83</v>
      </c>
      <c r="U92" t="s">
        <v>48</v>
      </c>
      <c r="V92" t="s">
        <v>47</v>
      </c>
      <c r="W92" t="s">
        <v>123</v>
      </c>
      <c r="X92">
        <v>22.293805309734498</v>
      </c>
      <c r="Y92" t="s">
        <v>48</v>
      </c>
      <c r="Z92">
        <v>18.973451327433601</v>
      </c>
      <c r="AA92">
        <v>1</v>
      </c>
      <c r="AB92" t="s">
        <v>32</v>
      </c>
      <c r="AC92" t="s">
        <v>174</v>
      </c>
      <c r="AE92" t="str">
        <f t="shared" si="22"/>
        <v>HickersonLynch</v>
      </c>
      <c r="AF92">
        <v>1</v>
      </c>
      <c r="AG92">
        <v>1</v>
      </c>
      <c r="AH92">
        <v>0</v>
      </c>
      <c r="AI92">
        <v>0</v>
      </c>
      <c r="AJ92">
        <v>1</v>
      </c>
      <c r="AK92" t="s">
        <v>57</v>
      </c>
      <c r="AL92">
        <v>0.44827586206896602</v>
      </c>
      <c r="AM92" t="s">
        <v>46</v>
      </c>
      <c r="AN92">
        <v>0.38392857142857201</v>
      </c>
      <c r="AO92">
        <f t="shared" ref="AO92:AX101" si="29">IF(OR($V92=AO$1,$Y92=AO$1),AO$1,0)</f>
        <v>0</v>
      </c>
      <c r="AP92">
        <f t="shared" si="29"/>
        <v>0</v>
      </c>
      <c r="AQ92">
        <f t="shared" si="29"/>
        <v>0</v>
      </c>
      <c r="AR92">
        <f t="shared" si="29"/>
        <v>0</v>
      </c>
      <c r="AS92">
        <f t="shared" si="29"/>
        <v>0</v>
      </c>
      <c r="AT92">
        <f t="shared" si="29"/>
        <v>0</v>
      </c>
      <c r="AU92">
        <f t="shared" si="29"/>
        <v>0</v>
      </c>
      <c r="AV92" t="str">
        <f t="shared" si="29"/>
        <v>Hickerson</v>
      </c>
      <c r="AW92" t="str">
        <f t="shared" si="29"/>
        <v>Lynch</v>
      </c>
      <c r="AX92">
        <f t="shared" si="29"/>
        <v>0</v>
      </c>
      <c r="AY92">
        <f t="shared" ref="AY92:BH101" si="30">IF(OR($V92=AY$1,$Y92=AY$1),AY$1,0)</f>
        <v>0</v>
      </c>
      <c r="AZ92">
        <f t="shared" si="30"/>
        <v>0</v>
      </c>
      <c r="BA92">
        <f t="shared" si="30"/>
        <v>0</v>
      </c>
      <c r="BB92">
        <f t="shared" si="30"/>
        <v>0</v>
      </c>
      <c r="BC92">
        <f t="shared" si="30"/>
        <v>0</v>
      </c>
      <c r="BD92">
        <f t="shared" si="30"/>
        <v>0</v>
      </c>
      <c r="BE92">
        <f t="shared" si="30"/>
        <v>0</v>
      </c>
      <c r="BF92">
        <f t="shared" si="30"/>
        <v>0</v>
      </c>
      <c r="BG92">
        <f t="shared" si="30"/>
        <v>0</v>
      </c>
      <c r="BH92">
        <f t="shared" si="30"/>
        <v>0</v>
      </c>
      <c r="BI92">
        <f t="shared" ref="BI92:BS101" si="31">IF(OR($V92=BI$1,$Y92=BI$1),BI$1,0)</f>
        <v>0</v>
      </c>
      <c r="BJ92">
        <f t="shared" si="31"/>
        <v>0</v>
      </c>
      <c r="BK92">
        <f t="shared" si="31"/>
        <v>0</v>
      </c>
      <c r="BL92">
        <f t="shared" si="31"/>
        <v>0</v>
      </c>
      <c r="BM92">
        <f t="shared" si="31"/>
        <v>0</v>
      </c>
      <c r="BN92">
        <f t="shared" si="31"/>
        <v>0</v>
      </c>
      <c r="BO92">
        <f t="shared" si="31"/>
        <v>0</v>
      </c>
      <c r="BP92">
        <f t="shared" si="31"/>
        <v>0</v>
      </c>
      <c r="BQ92">
        <f t="shared" si="31"/>
        <v>0</v>
      </c>
      <c r="BR92">
        <f t="shared" si="31"/>
        <v>0</v>
      </c>
      <c r="BS92">
        <f t="shared" si="31"/>
        <v>0</v>
      </c>
    </row>
    <row r="93" spans="2:71" ht="15" customHeight="1" x14ac:dyDescent="0.2">
      <c r="B93">
        <v>4</v>
      </c>
      <c r="C93">
        <v>4</v>
      </c>
      <c r="D93">
        <v>3</v>
      </c>
      <c r="E93" t="s">
        <v>175</v>
      </c>
      <c r="F93" t="s">
        <v>72</v>
      </c>
      <c r="G93" s="5">
        <v>42168</v>
      </c>
      <c r="H93" t="s">
        <v>73</v>
      </c>
      <c r="I93" t="s">
        <v>167</v>
      </c>
      <c r="J93" t="s">
        <v>168</v>
      </c>
      <c r="K93">
        <v>9</v>
      </c>
      <c r="L93" t="s">
        <v>76</v>
      </c>
      <c r="M93" t="s">
        <v>169</v>
      </c>
      <c r="N93" t="s">
        <v>123</v>
      </c>
      <c r="O93">
        <v>71.099999999999994</v>
      </c>
      <c r="P93">
        <v>135</v>
      </c>
      <c r="Q93">
        <v>6323</v>
      </c>
      <c r="R93" t="s">
        <v>79</v>
      </c>
      <c r="S93" t="s">
        <v>80</v>
      </c>
      <c r="T93" t="s">
        <v>81</v>
      </c>
      <c r="U93" t="s">
        <v>49</v>
      </c>
      <c r="V93" t="s">
        <v>57</v>
      </c>
      <c r="W93" t="s">
        <v>170</v>
      </c>
      <c r="X93">
        <v>16</v>
      </c>
      <c r="Y93" t="s">
        <v>46</v>
      </c>
      <c r="Z93">
        <v>19</v>
      </c>
      <c r="AA93">
        <v>1</v>
      </c>
      <c r="AB93" t="s">
        <v>33</v>
      </c>
      <c r="AC93" t="s">
        <v>174</v>
      </c>
      <c r="AE93" t="str">
        <f t="shared" si="22"/>
        <v>BussMangold</v>
      </c>
      <c r="AF93">
        <v>0</v>
      </c>
      <c r="AG93">
        <v>0</v>
      </c>
      <c r="AH93">
        <v>1</v>
      </c>
      <c r="AI93">
        <v>0</v>
      </c>
      <c r="AJ93">
        <v>0</v>
      </c>
      <c r="AK93" t="s">
        <v>47</v>
      </c>
      <c r="AL93">
        <v>0.35714285714285698</v>
      </c>
      <c r="AM93" t="s">
        <v>48</v>
      </c>
      <c r="AN93">
        <v>0.5546875</v>
      </c>
      <c r="AO93">
        <f t="shared" si="29"/>
        <v>0</v>
      </c>
      <c r="AP93">
        <f t="shared" si="29"/>
        <v>0</v>
      </c>
      <c r="AQ93">
        <f t="shared" si="29"/>
        <v>0</v>
      </c>
      <c r="AR93">
        <f t="shared" si="29"/>
        <v>0</v>
      </c>
      <c r="AS93">
        <f t="shared" si="29"/>
        <v>0</v>
      </c>
      <c r="AT93">
        <f t="shared" si="29"/>
        <v>0</v>
      </c>
      <c r="AU93" t="str">
        <f t="shared" si="29"/>
        <v>Mangold</v>
      </c>
      <c r="AV93">
        <f t="shared" si="29"/>
        <v>0</v>
      </c>
      <c r="AW93">
        <f t="shared" si="29"/>
        <v>0</v>
      </c>
      <c r="AX93">
        <f t="shared" si="29"/>
        <v>0</v>
      </c>
      <c r="AY93">
        <f t="shared" si="30"/>
        <v>0</v>
      </c>
      <c r="AZ93">
        <f t="shared" si="30"/>
        <v>0</v>
      </c>
      <c r="BA93">
        <f t="shared" si="30"/>
        <v>0</v>
      </c>
      <c r="BB93">
        <f t="shared" si="30"/>
        <v>0</v>
      </c>
      <c r="BC93">
        <f t="shared" si="30"/>
        <v>0</v>
      </c>
      <c r="BD93">
        <f t="shared" si="30"/>
        <v>0</v>
      </c>
      <c r="BE93">
        <f t="shared" si="30"/>
        <v>0</v>
      </c>
      <c r="BF93" t="str">
        <f t="shared" si="30"/>
        <v>Buss</v>
      </c>
      <c r="BG93">
        <f t="shared" si="30"/>
        <v>0</v>
      </c>
      <c r="BH93">
        <f t="shared" si="30"/>
        <v>0</v>
      </c>
      <c r="BI93">
        <f t="shared" si="31"/>
        <v>0</v>
      </c>
      <c r="BJ93">
        <f t="shared" si="31"/>
        <v>0</v>
      </c>
      <c r="BK93">
        <f t="shared" si="31"/>
        <v>0</v>
      </c>
      <c r="BL93">
        <f t="shared" si="31"/>
        <v>0</v>
      </c>
      <c r="BM93">
        <f t="shared" si="31"/>
        <v>0</v>
      </c>
      <c r="BN93">
        <f t="shared" si="31"/>
        <v>0</v>
      </c>
      <c r="BO93">
        <f t="shared" si="31"/>
        <v>0</v>
      </c>
      <c r="BP93">
        <f t="shared" si="31"/>
        <v>0</v>
      </c>
      <c r="BQ93">
        <f t="shared" si="31"/>
        <v>0</v>
      </c>
      <c r="BR93">
        <f t="shared" si="31"/>
        <v>0</v>
      </c>
      <c r="BS93">
        <f t="shared" si="31"/>
        <v>0</v>
      </c>
    </row>
    <row r="94" spans="2:71" ht="15" customHeight="1" x14ac:dyDescent="0.2">
      <c r="B94">
        <v>5</v>
      </c>
      <c r="C94">
        <v>5</v>
      </c>
      <c r="D94">
        <v>3</v>
      </c>
      <c r="E94" t="s">
        <v>176</v>
      </c>
      <c r="F94" t="s">
        <v>72</v>
      </c>
      <c r="G94" s="5">
        <v>42168</v>
      </c>
      <c r="H94" t="s">
        <v>73</v>
      </c>
      <c r="I94" t="s">
        <v>167</v>
      </c>
      <c r="J94" t="s">
        <v>168</v>
      </c>
      <c r="K94">
        <v>9</v>
      </c>
      <c r="L94" t="s">
        <v>76</v>
      </c>
      <c r="M94" t="s">
        <v>169</v>
      </c>
      <c r="N94" t="s">
        <v>123</v>
      </c>
      <c r="O94">
        <v>71.099999999999994</v>
      </c>
      <c r="P94">
        <v>135</v>
      </c>
      <c r="Q94">
        <v>6323</v>
      </c>
      <c r="R94" t="s">
        <v>79</v>
      </c>
      <c r="S94" t="s">
        <v>80</v>
      </c>
      <c r="T94" t="s">
        <v>81</v>
      </c>
      <c r="U94" t="s">
        <v>49</v>
      </c>
      <c r="V94" t="s">
        <v>52</v>
      </c>
      <c r="W94" t="s">
        <v>170</v>
      </c>
      <c r="X94">
        <v>19.803539823008901</v>
      </c>
      <c r="Y94" t="s">
        <v>59</v>
      </c>
      <c r="Z94">
        <v>22.1752212389381</v>
      </c>
      <c r="AA94">
        <v>1</v>
      </c>
      <c r="AB94" t="s">
        <v>33</v>
      </c>
      <c r="AC94" t="s">
        <v>174</v>
      </c>
      <c r="AE94" t="str">
        <f t="shared" si="22"/>
        <v>ConnorsNorat</v>
      </c>
      <c r="AF94">
        <v>0</v>
      </c>
      <c r="AG94">
        <v>0</v>
      </c>
      <c r="AH94">
        <v>1</v>
      </c>
      <c r="AI94">
        <v>0</v>
      </c>
      <c r="AJ94">
        <v>0</v>
      </c>
      <c r="AK94" t="s">
        <v>55</v>
      </c>
      <c r="AL94">
        <v>0.44067796610169502</v>
      </c>
      <c r="AM94" t="s">
        <v>61</v>
      </c>
      <c r="AN94">
        <v>0.5</v>
      </c>
      <c r="AO94">
        <f t="shared" si="29"/>
        <v>0</v>
      </c>
      <c r="AP94">
        <f t="shared" si="29"/>
        <v>0</v>
      </c>
      <c r="AQ94">
        <f t="shared" si="29"/>
        <v>0</v>
      </c>
      <c r="AR94">
        <f t="shared" si="29"/>
        <v>0</v>
      </c>
      <c r="AS94">
        <f t="shared" si="29"/>
        <v>0</v>
      </c>
      <c r="AT94">
        <f t="shared" si="29"/>
        <v>0</v>
      </c>
      <c r="AU94">
        <f t="shared" si="29"/>
        <v>0</v>
      </c>
      <c r="AV94">
        <f t="shared" si="29"/>
        <v>0</v>
      </c>
      <c r="AW94">
        <f t="shared" si="29"/>
        <v>0</v>
      </c>
      <c r="AX94">
        <f t="shared" si="29"/>
        <v>0</v>
      </c>
      <c r="AY94">
        <f t="shared" si="30"/>
        <v>0</v>
      </c>
      <c r="AZ94">
        <f t="shared" si="30"/>
        <v>0</v>
      </c>
      <c r="BA94" t="str">
        <f t="shared" si="30"/>
        <v>Connors</v>
      </c>
      <c r="BB94">
        <f t="shared" si="30"/>
        <v>0</v>
      </c>
      <c r="BC94">
        <f t="shared" si="30"/>
        <v>0</v>
      </c>
      <c r="BD94">
        <f t="shared" si="30"/>
        <v>0</v>
      </c>
      <c r="BE94">
        <f t="shared" si="30"/>
        <v>0</v>
      </c>
      <c r="BF94">
        <f t="shared" si="30"/>
        <v>0</v>
      </c>
      <c r="BG94">
        <f t="shared" si="30"/>
        <v>0</v>
      </c>
      <c r="BH94" t="str">
        <f t="shared" si="30"/>
        <v>Norat</v>
      </c>
      <c r="BI94">
        <f t="shared" si="31"/>
        <v>0</v>
      </c>
      <c r="BJ94">
        <f t="shared" si="31"/>
        <v>0</v>
      </c>
      <c r="BK94">
        <f t="shared" si="31"/>
        <v>0</v>
      </c>
      <c r="BL94">
        <f t="shared" si="31"/>
        <v>0</v>
      </c>
      <c r="BM94">
        <f t="shared" si="31"/>
        <v>0</v>
      </c>
      <c r="BN94">
        <f t="shared" si="31"/>
        <v>0</v>
      </c>
      <c r="BO94">
        <f t="shared" si="31"/>
        <v>0</v>
      </c>
      <c r="BP94">
        <f t="shared" si="31"/>
        <v>0</v>
      </c>
      <c r="BQ94">
        <f t="shared" si="31"/>
        <v>0</v>
      </c>
      <c r="BR94">
        <f t="shared" si="31"/>
        <v>0</v>
      </c>
      <c r="BS94">
        <f t="shared" si="31"/>
        <v>0</v>
      </c>
    </row>
    <row r="95" spans="2:71" ht="15" customHeight="1" x14ac:dyDescent="0.2">
      <c r="B95">
        <v>5</v>
      </c>
      <c r="C95">
        <v>5</v>
      </c>
      <c r="D95">
        <v>3</v>
      </c>
      <c r="E95" t="s">
        <v>176</v>
      </c>
      <c r="F95" t="s">
        <v>72</v>
      </c>
      <c r="G95" s="5">
        <v>42168</v>
      </c>
      <c r="H95" t="s">
        <v>73</v>
      </c>
      <c r="I95" t="s">
        <v>167</v>
      </c>
      <c r="J95" t="s">
        <v>168</v>
      </c>
      <c r="K95">
        <v>9</v>
      </c>
      <c r="L95" t="s">
        <v>76</v>
      </c>
      <c r="M95" t="s">
        <v>169</v>
      </c>
      <c r="N95" t="s">
        <v>123</v>
      </c>
      <c r="O95">
        <v>71.099999999999994</v>
      </c>
      <c r="P95">
        <v>135</v>
      </c>
      <c r="Q95">
        <v>6323</v>
      </c>
      <c r="R95" t="s">
        <v>79</v>
      </c>
      <c r="S95" t="s">
        <v>80</v>
      </c>
      <c r="T95" t="s">
        <v>83</v>
      </c>
      <c r="U95" t="s">
        <v>48</v>
      </c>
      <c r="V95" t="s">
        <v>55</v>
      </c>
      <c r="W95" t="s">
        <v>123</v>
      </c>
      <c r="X95">
        <v>29.4088495575221</v>
      </c>
      <c r="Y95" t="s">
        <v>61</v>
      </c>
      <c r="Z95">
        <v>11.265486725663701</v>
      </c>
      <c r="AA95">
        <v>1</v>
      </c>
      <c r="AB95" t="s">
        <v>32</v>
      </c>
      <c r="AC95" t="s">
        <v>174</v>
      </c>
      <c r="AE95" t="str">
        <f t="shared" si="22"/>
        <v>ColeMcInerney</v>
      </c>
      <c r="AF95">
        <v>1</v>
      </c>
      <c r="AG95">
        <v>1</v>
      </c>
      <c r="AH95">
        <v>0</v>
      </c>
      <c r="AI95">
        <v>0</v>
      </c>
      <c r="AJ95">
        <v>1</v>
      </c>
      <c r="AK95" t="s">
        <v>52</v>
      </c>
      <c r="AL95">
        <v>0.34745762711864397</v>
      </c>
      <c r="AM95" t="s">
        <v>59</v>
      </c>
      <c r="AN95">
        <v>0.52777777777777801</v>
      </c>
      <c r="AO95">
        <f t="shared" si="29"/>
        <v>0</v>
      </c>
      <c r="AP95">
        <f t="shared" si="29"/>
        <v>0</v>
      </c>
      <c r="AQ95">
        <f t="shared" si="29"/>
        <v>0</v>
      </c>
      <c r="AR95">
        <f t="shared" si="29"/>
        <v>0</v>
      </c>
      <c r="AS95">
        <f t="shared" si="29"/>
        <v>0</v>
      </c>
      <c r="AT95">
        <f t="shared" si="29"/>
        <v>0</v>
      </c>
      <c r="AU95">
        <f t="shared" si="29"/>
        <v>0</v>
      </c>
      <c r="AV95">
        <f t="shared" si="29"/>
        <v>0</v>
      </c>
      <c r="AW95">
        <f t="shared" si="29"/>
        <v>0</v>
      </c>
      <c r="AX95">
        <f t="shared" si="29"/>
        <v>0</v>
      </c>
      <c r="AY95">
        <f t="shared" si="30"/>
        <v>0</v>
      </c>
      <c r="AZ95">
        <f t="shared" si="30"/>
        <v>0</v>
      </c>
      <c r="BA95">
        <f t="shared" si="30"/>
        <v>0</v>
      </c>
      <c r="BB95">
        <f t="shared" si="30"/>
        <v>0</v>
      </c>
      <c r="BC95">
        <f t="shared" si="30"/>
        <v>0</v>
      </c>
      <c r="BD95" t="str">
        <f t="shared" si="30"/>
        <v>Cole</v>
      </c>
      <c r="BE95">
        <f t="shared" si="30"/>
        <v>0</v>
      </c>
      <c r="BF95">
        <f t="shared" si="30"/>
        <v>0</v>
      </c>
      <c r="BG95">
        <f t="shared" si="30"/>
        <v>0</v>
      </c>
      <c r="BH95">
        <f t="shared" si="30"/>
        <v>0</v>
      </c>
      <c r="BI95">
        <f t="shared" si="31"/>
        <v>0</v>
      </c>
      <c r="BJ95" t="str">
        <f t="shared" si="31"/>
        <v>McInerney</v>
      </c>
      <c r="BK95">
        <f t="shared" si="31"/>
        <v>0</v>
      </c>
      <c r="BL95">
        <f t="shared" si="31"/>
        <v>0</v>
      </c>
      <c r="BM95">
        <f t="shared" si="31"/>
        <v>0</v>
      </c>
      <c r="BN95">
        <f t="shared" si="31"/>
        <v>0</v>
      </c>
      <c r="BO95">
        <f t="shared" si="31"/>
        <v>0</v>
      </c>
      <c r="BP95">
        <f t="shared" si="31"/>
        <v>0</v>
      </c>
      <c r="BQ95">
        <f t="shared" si="31"/>
        <v>0</v>
      </c>
      <c r="BR95">
        <f t="shared" si="31"/>
        <v>0</v>
      </c>
      <c r="BS95">
        <f t="shared" si="31"/>
        <v>0</v>
      </c>
    </row>
    <row r="96" spans="2:71" ht="15" customHeight="1" x14ac:dyDescent="0.2">
      <c r="B96">
        <v>6</v>
      </c>
      <c r="C96">
        <v>1</v>
      </c>
      <c r="D96">
        <v>3</v>
      </c>
      <c r="E96" t="s">
        <v>177</v>
      </c>
      <c r="F96" t="s">
        <v>72</v>
      </c>
      <c r="G96" s="5">
        <v>42168</v>
      </c>
      <c r="H96" t="s">
        <v>73</v>
      </c>
      <c r="I96" t="s">
        <v>167</v>
      </c>
      <c r="J96" t="s">
        <v>168</v>
      </c>
      <c r="K96">
        <v>9</v>
      </c>
      <c r="L96" t="s">
        <v>90</v>
      </c>
      <c r="M96" t="s">
        <v>169</v>
      </c>
      <c r="N96" t="s">
        <v>123</v>
      </c>
      <c r="O96">
        <v>71.099999999999994</v>
      </c>
      <c r="P96">
        <v>135</v>
      </c>
      <c r="Q96">
        <v>6323</v>
      </c>
      <c r="R96" t="s">
        <v>137</v>
      </c>
      <c r="S96" t="s">
        <v>80</v>
      </c>
      <c r="T96" t="s">
        <v>81</v>
      </c>
      <c r="U96" t="s">
        <v>49</v>
      </c>
      <c r="V96" t="s">
        <v>50</v>
      </c>
      <c r="W96" t="s">
        <v>170</v>
      </c>
      <c r="X96">
        <v>24</v>
      </c>
      <c r="Y96" t="s">
        <v>49</v>
      </c>
      <c r="Z96">
        <v>21</v>
      </c>
      <c r="AA96">
        <v>1</v>
      </c>
      <c r="AB96" t="s">
        <v>33</v>
      </c>
      <c r="AC96" t="s">
        <v>143</v>
      </c>
      <c r="AE96" t="str">
        <f t="shared" si="22"/>
        <v>FerrinShively</v>
      </c>
      <c r="AF96">
        <v>0</v>
      </c>
      <c r="AG96">
        <v>0</v>
      </c>
      <c r="AH96">
        <v>1</v>
      </c>
      <c r="AI96">
        <v>0</v>
      </c>
      <c r="AJ96">
        <v>0</v>
      </c>
      <c r="AK96" t="s">
        <v>45</v>
      </c>
      <c r="AL96">
        <v>0.59375</v>
      </c>
      <c r="AM96" t="s">
        <v>41</v>
      </c>
      <c r="AN96">
        <v>0.47321428571428598</v>
      </c>
      <c r="AO96">
        <f t="shared" si="29"/>
        <v>0</v>
      </c>
      <c r="AP96">
        <f t="shared" si="29"/>
        <v>0</v>
      </c>
      <c r="AQ96">
        <f t="shared" si="29"/>
        <v>0</v>
      </c>
      <c r="AR96">
        <f t="shared" si="29"/>
        <v>0</v>
      </c>
      <c r="AS96">
        <f t="shared" si="29"/>
        <v>0</v>
      </c>
      <c r="AT96">
        <f t="shared" si="29"/>
        <v>0</v>
      </c>
      <c r="AU96">
        <f t="shared" si="29"/>
        <v>0</v>
      </c>
      <c r="AV96">
        <f t="shared" si="29"/>
        <v>0</v>
      </c>
      <c r="AW96">
        <f t="shared" si="29"/>
        <v>0</v>
      </c>
      <c r="AX96" t="str">
        <f t="shared" si="29"/>
        <v>Shively</v>
      </c>
      <c r="AY96" t="str">
        <f t="shared" si="30"/>
        <v>Ferrin</v>
      </c>
      <c r="AZ96">
        <f t="shared" si="30"/>
        <v>0</v>
      </c>
      <c r="BA96">
        <f t="shared" si="30"/>
        <v>0</v>
      </c>
      <c r="BB96">
        <f t="shared" si="30"/>
        <v>0</v>
      </c>
      <c r="BC96">
        <f t="shared" si="30"/>
        <v>0</v>
      </c>
      <c r="BD96">
        <f t="shared" si="30"/>
        <v>0</v>
      </c>
      <c r="BE96">
        <f t="shared" si="30"/>
        <v>0</v>
      </c>
      <c r="BF96">
        <f t="shared" si="30"/>
        <v>0</v>
      </c>
      <c r="BG96">
        <f t="shared" si="30"/>
        <v>0</v>
      </c>
      <c r="BH96">
        <f t="shared" si="30"/>
        <v>0</v>
      </c>
      <c r="BI96">
        <f t="shared" si="31"/>
        <v>0</v>
      </c>
      <c r="BJ96">
        <f t="shared" si="31"/>
        <v>0</v>
      </c>
      <c r="BK96">
        <f t="shared" si="31"/>
        <v>0</v>
      </c>
      <c r="BL96">
        <f t="shared" si="31"/>
        <v>0</v>
      </c>
      <c r="BM96">
        <f t="shared" si="31"/>
        <v>0</v>
      </c>
      <c r="BN96">
        <f t="shared" si="31"/>
        <v>0</v>
      </c>
      <c r="BO96">
        <f t="shared" si="31"/>
        <v>0</v>
      </c>
      <c r="BP96">
        <f t="shared" si="31"/>
        <v>0</v>
      </c>
      <c r="BQ96">
        <f t="shared" si="31"/>
        <v>0</v>
      </c>
      <c r="BR96">
        <f t="shared" si="31"/>
        <v>0</v>
      </c>
      <c r="BS96">
        <f t="shared" si="31"/>
        <v>0</v>
      </c>
    </row>
    <row r="97" spans="2:71" ht="15" customHeight="1" x14ac:dyDescent="0.2">
      <c r="B97">
        <v>6</v>
      </c>
      <c r="C97">
        <v>1</v>
      </c>
      <c r="D97">
        <v>3</v>
      </c>
      <c r="E97" t="s">
        <v>177</v>
      </c>
      <c r="F97" t="s">
        <v>72</v>
      </c>
      <c r="G97" s="5">
        <v>42168</v>
      </c>
      <c r="H97" t="s">
        <v>73</v>
      </c>
      <c r="I97" t="s">
        <v>167</v>
      </c>
      <c r="J97" t="s">
        <v>168</v>
      </c>
      <c r="K97">
        <v>9</v>
      </c>
      <c r="L97" t="s">
        <v>90</v>
      </c>
      <c r="M97" t="s">
        <v>169</v>
      </c>
      <c r="N97" t="s">
        <v>123</v>
      </c>
      <c r="O97">
        <v>71.099999999999994</v>
      </c>
      <c r="P97">
        <v>135</v>
      </c>
      <c r="Q97">
        <v>6323</v>
      </c>
      <c r="R97" t="s">
        <v>137</v>
      </c>
      <c r="S97" t="s">
        <v>80</v>
      </c>
      <c r="T97" t="s">
        <v>83</v>
      </c>
      <c r="U97" t="s">
        <v>48</v>
      </c>
      <c r="V97" t="s">
        <v>45</v>
      </c>
      <c r="W97" t="s">
        <v>123</v>
      </c>
      <c r="X97">
        <v>10.7911504424779</v>
      </c>
      <c r="Y97" t="s">
        <v>41</v>
      </c>
      <c r="Z97">
        <v>21.226548672566398</v>
      </c>
      <c r="AA97">
        <v>1</v>
      </c>
      <c r="AB97" t="s">
        <v>32</v>
      </c>
      <c r="AC97" t="s">
        <v>143</v>
      </c>
      <c r="AE97" t="str">
        <f t="shared" si="22"/>
        <v>ConnollyHilts</v>
      </c>
      <c r="AF97">
        <v>1</v>
      </c>
      <c r="AG97">
        <v>1</v>
      </c>
      <c r="AH97">
        <v>0</v>
      </c>
      <c r="AI97">
        <v>0</v>
      </c>
      <c r="AJ97">
        <v>1</v>
      </c>
      <c r="AK97" t="s">
        <v>50</v>
      </c>
      <c r="AL97">
        <v>0.59523809523809501</v>
      </c>
      <c r="AM97" t="s">
        <v>49</v>
      </c>
      <c r="AO97">
        <f t="shared" si="29"/>
        <v>0</v>
      </c>
      <c r="AP97" t="str">
        <f t="shared" si="29"/>
        <v>Hilts</v>
      </c>
      <c r="AQ97">
        <f t="shared" si="29"/>
        <v>0</v>
      </c>
      <c r="AR97">
        <f t="shared" si="29"/>
        <v>0</v>
      </c>
      <c r="AS97">
        <f t="shared" si="29"/>
        <v>0</v>
      </c>
      <c r="AT97" t="str">
        <f t="shared" si="29"/>
        <v>Connolly</v>
      </c>
      <c r="AU97">
        <f t="shared" si="29"/>
        <v>0</v>
      </c>
      <c r="AV97">
        <f t="shared" si="29"/>
        <v>0</v>
      </c>
      <c r="AW97">
        <f t="shared" si="29"/>
        <v>0</v>
      </c>
      <c r="AX97">
        <f t="shared" si="29"/>
        <v>0</v>
      </c>
      <c r="AY97">
        <f t="shared" si="30"/>
        <v>0</v>
      </c>
      <c r="AZ97">
        <f t="shared" si="30"/>
        <v>0</v>
      </c>
      <c r="BA97">
        <f t="shared" si="30"/>
        <v>0</v>
      </c>
      <c r="BB97">
        <f t="shared" si="30"/>
        <v>0</v>
      </c>
      <c r="BC97">
        <f t="shared" si="30"/>
        <v>0</v>
      </c>
      <c r="BD97">
        <f t="shared" si="30"/>
        <v>0</v>
      </c>
      <c r="BE97">
        <f t="shared" si="30"/>
        <v>0</v>
      </c>
      <c r="BF97">
        <f t="shared" si="30"/>
        <v>0</v>
      </c>
      <c r="BG97">
        <f t="shared" si="30"/>
        <v>0</v>
      </c>
      <c r="BH97">
        <f t="shared" si="30"/>
        <v>0</v>
      </c>
      <c r="BI97">
        <f t="shared" si="31"/>
        <v>0</v>
      </c>
      <c r="BJ97">
        <f t="shared" si="31"/>
        <v>0</v>
      </c>
      <c r="BK97">
        <f t="shared" si="31"/>
        <v>0</v>
      </c>
      <c r="BL97">
        <f t="shared" si="31"/>
        <v>0</v>
      </c>
      <c r="BM97">
        <f t="shared" si="31"/>
        <v>0</v>
      </c>
      <c r="BN97">
        <f t="shared" si="31"/>
        <v>0</v>
      </c>
      <c r="BO97">
        <f t="shared" si="31"/>
        <v>0</v>
      </c>
      <c r="BP97">
        <f t="shared" si="31"/>
        <v>0</v>
      </c>
      <c r="BQ97">
        <f t="shared" si="31"/>
        <v>0</v>
      </c>
      <c r="BR97">
        <f t="shared" si="31"/>
        <v>0</v>
      </c>
      <c r="BS97">
        <f t="shared" si="31"/>
        <v>0</v>
      </c>
    </row>
    <row r="98" spans="2:71" ht="15" customHeight="1" x14ac:dyDescent="0.2">
      <c r="B98">
        <v>7</v>
      </c>
      <c r="C98">
        <v>2</v>
      </c>
      <c r="D98">
        <v>3</v>
      </c>
      <c r="E98" t="s">
        <v>178</v>
      </c>
      <c r="F98" t="s">
        <v>72</v>
      </c>
      <c r="G98" s="5">
        <v>42168</v>
      </c>
      <c r="H98" t="s">
        <v>73</v>
      </c>
      <c r="I98" t="s">
        <v>167</v>
      </c>
      <c r="J98" t="s">
        <v>168</v>
      </c>
      <c r="K98">
        <v>9</v>
      </c>
      <c r="L98" t="s">
        <v>90</v>
      </c>
      <c r="M98" t="s">
        <v>169</v>
      </c>
      <c r="N98" t="s">
        <v>123</v>
      </c>
      <c r="O98">
        <v>71.099999999999994</v>
      </c>
      <c r="P98">
        <v>135</v>
      </c>
      <c r="Q98">
        <v>6323</v>
      </c>
      <c r="R98" t="s">
        <v>137</v>
      </c>
      <c r="S98" t="s">
        <v>80</v>
      </c>
      <c r="T98" t="s">
        <v>83</v>
      </c>
      <c r="U98" t="s">
        <v>48</v>
      </c>
      <c r="V98" t="s">
        <v>54</v>
      </c>
      <c r="W98" t="s">
        <v>123</v>
      </c>
      <c r="X98">
        <v>29.646017699115099</v>
      </c>
      <c r="Y98" t="s">
        <v>56</v>
      </c>
      <c r="Z98">
        <v>18.736283185840701</v>
      </c>
      <c r="AA98">
        <v>1</v>
      </c>
      <c r="AB98" t="s">
        <v>33</v>
      </c>
      <c r="AC98" t="s">
        <v>179</v>
      </c>
      <c r="AE98" t="str">
        <f t="shared" si="22"/>
        <v>FoganWeisberger</v>
      </c>
      <c r="AF98">
        <v>0</v>
      </c>
      <c r="AG98">
        <v>0</v>
      </c>
      <c r="AH98">
        <v>1</v>
      </c>
      <c r="AI98">
        <v>0</v>
      </c>
      <c r="AJ98">
        <v>0</v>
      </c>
      <c r="AK98" t="s">
        <v>40</v>
      </c>
      <c r="AL98">
        <v>0.546875</v>
      </c>
      <c r="AM98" t="s">
        <v>42</v>
      </c>
      <c r="AN98">
        <v>0.6171875</v>
      </c>
      <c r="AO98">
        <f t="shared" si="29"/>
        <v>0</v>
      </c>
      <c r="AP98">
        <f t="shared" si="29"/>
        <v>0</v>
      </c>
      <c r="AQ98">
        <f t="shared" si="29"/>
        <v>0</v>
      </c>
      <c r="AR98">
        <f t="shared" si="29"/>
        <v>0</v>
      </c>
      <c r="AS98">
        <f t="shared" si="29"/>
        <v>0</v>
      </c>
      <c r="AT98">
        <f t="shared" si="29"/>
        <v>0</v>
      </c>
      <c r="AU98">
        <f t="shared" si="29"/>
        <v>0</v>
      </c>
      <c r="AV98">
        <f t="shared" si="29"/>
        <v>0</v>
      </c>
      <c r="AW98">
        <f t="shared" si="29"/>
        <v>0</v>
      </c>
      <c r="AX98">
        <f t="shared" si="29"/>
        <v>0</v>
      </c>
      <c r="AY98">
        <f t="shared" si="30"/>
        <v>0</v>
      </c>
      <c r="AZ98">
        <f t="shared" si="30"/>
        <v>0</v>
      </c>
      <c r="BA98">
        <f t="shared" si="30"/>
        <v>0</v>
      </c>
      <c r="BB98">
        <f t="shared" si="30"/>
        <v>0</v>
      </c>
      <c r="BC98" t="str">
        <f t="shared" si="30"/>
        <v>Fogan</v>
      </c>
      <c r="BD98">
        <f t="shared" si="30"/>
        <v>0</v>
      </c>
      <c r="BE98" t="str">
        <f t="shared" si="30"/>
        <v>Weisberger</v>
      </c>
      <c r="BF98">
        <f t="shared" si="30"/>
        <v>0</v>
      </c>
      <c r="BG98">
        <f t="shared" si="30"/>
        <v>0</v>
      </c>
      <c r="BH98">
        <f t="shared" si="30"/>
        <v>0</v>
      </c>
      <c r="BI98">
        <f t="shared" si="31"/>
        <v>0</v>
      </c>
      <c r="BJ98">
        <f t="shared" si="31"/>
        <v>0</v>
      </c>
      <c r="BK98">
        <f t="shared" si="31"/>
        <v>0</v>
      </c>
      <c r="BL98">
        <f t="shared" si="31"/>
        <v>0</v>
      </c>
      <c r="BM98">
        <f t="shared" si="31"/>
        <v>0</v>
      </c>
      <c r="BN98">
        <f t="shared" si="31"/>
        <v>0</v>
      </c>
      <c r="BO98">
        <f t="shared" si="31"/>
        <v>0</v>
      </c>
      <c r="BP98">
        <f t="shared" si="31"/>
        <v>0</v>
      </c>
      <c r="BQ98">
        <f t="shared" si="31"/>
        <v>0</v>
      </c>
      <c r="BR98">
        <f t="shared" si="31"/>
        <v>0</v>
      </c>
      <c r="BS98">
        <f t="shared" si="31"/>
        <v>0</v>
      </c>
    </row>
    <row r="99" spans="2:71" ht="15" customHeight="1" x14ac:dyDescent="0.2">
      <c r="B99">
        <v>7</v>
      </c>
      <c r="C99">
        <v>2</v>
      </c>
      <c r="D99">
        <v>3</v>
      </c>
      <c r="E99" t="s">
        <v>178</v>
      </c>
      <c r="F99" t="s">
        <v>72</v>
      </c>
      <c r="G99" s="5">
        <v>42168</v>
      </c>
      <c r="H99" t="s">
        <v>73</v>
      </c>
      <c r="I99" t="s">
        <v>167</v>
      </c>
      <c r="J99" t="s">
        <v>168</v>
      </c>
      <c r="K99">
        <v>9</v>
      </c>
      <c r="L99" t="s">
        <v>90</v>
      </c>
      <c r="M99" t="s">
        <v>169</v>
      </c>
      <c r="N99" t="s">
        <v>123</v>
      </c>
      <c r="O99">
        <v>71.099999999999994</v>
      </c>
      <c r="P99">
        <v>135</v>
      </c>
      <c r="Q99">
        <v>6323</v>
      </c>
      <c r="R99" t="s">
        <v>137</v>
      </c>
      <c r="S99" t="s">
        <v>80</v>
      </c>
      <c r="T99" t="s">
        <v>81</v>
      </c>
      <c r="U99" t="s">
        <v>49</v>
      </c>
      <c r="V99" t="s">
        <v>40</v>
      </c>
      <c r="W99" t="s">
        <v>170</v>
      </c>
      <c r="X99">
        <v>17</v>
      </c>
      <c r="Y99" t="s">
        <v>42</v>
      </c>
      <c r="Z99">
        <v>15</v>
      </c>
      <c r="AA99">
        <v>1</v>
      </c>
      <c r="AB99" t="s">
        <v>32</v>
      </c>
      <c r="AC99" t="s">
        <v>179</v>
      </c>
      <c r="AE99" t="str">
        <f t="shared" si="22"/>
        <v>GriseJackson</v>
      </c>
      <c r="AF99">
        <v>1</v>
      </c>
      <c r="AG99">
        <v>1</v>
      </c>
      <c r="AH99">
        <v>0</v>
      </c>
      <c r="AI99">
        <v>0</v>
      </c>
      <c r="AJ99">
        <v>1</v>
      </c>
      <c r="AK99" t="s">
        <v>54</v>
      </c>
      <c r="AL99">
        <v>0.37288135593220301</v>
      </c>
      <c r="AM99" t="s">
        <v>56</v>
      </c>
      <c r="AN99">
        <v>0.5</v>
      </c>
      <c r="AO99" t="str">
        <f t="shared" si="29"/>
        <v>Grise</v>
      </c>
      <c r="AP99">
        <f t="shared" si="29"/>
        <v>0</v>
      </c>
      <c r="AQ99" t="str">
        <f t="shared" si="29"/>
        <v>Jackson</v>
      </c>
      <c r="AR99">
        <f t="shared" si="29"/>
        <v>0</v>
      </c>
      <c r="AS99">
        <f t="shared" si="29"/>
        <v>0</v>
      </c>
      <c r="AT99">
        <f t="shared" si="29"/>
        <v>0</v>
      </c>
      <c r="AU99">
        <f t="shared" si="29"/>
        <v>0</v>
      </c>
      <c r="AV99">
        <f t="shared" si="29"/>
        <v>0</v>
      </c>
      <c r="AW99">
        <f t="shared" si="29"/>
        <v>0</v>
      </c>
      <c r="AX99">
        <f t="shared" si="29"/>
        <v>0</v>
      </c>
      <c r="AY99">
        <f t="shared" si="30"/>
        <v>0</v>
      </c>
      <c r="AZ99">
        <f t="shared" si="30"/>
        <v>0</v>
      </c>
      <c r="BA99">
        <f t="shared" si="30"/>
        <v>0</v>
      </c>
      <c r="BB99">
        <f t="shared" si="30"/>
        <v>0</v>
      </c>
      <c r="BC99">
        <f t="shared" si="30"/>
        <v>0</v>
      </c>
      <c r="BD99">
        <f t="shared" si="30"/>
        <v>0</v>
      </c>
      <c r="BE99">
        <f t="shared" si="30"/>
        <v>0</v>
      </c>
      <c r="BF99">
        <f t="shared" si="30"/>
        <v>0</v>
      </c>
      <c r="BG99">
        <f t="shared" si="30"/>
        <v>0</v>
      </c>
      <c r="BH99">
        <f t="shared" si="30"/>
        <v>0</v>
      </c>
      <c r="BI99">
        <f t="shared" si="31"/>
        <v>0</v>
      </c>
      <c r="BJ99">
        <f t="shared" si="31"/>
        <v>0</v>
      </c>
      <c r="BK99">
        <f t="shared" si="31"/>
        <v>0</v>
      </c>
      <c r="BL99">
        <f t="shared" si="31"/>
        <v>0</v>
      </c>
      <c r="BM99">
        <f t="shared" si="31"/>
        <v>0</v>
      </c>
      <c r="BN99">
        <f t="shared" si="31"/>
        <v>0</v>
      </c>
      <c r="BO99">
        <f t="shared" si="31"/>
        <v>0</v>
      </c>
      <c r="BP99">
        <f t="shared" si="31"/>
        <v>0</v>
      </c>
      <c r="BQ99">
        <f t="shared" si="31"/>
        <v>0</v>
      </c>
      <c r="BR99">
        <f t="shared" si="31"/>
        <v>0</v>
      </c>
      <c r="BS99">
        <f t="shared" si="31"/>
        <v>0</v>
      </c>
    </row>
    <row r="100" spans="2:71" ht="15" customHeight="1" x14ac:dyDescent="0.2">
      <c r="B100">
        <v>8</v>
      </c>
      <c r="C100">
        <v>3</v>
      </c>
      <c r="D100">
        <v>3</v>
      </c>
      <c r="E100" t="s">
        <v>180</v>
      </c>
      <c r="F100" t="s">
        <v>72</v>
      </c>
      <c r="G100" s="5">
        <v>42168</v>
      </c>
      <c r="H100" t="s">
        <v>73</v>
      </c>
      <c r="I100" t="s">
        <v>167</v>
      </c>
      <c r="J100" t="s">
        <v>168</v>
      </c>
      <c r="K100">
        <v>9</v>
      </c>
      <c r="L100" t="s">
        <v>90</v>
      </c>
      <c r="M100" t="s">
        <v>169</v>
      </c>
      <c r="N100" t="s">
        <v>123</v>
      </c>
      <c r="O100">
        <v>71.099999999999994</v>
      </c>
      <c r="P100">
        <v>135</v>
      </c>
      <c r="Q100">
        <v>6323</v>
      </c>
      <c r="R100" t="s">
        <v>137</v>
      </c>
      <c r="S100" t="s">
        <v>80</v>
      </c>
      <c r="T100" t="s">
        <v>81</v>
      </c>
      <c r="U100" t="s">
        <v>49</v>
      </c>
      <c r="V100" t="s">
        <v>44</v>
      </c>
      <c r="W100" t="s">
        <v>170</v>
      </c>
      <c r="X100">
        <v>15.890265486725699</v>
      </c>
      <c r="Y100" t="s">
        <v>53</v>
      </c>
      <c r="Z100">
        <v>29.646017699115099</v>
      </c>
      <c r="AA100">
        <v>1</v>
      </c>
      <c r="AB100" t="s">
        <v>33</v>
      </c>
      <c r="AC100" t="s">
        <v>95</v>
      </c>
      <c r="AE100" t="str">
        <f t="shared" si="22"/>
        <v>FlandersForster</v>
      </c>
      <c r="AF100">
        <v>0</v>
      </c>
      <c r="AG100">
        <v>0</v>
      </c>
      <c r="AH100">
        <v>1</v>
      </c>
      <c r="AI100">
        <v>0</v>
      </c>
      <c r="AJ100">
        <v>0</v>
      </c>
      <c r="AK100" t="s">
        <v>58</v>
      </c>
      <c r="AL100">
        <v>0.65476190476190499</v>
      </c>
      <c r="AM100" t="s">
        <v>60</v>
      </c>
      <c r="AN100">
        <v>0.5</v>
      </c>
      <c r="AO100">
        <f t="shared" si="29"/>
        <v>0</v>
      </c>
      <c r="AP100">
        <f t="shared" si="29"/>
        <v>0</v>
      </c>
      <c r="AQ100">
        <f t="shared" si="29"/>
        <v>0</v>
      </c>
      <c r="AR100">
        <f t="shared" si="29"/>
        <v>0</v>
      </c>
      <c r="AS100" t="str">
        <f t="shared" si="29"/>
        <v>Flanders</v>
      </c>
      <c r="AT100">
        <f t="shared" si="29"/>
        <v>0</v>
      </c>
      <c r="AU100">
        <f t="shared" si="29"/>
        <v>0</v>
      </c>
      <c r="AV100">
        <f t="shared" si="29"/>
        <v>0</v>
      </c>
      <c r="AW100">
        <f t="shared" si="29"/>
        <v>0</v>
      </c>
      <c r="AX100">
        <f t="shared" si="29"/>
        <v>0</v>
      </c>
      <c r="AY100">
        <f t="shared" si="30"/>
        <v>0</v>
      </c>
      <c r="AZ100">
        <f t="shared" si="30"/>
        <v>0</v>
      </c>
      <c r="BA100">
        <f t="shared" si="30"/>
        <v>0</v>
      </c>
      <c r="BB100" t="str">
        <f t="shared" si="30"/>
        <v>Forster</v>
      </c>
      <c r="BC100">
        <f t="shared" si="30"/>
        <v>0</v>
      </c>
      <c r="BD100">
        <f t="shared" si="30"/>
        <v>0</v>
      </c>
      <c r="BE100">
        <f t="shared" si="30"/>
        <v>0</v>
      </c>
      <c r="BF100">
        <f t="shared" si="30"/>
        <v>0</v>
      </c>
      <c r="BG100">
        <f t="shared" si="30"/>
        <v>0</v>
      </c>
      <c r="BH100">
        <f t="shared" si="30"/>
        <v>0</v>
      </c>
      <c r="BI100">
        <f t="shared" si="31"/>
        <v>0</v>
      </c>
      <c r="BJ100">
        <f t="shared" si="31"/>
        <v>0</v>
      </c>
      <c r="BK100">
        <f t="shared" si="31"/>
        <v>0</v>
      </c>
      <c r="BL100">
        <f t="shared" si="31"/>
        <v>0</v>
      </c>
      <c r="BM100">
        <f t="shared" si="31"/>
        <v>0</v>
      </c>
      <c r="BN100">
        <f t="shared" si="31"/>
        <v>0</v>
      </c>
      <c r="BO100">
        <f t="shared" si="31"/>
        <v>0</v>
      </c>
      <c r="BP100">
        <f t="shared" si="31"/>
        <v>0</v>
      </c>
      <c r="BQ100">
        <f t="shared" si="31"/>
        <v>0</v>
      </c>
      <c r="BR100">
        <f t="shared" si="31"/>
        <v>0</v>
      </c>
      <c r="BS100">
        <f t="shared" si="31"/>
        <v>0</v>
      </c>
    </row>
    <row r="101" spans="2:71" ht="15" customHeight="1" x14ac:dyDescent="0.2">
      <c r="B101">
        <v>8</v>
      </c>
      <c r="C101">
        <v>3</v>
      </c>
      <c r="D101">
        <v>3</v>
      </c>
      <c r="E101" t="s">
        <v>180</v>
      </c>
      <c r="F101" t="s">
        <v>72</v>
      </c>
      <c r="G101" s="5">
        <v>42168</v>
      </c>
      <c r="H101" t="s">
        <v>73</v>
      </c>
      <c r="I101" t="s">
        <v>167</v>
      </c>
      <c r="J101" t="s">
        <v>168</v>
      </c>
      <c r="K101">
        <v>9</v>
      </c>
      <c r="L101" t="s">
        <v>90</v>
      </c>
      <c r="M101" t="s">
        <v>169</v>
      </c>
      <c r="N101" t="s">
        <v>123</v>
      </c>
      <c r="O101">
        <v>71.099999999999994</v>
      </c>
      <c r="P101">
        <v>135</v>
      </c>
      <c r="Q101">
        <v>6323</v>
      </c>
      <c r="R101" t="s">
        <v>137</v>
      </c>
      <c r="S101" t="s">
        <v>80</v>
      </c>
      <c r="T101" t="s">
        <v>83</v>
      </c>
      <c r="U101" t="s">
        <v>48</v>
      </c>
      <c r="V101" t="s">
        <v>58</v>
      </c>
      <c r="W101" t="s">
        <v>123</v>
      </c>
      <c r="X101">
        <v>13.044247787610599</v>
      </c>
      <c r="Y101" t="s">
        <v>60</v>
      </c>
      <c r="Z101">
        <v>16.957522123893799</v>
      </c>
      <c r="AA101">
        <v>1</v>
      </c>
      <c r="AB101" t="s">
        <v>32</v>
      </c>
      <c r="AC101" t="s">
        <v>95</v>
      </c>
      <c r="AE101" t="str">
        <f t="shared" si="22"/>
        <v>GrayZimmer</v>
      </c>
      <c r="AF101">
        <v>1</v>
      </c>
      <c r="AG101">
        <v>1</v>
      </c>
      <c r="AH101">
        <v>0</v>
      </c>
      <c r="AI101">
        <v>0</v>
      </c>
      <c r="AJ101">
        <v>1</v>
      </c>
      <c r="AK101" t="s">
        <v>44</v>
      </c>
      <c r="AL101">
        <v>0.4296875</v>
      </c>
      <c r="AM101" t="s">
        <v>53</v>
      </c>
      <c r="AN101">
        <v>0.59649122807017496</v>
      </c>
      <c r="AO101">
        <f t="shared" si="29"/>
        <v>0</v>
      </c>
      <c r="AP101">
        <f t="shared" si="29"/>
        <v>0</v>
      </c>
      <c r="AQ101">
        <f t="shared" si="29"/>
        <v>0</v>
      </c>
      <c r="AR101">
        <f t="shared" si="29"/>
        <v>0</v>
      </c>
      <c r="AS101">
        <f t="shared" si="29"/>
        <v>0</v>
      </c>
      <c r="AT101">
        <f t="shared" si="29"/>
        <v>0</v>
      </c>
      <c r="AU101">
        <f t="shared" si="29"/>
        <v>0</v>
      </c>
      <c r="AV101">
        <f t="shared" si="29"/>
        <v>0</v>
      </c>
      <c r="AW101">
        <f t="shared" si="29"/>
        <v>0</v>
      </c>
      <c r="AX101">
        <f t="shared" si="29"/>
        <v>0</v>
      </c>
      <c r="AY101">
        <f t="shared" si="30"/>
        <v>0</v>
      </c>
      <c r="AZ101">
        <f t="shared" si="30"/>
        <v>0</v>
      </c>
      <c r="BA101">
        <f t="shared" si="30"/>
        <v>0</v>
      </c>
      <c r="BB101">
        <f t="shared" si="30"/>
        <v>0</v>
      </c>
      <c r="BC101">
        <f t="shared" si="30"/>
        <v>0</v>
      </c>
      <c r="BD101">
        <f t="shared" si="30"/>
        <v>0</v>
      </c>
      <c r="BE101">
        <f t="shared" si="30"/>
        <v>0</v>
      </c>
      <c r="BF101">
        <f t="shared" si="30"/>
        <v>0</v>
      </c>
      <c r="BG101" t="str">
        <f t="shared" si="30"/>
        <v>Gray</v>
      </c>
      <c r="BH101">
        <f t="shared" si="30"/>
        <v>0</v>
      </c>
      <c r="BI101" t="str">
        <f t="shared" si="31"/>
        <v>Zimmer</v>
      </c>
      <c r="BJ101">
        <f t="shared" si="31"/>
        <v>0</v>
      </c>
      <c r="BK101">
        <f t="shared" si="31"/>
        <v>0</v>
      </c>
      <c r="BL101">
        <f t="shared" si="31"/>
        <v>0</v>
      </c>
      <c r="BM101">
        <f t="shared" si="31"/>
        <v>0</v>
      </c>
      <c r="BN101">
        <f t="shared" si="31"/>
        <v>0</v>
      </c>
      <c r="BO101">
        <f t="shared" si="31"/>
        <v>0</v>
      </c>
      <c r="BP101">
        <f t="shared" si="31"/>
        <v>0</v>
      </c>
      <c r="BQ101">
        <f t="shared" si="31"/>
        <v>0</v>
      </c>
      <c r="BR101">
        <f t="shared" si="31"/>
        <v>0</v>
      </c>
      <c r="BS101">
        <f t="shared" si="31"/>
        <v>0</v>
      </c>
    </row>
    <row r="102" spans="2:71" ht="15" customHeight="1" x14ac:dyDescent="0.2">
      <c r="B102">
        <v>9</v>
      </c>
      <c r="C102">
        <v>4</v>
      </c>
      <c r="D102">
        <v>3</v>
      </c>
      <c r="E102" t="s">
        <v>181</v>
      </c>
      <c r="F102" t="s">
        <v>72</v>
      </c>
      <c r="G102" s="5">
        <v>42168</v>
      </c>
      <c r="H102" t="s">
        <v>73</v>
      </c>
      <c r="I102" t="s">
        <v>167</v>
      </c>
      <c r="J102" t="s">
        <v>168</v>
      </c>
      <c r="K102">
        <v>9</v>
      </c>
      <c r="L102" t="s">
        <v>90</v>
      </c>
      <c r="M102" t="s">
        <v>169</v>
      </c>
      <c r="N102" t="s">
        <v>123</v>
      </c>
      <c r="O102">
        <v>71.099999999999994</v>
      </c>
      <c r="P102">
        <v>135</v>
      </c>
      <c r="Q102">
        <v>6323</v>
      </c>
      <c r="R102" t="s">
        <v>137</v>
      </c>
      <c r="S102" t="s">
        <v>80</v>
      </c>
      <c r="T102" t="s">
        <v>83</v>
      </c>
      <c r="U102" t="s">
        <v>48</v>
      </c>
      <c r="V102" t="s">
        <v>47</v>
      </c>
      <c r="W102" t="s">
        <v>123</v>
      </c>
      <c r="X102">
        <v>22.293805309734498</v>
      </c>
      <c r="Y102" t="s">
        <v>48</v>
      </c>
      <c r="Z102">
        <v>18.973451327433601</v>
      </c>
      <c r="AA102">
        <v>1</v>
      </c>
      <c r="AB102" t="s">
        <v>33</v>
      </c>
      <c r="AC102" t="s">
        <v>95</v>
      </c>
      <c r="AE102" t="str">
        <f t="shared" si="22"/>
        <v>HickersonLynch</v>
      </c>
      <c r="AF102">
        <v>0</v>
      </c>
      <c r="AG102">
        <v>0</v>
      </c>
      <c r="AH102">
        <v>1</v>
      </c>
      <c r="AI102">
        <v>0</v>
      </c>
      <c r="AJ102">
        <v>0</v>
      </c>
      <c r="AK102" t="s">
        <v>57</v>
      </c>
      <c r="AL102">
        <v>0.44827586206896602</v>
      </c>
      <c r="AM102" t="s">
        <v>46</v>
      </c>
      <c r="AN102">
        <v>0.38392857142857201</v>
      </c>
      <c r="AO102">
        <f t="shared" ref="AO102:AX111" si="32">IF(OR($V102=AO$1,$Y102=AO$1),AO$1,0)</f>
        <v>0</v>
      </c>
      <c r="AP102">
        <f t="shared" si="32"/>
        <v>0</v>
      </c>
      <c r="AQ102">
        <f t="shared" si="32"/>
        <v>0</v>
      </c>
      <c r="AR102">
        <f t="shared" si="32"/>
        <v>0</v>
      </c>
      <c r="AS102">
        <f t="shared" si="32"/>
        <v>0</v>
      </c>
      <c r="AT102">
        <f t="shared" si="32"/>
        <v>0</v>
      </c>
      <c r="AU102">
        <f t="shared" si="32"/>
        <v>0</v>
      </c>
      <c r="AV102" t="str">
        <f t="shared" si="32"/>
        <v>Hickerson</v>
      </c>
      <c r="AW102" t="str">
        <f t="shared" si="32"/>
        <v>Lynch</v>
      </c>
      <c r="AX102">
        <f t="shared" si="32"/>
        <v>0</v>
      </c>
      <c r="AY102">
        <f t="shared" ref="AY102:BH111" si="33">IF(OR($V102=AY$1,$Y102=AY$1),AY$1,0)</f>
        <v>0</v>
      </c>
      <c r="AZ102">
        <f t="shared" si="33"/>
        <v>0</v>
      </c>
      <c r="BA102">
        <f t="shared" si="33"/>
        <v>0</v>
      </c>
      <c r="BB102">
        <f t="shared" si="33"/>
        <v>0</v>
      </c>
      <c r="BC102">
        <f t="shared" si="33"/>
        <v>0</v>
      </c>
      <c r="BD102">
        <f t="shared" si="33"/>
        <v>0</v>
      </c>
      <c r="BE102">
        <f t="shared" si="33"/>
        <v>0</v>
      </c>
      <c r="BF102">
        <f t="shared" si="33"/>
        <v>0</v>
      </c>
      <c r="BG102">
        <f t="shared" si="33"/>
        <v>0</v>
      </c>
      <c r="BH102">
        <f t="shared" si="33"/>
        <v>0</v>
      </c>
      <c r="BI102">
        <f t="shared" ref="BI102:BS111" si="34">IF(OR($V102=BI$1,$Y102=BI$1),BI$1,0)</f>
        <v>0</v>
      </c>
      <c r="BJ102">
        <f t="shared" si="34"/>
        <v>0</v>
      </c>
      <c r="BK102">
        <f t="shared" si="34"/>
        <v>0</v>
      </c>
      <c r="BL102">
        <f t="shared" si="34"/>
        <v>0</v>
      </c>
      <c r="BM102">
        <f t="shared" si="34"/>
        <v>0</v>
      </c>
      <c r="BN102">
        <f t="shared" si="34"/>
        <v>0</v>
      </c>
      <c r="BO102">
        <f t="shared" si="34"/>
        <v>0</v>
      </c>
      <c r="BP102">
        <f t="shared" si="34"/>
        <v>0</v>
      </c>
      <c r="BQ102">
        <f t="shared" si="34"/>
        <v>0</v>
      </c>
      <c r="BR102">
        <f t="shared" si="34"/>
        <v>0</v>
      </c>
      <c r="BS102">
        <f t="shared" si="34"/>
        <v>0</v>
      </c>
    </row>
    <row r="103" spans="2:71" ht="15" customHeight="1" x14ac:dyDescent="0.2">
      <c r="B103">
        <v>9</v>
      </c>
      <c r="C103">
        <v>4</v>
      </c>
      <c r="D103">
        <v>3</v>
      </c>
      <c r="E103" t="s">
        <v>181</v>
      </c>
      <c r="F103" t="s">
        <v>72</v>
      </c>
      <c r="G103" s="5">
        <v>42168</v>
      </c>
      <c r="H103" t="s">
        <v>73</v>
      </c>
      <c r="I103" t="s">
        <v>167</v>
      </c>
      <c r="J103" t="s">
        <v>168</v>
      </c>
      <c r="K103">
        <v>9</v>
      </c>
      <c r="L103" t="s">
        <v>90</v>
      </c>
      <c r="M103" t="s">
        <v>169</v>
      </c>
      <c r="N103" t="s">
        <v>123</v>
      </c>
      <c r="O103">
        <v>71.099999999999994</v>
      </c>
      <c r="P103">
        <v>135</v>
      </c>
      <c r="Q103">
        <v>6323</v>
      </c>
      <c r="R103" t="s">
        <v>137</v>
      </c>
      <c r="S103" t="s">
        <v>80</v>
      </c>
      <c r="T103" t="s">
        <v>81</v>
      </c>
      <c r="U103" t="s">
        <v>49</v>
      </c>
      <c r="V103" t="s">
        <v>57</v>
      </c>
      <c r="W103" t="s">
        <v>170</v>
      </c>
      <c r="X103">
        <v>16</v>
      </c>
      <c r="Y103" t="s">
        <v>46</v>
      </c>
      <c r="Z103">
        <v>19</v>
      </c>
      <c r="AA103">
        <v>1</v>
      </c>
      <c r="AB103" t="s">
        <v>32</v>
      </c>
      <c r="AC103" t="s">
        <v>95</v>
      </c>
      <c r="AE103" t="str">
        <f t="shared" si="22"/>
        <v>BussMangold</v>
      </c>
      <c r="AF103">
        <v>1</v>
      </c>
      <c r="AG103">
        <v>1</v>
      </c>
      <c r="AH103">
        <v>0</v>
      </c>
      <c r="AI103">
        <v>0</v>
      </c>
      <c r="AJ103">
        <v>1</v>
      </c>
      <c r="AK103" t="s">
        <v>47</v>
      </c>
      <c r="AL103">
        <v>0.35714285714285698</v>
      </c>
      <c r="AM103" t="s">
        <v>48</v>
      </c>
      <c r="AN103">
        <v>0.5546875</v>
      </c>
      <c r="AO103">
        <f t="shared" si="32"/>
        <v>0</v>
      </c>
      <c r="AP103">
        <f t="shared" si="32"/>
        <v>0</v>
      </c>
      <c r="AQ103">
        <f t="shared" si="32"/>
        <v>0</v>
      </c>
      <c r="AR103">
        <f t="shared" si="32"/>
        <v>0</v>
      </c>
      <c r="AS103">
        <f t="shared" si="32"/>
        <v>0</v>
      </c>
      <c r="AT103">
        <f t="shared" si="32"/>
        <v>0</v>
      </c>
      <c r="AU103" t="str">
        <f t="shared" si="32"/>
        <v>Mangold</v>
      </c>
      <c r="AV103">
        <f t="shared" si="32"/>
        <v>0</v>
      </c>
      <c r="AW103">
        <f t="shared" si="32"/>
        <v>0</v>
      </c>
      <c r="AX103">
        <f t="shared" si="32"/>
        <v>0</v>
      </c>
      <c r="AY103">
        <f t="shared" si="33"/>
        <v>0</v>
      </c>
      <c r="AZ103">
        <f t="shared" si="33"/>
        <v>0</v>
      </c>
      <c r="BA103">
        <f t="shared" si="33"/>
        <v>0</v>
      </c>
      <c r="BB103">
        <f t="shared" si="33"/>
        <v>0</v>
      </c>
      <c r="BC103">
        <f t="shared" si="33"/>
        <v>0</v>
      </c>
      <c r="BD103">
        <f t="shared" si="33"/>
        <v>0</v>
      </c>
      <c r="BE103">
        <f t="shared" si="33"/>
        <v>0</v>
      </c>
      <c r="BF103" t="str">
        <f t="shared" si="33"/>
        <v>Buss</v>
      </c>
      <c r="BG103">
        <f t="shared" si="33"/>
        <v>0</v>
      </c>
      <c r="BH103">
        <f t="shared" si="33"/>
        <v>0</v>
      </c>
      <c r="BI103">
        <f t="shared" si="34"/>
        <v>0</v>
      </c>
      <c r="BJ103">
        <f t="shared" si="34"/>
        <v>0</v>
      </c>
      <c r="BK103">
        <f t="shared" si="34"/>
        <v>0</v>
      </c>
      <c r="BL103">
        <f t="shared" si="34"/>
        <v>0</v>
      </c>
      <c r="BM103">
        <f t="shared" si="34"/>
        <v>0</v>
      </c>
      <c r="BN103">
        <f t="shared" si="34"/>
        <v>0</v>
      </c>
      <c r="BO103">
        <f t="shared" si="34"/>
        <v>0</v>
      </c>
      <c r="BP103">
        <f t="shared" si="34"/>
        <v>0</v>
      </c>
      <c r="BQ103">
        <f t="shared" si="34"/>
        <v>0</v>
      </c>
      <c r="BR103">
        <f t="shared" si="34"/>
        <v>0</v>
      </c>
      <c r="BS103">
        <f t="shared" si="34"/>
        <v>0</v>
      </c>
    </row>
    <row r="104" spans="2:71" ht="15" customHeight="1" x14ac:dyDescent="0.2">
      <c r="B104">
        <v>10</v>
      </c>
      <c r="C104">
        <v>5</v>
      </c>
      <c r="D104">
        <v>3</v>
      </c>
      <c r="E104" t="s">
        <v>182</v>
      </c>
      <c r="F104" t="s">
        <v>72</v>
      </c>
      <c r="G104" s="5">
        <v>42168</v>
      </c>
      <c r="H104" t="s">
        <v>73</v>
      </c>
      <c r="I104" t="s">
        <v>167</v>
      </c>
      <c r="J104" t="s">
        <v>168</v>
      </c>
      <c r="K104">
        <v>9</v>
      </c>
      <c r="L104" t="s">
        <v>90</v>
      </c>
      <c r="M104" t="s">
        <v>169</v>
      </c>
      <c r="N104" t="s">
        <v>123</v>
      </c>
      <c r="O104">
        <v>71.099999999999994</v>
      </c>
      <c r="P104">
        <v>135</v>
      </c>
      <c r="Q104">
        <v>6323</v>
      </c>
      <c r="R104" t="s">
        <v>137</v>
      </c>
      <c r="S104" t="s">
        <v>80</v>
      </c>
      <c r="T104" t="s">
        <v>81</v>
      </c>
      <c r="U104" t="s">
        <v>49</v>
      </c>
      <c r="V104" t="s">
        <v>52</v>
      </c>
      <c r="W104" t="s">
        <v>170</v>
      </c>
      <c r="X104">
        <v>19.803539823008901</v>
      </c>
      <c r="Y104" t="s">
        <v>59</v>
      </c>
      <c r="Z104">
        <v>22.1752212389381</v>
      </c>
      <c r="AA104">
        <v>1</v>
      </c>
      <c r="AB104" t="s">
        <v>33</v>
      </c>
      <c r="AC104" t="s">
        <v>140</v>
      </c>
      <c r="AE104" t="str">
        <f t="shared" si="22"/>
        <v>ConnorsNorat</v>
      </c>
      <c r="AF104">
        <v>0</v>
      </c>
      <c r="AG104">
        <v>0</v>
      </c>
      <c r="AH104">
        <v>1</v>
      </c>
      <c r="AI104">
        <v>0</v>
      </c>
      <c r="AJ104">
        <v>0</v>
      </c>
      <c r="AK104" t="s">
        <v>55</v>
      </c>
      <c r="AL104">
        <v>0.44067796610169502</v>
      </c>
      <c r="AM104" t="s">
        <v>61</v>
      </c>
      <c r="AN104">
        <v>0.5</v>
      </c>
      <c r="AO104">
        <f t="shared" si="32"/>
        <v>0</v>
      </c>
      <c r="AP104">
        <f t="shared" si="32"/>
        <v>0</v>
      </c>
      <c r="AQ104">
        <f t="shared" si="32"/>
        <v>0</v>
      </c>
      <c r="AR104">
        <f t="shared" si="32"/>
        <v>0</v>
      </c>
      <c r="AS104">
        <f t="shared" si="32"/>
        <v>0</v>
      </c>
      <c r="AT104">
        <f t="shared" si="32"/>
        <v>0</v>
      </c>
      <c r="AU104">
        <f t="shared" si="32"/>
        <v>0</v>
      </c>
      <c r="AV104">
        <f t="shared" si="32"/>
        <v>0</v>
      </c>
      <c r="AW104">
        <f t="shared" si="32"/>
        <v>0</v>
      </c>
      <c r="AX104">
        <f t="shared" si="32"/>
        <v>0</v>
      </c>
      <c r="AY104">
        <f t="shared" si="33"/>
        <v>0</v>
      </c>
      <c r="AZ104">
        <f t="shared" si="33"/>
        <v>0</v>
      </c>
      <c r="BA104" t="str">
        <f t="shared" si="33"/>
        <v>Connors</v>
      </c>
      <c r="BB104">
        <f t="shared" si="33"/>
        <v>0</v>
      </c>
      <c r="BC104">
        <f t="shared" si="33"/>
        <v>0</v>
      </c>
      <c r="BD104">
        <f t="shared" si="33"/>
        <v>0</v>
      </c>
      <c r="BE104">
        <f t="shared" si="33"/>
        <v>0</v>
      </c>
      <c r="BF104">
        <f t="shared" si="33"/>
        <v>0</v>
      </c>
      <c r="BG104">
        <f t="shared" si="33"/>
        <v>0</v>
      </c>
      <c r="BH104" t="str">
        <f t="shared" si="33"/>
        <v>Norat</v>
      </c>
      <c r="BI104">
        <f t="shared" si="34"/>
        <v>0</v>
      </c>
      <c r="BJ104">
        <f t="shared" si="34"/>
        <v>0</v>
      </c>
      <c r="BK104">
        <f t="shared" si="34"/>
        <v>0</v>
      </c>
      <c r="BL104">
        <f t="shared" si="34"/>
        <v>0</v>
      </c>
      <c r="BM104">
        <f t="shared" si="34"/>
        <v>0</v>
      </c>
      <c r="BN104">
        <f t="shared" si="34"/>
        <v>0</v>
      </c>
      <c r="BO104">
        <f t="shared" si="34"/>
        <v>0</v>
      </c>
      <c r="BP104">
        <f t="shared" si="34"/>
        <v>0</v>
      </c>
      <c r="BQ104">
        <f t="shared" si="34"/>
        <v>0</v>
      </c>
      <c r="BR104">
        <f t="shared" si="34"/>
        <v>0</v>
      </c>
      <c r="BS104">
        <f t="shared" si="34"/>
        <v>0</v>
      </c>
    </row>
    <row r="105" spans="2:71" ht="15" customHeight="1" x14ac:dyDescent="0.2">
      <c r="B105">
        <v>10</v>
      </c>
      <c r="C105">
        <v>5</v>
      </c>
      <c r="D105">
        <v>3</v>
      </c>
      <c r="E105" t="s">
        <v>182</v>
      </c>
      <c r="F105" t="s">
        <v>72</v>
      </c>
      <c r="G105" s="5">
        <v>42168</v>
      </c>
      <c r="H105" t="s">
        <v>73</v>
      </c>
      <c r="I105" t="s">
        <v>167</v>
      </c>
      <c r="J105" t="s">
        <v>168</v>
      </c>
      <c r="K105">
        <v>9</v>
      </c>
      <c r="L105" t="s">
        <v>90</v>
      </c>
      <c r="M105" t="s">
        <v>169</v>
      </c>
      <c r="N105" t="s">
        <v>123</v>
      </c>
      <c r="O105">
        <v>71.099999999999994</v>
      </c>
      <c r="P105">
        <v>135</v>
      </c>
      <c r="Q105">
        <v>6323</v>
      </c>
      <c r="R105" t="s">
        <v>137</v>
      </c>
      <c r="S105" t="s">
        <v>80</v>
      </c>
      <c r="T105" t="s">
        <v>83</v>
      </c>
      <c r="U105" t="s">
        <v>48</v>
      </c>
      <c r="V105" t="s">
        <v>55</v>
      </c>
      <c r="W105" t="s">
        <v>123</v>
      </c>
      <c r="X105">
        <v>29.4088495575221</v>
      </c>
      <c r="Y105" t="s">
        <v>61</v>
      </c>
      <c r="Z105">
        <v>11.265486725663701</v>
      </c>
      <c r="AA105">
        <v>1</v>
      </c>
      <c r="AB105" t="s">
        <v>32</v>
      </c>
      <c r="AC105" t="s">
        <v>140</v>
      </c>
      <c r="AE105" t="str">
        <f t="shared" si="22"/>
        <v>ColeMcInerney</v>
      </c>
      <c r="AF105">
        <v>1</v>
      </c>
      <c r="AG105">
        <v>1</v>
      </c>
      <c r="AH105">
        <v>0</v>
      </c>
      <c r="AI105">
        <v>0</v>
      </c>
      <c r="AJ105">
        <v>1</v>
      </c>
      <c r="AK105" t="s">
        <v>52</v>
      </c>
      <c r="AL105">
        <v>0.34745762711864397</v>
      </c>
      <c r="AM105" t="s">
        <v>59</v>
      </c>
      <c r="AN105">
        <v>0.52777777777777801</v>
      </c>
      <c r="AO105">
        <f t="shared" si="32"/>
        <v>0</v>
      </c>
      <c r="AP105">
        <f t="shared" si="32"/>
        <v>0</v>
      </c>
      <c r="AQ105">
        <f t="shared" si="32"/>
        <v>0</v>
      </c>
      <c r="AR105">
        <f t="shared" si="32"/>
        <v>0</v>
      </c>
      <c r="AS105">
        <f t="shared" si="32"/>
        <v>0</v>
      </c>
      <c r="AT105">
        <f t="shared" si="32"/>
        <v>0</v>
      </c>
      <c r="AU105">
        <f t="shared" si="32"/>
        <v>0</v>
      </c>
      <c r="AV105">
        <f t="shared" si="32"/>
        <v>0</v>
      </c>
      <c r="AW105">
        <f t="shared" si="32"/>
        <v>0</v>
      </c>
      <c r="AX105">
        <f t="shared" si="32"/>
        <v>0</v>
      </c>
      <c r="AY105">
        <f t="shared" si="33"/>
        <v>0</v>
      </c>
      <c r="AZ105">
        <f t="shared" si="33"/>
        <v>0</v>
      </c>
      <c r="BA105">
        <f t="shared" si="33"/>
        <v>0</v>
      </c>
      <c r="BB105">
        <f t="shared" si="33"/>
        <v>0</v>
      </c>
      <c r="BC105">
        <f t="shared" si="33"/>
        <v>0</v>
      </c>
      <c r="BD105" t="str">
        <f t="shared" si="33"/>
        <v>Cole</v>
      </c>
      <c r="BE105">
        <f t="shared" si="33"/>
        <v>0</v>
      </c>
      <c r="BF105">
        <f t="shared" si="33"/>
        <v>0</v>
      </c>
      <c r="BG105">
        <f t="shared" si="33"/>
        <v>0</v>
      </c>
      <c r="BH105">
        <f t="shared" si="33"/>
        <v>0</v>
      </c>
      <c r="BI105">
        <f t="shared" si="34"/>
        <v>0</v>
      </c>
      <c r="BJ105" t="str">
        <f t="shared" si="34"/>
        <v>McInerney</v>
      </c>
      <c r="BK105">
        <f t="shared" si="34"/>
        <v>0</v>
      </c>
      <c r="BL105">
        <f t="shared" si="34"/>
        <v>0</v>
      </c>
      <c r="BM105">
        <f t="shared" si="34"/>
        <v>0</v>
      </c>
      <c r="BN105">
        <f t="shared" si="34"/>
        <v>0</v>
      </c>
      <c r="BO105">
        <f t="shared" si="34"/>
        <v>0</v>
      </c>
      <c r="BP105">
        <f t="shared" si="34"/>
        <v>0</v>
      </c>
      <c r="BQ105">
        <f t="shared" si="34"/>
        <v>0</v>
      </c>
      <c r="BR105">
        <f t="shared" si="34"/>
        <v>0</v>
      </c>
      <c r="BS105">
        <f t="shared" si="34"/>
        <v>0</v>
      </c>
    </row>
    <row r="106" spans="2:71" ht="15" customHeight="1" x14ac:dyDescent="0.2">
      <c r="B106">
        <v>11</v>
      </c>
      <c r="C106">
        <v>1</v>
      </c>
      <c r="D106">
        <v>3</v>
      </c>
      <c r="E106" t="s">
        <v>183</v>
      </c>
      <c r="F106" t="s">
        <v>72</v>
      </c>
      <c r="G106" s="5">
        <v>42168</v>
      </c>
      <c r="H106" t="s">
        <v>97</v>
      </c>
      <c r="I106" t="s">
        <v>167</v>
      </c>
      <c r="J106" t="s">
        <v>168</v>
      </c>
      <c r="K106">
        <v>9</v>
      </c>
      <c r="L106" t="s">
        <v>76</v>
      </c>
      <c r="M106" t="s">
        <v>169</v>
      </c>
      <c r="N106" t="s">
        <v>78</v>
      </c>
      <c r="O106">
        <v>70.900000000000006</v>
      </c>
      <c r="P106">
        <v>133</v>
      </c>
      <c r="Q106">
        <v>5980</v>
      </c>
      <c r="R106" t="s">
        <v>98</v>
      </c>
      <c r="S106" t="s">
        <v>80</v>
      </c>
      <c r="T106" t="s">
        <v>81</v>
      </c>
      <c r="U106" t="s">
        <v>49</v>
      </c>
      <c r="V106" t="s">
        <v>50</v>
      </c>
      <c r="W106" t="s">
        <v>170</v>
      </c>
      <c r="X106">
        <v>24</v>
      </c>
      <c r="Y106" t="s">
        <v>42</v>
      </c>
      <c r="Z106">
        <v>15</v>
      </c>
      <c r="AA106">
        <v>1</v>
      </c>
      <c r="AB106" t="s">
        <v>32</v>
      </c>
      <c r="AC106" t="s">
        <v>184</v>
      </c>
      <c r="AE106" t="str">
        <f t="shared" si="22"/>
        <v>FerrinJackson</v>
      </c>
      <c r="AF106">
        <v>1</v>
      </c>
      <c r="AG106">
        <v>1</v>
      </c>
      <c r="AH106">
        <v>0</v>
      </c>
      <c r="AI106">
        <v>0</v>
      </c>
      <c r="AJ106">
        <v>1</v>
      </c>
      <c r="AK106" t="s">
        <v>58</v>
      </c>
      <c r="AL106">
        <v>0.65476190476190499</v>
      </c>
      <c r="AM106" t="s">
        <v>60</v>
      </c>
      <c r="AN106">
        <v>0.5</v>
      </c>
      <c r="AO106">
        <f t="shared" si="32"/>
        <v>0</v>
      </c>
      <c r="AP106">
        <f t="shared" si="32"/>
        <v>0</v>
      </c>
      <c r="AQ106" t="str">
        <f t="shared" si="32"/>
        <v>Jackson</v>
      </c>
      <c r="AR106">
        <f t="shared" si="32"/>
        <v>0</v>
      </c>
      <c r="AS106">
        <f t="shared" si="32"/>
        <v>0</v>
      </c>
      <c r="AT106">
        <f t="shared" si="32"/>
        <v>0</v>
      </c>
      <c r="AU106">
        <f t="shared" si="32"/>
        <v>0</v>
      </c>
      <c r="AV106">
        <f t="shared" si="32"/>
        <v>0</v>
      </c>
      <c r="AW106">
        <f t="shared" si="32"/>
        <v>0</v>
      </c>
      <c r="AX106">
        <f t="shared" si="32"/>
        <v>0</v>
      </c>
      <c r="AY106" t="str">
        <f t="shared" si="33"/>
        <v>Ferrin</v>
      </c>
      <c r="AZ106">
        <f t="shared" si="33"/>
        <v>0</v>
      </c>
      <c r="BA106">
        <f t="shared" si="33"/>
        <v>0</v>
      </c>
      <c r="BB106">
        <f t="shared" si="33"/>
        <v>0</v>
      </c>
      <c r="BC106">
        <f t="shared" si="33"/>
        <v>0</v>
      </c>
      <c r="BD106">
        <f t="shared" si="33"/>
        <v>0</v>
      </c>
      <c r="BE106">
        <f t="shared" si="33"/>
        <v>0</v>
      </c>
      <c r="BF106">
        <f t="shared" si="33"/>
        <v>0</v>
      </c>
      <c r="BG106">
        <f t="shared" si="33"/>
        <v>0</v>
      </c>
      <c r="BH106">
        <f t="shared" si="33"/>
        <v>0</v>
      </c>
      <c r="BI106">
        <f t="shared" si="34"/>
        <v>0</v>
      </c>
      <c r="BJ106">
        <f t="shared" si="34"/>
        <v>0</v>
      </c>
      <c r="BK106">
        <f t="shared" si="34"/>
        <v>0</v>
      </c>
      <c r="BL106">
        <f t="shared" si="34"/>
        <v>0</v>
      </c>
      <c r="BM106">
        <f t="shared" si="34"/>
        <v>0</v>
      </c>
      <c r="BN106">
        <f t="shared" si="34"/>
        <v>0</v>
      </c>
      <c r="BO106">
        <f t="shared" si="34"/>
        <v>0</v>
      </c>
      <c r="BP106">
        <f t="shared" si="34"/>
        <v>0</v>
      </c>
      <c r="BQ106">
        <f t="shared" si="34"/>
        <v>0</v>
      </c>
      <c r="BR106">
        <f t="shared" si="34"/>
        <v>0</v>
      </c>
      <c r="BS106">
        <f t="shared" si="34"/>
        <v>0</v>
      </c>
    </row>
    <row r="107" spans="2:71" ht="15" customHeight="1" x14ac:dyDescent="0.2">
      <c r="B107">
        <v>11</v>
      </c>
      <c r="C107">
        <v>1</v>
      </c>
      <c r="D107">
        <v>3</v>
      </c>
      <c r="E107" t="s">
        <v>183</v>
      </c>
      <c r="F107" t="s">
        <v>72</v>
      </c>
      <c r="G107" s="5">
        <v>42168</v>
      </c>
      <c r="H107" t="s">
        <v>97</v>
      </c>
      <c r="I107" t="s">
        <v>167</v>
      </c>
      <c r="J107" t="s">
        <v>168</v>
      </c>
      <c r="K107">
        <v>9</v>
      </c>
      <c r="L107" t="s">
        <v>76</v>
      </c>
      <c r="M107" t="s">
        <v>169</v>
      </c>
      <c r="N107" t="s">
        <v>78</v>
      </c>
      <c r="O107">
        <v>70.900000000000006</v>
      </c>
      <c r="P107">
        <v>133</v>
      </c>
      <c r="Q107">
        <v>5980</v>
      </c>
      <c r="R107" t="s">
        <v>98</v>
      </c>
      <c r="S107" t="s">
        <v>80</v>
      </c>
      <c r="T107" t="s">
        <v>83</v>
      </c>
      <c r="U107" t="s">
        <v>48</v>
      </c>
      <c r="V107" t="s">
        <v>58</v>
      </c>
      <c r="W107" t="s">
        <v>123</v>
      </c>
      <c r="X107">
        <v>13.044247787610599</v>
      </c>
      <c r="Y107" t="s">
        <v>60</v>
      </c>
      <c r="Z107">
        <v>16.957522123893799</v>
      </c>
      <c r="AA107">
        <v>1</v>
      </c>
      <c r="AB107" t="s">
        <v>33</v>
      </c>
      <c r="AC107" t="s">
        <v>184</v>
      </c>
      <c r="AE107" t="str">
        <f t="shared" si="22"/>
        <v>GrayZimmer</v>
      </c>
      <c r="AF107">
        <v>0</v>
      </c>
      <c r="AG107">
        <v>0</v>
      </c>
      <c r="AH107">
        <v>1</v>
      </c>
      <c r="AI107">
        <v>0</v>
      </c>
      <c r="AJ107">
        <v>0</v>
      </c>
      <c r="AK107" t="s">
        <v>50</v>
      </c>
      <c r="AL107">
        <v>0.59523809523809501</v>
      </c>
      <c r="AM107" t="s">
        <v>42</v>
      </c>
      <c r="AN107">
        <v>0.6171875</v>
      </c>
      <c r="AO107">
        <f t="shared" si="32"/>
        <v>0</v>
      </c>
      <c r="AP107">
        <f t="shared" si="32"/>
        <v>0</v>
      </c>
      <c r="AQ107">
        <f t="shared" si="32"/>
        <v>0</v>
      </c>
      <c r="AR107">
        <f t="shared" si="32"/>
        <v>0</v>
      </c>
      <c r="AS107">
        <f t="shared" si="32"/>
        <v>0</v>
      </c>
      <c r="AT107">
        <f t="shared" si="32"/>
        <v>0</v>
      </c>
      <c r="AU107">
        <f t="shared" si="32"/>
        <v>0</v>
      </c>
      <c r="AV107">
        <f t="shared" si="32"/>
        <v>0</v>
      </c>
      <c r="AW107">
        <f t="shared" si="32"/>
        <v>0</v>
      </c>
      <c r="AX107">
        <f t="shared" si="32"/>
        <v>0</v>
      </c>
      <c r="AY107">
        <f t="shared" si="33"/>
        <v>0</v>
      </c>
      <c r="AZ107">
        <f t="shared" si="33"/>
        <v>0</v>
      </c>
      <c r="BA107">
        <f t="shared" si="33"/>
        <v>0</v>
      </c>
      <c r="BB107">
        <f t="shared" si="33"/>
        <v>0</v>
      </c>
      <c r="BC107">
        <f t="shared" si="33"/>
        <v>0</v>
      </c>
      <c r="BD107">
        <f t="shared" si="33"/>
        <v>0</v>
      </c>
      <c r="BE107">
        <f t="shared" si="33"/>
        <v>0</v>
      </c>
      <c r="BF107">
        <f t="shared" si="33"/>
        <v>0</v>
      </c>
      <c r="BG107" t="str">
        <f t="shared" si="33"/>
        <v>Gray</v>
      </c>
      <c r="BH107">
        <f t="shared" si="33"/>
        <v>0</v>
      </c>
      <c r="BI107" t="str">
        <f t="shared" si="34"/>
        <v>Zimmer</v>
      </c>
      <c r="BJ107">
        <f t="shared" si="34"/>
        <v>0</v>
      </c>
      <c r="BK107">
        <f t="shared" si="34"/>
        <v>0</v>
      </c>
      <c r="BL107">
        <f t="shared" si="34"/>
        <v>0</v>
      </c>
      <c r="BM107">
        <f t="shared" si="34"/>
        <v>0</v>
      </c>
      <c r="BN107">
        <f t="shared" si="34"/>
        <v>0</v>
      </c>
      <c r="BO107">
        <f t="shared" si="34"/>
        <v>0</v>
      </c>
      <c r="BP107">
        <f t="shared" si="34"/>
        <v>0</v>
      </c>
      <c r="BQ107">
        <f t="shared" si="34"/>
        <v>0</v>
      </c>
      <c r="BR107">
        <f t="shared" si="34"/>
        <v>0</v>
      </c>
      <c r="BS107">
        <f t="shared" si="34"/>
        <v>0</v>
      </c>
    </row>
    <row r="108" spans="2:71" ht="15" customHeight="1" x14ac:dyDescent="0.2">
      <c r="B108">
        <v>12</v>
      </c>
      <c r="C108">
        <v>2</v>
      </c>
      <c r="D108">
        <v>3</v>
      </c>
      <c r="E108" t="s">
        <v>185</v>
      </c>
      <c r="F108" t="s">
        <v>72</v>
      </c>
      <c r="G108" s="5">
        <v>42168</v>
      </c>
      <c r="H108" t="s">
        <v>97</v>
      </c>
      <c r="I108" t="s">
        <v>167</v>
      </c>
      <c r="J108" t="s">
        <v>168</v>
      </c>
      <c r="K108">
        <v>9</v>
      </c>
      <c r="L108" t="s">
        <v>76</v>
      </c>
      <c r="M108" t="s">
        <v>169</v>
      </c>
      <c r="N108" t="s">
        <v>78</v>
      </c>
      <c r="O108">
        <v>70.900000000000006</v>
      </c>
      <c r="P108">
        <v>133</v>
      </c>
      <c r="Q108">
        <v>5980</v>
      </c>
      <c r="R108" t="s">
        <v>98</v>
      </c>
      <c r="S108" t="s">
        <v>80</v>
      </c>
      <c r="T108" t="s">
        <v>83</v>
      </c>
      <c r="U108" t="s">
        <v>48</v>
      </c>
      <c r="V108" t="s">
        <v>45</v>
      </c>
      <c r="W108" t="s">
        <v>123</v>
      </c>
      <c r="X108">
        <v>10.7911504424779</v>
      </c>
      <c r="Y108" t="s">
        <v>41</v>
      </c>
      <c r="Z108">
        <v>21.226548672566398</v>
      </c>
      <c r="AA108">
        <v>1</v>
      </c>
      <c r="AB108" t="s">
        <v>34</v>
      </c>
      <c r="AC108" t="s">
        <v>92</v>
      </c>
      <c r="AE108" t="str">
        <f t="shared" si="22"/>
        <v>ConnollyHilts</v>
      </c>
      <c r="AF108">
        <v>0.5</v>
      </c>
      <c r="AG108">
        <v>0</v>
      </c>
      <c r="AH108">
        <v>0</v>
      </c>
      <c r="AI108">
        <v>1</v>
      </c>
      <c r="AJ108">
        <v>0.5</v>
      </c>
      <c r="AK108" t="s">
        <v>44</v>
      </c>
      <c r="AL108">
        <v>0.4296875</v>
      </c>
      <c r="AM108" t="s">
        <v>49</v>
      </c>
      <c r="AO108">
        <f t="shared" si="32"/>
        <v>0</v>
      </c>
      <c r="AP108" t="str">
        <f t="shared" si="32"/>
        <v>Hilts</v>
      </c>
      <c r="AQ108">
        <f t="shared" si="32"/>
        <v>0</v>
      </c>
      <c r="AR108">
        <f t="shared" si="32"/>
        <v>0</v>
      </c>
      <c r="AS108">
        <f t="shared" si="32"/>
        <v>0</v>
      </c>
      <c r="AT108" t="str">
        <f t="shared" si="32"/>
        <v>Connolly</v>
      </c>
      <c r="AU108">
        <f t="shared" si="32"/>
        <v>0</v>
      </c>
      <c r="AV108">
        <f t="shared" si="32"/>
        <v>0</v>
      </c>
      <c r="AW108">
        <f t="shared" si="32"/>
        <v>0</v>
      </c>
      <c r="AX108">
        <f t="shared" si="32"/>
        <v>0</v>
      </c>
      <c r="AY108">
        <f t="shared" si="33"/>
        <v>0</v>
      </c>
      <c r="AZ108">
        <f t="shared" si="33"/>
        <v>0</v>
      </c>
      <c r="BA108">
        <f t="shared" si="33"/>
        <v>0</v>
      </c>
      <c r="BB108">
        <f t="shared" si="33"/>
        <v>0</v>
      </c>
      <c r="BC108">
        <f t="shared" si="33"/>
        <v>0</v>
      </c>
      <c r="BD108">
        <f t="shared" si="33"/>
        <v>0</v>
      </c>
      <c r="BE108">
        <f t="shared" si="33"/>
        <v>0</v>
      </c>
      <c r="BF108">
        <f t="shared" si="33"/>
        <v>0</v>
      </c>
      <c r="BG108">
        <f t="shared" si="33"/>
        <v>0</v>
      </c>
      <c r="BH108">
        <f t="shared" si="33"/>
        <v>0</v>
      </c>
      <c r="BI108">
        <f t="shared" si="34"/>
        <v>0</v>
      </c>
      <c r="BJ108">
        <f t="shared" si="34"/>
        <v>0</v>
      </c>
      <c r="BK108">
        <f t="shared" si="34"/>
        <v>0</v>
      </c>
      <c r="BL108">
        <f t="shared" si="34"/>
        <v>0</v>
      </c>
      <c r="BM108">
        <f t="shared" si="34"/>
        <v>0</v>
      </c>
      <c r="BN108">
        <f t="shared" si="34"/>
        <v>0</v>
      </c>
      <c r="BO108">
        <f t="shared" si="34"/>
        <v>0</v>
      </c>
      <c r="BP108">
        <f t="shared" si="34"/>
        <v>0</v>
      </c>
      <c r="BQ108">
        <f t="shared" si="34"/>
        <v>0</v>
      </c>
      <c r="BR108">
        <f t="shared" si="34"/>
        <v>0</v>
      </c>
      <c r="BS108">
        <f t="shared" si="34"/>
        <v>0</v>
      </c>
    </row>
    <row r="109" spans="2:71" ht="15" customHeight="1" x14ac:dyDescent="0.2">
      <c r="B109">
        <v>12</v>
      </c>
      <c r="C109">
        <v>2</v>
      </c>
      <c r="D109">
        <v>3</v>
      </c>
      <c r="E109" t="s">
        <v>185</v>
      </c>
      <c r="F109" t="s">
        <v>72</v>
      </c>
      <c r="G109" s="5">
        <v>42168</v>
      </c>
      <c r="H109" t="s">
        <v>97</v>
      </c>
      <c r="I109" t="s">
        <v>167</v>
      </c>
      <c r="J109" t="s">
        <v>168</v>
      </c>
      <c r="K109">
        <v>9</v>
      </c>
      <c r="L109" t="s">
        <v>76</v>
      </c>
      <c r="M109" t="s">
        <v>169</v>
      </c>
      <c r="N109" t="s">
        <v>78</v>
      </c>
      <c r="O109">
        <v>70.900000000000006</v>
      </c>
      <c r="P109">
        <v>133</v>
      </c>
      <c r="Q109">
        <v>5980</v>
      </c>
      <c r="R109" t="s">
        <v>98</v>
      </c>
      <c r="S109" t="s">
        <v>80</v>
      </c>
      <c r="T109" t="s">
        <v>81</v>
      </c>
      <c r="U109" t="s">
        <v>49</v>
      </c>
      <c r="V109" t="s">
        <v>44</v>
      </c>
      <c r="W109" t="s">
        <v>170</v>
      </c>
      <c r="X109">
        <v>16</v>
      </c>
      <c r="Y109" t="s">
        <v>49</v>
      </c>
      <c r="Z109">
        <v>21</v>
      </c>
      <c r="AA109">
        <v>1</v>
      </c>
      <c r="AB109" t="s">
        <v>34</v>
      </c>
      <c r="AC109" t="s">
        <v>92</v>
      </c>
      <c r="AE109" t="str">
        <f t="shared" si="22"/>
        <v>FlandersShively</v>
      </c>
      <c r="AF109">
        <v>0.5</v>
      </c>
      <c r="AG109">
        <v>0</v>
      </c>
      <c r="AH109">
        <v>0</v>
      </c>
      <c r="AI109">
        <v>1</v>
      </c>
      <c r="AJ109">
        <v>0.5</v>
      </c>
      <c r="AK109" t="s">
        <v>45</v>
      </c>
      <c r="AL109">
        <v>0.59375</v>
      </c>
      <c r="AM109" t="s">
        <v>41</v>
      </c>
      <c r="AN109">
        <v>0.47321428571428598</v>
      </c>
      <c r="AO109">
        <f t="shared" si="32"/>
        <v>0</v>
      </c>
      <c r="AP109">
        <f t="shared" si="32"/>
        <v>0</v>
      </c>
      <c r="AQ109">
        <f t="shared" si="32"/>
        <v>0</v>
      </c>
      <c r="AR109">
        <f t="shared" si="32"/>
        <v>0</v>
      </c>
      <c r="AS109" t="str">
        <f t="shared" si="32"/>
        <v>Flanders</v>
      </c>
      <c r="AT109">
        <f t="shared" si="32"/>
        <v>0</v>
      </c>
      <c r="AU109">
        <f t="shared" si="32"/>
        <v>0</v>
      </c>
      <c r="AV109">
        <f t="shared" si="32"/>
        <v>0</v>
      </c>
      <c r="AW109">
        <f t="shared" si="32"/>
        <v>0</v>
      </c>
      <c r="AX109" t="str">
        <f t="shared" si="32"/>
        <v>Shively</v>
      </c>
      <c r="AY109">
        <f t="shared" si="33"/>
        <v>0</v>
      </c>
      <c r="AZ109">
        <f t="shared" si="33"/>
        <v>0</v>
      </c>
      <c r="BA109">
        <f t="shared" si="33"/>
        <v>0</v>
      </c>
      <c r="BB109">
        <f t="shared" si="33"/>
        <v>0</v>
      </c>
      <c r="BC109">
        <f t="shared" si="33"/>
        <v>0</v>
      </c>
      <c r="BD109">
        <f t="shared" si="33"/>
        <v>0</v>
      </c>
      <c r="BE109">
        <f t="shared" si="33"/>
        <v>0</v>
      </c>
      <c r="BF109">
        <f t="shared" si="33"/>
        <v>0</v>
      </c>
      <c r="BG109">
        <f t="shared" si="33"/>
        <v>0</v>
      </c>
      <c r="BH109">
        <f t="shared" si="33"/>
        <v>0</v>
      </c>
      <c r="BI109">
        <f t="shared" si="34"/>
        <v>0</v>
      </c>
      <c r="BJ109">
        <f t="shared" si="34"/>
        <v>0</v>
      </c>
      <c r="BK109">
        <f t="shared" si="34"/>
        <v>0</v>
      </c>
      <c r="BL109">
        <f t="shared" si="34"/>
        <v>0</v>
      </c>
      <c r="BM109">
        <f t="shared" si="34"/>
        <v>0</v>
      </c>
      <c r="BN109">
        <f t="shared" si="34"/>
        <v>0</v>
      </c>
      <c r="BO109">
        <f t="shared" si="34"/>
        <v>0</v>
      </c>
      <c r="BP109">
        <f t="shared" si="34"/>
        <v>0</v>
      </c>
      <c r="BQ109">
        <f t="shared" si="34"/>
        <v>0</v>
      </c>
      <c r="BR109">
        <f t="shared" si="34"/>
        <v>0</v>
      </c>
      <c r="BS109">
        <f t="shared" si="34"/>
        <v>0</v>
      </c>
    </row>
    <row r="110" spans="2:71" ht="15" customHeight="1" x14ac:dyDescent="0.2">
      <c r="B110">
        <v>13</v>
      </c>
      <c r="C110">
        <v>3</v>
      </c>
      <c r="D110">
        <v>3</v>
      </c>
      <c r="E110" t="s">
        <v>186</v>
      </c>
      <c r="F110" t="s">
        <v>72</v>
      </c>
      <c r="G110" s="5">
        <v>42168</v>
      </c>
      <c r="H110" t="s">
        <v>97</v>
      </c>
      <c r="I110" t="s">
        <v>167</v>
      </c>
      <c r="J110" t="s">
        <v>168</v>
      </c>
      <c r="K110">
        <v>9</v>
      </c>
      <c r="L110" t="s">
        <v>76</v>
      </c>
      <c r="M110" t="s">
        <v>169</v>
      </c>
      <c r="N110" t="s">
        <v>78</v>
      </c>
      <c r="O110">
        <v>70.900000000000006</v>
      </c>
      <c r="P110">
        <v>133</v>
      </c>
      <c r="Q110">
        <v>5980</v>
      </c>
      <c r="R110" t="s">
        <v>98</v>
      </c>
      <c r="S110" t="s">
        <v>80</v>
      </c>
      <c r="T110" t="s">
        <v>81</v>
      </c>
      <c r="U110" t="s">
        <v>49</v>
      </c>
      <c r="V110" t="s">
        <v>52</v>
      </c>
      <c r="W110" t="s">
        <v>170</v>
      </c>
      <c r="X110">
        <v>20</v>
      </c>
      <c r="Y110" t="s">
        <v>40</v>
      </c>
      <c r="Z110">
        <v>17</v>
      </c>
      <c r="AA110">
        <v>1</v>
      </c>
      <c r="AB110" t="s">
        <v>33</v>
      </c>
      <c r="AC110" t="s">
        <v>184</v>
      </c>
      <c r="AE110" t="str">
        <f t="shared" si="22"/>
        <v>ConnorsGrise</v>
      </c>
      <c r="AF110">
        <v>0</v>
      </c>
      <c r="AG110">
        <v>0</v>
      </c>
      <c r="AH110">
        <v>1</v>
      </c>
      <c r="AI110">
        <v>0</v>
      </c>
      <c r="AJ110">
        <v>0</v>
      </c>
      <c r="AK110" t="s">
        <v>54</v>
      </c>
      <c r="AL110">
        <v>0.37288135593220301</v>
      </c>
      <c r="AM110" t="s">
        <v>56</v>
      </c>
      <c r="AN110">
        <v>0.5</v>
      </c>
      <c r="AO110" t="str">
        <f t="shared" si="32"/>
        <v>Grise</v>
      </c>
      <c r="AP110">
        <f t="shared" si="32"/>
        <v>0</v>
      </c>
      <c r="AQ110">
        <f t="shared" si="32"/>
        <v>0</v>
      </c>
      <c r="AR110">
        <f t="shared" si="32"/>
        <v>0</v>
      </c>
      <c r="AS110">
        <f t="shared" si="32"/>
        <v>0</v>
      </c>
      <c r="AT110">
        <f t="shared" si="32"/>
        <v>0</v>
      </c>
      <c r="AU110">
        <f t="shared" si="32"/>
        <v>0</v>
      </c>
      <c r="AV110">
        <f t="shared" si="32"/>
        <v>0</v>
      </c>
      <c r="AW110">
        <f t="shared" si="32"/>
        <v>0</v>
      </c>
      <c r="AX110">
        <f t="shared" si="32"/>
        <v>0</v>
      </c>
      <c r="AY110">
        <f t="shared" si="33"/>
        <v>0</v>
      </c>
      <c r="AZ110">
        <f t="shared" si="33"/>
        <v>0</v>
      </c>
      <c r="BA110" t="str">
        <f t="shared" si="33"/>
        <v>Connors</v>
      </c>
      <c r="BB110">
        <f t="shared" si="33"/>
        <v>0</v>
      </c>
      <c r="BC110">
        <f t="shared" si="33"/>
        <v>0</v>
      </c>
      <c r="BD110">
        <f t="shared" si="33"/>
        <v>0</v>
      </c>
      <c r="BE110">
        <f t="shared" si="33"/>
        <v>0</v>
      </c>
      <c r="BF110">
        <f t="shared" si="33"/>
        <v>0</v>
      </c>
      <c r="BG110">
        <f t="shared" si="33"/>
        <v>0</v>
      </c>
      <c r="BH110">
        <f t="shared" si="33"/>
        <v>0</v>
      </c>
      <c r="BI110">
        <f t="shared" si="34"/>
        <v>0</v>
      </c>
      <c r="BJ110">
        <f t="shared" si="34"/>
        <v>0</v>
      </c>
      <c r="BK110">
        <f t="shared" si="34"/>
        <v>0</v>
      </c>
      <c r="BL110">
        <f t="shared" si="34"/>
        <v>0</v>
      </c>
      <c r="BM110">
        <f t="shared" si="34"/>
        <v>0</v>
      </c>
      <c r="BN110">
        <f t="shared" si="34"/>
        <v>0</v>
      </c>
      <c r="BO110">
        <f t="shared" si="34"/>
        <v>0</v>
      </c>
      <c r="BP110">
        <f t="shared" si="34"/>
        <v>0</v>
      </c>
      <c r="BQ110">
        <f t="shared" si="34"/>
        <v>0</v>
      </c>
      <c r="BR110">
        <f t="shared" si="34"/>
        <v>0</v>
      </c>
      <c r="BS110">
        <f t="shared" si="34"/>
        <v>0</v>
      </c>
    </row>
    <row r="111" spans="2:71" ht="15" customHeight="1" x14ac:dyDescent="0.2">
      <c r="B111">
        <v>13</v>
      </c>
      <c r="C111">
        <v>3</v>
      </c>
      <c r="D111">
        <v>3</v>
      </c>
      <c r="E111" t="s">
        <v>186</v>
      </c>
      <c r="F111" t="s">
        <v>72</v>
      </c>
      <c r="G111" s="5">
        <v>42168</v>
      </c>
      <c r="H111" t="s">
        <v>97</v>
      </c>
      <c r="I111" t="s">
        <v>167</v>
      </c>
      <c r="J111" t="s">
        <v>168</v>
      </c>
      <c r="K111">
        <v>9</v>
      </c>
      <c r="L111" t="s">
        <v>76</v>
      </c>
      <c r="M111" t="s">
        <v>169</v>
      </c>
      <c r="N111" t="s">
        <v>78</v>
      </c>
      <c r="O111">
        <v>70.900000000000006</v>
      </c>
      <c r="P111">
        <v>133</v>
      </c>
      <c r="Q111">
        <v>5980</v>
      </c>
      <c r="R111" t="s">
        <v>98</v>
      </c>
      <c r="S111" t="s">
        <v>80</v>
      </c>
      <c r="T111" t="s">
        <v>83</v>
      </c>
      <c r="U111" t="s">
        <v>48</v>
      </c>
      <c r="V111" t="s">
        <v>54</v>
      </c>
      <c r="W111" t="s">
        <v>123</v>
      </c>
      <c r="X111">
        <v>30</v>
      </c>
      <c r="Y111" t="s">
        <v>56</v>
      </c>
      <c r="Z111">
        <v>19</v>
      </c>
      <c r="AA111">
        <v>1</v>
      </c>
      <c r="AB111" t="s">
        <v>32</v>
      </c>
      <c r="AC111" t="s">
        <v>184</v>
      </c>
      <c r="AE111" t="str">
        <f t="shared" si="22"/>
        <v>FoganWeisberger</v>
      </c>
      <c r="AF111">
        <v>1</v>
      </c>
      <c r="AG111">
        <v>1</v>
      </c>
      <c r="AH111">
        <v>0</v>
      </c>
      <c r="AI111">
        <v>0</v>
      </c>
      <c r="AJ111">
        <v>1</v>
      </c>
      <c r="AK111" t="s">
        <v>52</v>
      </c>
      <c r="AL111">
        <v>0.34745762711864397</v>
      </c>
      <c r="AM111" t="s">
        <v>40</v>
      </c>
      <c r="AN111">
        <v>0.546875</v>
      </c>
      <c r="AO111">
        <f t="shared" si="32"/>
        <v>0</v>
      </c>
      <c r="AP111">
        <f t="shared" si="32"/>
        <v>0</v>
      </c>
      <c r="AQ111">
        <f t="shared" si="32"/>
        <v>0</v>
      </c>
      <c r="AR111">
        <f t="shared" si="32"/>
        <v>0</v>
      </c>
      <c r="AS111">
        <f t="shared" si="32"/>
        <v>0</v>
      </c>
      <c r="AT111">
        <f t="shared" si="32"/>
        <v>0</v>
      </c>
      <c r="AU111">
        <f t="shared" si="32"/>
        <v>0</v>
      </c>
      <c r="AV111">
        <f t="shared" si="32"/>
        <v>0</v>
      </c>
      <c r="AW111">
        <f t="shared" si="32"/>
        <v>0</v>
      </c>
      <c r="AX111">
        <f t="shared" si="32"/>
        <v>0</v>
      </c>
      <c r="AY111">
        <f t="shared" si="33"/>
        <v>0</v>
      </c>
      <c r="AZ111">
        <f t="shared" si="33"/>
        <v>0</v>
      </c>
      <c r="BA111">
        <f t="shared" si="33"/>
        <v>0</v>
      </c>
      <c r="BB111">
        <f t="shared" si="33"/>
        <v>0</v>
      </c>
      <c r="BC111" t="str">
        <f t="shared" si="33"/>
        <v>Fogan</v>
      </c>
      <c r="BD111">
        <f t="shared" si="33"/>
        <v>0</v>
      </c>
      <c r="BE111" t="str">
        <f t="shared" si="33"/>
        <v>Weisberger</v>
      </c>
      <c r="BF111">
        <f t="shared" si="33"/>
        <v>0</v>
      </c>
      <c r="BG111">
        <f t="shared" si="33"/>
        <v>0</v>
      </c>
      <c r="BH111">
        <f t="shared" si="33"/>
        <v>0</v>
      </c>
      <c r="BI111">
        <f t="shared" si="34"/>
        <v>0</v>
      </c>
      <c r="BJ111">
        <f t="shared" si="34"/>
        <v>0</v>
      </c>
      <c r="BK111">
        <f t="shared" si="34"/>
        <v>0</v>
      </c>
      <c r="BL111">
        <f t="shared" si="34"/>
        <v>0</v>
      </c>
      <c r="BM111">
        <f t="shared" si="34"/>
        <v>0</v>
      </c>
      <c r="BN111">
        <f t="shared" si="34"/>
        <v>0</v>
      </c>
      <c r="BO111">
        <f t="shared" si="34"/>
        <v>0</v>
      </c>
      <c r="BP111">
        <f t="shared" si="34"/>
        <v>0</v>
      </c>
      <c r="BQ111">
        <f t="shared" si="34"/>
        <v>0</v>
      </c>
      <c r="BR111">
        <f t="shared" si="34"/>
        <v>0</v>
      </c>
      <c r="BS111">
        <f t="shared" si="34"/>
        <v>0</v>
      </c>
    </row>
    <row r="112" spans="2:71" ht="15" customHeight="1" x14ac:dyDescent="0.2">
      <c r="B112">
        <v>14</v>
      </c>
      <c r="C112">
        <v>4</v>
      </c>
      <c r="D112">
        <v>3</v>
      </c>
      <c r="E112" t="s">
        <v>187</v>
      </c>
      <c r="F112" t="s">
        <v>72</v>
      </c>
      <c r="G112" s="5">
        <v>42168</v>
      </c>
      <c r="H112" t="s">
        <v>97</v>
      </c>
      <c r="I112" t="s">
        <v>167</v>
      </c>
      <c r="J112" t="s">
        <v>168</v>
      </c>
      <c r="K112">
        <v>9</v>
      </c>
      <c r="L112" t="s">
        <v>76</v>
      </c>
      <c r="M112" t="s">
        <v>169</v>
      </c>
      <c r="N112" t="s">
        <v>78</v>
      </c>
      <c r="O112">
        <v>70.900000000000006</v>
      </c>
      <c r="P112">
        <v>133</v>
      </c>
      <c r="Q112">
        <v>5980</v>
      </c>
      <c r="R112" t="s">
        <v>98</v>
      </c>
      <c r="S112" t="s">
        <v>80</v>
      </c>
      <c r="T112" t="s">
        <v>83</v>
      </c>
      <c r="U112" t="s">
        <v>48</v>
      </c>
      <c r="V112" t="s">
        <v>47</v>
      </c>
      <c r="W112" t="s">
        <v>123</v>
      </c>
      <c r="X112">
        <v>22</v>
      </c>
      <c r="Y112" t="s">
        <v>48</v>
      </c>
      <c r="Z112">
        <v>19</v>
      </c>
      <c r="AA112">
        <v>1</v>
      </c>
      <c r="AB112" t="s">
        <v>33</v>
      </c>
      <c r="AC112" t="s">
        <v>174</v>
      </c>
      <c r="AE112" t="str">
        <f t="shared" si="22"/>
        <v>HickersonLynch</v>
      </c>
      <c r="AF112">
        <v>0</v>
      </c>
      <c r="AG112">
        <v>0</v>
      </c>
      <c r="AH112">
        <v>1</v>
      </c>
      <c r="AI112">
        <v>0</v>
      </c>
      <c r="AJ112">
        <v>0</v>
      </c>
      <c r="AK112" t="s">
        <v>57</v>
      </c>
      <c r="AL112">
        <v>0.44827586206896602</v>
      </c>
      <c r="AM112" t="s">
        <v>46</v>
      </c>
      <c r="AN112">
        <v>0.38392857142857201</v>
      </c>
      <c r="AO112">
        <f t="shared" ref="AO112:AX121" si="35">IF(OR($V112=AO$1,$Y112=AO$1),AO$1,0)</f>
        <v>0</v>
      </c>
      <c r="AP112">
        <f t="shared" si="35"/>
        <v>0</v>
      </c>
      <c r="AQ112">
        <f t="shared" si="35"/>
        <v>0</v>
      </c>
      <c r="AR112">
        <f t="shared" si="35"/>
        <v>0</v>
      </c>
      <c r="AS112">
        <f t="shared" si="35"/>
        <v>0</v>
      </c>
      <c r="AT112">
        <f t="shared" si="35"/>
        <v>0</v>
      </c>
      <c r="AU112">
        <f t="shared" si="35"/>
        <v>0</v>
      </c>
      <c r="AV112" t="str">
        <f t="shared" si="35"/>
        <v>Hickerson</v>
      </c>
      <c r="AW112" t="str">
        <f t="shared" si="35"/>
        <v>Lynch</v>
      </c>
      <c r="AX112">
        <f t="shared" si="35"/>
        <v>0</v>
      </c>
      <c r="AY112">
        <f t="shared" ref="AY112:BH121" si="36">IF(OR($V112=AY$1,$Y112=AY$1),AY$1,0)</f>
        <v>0</v>
      </c>
      <c r="AZ112">
        <f t="shared" si="36"/>
        <v>0</v>
      </c>
      <c r="BA112">
        <f t="shared" si="36"/>
        <v>0</v>
      </c>
      <c r="BB112">
        <f t="shared" si="36"/>
        <v>0</v>
      </c>
      <c r="BC112">
        <f t="shared" si="36"/>
        <v>0</v>
      </c>
      <c r="BD112">
        <f t="shared" si="36"/>
        <v>0</v>
      </c>
      <c r="BE112">
        <f t="shared" si="36"/>
        <v>0</v>
      </c>
      <c r="BF112">
        <f t="shared" si="36"/>
        <v>0</v>
      </c>
      <c r="BG112">
        <f t="shared" si="36"/>
        <v>0</v>
      </c>
      <c r="BH112">
        <f t="shared" si="36"/>
        <v>0</v>
      </c>
      <c r="BI112">
        <f t="shared" ref="BI112:BS121" si="37">IF(OR($V112=BI$1,$Y112=BI$1),BI$1,0)</f>
        <v>0</v>
      </c>
      <c r="BJ112">
        <f t="shared" si="37"/>
        <v>0</v>
      </c>
      <c r="BK112">
        <f t="shared" si="37"/>
        <v>0</v>
      </c>
      <c r="BL112">
        <f t="shared" si="37"/>
        <v>0</v>
      </c>
      <c r="BM112">
        <f t="shared" si="37"/>
        <v>0</v>
      </c>
      <c r="BN112">
        <f t="shared" si="37"/>
        <v>0</v>
      </c>
      <c r="BO112">
        <f t="shared" si="37"/>
        <v>0</v>
      </c>
      <c r="BP112">
        <f t="shared" si="37"/>
        <v>0</v>
      </c>
      <c r="BQ112">
        <f t="shared" si="37"/>
        <v>0</v>
      </c>
      <c r="BR112">
        <f t="shared" si="37"/>
        <v>0</v>
      </c>
      <c r="BS112">
        <f t="shared" si="37"/>
        <v>0</v>
      </c>
    </row>
    <row r="113" spans="2:71" ht="15" customHeight="1" x14ac:dyDescent="0.2">
      <c r="B113">
        <v>14</v>
      </c>
      <c r="C113">
        <v>4</v>
      </c>
      <c r="D113">
        <v>3</v>
      </c>
      <c r="E113" t="s">
        <v>187</v>
      </c>
      <c r="F113" t="s">
        <v>72</v>
      </c>
      <c r="G113" s="5">
        <v>42168</v>
      </c>
      <c r="H113" t="s">
        <v>97</v>
      </c>
      <c r="I113" t="s">
        <v>167</v>
      </c>
      <c r="J113" t="s">
        <v>168</v>
      </c>
      <c r="K113">
        <v>9</v>
      </c>
      <c r="L113" t="s">
        <v>76</v>
      </c>
      <c r="M113" t="s">
        <v>169</v>
      </c>
      <c r="N113" t="s">
        <v>78</v>
      </c>
      <c r="O113">
        <v>70.900000000000006</v>
      </c>
      <c r="P113">
        <v>133</v>
      </c>
      <c r="Q113">
        <v>5980</v>
      </c>
      <c r="R113" t="s">
        <v>98</v>
      </c>
      <c r="S113" t="s">
        <v>80</v>
      </c>
      <c r="T113" t="s">
        <v>81</v>
      </c>
      <c r="U113" t="s">
        <v>49</v>
      </c>
      <c r="V113" t="s">
        <v>57</v>
      </c>
      <c r="W113" t="s">
        <v>170</v>
      </c>
      <c r="X113">
        <v>16</v>
      </c>
      <c r="Y113" t="s">
        <v>46</v>
      </c>
      <c r="Z113">
        <v>19</v>
      </c>
      <c r="AA113">
        <v>1</v>
      </c>
      <c r="AB113" t="s">
        <v>32</v>
      </c>
      <c r="AC113" t="s">
        <v>174</v>
      </c>
      <c r="AE113" t="str">
        <f t="shared" si="22"/>
        <v>BussMangold</v>
      </c>
      <c r="AF113">
        <v>1</v>
      </c>
      <c r="AG113">
        <v>1</v>
      </c>
      <c r="AH113">
        <v>0</v>
      </c>
      <c r="AI113">
        <v>0</v>
      </c>
      <c r="AJ113">
        <v>1</v>
      </c>
      <c r="AK113" t="s">
        <v>47</v>
      </c>
      <c r="AL113">
        <v>0.35714285714285698</v>
      </c>
      <c r="AM113" t="s">
        <v>48</v>
      </c>
      <c r="AN113">
        <v>0.5546875</v>
      </c>
      <c r="AO113">
        <f t="shared" si="35"/>
        <v>0</v>
      </c>
      <c r="AP113">
        <f t="shared" si="35"/>
        <v>0</v>
      </c>
      <c r="AQ113">
        <f t="shared" si="35"/>
        <v>0</v>
      </c>
      <c r="AR113">
        <f t="shared" si="35"/>
        <v>0</v>
      </c>
      <c r="AS113">
        <f t="shared" si="35"/>
        <v>0</v>
      </c>
      <c r="AT113">
        <f t="shared" si="35"/>
        <v>0</v>
      </c>
      <c r="AU113" t="str">
        <f t="shared" si="35"/>
        <v>Mangold</v>
      </c>
      <c r="AV113">
        <f t="shared" si="35"/>
        <v>0</v>
      </c>
      <c r="AW113">
        <f t="shared" si="35"/>
        <v>0</v>
      </c>
      <c r="AX113">
        <f t="shared" si="35"/>
        <v>0</v>
      </c>
      <c r="AY113">
        <f t="shared" si="36"/>
        <v>0</v>
      </c>
      <c r="AZ113">
        <f t="shared" si="36"/>
        <v>0</v>
      </c>
      <c r="BA113">
        <f t="shared" si="36"/>
        <v>0</v>
      </c>
      <c r="BB113">
        <f t="shared" si="36"/>
        <v>0</v>
      </c>
      <c r="BC113">
        <f t="shared" si="36"/>
        <v>0</v>
      </c>
      <c r="BD113">
        <f t="shared" si="36"/>
        <v>0</v>
      </c>
      <c r="BE113">
        <f t="shared" si="36"/>
        <v>0</v>
      </c>
      <c r="BF113" t="str">
        <f t="shared" si="36"/>
        <v>Buss</v>
      </c>
      <c r="BG113">
        <f t="shared" si="36"/>
        <v>0</v>
      </c>
      <c r="BH113">
        <f t="shared" si="36"/>
        <v>0</v>
      </c>
      <c r="BI113">
        <f t="shared" si="37"/>
        <v>0</v>
      </c>
      <c r="BJ113">
        <f t="shared" si="37"/>
        <v>0</v>
      </c>
      <c r="BK113">
        <f t="shared" si="37"/>
        <v>0</v>
      </c>
      <c r="BL113">
        <f t="shared" si="37"/>
        <v>0</v>
      </c>
      <c r="BM113">
        <f t="shared" si="37"/>
        <v>0</v>
      </c>
      <c r="BN113">
        <f t="shared" si="37"/>
        <v>0</v>
      </c>
      <c r="BO113">
        <f t="shared" si="37"/>
        <v>0</v>
      </c>
      <c r="BP113">
        <f t="shared" si="37"/>
        <v>0</v>
      </c>
      <c r="BQ113">
        <f t="shared" si="37"/>
        <v>0</v>
      </c>
      <c r="BR113">
        <f t="shared" si="37"/>
        <v>0</v>
      </c>
      <c r="BS113">
        <f t="shared" si="37"/>
        <v>0</v>
      </c>
    </row>
    <row r="114" spans="2:71" ht="15" customHeight="1" x14ac:dyDescent="0.2">
      <c r="B114">
        <v>15</v>
      </c>
      <c r="C114">
        <v>5</v>
      </c>
      <c r="D114">
        <v>3</v>
      </c>
      <c r="E114" t="s">
        <v>188</v>
      </c>
      <c r="F114" t="s">
        <v>72</v>
      </c>
      <c r="G114" s="5">
        <v>42168</v>
      </c>
      <c r="H114" t="s">
        <v>97</v>
      </c>
      <c r="I114" t="s">
        <v>167</v>
      </c>
      <c r="J114" t="s">
        <v>168</v>
      </c>
      <c r="K114">
        <v>9</v>
      </c>
      <c r="L114" t="s">
        <v>76</v>
      </c>
      <c r="M114" t="s">
        <v>169</v>
      </c>
      <c r="N114" t="s">
        <v>78</v>
      </c>
      <c r="O114">
        <v>70.900000000000006</v>
      </c>
      <c r="P114">
        <v>133</v>
      </c>
      <c r="Q114">
        <v>5980</v>
      </c>
      <c r="R114" t="s">
        <v>98</v>
      </c>
      <c r="S114" t="s">
        <v>80</v>
      </c>
      <c r="T114" t="s">
        <v>81</v>
      </c>
      <c r="U114" t="s">
        <v>49</v>
      </c>
      <c r="V114" t="s">
        <v>53</v>
      </c>
      <c r="W114" t="s">
        <v>170</v>
      </c>
      <c r="X114">
        <v>29.646017699115099</v>
      </c>
      <c r="Y114" t="s">
        <v>59</v>
      </c>
      <c r="Z114">
        <v>22.1752212389381</v>
      </c>
      <c r="AA114">
        <v>1</v>
      </c>
      <c r="AB114" t="s">
        <v>32</v>
      </c>
      <c r="AC114" t="s">
        <v>174</v>
      </c>
      <c r="AE114" t="str">
        <f t="shared" si="22"/>
        <v>ForsterNorat</v>
      </c>
      <c r="AF114">
        <v>1</v>
      </c>
      <c r="AG114">
        <v>1</v>
      </c>
      <c r="AH114">
        <v>0</v>
      </c>
      <c r="AI114">
        <v>0</v>
      </c>
      <c r="AJ114">
        <v>1</v>
      </c>
      <c r="AK114" t="s">
        <v>55</v>
      </c>
      <c r="AL114">
        <v>0.44067796610169502</v>
      </c>
      <c r="AM114" t="s">
        <v>61</v>
      </c>
      <c r="AN114">
        <v>0.5</v>
      </c>
      <c r="AO114">
        <f t="shared" si="35"/>
        <v>0</v>
      </c>
      <c r="AP114">
        <f t="shared" si="35"/>
        <v>0</v>
      </c>
      <c r="AQ114">
        <f t="shared" si="35"/>
        <v>0</v>
      </c>
      <c r="AR114">
        <f t="shared" si="35"/>
        <v>0</v>
      </c>
      <c r="AS114">
        <f t="shared" si="35"/>
        <v>0</v>
      </c>
      <c r="AT114">
        <f t="shared" si="35"/>
        <v>0</v>
      </c>
      <c r="AU114">
        <f t="shared" si="35"/>
        <v>0</v>
      </c>
      <c r="AV114">
        <f t="shared" si="35"/>
        <v>0</v>
      </c>
      <c r="AW114">
        <f t="shared" si="35"/>
        <v>0</v>
      </c>
      <c r="AX114">
        <f t="shared" si="35"/>
        <v>0</v>
      </c>
      <c r="AY114">
        <f t="shared" si="36"/>
        <v>0</v>
      </c>
      <c r="AZ114">
        <f t="shared" si="36"/>
        <v>0</v>
      </c>
      <c r="BA114">
        <f t="shared" si="36"/>
        <v>0</v>
      </c>
      <c r="BB114" t="str">
        <f t="shared" si="36"/>
        <v>Forster</v>
      </c>
      <c r="BC114">
        <f t="shared" si="36"/>
        <v>0</v>
      </c>
      <c r="BD114">
        <f t="shared" si="36"/>
        <v>0</v>
      </c>
      <c r="BE114">
        <f t="shared" si="36"/>
        <v>0</v>
      </c>
      <c r="BF114">
        <f t="shared" si="36"/>
        <v>0</v>
      </c>
      <c r="BG114">
        <f t="shared" si="36"/>
        <v>0</v>
      </c>
      <c r="BH114" t="str">
        <f t="shared" si="36"/>
        <v>Norat</v>
      </c>
      <c r="BI114">
        <f t="shared" si="37"/>
        <v>0</v>
      </c>
      <c r="BJ114">
        <f t="shared" si="37"/>
        <v>0</v>
      </c>
      <c r="BK114">
        <f t="shared" si="37"/>
        <v>0</v>
      </c>
      <c r="BL114">
        <f t="shared" si="37"/>
        <v>0</v>
      </c>
      <c r="BM114">
        <f t="shared" si="37"/>
        <v>0</v>
      </c>
      <c r="BN114">
        <f t="shared" si="37"/>
        <v>0</v>
      </c>
      <c r="BO114">
        <f t="shared" si="37"/>
        <v>0</v>
      </c>
      <c r="BP114">
        <f t="shared" si="37"/>
        <v>0</v>
      </c>
      <c r="BQ114">
        <f t="shared" si="37"/>
        <v>0</v>
      </c>
      <c r="BR114">
        <f t="shared" si="37"/>
        <v>0</v>
      </c>
      <c r="BS114">
        <f t="shared" si="37"/>
        <v>0</v>
      </c>
    </row>
    <row r="115" spans="2:71" ht="15" customHeight="1" x14ac:dyDescent="0.2">
      <c r="B115">
        <v>15</v>
      </c>
      <c r="C115">
        <v>5</v>
      </c>
      <c r="D115">
        <v>3</v>
      </c>
      <c r="E115" t="s">
        <v>188</v>
      </c>
      <c r="F115" t="s">
        <v>72</v>
      </c>
      <c r="G115" s="5">
        <v>42168</v>
      </c>
      <c r="H115" t="s">
        <v>97</v>
      </c>
      <c r="I115" t="s">
        <v>167</v>
      </c>
      <c r="J115" t="s">
        <v>168</v>
      </c>
      <c r="K115">
        <v>9</v>
      </c>
      <c r="L115" t="s">
        <v>76</v>
      </c>
      <c r="M115" t="s">
        <v>169</v>
      </c>
      <c r="N115" t="s">
        <v>78</v>
      </c>
      <c r="O115">
        <v>70.900000000000006</v>
      </c>
      <c r="P115">
        <v>133</v>
      </c>
      <c r="Q115">
        <v>5980</v>
      </c>
      <c r="R115" t="s">
        <v>98</v>
      </c>
      <c r="S115" t="s">
        <v>80</v>
      </c>
      <c r="T115" t="s">
        <v>83</v>
      </c>
      <c r="U115" t="s">
        <v>48</v>
      </c>
      <c r="V115" t="s">
        <v>55</v>
      </c>
      <c r="W115" t="s">
        <v>123</v>
      </c>
      <c r="X115">
        <v>29.4088495575221</v>
      </c>
      <c r="Y115" t="s">
        <v>61</v>
      </c>
      <c r="Z115">
        <v>11.265486725663701</v>
      </c>
      <c r="AA115">
        <v>1</v>
      </c>
      <c r="AB115" t="s">
        <v>33</v>
      </c>
      <c r="AC115" t="s">
        <v>174</v>
      </c>
      <c r="AE115" t="str">
        <f t="shared" si="22"/>
        <v>ColeMcInerney</v>
      </c>
      <c r="AF115">
        <v>0</v>
      </c>
      <c r="AG115">
        <v>0</v>
      </c>
      <c r="AH115">
        <v>1</v>
      </c>
      <c r="AI115">
        <v>0</v>
      </c>
      <c r="AJ115">
        <v>0</v>
      </c>
      <c r="AK115" t="s">
        <v>53</v>
      </c>
      <c r="AL115">
        <v>0.59649122807017496</v>
      </c>
      <c r="AM115" t="s">
        <v>59</v>
      </c>
      <c r="AN115">
        <v>0.52777777777777801</v>
      </c>
      <c r="AO115">
        <f t="shared" si="35"/>
        <v>0</v>
      </c>
      <c r="AP115">
        <f t="shared" si="35"/>
        <v>0</v>
      </c>
      <c r="AQ115">
        <f t="shared" si="35"/>
        <v>0</v>
      </c>
      <c r="AR115">
        <f t="shared" si="35"/>
        <v>0</v>
      </c>
      <c r="AS115">
        <f t="shared" si="35"/>
        <v>0</v>
      </c>
      <c r="AT115">
        <f t="shared" si="35"/>
        <v>0</v>
      </c>
      <c r="AU115">
        <f t="shared" si="35"/>
        <v>0</v>
      </c>
      <c r="AV115">
        <f t="shared" si="35"/>
        <v>0</v>
      </c>
      <c r="AW115">
        <f t="shared" si="35"/>
        <v>0</v>
      </c>
      <c r="AX115">
        <f t="shared" si="35"/>
        <v>0</v>
      </c>
      <c r="AY115">
        <f t="shared" si="36"/>
        <v>0</v>
      </c>
      <c r="AZ115">
        <f t="shared" si="36"/>
        <v>0</v>
      </c>
      <c r="BA115">
        <f t="shared" si="36"/>
        <v>0</v>
      </c>
      <c r="BB115">
        <f t="shared" si="36"/>
        <v>0</v>
      </c>
      <c r="BC115">
        <f t="shared" si="36"/>
        <v>0</v>
      </c>
      <c r="BD115" t="str">
        <f t="shared" si="36"/>
        <v>Cole</v>
      </c>
      <c r="BE115">
        <f t="shared" si="36"/>
        <v>0</v>
      </c>
      <c r="BF115">
        <f t="shared" si="36"/>
        <v>0</v>
      </c>
      <c r="BG115">
        <f t="shared" si="36"/>
        <v>0</v>
      </c>
      <c r="BH115">
        <f t="shared" si="36"/>
        <v>0</v>
      </c>
      <c r="BI115">
        <f t="shared" si="37"/>
        <v>0</v>
      </c>
      <c r="BJ115" t="str">
        <f t="shared" si="37"/>
        <v>McInerney</v>
      </c>
      <c r="BK115">
        <f t="shared" si="37"/>
        <v>0</v>
      </c>
      <c r="BL115">
        <f t="shared" si="37"/>
        <v>0</v>
      </c>
      <c r="BM115">
        <f t="shared" si="37"/>
        <v>0</v>
      </c>
      <c r="BN115">
        <f t="shared" si="37"/>
        <v>0</v>
      </c>
      <c r="BO115">
        <f t="shared" si="37"/>
        <v>0</v>
      </c>
      <c r="BP115">
        <f t="shared" si="37"/>
        <v>0</v>
      </c>
      <c r="BQ115">
        <f t="shared" si="37"/>
        <v>0</v>
      </c>
      <c r="BR115">
        <f t="shared" si="37"/>
        <v>0</v>
      </c>
      <c r="BS115">
        <f t="shared" si="37"/>
        <v>0</v>
      </c>
    </row>
    <row r="116" spans="2:71" ht="15" customHeight="1" x14ac:dyDescent="0.2">
      <c r="B116">
        <v>16</v>
      </c>
      <c r="C116">
        <v>1</v>
      </c>
      <c r="D116">
        <v>3</v>
      </c>
      <c r="E116" t="s">
        <v>189</v>
      </c>
      <c r="F116" t="s">
        <v>72</v>
      </c>
      <c r="G116" s="5">
        <v>42168</v>
      </c>
      <c r="H116" t="s">
        <v>97</v>
      </c>
      <c r="I116" t="s">
        <v>167</v>
      </c>
      <c r="J116" t="s">
        <v>168</v>
      </c>
      <c r="K116">
        <v>9</v>
      </c>
      <c r="L116" t="s">
        <v>90</v>
      </c>
      <c r="M116" t="s">
        <v>169</v>
      </c>
      <c r="N116" t="s">
        <v>78</v>
      </c>
      <c r="O116">
        <v>70.900000000000006</v>
      </c>
      <c r="P116">
        <v>133</v>
      </c>
      <c r="Q116">
        <v>5980</v>
      </c>
      <c r="R116" t="s">
        <v>145</v>
      </c>
      <c r="S116" t="s">
        <v>80</v>
      </c>
      <c r="T116" t="s">
        <v>81</v>
      </c>
      <c r="U116" t="s">
        <v>49</v>
      </c>
      <c r="V116" t="s">
        <v>50</v>
      </c>
      <c r="W116" t="s">
        <v>170</v>
      </c>
      <c r="X116">
        <v>24</v>
      </c>
      <c r="Y116" t="s">
        <v>42</v>
      </c>
      <c r="Z116">
        <v>15</v>
      </c>
      <c r="AA116">
        <v>1</v>
      </c>
      <c r="AB116" t="s">
        <v>32</v>
      </c>
      <c r="AC116" t="s">
        <v>190</v>
      </c>
      <c r="AE116" t="str">
        <f t="shared" si="22"/>
        <v>FerrinJackson</v>
      </c>
      <c r="AF116">
        <v>1</v>
      </c>
      <c r="AG116">
        <v>1</v>
      </c>
      <c r="AH116">
        <v>0</v>
      </c>
      <c r="AI116">
        <v>0</v>
      </c>
      <c r="AJ116">
        <v>1</v>
      </c>
      <c r="AK116" t="s">
        <v>58</v>
      </c>
      <c r="AL116">
        <v>0.65476190476190499</v>
      </c>
      <c r="AM116" t="s">
        <v>60</v>
      </c>
      <c r="AN116">
        <v>0.5</v>
      </c>
      <c r="AO116">
        <f t="shared" si="35"/>
        <v>0</v>
      </c>
      <c r="AP116">
        <f t="shared" si="35"/>
        <v>0</v>
      </c>
      <c r="AQ116" t="str">
        <f t="shared" si="35"/>
        <v>Jackson</v>
      </c>
      <c r="AR116">
        <f t="shared" si="35"/>
        <v>0</v>
      </c>
      <c r="AS116">
        <f t="shared" si="35"/>
        <v>0</v>
      </c>
      <c r="AT116">
        <f t="shared" si="35"/>
        <v>0</v>
      </c>
      <c r="AU116">
        <f t="shared" si="35"/>
        <v>0</v>
      </c>
      <c r="AV116">
        <f t="shared" si="35"/>
        <v>0</v>
      </c>
      <c r="AW116">
        <f t="shared" si="35"/>
        <v>0</v>
      </c>
      <c r="AX116">
        <f t="shared" si="35"/>
        <v>0</v>
      </c>
      <c r="AY116" t="str">
        <f t="shared" si="36"/>
        <v>Ferrin</v>
      </c>
      <c r="AZ116">
        <f t="shared" si="36"/>
        <v>0</v>
      </c>
      <c r="BA116">
        <f t="shared" si="36"/>
        <v>0</v>
      </c>
      <c r="BB116">
        <f t="shared" si="36"/>
        <v>0</v>
      </c>
      <c r="BC116">
        <f t="shared" si="36"/>
        <v>0</v>
      </c>
      <c r="BD116">
        <f t="shared" si="36"/>
        <v>0</v>
      </c>
      <c r="BE116">
        <f t="shared" si="36"/>
        <v>0</v>
      </c>
      <c r="BF116">
        <f t="shared" si="36"/>
        <v>0</v>
      </c>
      <c r="BG116">
        <f t="shared" si="36"/>
        <v>0</v>
      </c>
      <c r="BH116">
        <f t="shared" si="36"/>
        <v>0</v>
      </c>
      <c r="BI116">
        <f t="shared" si="37"/>
        <v>0</v>
      </c>
      <c r="BJ116">
        <f t="shared" si="37"/>
        <v>0</v>
      </c>
      <c r="BK116">
        <f t="shared" si="37"/>
        <v>0</v>
      </c>
      <c r="BL116">
        <f t="shared" si="37"/>
        <v>0</v>
      </c>
      <c r="BM116">
        <f t="shared" si="37"/>
        <v>0</v>
      </c>
      <c r="BN116">
        <f t="shared" si="37"/>
        <v>0</v>
      </c>
      <c r="BO116">
        <f t="shared" si="37"/>
        <v>0</v>
      </c>
      <c r="BP116">
        <f t="shared" si="37"/>
        <v>0</v>
      </c>
      <c r="BQ116">
        <f t="shared" si="37"/>
        <v>0</v>
      </c>
      <c r="BR116">
        <f t="shared" si="37"/>
        <v>0</v>
      </c>
      <c r="BS116">
        <f t="shared" si="37"/>
        <v>0</v>
      </c>
    </row>
    <row r="117" spans="2:71" ht="15" customHeight="1" x14ac:dyDescent="0.2">
      <c r="B117">
        <v>16</v>
      </c>
      <c r="C117">
        <v>1</v>
      </c>
      <c r="D117">
        <v>3</v>
      </c>
      <c r="E117" t="s">
        <v>189</v>
      </c>
      <c r="F117" t="s">
        <v>72</v>
      </c>
      <c r="G117" s="5">
        <v>42168</v>
      </c>
      <c r="H117" t="s">
        <v>97</v>
      </c>
      <c r="I117" t="s">
        <v>167</v>
      </c>
      <c r="J117" t="s">
        <v>168</v>
      </c>
      <c r="K117">
        <v>9</v>
      </c>
      <c r="L117" t="s">
        <v>90</v>
      </c>
      <c r="M117" t="s">
        <v>169</v>
      </c>
      <c r="N117" t="s">
        <v>78</v>
      </c>
      <c r="O117">
        <v>70.900000000000006</v>
      </c>
      <c r="P117">
        <v>133</v>
      </c>
      <c r="Q117">
        <v>5980</v>
      </c>
      <c r="R117" t="s">
        <v>145</v>
      </c>
      <c r="S117" t="s">
        <v>80</v>
      </c>
      <c r="T117" t="s">
        <v>83</v>
      </c>
      <c r="U117" t="s">
        <v>48</v>
      </c>
      <c r="V117" t="s">
        <v>58</v>
      </c>
      <c r="W117" t="s">
        <v>123</v>
      </c>
      <c r="X117">
        <v>13.044247787610599</v>
      </c>
      <c r="Y117" t="s">
        <v>60</v>
      </c>
      <c r="Z117">
        <v>16.957522123893799</v>
      </c>
      <c r="AA117">
        <v>1</v>
      </c>
      <c r="AB117" t="s">
        <v>33</v>
      </c>
      <c r="AC117" t="s">
        <v>190</v>
      </c>
      <c r="AE117" t="str">
        <f t="shared" si="22"/>
        <v>GrayZimmer</v>
      </c>
      <c r="AF117">
        <v>0</v>
      </c>
      <c r="AG117">
        <v>0</v>
      </c>
      <c r="AH117">
        <v>1</v>
      </c>
      <c r="AI117">
        <v>0</v>
      </c>
      <c r="AJ117">
        <v>0</v>
      </c>
      <c r="AK117" t="s">
        <v>50</v>
      </c>
      <c r="AL117">
        <v>0.59523809523809501</v>
      </c>
      <c r="AM117" t="s">
        <v>42</v>
      </c>
      <c r="AN117">
        <v>0.6171875</v>
      </c>
      <c r="AO117">
        <f t="shared" si="35"/>
        <v>0</v>
      </c>
      <c r="AP117">
        <f t="shared" si="35"/>
        <v>0</v>
      </c>
      <c r="AQ117">
        <f t="shared" si="35"/>
        <v>0</v>
      </c>
      <c r="AR117">
        <f t="shared" si="35"/>
        <v>0</v>
      </c>
      <c r="AS117">
        <f t="shared" si="35"/>
        <v>0</v>
      </c>
      <c r="AT117">
        <f t="shared" si="35"/>
        <v>0</v>
      </c>
      <c r="AU117">
        <f t="shared" si="35"/>
        <v>0</v>
      </c>
      <c r="AV117">
        <f t="shared" si="35"/>
        <v>0</v>
      </c>
      <c r="AW117">
        <f t="shared" si="35"/>
        <v>0</v>
      </c>
      <c r="AX117">
        <f t="shared" si="35"/>
        <v>0</v>
      </c>
      <c r="AY117">
        <f t="shared" si="36"/>
        <v>0</v>
      </c>
      <c r="AZ117">
        <f t="shared" si="36"/>
        <v>0</v>
      </c>
      <c r="BA117">
        <f t="shared" si="36"/>
        <v>0</v>
      </c>
      <c r="BB117">
        <f t="shared" si="36"/>
        <v>0</v>
      </c>
      <c r="BC117">
        <f t="shared" si="36"/>
        <v>0</v>
      </c>
      <c r="BD117">
        <f t="shared" si="36"/>
        <v>0</v>
      </c>
      <c r="BE117">
        <f t="shared" si="36"/>
        <v>0</v>
      </c>
      <c r="BF117">
        <f t="shared" si="36"/>
        <v>0</v>
      </c>
      <c r="BG117" t="str">
        <f t="shared" si="36"/>
        <v>Gray</v>
      </c>
      <c r="BH117">
        <f t="shared" si="36"/>
        <v>0</v>
      </c>
      <c r="BI117" t="str">
        <f t="shared" si="37"/>
        <v>Zimmer</v>
      </c>
      <c r="BJ117">
        <f t="shared" si="37"/>
        <v>0</v>
      </c>
      <c r="BK117">
        <f t="shared" si="37"/>
        <v>0</v>
      </c>
      <c r="BL117">
        <f t="shared" si="37"/>
        <v>0</v>
      </c>
      <c r="BM117">
        <f t="shared" si="37"/>
        <v>0</v>
      </c>
      <c r="BN117">
        <f t="shared" si="37"/>
        <v>0</v>
      </c>
      <c r="BO117">
        <f t="shared" si="37"/>
        <v>0</v>
      </c>
      <c r="BP117">
        <f t="shared" si="37"/>
        <v>0</v>
      </c>
      <c r="BQ117">
        <f t="shared" si="37"/>
        <v>0</v>
      </c>
      <c r="BR117">
        <f t="shared" si="37"/>
        <v>0</v>
      </c>
      <c r="BS117">
        <f t="shared" si="37"/>
        <v>0</v>
      </c>
    </row>
    <row r="118" spans="2:71" ht="15" customHeight="1" x14ac:dyDescent="0.2">
      <c r="B118">
        <v>17</v>
      </c>
      <c r="C118">
        <v>2</v>
      </c>
      <c r="D118">
        <v>3</v>
      </c>
      <c r="E118" t="s">
        <v>191</v>
      </c>
      <c r="F118" t="s">
        <v>72</v>
      </c>
      <c r="G118" s="5">
        <v>42168</v>
      </c>
      <c r="H118" t="s">
        <v>97</v>
      </c>
      <c r="I118" t="s">
        <v>167</v>
      </c>
      <c r="J118" t="s">
        <v>168</v>
      </c>
      <c r="K118">
        <v>9</v>
      </c>
      <c r="L118" t="s">
        <v>90</v>
      </c>
      <c r="M118" t="s">
        <v>169</v>
      </c>
      <c r="N118" t="s">
        <v>78</v>
      </c>
      <c r="O118">
        <v>70.900000000000006</v>
      </c>
      <c r="P118">
        <v>133</v>
      </c>
      <c r="Q118">
        <v>5980</v>
      </c>
      <c r="R118" t="s">
        <v>145</v>
      </c>
      <c r="S118" t="s">
        <v>80</v>
      </c>
      <c r="T118" t="s">
        <v>83</v>
      </c>
      <c r="U118" t="s">
        <v>48</v>
      </c>
      <c r="V118" t="s">
        <v>45</v>
      </c>
      <c r="W118" t="s">
        <v>123</v>
      </c>
      <c r="X118">
        <v>10.7911504424779</v>
      </c>
      <c r="Y118" t="s">
        <v>41</v>
      </c>
      <c r="Z118">
        <v>21.226548672566398</v>
      </c>
      <c r="AA118">
        <v>1</v>
      </c>
      <c r="AB118" t="s">
        <v>32</v>
      </c>
      <c r="AC118" t="s">
        <v>192</v>
      </c>
      <c r="AE118" t="str">
        <f t="shared" si="22"/>
        <v>ConnollyHilts</v>
      </c>
      <c r="AF118">
        <v>1</v>
      </c>
      <c r="AG118">
        <v>1</v>
      </c>
      <c r="AH118">
        <v>0</v>
      </c>
      <c r="AI118">
        <v>0</v>
      </c>
      <c r="AJ118">
        <v>1</v>
      </c>
      <c r="AK118" t="s">
        <v>44</v>
      </c>
      <c r="AL118">
        <v>0.4296875</v>
      </c>
      <c r="AM118" t="s">
        <v>49</v>
      </c>
      <c r="AO118">
        <f t="shared" si="35"/>
        <v>0</v>
      </c>
      <c r="AP118" t="str">
        <f t="shared" si="35"/>
        <v>Hilts</v>
      </c>
      <c r="AQ118">
        <f t="shared" si="35"/>
        <v>0</v>
      </c>
      <c r="AR118">
        <f t="shared" si="35"/>
        <v>0</v>
      </c>
      <c r="AS118">
        <f t="shared" si="35"/>
        <v>0</v>
      </c>
      <c r="AT118" t="str">
        <f t="shared" si="35"/>
        <v>Connolly</v>
      </c>
      <c r="AU118">
        <f t="shared" si="35"/>
        <v>0</v>
      </c>
      <c r="AV118">
        <f t="shared" si="35"/>
        <v>0</v>
      </c>
      <c r="AW118">
        <f t="shared" si="35"/>
        <v>0</v>
      </c>
      <c r="AX118">
        <f t="shared" si="35"/>
        <v>0</v>
      </c>
      <c r="AY118">
        <f t="shared" si="36"/>
        <v>0</v>
      </c>
      <c r="AZ118">
        <f t="shared" si="36"/>
        <v>0</v>
      </c>
      <c r="BA118">
        <f t="shared" si="36"/>
        <v>0</v>
      </c>
      <c r="BB118">
        <f t="shared" si="36"/>
        <v>0</v>
      </c>
      <c r="BC118">
        <f t="shared" si="36"/>
        <v>0</v>
      </c>
      <c r="BD118">
        <f t="shared" si="36"/>
        <v>0</v>
      </c>
      <c r="BE118">
        <f t="shared" si="36"/>
        <v>0</v>
      </c>
      <c r="BF118">
        <f t="shared" si="36"/>
        <v>0</v>
      </c>
      <c r="BG118">
        <f t="shared" si="36"/>
        <v>0</v>
      </c>
      <c r="BH118">
        <f t="shared" si="36"/>
        <v>0</v>
      </c>
      <c r="BI118">
        <f t="shared" si="37"/>
        <v>0</v>
      </c>
      <c r="BJ118">
        <f t="shared" si="37"/>
        <v>0</v>
      </c>
      <c r="BK118">
        <f t="shared" si="37"/>
        <v>0</v>
      </c>
      <c r="BL118">
        <f t="shared" si="37"/>
        <v>0</v>
      </c>
      <c r="BM118">
        <f t="shared" si="37"/>
        <v>0</v>
      </c>
      <c r="BN118">
        <f t="shared" si="37"/>
        <v>0</v>
      </c>
      <c r="BO118">
        <f t="shared" si="37"/>
        <v>0</v>
      </c>
      <c r="BP118">
        <f t="shared" si="37"/>
        <v>0</v>
      </c>
      <c r="BQ118">
        <f t="shared" si="37"/>
        <v>0</v>
      </c>
      <c r="BR118">
        <f t="shared" si="37"/>
        <v>0</v>
      </c>
      <c r="BS118">
        <f t="shared" si="37"/>
        <v>0</v>
      </c>
    </row>
    <row r="119" spans="2:71" ht="15" customHeight="1" x14ac:dyDescent="0.2">
      <c r="B119">
        <v>17</v>
      </c>
      <c r="C119">
        <v>2</v>
      </c>
      <c r="D119">
        <v>3</v>
      </c>
      <c r="E119" t="s">
        <v>191</v>
      </c>
      <c r="F119" t="s">
        <v>72</v>
      </c>
      <c r="G119" s="5">
        <v>42168</v>
      </c>
      <c r="H119" t="s">
        <v>97</v>
      </c>
      <c r="I119" t="s">
        <v>167</v>
      </c>
      <c r="J119" t="s">
        <v>168</v>
      </c>
      <c r="K119">
        <v>9</v>
      </c>
      <c r="L119" t="s">
        <v>90</v>
      </c>
      <c r="M119" t="s">
        <v>169</v>
      </c>
      <c r="N119" t="s">
        <v>78</v>
      </c>
      <c r="O119">
        <v>70.900000000000006</v>
      </c>
      <c r="P119">
        <v>133</v>
      </c>
      <c r="Q119">
        <v>5980</v>
      </c>
      <c r="R119" t="s">
        <v>145</v>
      </c>
      <c r="S119" t="s">
        <v>80</v>
      </c>
      <c r="T119" t="s">
        <v>81</v>
      </c>
      <c r="U119" t="s">
        <v>49</v>
      </c>
      <c r="V119" t="s">
        <v>44</v>
      </c>
      <c r="W119" t="s">
        <v>170</v>
      </c>
      <c r="X119">
        <v>16</v>
      </c>
      <c r="Y119" t="s">
        <v>49</v>
      </c>
      <c r="Z119">
        <v>21</v>
      </c>
      <c r="AA119">
        <v>1</v>
      </c>
      <c r="AB119" t="s">
        <v>33</v>
      </c>
      <c r="AC119" t="s">
        <v>192</v>
      </c>
      <c r="AE119" t="str">
        <f t="shared" si="22"/>
        <v>FlandersShively</v>
      </c>
      <c r="AF119">
        <v>0</v>
      </c>
      <c r="AG119">
        <v>0</v>
      </c>
      <c r="AH119">
        <v>1</v>
      </c>
      <c r="AI119">
        <v>0</v>
      </c>
      <c r="AJ119">
        <v>0</v>
      </c>
      <c r="AK119" t="s">
        <v>45</v>
      </c>
      <c r="AL119">
        <v>0.59375</v>
      </c>
      <c r="AM119" t="s">
        <v>41</v>
      </c>
      <c r="AN119">
        <v>0.47321428571428598</v>
      </c>
      <c r="AO119">
        <f t="shared" si="35"/>
        <v>0</v>
      </c>
      <c r="AP119">
        <f t="shared" si="35"/>
        <v>0</v>
      </c>
      <c r="AQ119">
        <f t="shared" si="35"/>
        <v>0</v>
      </c>
      <c r="AR119">
        <f t="shared" si="35"/>
        <v>0</v>
      </c>
      <c r="AS119" t="str">
        <f t="shared" si="35"/>
        <v>Flanders</v>
      </c>
      <c r="AT119">
        <f t="shared" si="35"/>
        <v>0</v>
      </c>
      <c r="AU119">
        <f t="shared" si="35"/>
        <v>0</v>
      </c>
      <c r="AV119">
        <f t="shared" si="35"/>
        <v>0</v>
      </c>
      <c r="AW119">
        <f t="shared" si="35"/>
        <v>0</v>
      </c>
      <c r="AX119" t="str">
        <f t="shared" si="35"/>
        <v>Shively</v>
      </c>
      <c r="AY119">
        <f t="shared" si="36"/>
        <v>0</v>
      </c>
      <c r="AZ119">
        <f t="shared" si="36"/>
        <v>0</v>
      </c>
      <c r="BA119">
        <f t="shared" si="36"/>
        <v>0</v>
      </c>
      <c r="BB119">
        <f t="shared" si="36"/>
        <v>0</v>
      </c>
      <c r="BC119">
        <f t="shared" si="36"/>
        <v>0</v>
      </c>
      <c r="BD119">
        <f t="shared" si="36"/>
        <v>0</v>
      </c>
      <c r="BE119">
        <f t="shared" si="36"/>
        <v>0</v>
      </c>
      <c r="BF119">
        <f t="shared" si="36"/>
        <v>0</v>
      </c>
      <c r="BG119">
        <f t="shared" si="36"/>
        <v>0</v>
      </c>
      <c r="BH119">
        <f t="shared" si="36"/>
        <v>0</v>
      </c>
      <c r="BI119">
        <f t="shared" si="37"/>
        <v>0</v>
      </c>
      <c r="BJ119">
        <f t="shared" si="37"/>
        <v>0</v>
      </c>
      <c r="BK119">
        <f t="shared" si="37"/>
        <v>0</v>
      </c>
      <c r="BL119">
        <f t="shared" si="37"/>
        <v>0</v>
      </c>
      <c r="BM119">
        <f t="shared" si="37"/>
        <v>0</v>
      </c>
      <c r="BN119">
        <f t="shared" si="37"/>
        <v>0</v>
      </c>
      <c r="BO119">
        <f t="shared" si="37"/>
        <v>0</v>
      </c>
      <c r="BP119">
        <f t="shared" si="37"/>
        <v>0</v>
      </c>
      <c r="BQ119">
        <f t="shared" si="37"/>
        <v>0</v>
      </c>
      <c r="BR119">
        <f t="shared" si="37"/>
        <v>0</v>
      </c>
      <c r="BS119">
        <f t="shared" si="37"/>
        <v>0</v>
      </c>
    </row>
    <row r="120" spans="2:71" ht="15" customHeight="1" x14ac:dyDescent="0.2">
      <c r="B120">
        <v>18</v>
      </c>
      <c r="C120">
        <v>3</v>
      </c>
      <c r="D120">
        <v>3</v>
      </c>
      <c r="E120" t="s">
        <v>193</v>
      </c>
      <c r="F120" t="s">
        <v>72</v>
      </c>
      <c r="G120" s="5">
        <v>42168</v>
      </c>
      <c r="H120" t="s">
        <v>97</v>
      </c>
      <c r="I120" t="s">
        <v>167</v>
      </c>
      <c r="J120" t="s">
        <v>168</v>
      </c>
      <c r="K120">
        <v>9</v>
      </c>
      <c r="L120" t="s">
        <v>90</v>
      </c>
      <c r="M120" t="s">
        <v>169</v>
      </c>
      <c r="N120" t="s">
        <v>78</v>
      </c>
      <c r="O120">
        <v>70.900000000000006</v>
      </c>
      <c r="P120">
        <v>133</v>
      </c>
      <c r="Q120">
        <v>5980</v>
      </c>
      <c r="R120" t="s">
        <v>145</v>
      </c>
      <c r="S120" t="s">
        <v>80</v>
      </c>
      <c r="T120" t="s">
        <v>81</v>
      </c>
      <c r="U120" t="s">
        <v>49</v>
      </c>
      <c r="V120" t="s">
        <v>52</v>
      </c>
      <c r="W120" t="s">
        <v>170</v>
      </c>
      <c r="X120">
        <v>20</v>
      </c>
      <c r="Y120" t="s">
        <v>40</v>
      </c>
      <c r="Z120">
        <v>17</v>
      </c>
      <c r="AA120">
        <v>1</v>
      </c>
      <c r="AB120" t="s">
        <v>33</v>
      </c>
      <c r="AC120" t="s">
        <v>194</v>
      </c>
      <c r="AE120" t="str">
        <f t="shared" si="22"/>
        <v>ConnorsGrise</v>
      </c>
      <c r="AF120">
        <v>0</v>
      </c>
      <c r="AG120">
        <v>0</v>
      </c>
      <c r="AH120">
        <v>1</v>
      </c>
      <c r="AI120">
        <v>0</v>
      </c>
      <c r="AJ120">
        <v>0</v>
      </c>
      <c r="AK120" t="s">
        <v>54</v>
      </c>
      <c r="AL120">
        <v>0.37288135593220301</v>
      </c>
      <c r="AM120" t="s">
        <v>56</v>
      </c>
      <c r="AN120">
        <v>0.5</v>
      </c>
      <c r="AO120" t="str">
        <f t="shared" si="35"/>
        <v>Grise</v>
      </c>
      <c r="AP120">
        <f t="shared" si="35"/>
        <v>0</v>
      </c>
      <c r="AQ120">
        <f t="shared" si="35"/>
        <v>0</v>
      </c>
      <c r="AR120">
        <f t="shared" si="35"/>
        <v>0</v>
      </c>
      <c r="AS120">
        <f t="shared" si="35"/>
        <v>0</v>
      </c>
      <c r="AT120">
        <f t="shared" si="35"/>
        <v>0</v>
      </c>
      <c r="AU120">
        <f t="shared" si="35"/>
        <v>0</v>
      </c>
      <c r="AV120">
        <f t="shared" si="35"/>
        <v>0</v>
      </c>
      <c r="AW120">
        <f t="shared" si="35"/>
        <v>0</v>
      </c>
      <c r="AX120">
        <f t="shared" si="35"/>
        <v>0</v>
      </c>
      <c r="AY120">
        <f t="shared" si="36"/>
        <v>0</v>
      </c>
      <c r="AZ120">
        <f t="shared" si="36"/>
        <v>0</v>
      </c>
      <c r="BA120" t="str">
        <f t="shared" si="36"/>
        <v>Connors</v>
      </c>
      <c r="BB120">
        <f t="shared" si="36"/>
        <v>0</v>
      </c>
      <c r="BC120">
        <f t="shared" si="36"/>
        <v>0</v>
      </c>
      <c r="BD120">
        <f t="shared" si="36"/>
        <v>0</v>
      </c>
      <c r="BE120">
        <f t="shared" si="36"/>
        <v>0</v>
      </c>
      <c r="BF120">
        <f t="shared" si="36"/>
        <v>0</v>
      </c>
      <c r="BG120">
        <f t="shared" si="36"/>
        <v>0</v>
      </c>
      <c r="BH120">
        <f t="shared" si="36"/>
        <v>0</v>
      </c>
      <c r="BI120">
        <f t="shared" si="37"/>
        <v>0</v>
      </c>
      <c r="BJ120">
        <f t="shared" si="37"/>
        <v>0</v>
      </c>
      <c r="BK120">
        <f t="shared" si="37"/>
        <v>0</v>
      </c>
      <c r="BL120">
        <f t="shared" si="37"/>
        <v>0</v>
      </c>
      <c r="BM120">
        <f t="shared" si="37"/>
        <v>0</v>
      </c>
      <c r="BN120">
        <f t="shared" si="37"/>
        <v>0</v>
      </c>
      <c r="BO120">
        <f t="shared" si="37"/>
        <v>0</v>
      </c>
      <c r="BP120">
        <f t="shared" si="37"/>
        <v>0</v>
      </c>
      <c r="BQ120">
        <f t="shared" si="37"/>
        <v>0</v>
      </c>
      <c r="BR120">
        <f t="shared" si="37"/>
        <v>0</v>
      </c>
      <c r="BS120">
        <f t="shared" si="37"/>
        <v>0</v>
      </c>
    </row>
    <row r="121" spans="2:71" ht="15" customHeight="1" x14ac:dyDescent="0.2">
      <c r="B121">
        <v>18</v>
      </c>
      <c r="C121">
        <v>3</v>
      </c>
      <c r="D121">
        <v>3</v>
      </c>
      <c r="E121" t="s">
        <v>193</v>
      </c>
      <c r="F121" t="s">
        <v>72</v>
      </c>
      <c r="G121" s="5">
        <v>42168</v>
      </c>
      <c r="H121" t="s">
        <v>97</v>
      </c>
      <c r="I121" t="s">
        <v>167</v>
      </c>
      <c r="J121" t="s">
        <v>168</v>
      </c>
      <c r="K121">
        <v>9</v>
      </c>
      <c r="L121" t="s">
        <v>90</v>
      </c>
      <c r="M121" t="s">
        <v>169</v>
      </c>
      <c r="N121" t="s">
        <v>78</v>
      </c>
      <c r="O121">
        <v>70.900000000000006</v>
      </c>
      <c r="P121">
        <v>133</v>
      </c>
      <c r="Q121">
        <v>5980</v>
      </c>
      <c r="R121" t="s">
        <v>145</v>
      </c>
      <c r="S121" t="s">
        <v>80</v>
      </c>
      <c r="T121" t="s">
        <v>83</v>
      </c>
      <c r="U121" t="s">
        <v>48</v>
      </c>
      <c r="V121" t="s">
        <v>54</v>
      </c>
      <c r="W121" t="s">
        <v>123</v>
      </c>
      <c r="X121">
        <v>30</v>
      </c>
      <c r="Y121" t="s">
        <v>56</v>
      </c>
      <c r="Z121">
        <v>19</v>
      </c>
      <c r="AA121">
        <v>1</v>
      </c>
      <c r="AB121" t="s">
        <v>32</v>
      </c>
      <c r="AC121" t="s">
        <v>194</v>
      </c>
      <c r="AE121" t="str">
        <f t="shared" si="22"/>
        <v>FoganWeisberger</v>
      </c>
      <c r="AF121">
        <v>1</v>
      </c>
      <c r="AG121">
        <v>1</v>
      </c>
      <c r="AH121">
        <v>0</v>
      </c>
      <c r="AI121">
        <v>0</v>
      </c>
      <c r="AJ121">
        <v>1</v>
      </c>
      <c r="AK121" t="s">
        <v>52</v>
      </c>
      <c r="AL121">
        <v>0.34745762711864397</v>
      </c>
      <c r="AM121" t="s">
        <v>40</v>
      </c>
      <c r="AN121">
        <v>0.546875</v>
      </c>
      <c r="AO121">
        <f t="shared" si="35"/>
        <v>0</v>
      </c>
      <c r="AP121">
        <f t="shared" si="35"/>
        <v>0</v>
      </c>
      <c r="AQ121">
        <f t="shared" si="35"/>
        <v>0</v>
      </c>
      <c r="AR121">
        <f t="shared" si="35"/>
        <v>0</v>
      </c>
      <c r="AS121">
        <f t="shared" si="35"/>
        <v>0</v>
      </c>
      <c r="AT121">
        <f t="shared" si="35"/>
        <v>0</v>
      </c>
      <c r="AU121">
        <f t="shared" si="35"/>
        <v>0</v>
      </c>
      <c r="AV121">
        <f t="shared" si="35"/>
        <v>0</v>
      </c>
      <c r="AW121">
        <f t="shared" si="35"/>
        <v>0</v>
      </c>
      <c r="AX121">
        <f t="shared" si="35"/>
        <v>0</v>
      </c>
      <c r="AY121">
        <f t="shared" si="36"/>
        <v>0</v>
      </c>
      <c r="AZ121">
        <f t="shared" si="36"/>
        <v>0</v>
      </c>
      <c r="BA121">
        <f t="shared" si="36"/>
        <v>0</v>
      </c>
      <c r="BB121">
        <f t="shared" si="36"/>
        <v>0</v>
      </c>
      <c r="BC121" t="str">
        <f t="shared" si="36"/>
        <v>Fogan</v>
      </c>
      <c r="BD121">
        <f t="shared" si="36"/>
        <v>0</v>
      </c>
      <c r="BE121" t="str">
        <f t="shared" si="36"/>
        <v>Weisberger</v>
      </c>
      <c r="BF121">
        <f t="shared" si="36"/>
        <v>0</v>
      </c>
      <c r="BG121">
        <f t="shared" si="36"/>
        <v>0</v>
      </c>
      <c r="BH121">
        <f t="shared" si="36"/>
        <v>0</v>
      </c>
      <c r="BI121">
        <f t="shared" si="37"/>
        <v>0</v>
      </c>
      <c r="BJ121">
        <f t="shared" si="37"/>
        <v>0</v>
      </c>
      <c r="BK121">
        <f t="shared" si="37"/>
        <v>0</v>
      </c>
      <c r="BL121">
        <f t="shared" si="37"/>
        <v>0</v>
      </c>
      <c r="BM121">
        <f t="shared" si="37"/>
        <v>0</v>
      </c>
      <c r="BN121">
        <f t="shared" si="37"/>
        <v>0</v>
      </c>
      <c r="BO121">
        <f t="shared" si="37"/>
        <v>0</v>
      </c>
      <c r="BP121">
        <f t="shared" si="37"/>
        <v>0</v>
      </c>
      <c r="BQ121">
        <f t="shared" si="37"/>
        <v>0</v>
      </c>
      <c r="BR121">
        <f t="shared" si="37"/>
        <v>0</v>
      </c>
      <c r="BS121">
        <f t="shared" si="37"/>
        <v>0</v>
      </c>
    </row>
    <row r="122" spans="2:71" ht="15" customHeight="1" x14ac:dyDescent="0.2">
      <c r="B122">
        <v>19</v>
      </c>
      <c r="C122">
        <v>4</v>
      </c>
      <c r="D122">
        <v>3</v>
      </c>
      <c r="E122" t="s">
        <v>195</v>
      </c>
      <c r="F122" t="s">
        <v>72</v>
      </c>
      <c r="G122" s="5">
        <v>42168</v>
      </c>
      <c r="H122" t="s">
        <v>97</v>
      </c>
      <c r="I122" t="s">
        <v>167</v>
      </c>
      <c r="J122" t="s">
        <v>168</v>
      </c>
      <c r="K122">
        <v>9</v>
      </c>
      <c r="L122" t="s">
        <v>90</v>
      </c>
      <c r="M122" t="s">
        <v>169</v>
      </c>
      <c r="N122" t="s">
        <v>78</v>
      </c>
      <c r="O122">
        <v>70.900000000000006</v>
      </c>
      <c r="P122">
        <v>133</v>
      </c>
      <c r="Q122">
        <v>5980</v>
      </c>
      <c r="R122" t="s">
        <v>145</v>
      </c>
      <c r="S122" t="s">
        <v>80</v>
      </c>
      <c r="T122" t="s">
        <v>83</v>
      </c>
      <c r="U122" t="s">
        <v>48</v>
      </c>
      <c r="V122" t="s">
        <v>47</v>
      </c>
      <c r="W122" t="s">
        <v>123</v>
      </c>
      <c r="X122">
        <v>22</v>
      </c>
      <c r="Y122" t="s">
        <v>48</v>
      </c>
      <c r="Z122">
        <v>19</v>
      </c>
      <c r="AA122">
        <v>1</v>
      </c>
      <c r="AB122" t="s">
        <v>32</v>
      </c>
      <c r="AC122" t="s">
        <v>196</v>
      </c>
      <c r="AE122" t="str">
        <f t="shared" si="22"/>
        <v>HickersonLynch</v>
      </c>
      <c r="AF122">
        <v>1</v>
      </c>
      <c r="AG122">
        <v>1</v>
      </c>
      <c r="AH122">
        <v>0</v>
      </c>
      <c r="AI122">
        <v>0</v>
      </c>
      <c r="AJ122">
        <v>1</v>
      </c>
      <c r="AK122" t="s">
        <v>57</v>
      </c>
      <c r="AL122">
        <v>0.44827586206896602</v>
      </c>
      <c r="AM122" t="s">
        <v>46</v>
      </c>
      <c r="AN122">
        <v>0.38392857142857201</v>
      </c>
      <c r="AO122">
        <f t="shared" ref="AO122:AX131" si="38">IF(OR($V122=AO$1,$Y122=AO$1),AO$1,0)</f>
        <v>0</v>
      </c>
      <c r="AP122">
        <f t="shared" si="38"/>
        <v>0</v>
      </c>
      <c r="AQ122">
        <f t="shared" si="38"/>
        <v>0</v>
      </c>
      <c r="AR122">
        <f t="shared" si="38"/>
        <v>0</v>
      </c>
      <c r="AS122">
        <f t="shared" si="38"/>
        <v>0</v>
      </c>
      <c r="AT122">
        <f t="shared" si="38"/>
        <v>0</v>
      </c>
      <c r="AU122">
        <f t="shared" si="38"/>
        <v>0</v>
      </c>
      <c r="AV122" t="str">
        <f t="shared" si="38"/>
        <v>Hickerson</v>
      </c>
      <c r="AW122" t="str">
        <f t="shared" si="38"/>
        <v>Lynch</v>
      </c>
      <c r="AX122">
        <f t="shared" si="38"/>
        <v>0</v>
      </c>
      <c r="AY122">
        <f t="shared" ref="AY122:BH131" si="39">IF(OR($V122=AY$1,$Y122=AY$1),AY$1,0)</f>
        <v>0</v>
      </c>
      <c r="AZ122">
        <f t="shared" si="39"/>
        <v>0</v>
      </c>
      <c r="BA122">
        <f t="shared" si="39"/>
        <v>0</v>
      </c>
      <c r="BB122">
        <f t="shared" si="39"/>
        <v>0</v>
      </c>
      <c r="BC122">
        <f t="shared" si="39"/>
        <v>0</v>
      </c>
      <c r="BD122">
        <f t="shared" si="39"/>
        <v>0</v>
      </c>
      <c r="BE122">
        <f t="shared" si="39"/>
        <v>0</v>
      </c>
      <c r="BF122">
        <f t="shared" si="39"/>
        <v>0</v>
      </c>
      <c r="BG122">
        <f t="shared" si="39"/>
        <v>0</v>
      </c>
      <c r="BH122">
        <f t="shared" si="39"/>
        <v>0</v>
      </c>
      <c r="BI122">
        <f t="shared" ref="BI122:BS131" si="40">IF(OR($V122=BI$1,$Y122=BI$1),BI$1,0)</f>
        <v>0</v>
      </c>
      <c r="BJ122">
        <f t="shared" si="40"/>
        <v>0</v>
      </c>
      <c r="BK122">
        <f t="shared" si="40"/>
        <v>0</v>
      </c>
      <c r="BL122">
        <f t="shared" si="40"/>
        <v>0</v>
      </c>
      <c r="BM122">
        <f t="shared" si="40"/>
        <v>0</v>
      </c>
      <c r="BN122">
        <f t="shared" si="40"/>
        <v>0</v>
      </c>
      <c r="BO122">
        <f t="shared" si="40"/>
        <v>0</v>
      </c>
      <c r="BP122">
        <f t="shared" si="40"/>
        <v>0</v>
      </c>
      <c r="BQ122">
        <f t="shared" si="40"/>
        <v>0</v>
      </c>
      <c r="BR122">
        <f t="shared" si="40"/>
        <v>0</v>
      </c>
      <c r="BS122">
        <f t="shared" si="40"/>
        <v>0</v>
      </c>
    </row>
    <row r="123" spans="2:71" ht="15" customHeight="1" x14ac:dyDescent="0.2">
      <c r="B123">
        <v>19</v>
      </c>
      <c r="C123">
        <v>4</v>
      </c>
      <c r="D123">
        <v>3</v>
      </c>
      <c r="E123" t="s">
        <v>195</v>
      </c>
      <c r="F123" t="s">
        <v>72</v>
      </c>
      <c r="G123" s="5">
        <v>42168</v>
      </c>
      <c r="H123" t="s">
        <v>97</v>
      </c>
      <c r="I123" t="s">
        <v>167</v>
      </c>
      <c r="J123" t="s">
        <v>168</v>
      </c>
      <c r="K123">
        <v>9</v>
      </c>
      <c r="L123" t="s">
        <v>90</v>
      </c>
      <c r="M123" t="s">
        <v>169</v>
      </c>
      <c r="N123" t="s">
        <v>78</v>
      </c>
      <c r="O123">
        <v>70.900000000000006</v>
      </c>
      <c r="P123">
        <v>133</v>
      </c>
      <c r="Q123">
        <v>5980</v>
      </c>
      <c r="R123" t="s">
        <v>145</v>
      </c>
      <c r="S123" t="s">
        <v>80</v>
      </c>
      <c r="T123" t="s">
        <v>81</v>
      </c>
      <c r="U123" t="s">
        <v>49</v>
      </c>
      <c r="V123" t="s">
        <v>57</v>
      </c>
      <c r="W123" t="s">
        <v>170</v>
      </c>
      <c r="X123">
        <v>16</v>
      </c>
      <c r="Y123" t="s">
        <v>46</v>
      </c>
      <c r="Z123">
        <v>19</v>
      </c>
      <c r="AA123">
        <v>1</v>
      </c>
      <c r="AB123" t="s">
        <v>33</v>
      </c>
      <c r="AC123" t="s">
        <v>196</v>
      </c>
      <c r="AE123" t="str">
        <f t="shared" si="22"/>
        <v>BussMangold</v>
      </c>
      <c r="AF123">
        <v>0</v>
      </c>
      <c r="AG123">
        <v>0</v>
      </c>
      <c r="AH123">
        <v>1</v>
      </c>
      <c r="AI123">
        <v>0</v>
      </c>
      <c r="AJ123">
        <v>0</v>
      </c>
      <c r="AK123" t="s">
        <v>47</v>
      </c>
      <c r="AL123">
        <v>0.35714285714285698</v>
      </c>
      <c r="AM123" t="s">
        <v>48</v>
      </c>
      <c r="AN123">
        <v>0.5546875</v>
      </c>
      <c r="AO123">
        <f t="shared" si="38"/>
        <v>0</v>
      </c>
      <c r="AP123">
        <f t="shared" si="38"/>
        <v>0</v>
      </c>
      <c r="AQ123">
        <f t="shared" si="38"/>
        <v>0</v>
      </c>
      <c r="AR123">
        <f t="shared" si="38"/>
        <v>0</v>
      </c>
      <c r="AS123">
        <f t="shared" si="38"/>
        <v>0</v>
      </c>
      <c r="AT123">
        <f t="shared" si="38"/>
        <v>0</v>
      </c>
      <c r="AU123" t="str">
        <f t="shared" si="38"/>
        <v>Mangold</v>
      </c>
      <c r="AV123">
        <f t="shared" si="38"/>
        <v>0</v>
      </c>
      <c r="AW123">
        <f t="shared" si="38"/>
        <v>0</v>
      </c>
      <c r="AX123">
        <f t="shared" si="38"/>
        <v>0</v>
      </c>
      <c r="AY123">
        <f t="shared" si="39"/>
        <v>0</v>
      </c>
      <c r="AZ123">
        <f t="shared" si="39"/>
        <v>0</v>
      </c>
      <c r="BA123">
        <f t="shared" si="39"/>
        <v>0</v>
      </c>
      <c r="BB123">
        <f t="shared" si="39"/>
        <v>0</v>
      </c>
      <c r="BC123">
        <f t="shared" si="39"/>
        <v>0</v>
      </c>
      <c r="BD123">
        <f t="shared" si="39"/>
        <v>0</v>
      </c>
      <c r="BE123">
        <f t="shared" si="39"/>
        <v>0</v>
      </c>
      <c r="BF123" t="str">
        <f t="shared" si="39"/>
        <v>Buss</v>
      </c>
      <c r="BG123">
        <f t="shared" si="39"/>
        <v>0</v>
      </c>
      <c r="BH123">
        <f t="shared" si="39"/>
        <v>0</v>
      </c>
      <c r="BI123">
        <f t="shared" si="40"/>
        <v>0</v>
      </c>
      <c r="BJ123">
        <f t="shared" si="40"/>
        <v>0</v>
      </c>
      <c r="BK123">
        <f t="shared" si="40"/>
        <v>0</v>
      </c>
      <c r="BL123">
        <f t="shared" si="40"/>
        <v>0</v>
      </c>
      <c r="BM123">
        <f t="shared" si="40"/>
        <v>0</v>
      </c>
      <c r="BN123">
        <f t="shared" si="40"/>
        <v>0</v>
      </c>
      <c r="BO123">
        <f t="shared" si="40"/>
        <v>0</v>
      </c>
      <c r="BP123">
        <f t="shared" si="40"/>
        <v>0</v>
      </c>
      <c r="BQ123">
        <f t="shared" si="40"/>
        <v>0</v>
      </c>
      <c r="BR123">
        <f t="shared" si="40"/>
        <v>0</v>
      </c>
      <c r="BS123">
        <f t="shared" si="40"/>
        <v>0</v>
      </c>
    </row>
    <row r="124" spans="2:71" ht="15" customHeight="1" x14ac:dyDescent="0.2">
      <c r="B124">
        <v>20</v>
      </c>
      <c r="C124">
        <v>5</v>
      </c>
      <c r="D124">
        <v>3</v>
      </c>
      <c r="E124" t="s">
        <v>197</v>
      </c>
      <c r="F124" t="s">
        <v>72</v>
      </c>
      <c r="G124" s="5">
        <v>42168</v>
      </c>
      <c r="H124" t="s">
        <v>97</v>
      </c>
      <c r="I124" t="s">
        <v>167</v>
      </c>
      <c r="J124" t="s">
        <v>168</v>
      </c>
      <c r="K124">
        <v>9</v>
      </c>
      <c r="L124" t="s">
        <v>90</v>
      </c>
      <c r="M124" t="s">
        <v>169</v>
      </c>
      <c r="N124" t="s">
        <v>78</v>
      </c>
      <c r="O124">
        <v>70.900000000000006</v>
      </c>
      <c r="P124">
        <v>133</v>
      </c>
      <c r="Q124">
        <v>5980</v>
      </c>
      <c r="R124" t="s">
        <v>145</v>
      </c>
      <c r="S124" t="s">
        <v>80</v>
      </c>
      <c r="T124" t="s">
        <v>81</v>
      </c>
      <c r="U124" t="s">
        <v>49</v>
      </c>
      <c r="V124" t="s">
        <v>53</v>
      </c>
      <c r="W124" t="s">
        <v>170</v>
      </c>
      <c r="X124">
        <v>29.646017699115099</v>
      </c>
      <c r="Y124" t="s">
        <v>59</v>
      </c>
      <c r="Z124">
        <v>22.1752212389381</v>
      </c>
      <c r="AA124">
        <v>1</v>
      </c>
      <c r="AB124" t="s">
        <v>34</v>
      </c>
      <c r="AC124" t="s">
        <v>198</v>
      </c>
      <c r="AE124" t="str">
        <f t="shared" si="22"/>
        <v>ForsterNorat</v>
      </c>
      <c r="AF124">
        <v>0.5</v>
      </c>
      <c r="AG124">
        <v>0</v>
      </c>
      <c r="AH124">
        <v>0</v>
      </c>
      <c r="AI124">
        <v>1</v>
      </c>
      <c r="AJ124">
        <v>0.5</v>
      </c>
      <c r="AK124" t="s">
        <v>55</v>
      </c>
      <c r="AL124">
        <v>0.44067796610169502</v>
      </c>
      <c r="AM124" t="s">
        <v>61</v>
      </c>
      <c r="AN124">
        <v>0.5</v>
      </c>
      <c r="AO124">
        <f t="shared" si="38"/>
        <v>0</v>
      </c>
      <c r="AP124">
        <f t="shared" si="38"/>
        <v>0</v>
      </c>
      <c r="AQ124">
        <f t="shared" si="38"/>
        <v>0</v>
      </c>
      <c r="AR124">
        <f t="shared" si="38"/>
        <v>0</v>
      </c>
      <c r="AS124">
        <f t="shared" si="38"/>
        <v>0</v>
      </c>
      <c r="AT124">
        <f t="shared" si="38"/>
        <v>0</v>
      </c>
      <c r="AU124">
        <f t="shared" si="38"/>
        <v>0</v>
      </c>
      <c r="AV124">
        <f t="shared" si="38"/>
        <v>0</v>
      </c>
      <c r="AW124">
        <f t="shared" si="38"/>
        <v>0</v>
      </c>
      <c r="AX124">
        <f t="shared" si="38"/>
        <v>0</v>
      </c>
      <c r="AY124">
        <f t="shared" si="39"/>
        <v>0</v>
      </c>
      <c r="AZ124">
        <f t="shared" si="39"/>
        <v>0</v>
      </c>
      <c r="BA124">
        <f t="shared" si="39"/>
        <v>0</v>
      </c>
      <c r="BB124" t="str">
        <f t="shared" si="39"/>
        <v>Forster</v>
      </c>
      <c r="BC124">
        <f t="shared" si="39"/>
        <v>0</v>
      </c>
      <c r="BD124">
        <f t="shared" si="39"/>
        <v>0</v>
      </c>
      <c r="BE124">
        <f t="shared" si="39"/>
        <v>0</v>
      </c>
      <c r="BF124">
        <f t="shared" si="39"/>
        <v>0</v>
      </c>
      <c r="BG124">
        <f t="shared" si="39"/>
        <v>0</v>
      </c>
      <c r="BH124" t="str">
        <f t="shared" si="39"/>
        <v>Norat</v>
      </c>
      <c r="BI124">
        <f t="shared" si="40"/>
        <v>0</v>
      </c>
      <c r="BJ124">
        <f t="shared" si="40"/>
        <v>0</v>
      </c>
      <c r="BK124">
        <f t="shared" si="40"/>
        <v>0</v>
      </c>
      <c r="BL124">
        <f t="shared" si="40"/>
        <v>0</v>
      </c>
      <c r="BM124">
        <f t="shared" si="40"/>
        <v>0</v>
      </c>
      <c r="BN124">
        <f t="shared" si="40"/>
        <v>0</v>
      </c>
      <c r="BO124">
        <f t="shared" si="40"/>
        <v>0</v>
      </c>
      <c r="BP124">
        <f t="shared" si="40"/>
        <v>0</v>
      </c>
      <c r="BQ124">
        <f t="shared" si="40"/>
        <v>0</v>
      </c>
      <c r="BR124">
        <f t="shared" si="40"/>
        <v>0</v>
      </c>
      <c r="BS124">
        <f t="shared" si="40"/>
        <v>0</v>
      </c>
    </row>
    <row r="125" spans="2:71" ht="15" customHeight="1" x14ac:dyDescent="0.2">
      <c r="B125">
        <v>20</v>
      </c>
      <c r="C125">
        <v>5</v>
      </c>
      <c r="D125">
        <v>3</v>
      </c>
      <c r="E125" t="s">
        <v>197</v>
      </c>
      <c r="F125" t="s">
        <v>72</v>
      </c>
      <c r="G125" s="5">
        <v>42168</v>
      </c>
      <c r="H125" t="s">
        <v>97</v>
      </c>
      <c r="I125" t="s">
        <v>167</v>
      </c>
      <c r="J125" t="s">
        <v>168</v>
      </c>
      <c r="K125">
        <v>9</v>
      </c>
      <c r="L125" t="s">
        <v>90</v>
      </c>
      <c r="M125" t="s">
        <v>169</v>
      </c>
      <c r="N125" t="s">
        <v>78</v>
      </c>
      <c r="O125">
        <v>70.900000000000006</v>
      </c>
      <c r="P125">
        <v>133</v>
      </c>
      <c r="Q125">
        <v>5980</v>
      </c>
      <c r="R125" t="s">
        <v>145</v>
      </c>
      <c r="S125" t="s">
        <v>80</v>
      </c>
      <c r="T125" t="s">
        <v>83</v>
      </c>
      <c r="U125" t="s">
        <v>48</v>
      </c>
      <c r="V125" t="s">
        <v>55</v>
      </c>
      <c r="W125" t="s">
        <v>123</v>
      </c>
      <c r="X125">
        <v>29.4088495575221</v>
      </c>
      <c r="Y125" t="s">
        <v>61</v>
      </c>
      <c r="Z125">
        <v>11.265486725663701</v>
      </c>
      <c r="AA125">
        <v>1</v>
      </c>
      <c r="AB125" t="s">
        <v>34</v>
      </c>
      <c r="AC125" t="s">
        <v>198</v>
      </c>
      <c r="AE125" t="str">
        <f t="shared" si="22"/>
        <v>ColeMcInerney</v>
      </c>
      <c r="AF125">
        <v>0.5</v>
      </c>
      <c r="AG125">
        <v>0</v>
      </c>
      <c r="AH125">
        <v>0</v>
      </c>
      <c r="AI125">
        <v>1</v>
      </c>
      <c r="AJ125">
        <v>0.5</v>
      </c>
      <c r="AK125" t="s">
        <v>53</v>
      </c>
      <c r="AL125">
        <v>0.59649122807017496</v>
      </c>
      <c r="AM125" t="s">
        <v>59</v>
      </c>
      <c r="AN125">
        <v>0.52777777777777801</v>
      </c>
      <c r="AO125">
        <f t="shared" si="38"/>
        <v>0</v>
      </c>
      <c r="AP125">
        <f t="shared" si="38"/>
        <v>0</v>
      </c>
      <c r="AQ125">
        <f t="shared" si="38"/>
        <v>0</v>
      </c>
      <c r="AR125">
        <f t="shared" si="38"/>
        <v>0</v>
      </c>
      <c r="AS125">
        <f t="shared" si="38"/>
        <v>0</v>
      </c>
      <c r="AT125">
        <f t="shared" si="38"/>
        <v>0</v>
      </c>
      <c r="AU125">
        <f t="shared" si="38"/>
        <v>0</v>
      </c>
      <c r="AV125">
        <f t="shared" si="38"/>
        <v>0</v>
      </c>
      <c r="AW125">
        <f t="shared" si="38"/>
        <v>0</v>
      </c>
      <c r="AX125">
        <f t="shared" si="38"/>
        <v>0</v>
      </c>
      <c r="AY125">
        <f t="shared" si="39"/>
        <v>0</v>
      </c>
      <c r="AZ125">
        <f t="shared" si="39"/>
        <v>0</v>
      </c>
      <c r="BA125">
        <f t="shared" si="39"/>
        <v>0</v>
      </c>
      <c r="BB125">
        <f t="shared" si="39"/>
        <v>0</v>
      </c>
      <c r="BC125">
        <f t="shared" si="39"/>
        <v>0</v>
      </c>
      <c r="BD125" t="str">
        <f t="shared" si="39"/>
        <v>Cole</v>
      </c>
      <c r="BE125">
        <f t="shared" si="39"/>
        <v>0</v>
      </c>
      <c r="BF125">
        <f t="shared" si="39"/>
        <v>0</v>
      </c>
      <c r="BG125">
        <f t="shared" si="39"/>
        <v>0</v>
      </c>
      <c r="BH125">
        <f t="shared" si="39"/>
        <v>0</v>
      </c>
      <c r="BI125">
        <f t="shared" si="40"/>
        <v>0</v>
      </c>
      <c r="BJ125" t="str">
        <f t="shared" si="40"/>
        <v>McInerney</v>
      </c>
      <c r="BK125">
        <f t="shared" si="40"/>
        <v>0</v>
      </c>
      <c r="BL125">
        <f t="shared" si="40"/>
        <v>0</v>
      </c>
      <c r="BM125">
        <f t="shared" si="40"/>
        <v>0</v>
      </c>
      <c r="BN125">
        <f t="shared" si="40"/>
        <v>0</v>
      </c>
      <c r="BO125">
        <f t="shared" si="40"/>
        <v>0</v>
      </c>
      <c r="BP125">
        <f t="shared" si="40"/>
        <v>0</v>
      </c>
      <c r="BQ125">
        <f t="shared" si="40"/>
        <v>0</v>
      </c>
      <c r="BR125">
        <f t="shared" si="40"/>
        <v>0</v>
      </c>
      <c r="BS125">
        <f t="shared" si="40"/>
        <v>0</v>
      </c>
    </row>
    <row r="126" spans="2:71" ht="15" customHeight="1" x14ac:dyDescent="0.2">
      <c r="B126">
        <v>21</v>
      </c>
      <c r="C126">
        <v>1</v>
      </c>
      <c r="D126">
        <v>3</v>
      </c>
      <c r="E126" t="s">
        <v>199</v>
      </c>
      <c r="F126" t="s">
        <v>106</v>
      </c>
      <c r="G126" s="5">
        <v>42169</v>
      </c>
      <c r="H126" t="s">
        <v>73</v>
      </c>
      <c r="I126" t="s">
        <v>167</v>
      </c>
      <c r="J126" t="s">
        <v>168</v>
      </c>
      <c r="K126">
        <v>18</v>
      </c>
      <c r="L126" t="s">
        <v>107</v>
      </c>
      <c r="M126" t="s">
        <v>200</v>
      </c>
      <c r="N126" t="s">
        <v>123</v>
      </c>
      <c r="O126">
        <v>71.3</v>
      </c>
      <c r="P126">
        <v>130</v>
      </c>
      <c r="Q126">
        <v>6326</v>
      </c>
      <c r="R126" t="s">
        <v>110</v>
      </c>
      <c r="S126" t="s">
        <v>111</v>
      </c>
      <c r="T126" t="s">
        <v>81</v>
      </c>
      <c r="U126" t="s">
        <v>49</v>
      </c>
      <c r="V126" t="s">
        <v>59</v>
      </c>
      <c r="W126" t="s">
        <v>109</v>
      </c>
      <c r="X126">
        <v>21.678761061946901</v>
      </c>
      <c r="AA126">
        <v>2</v>
      </c>
      <c r="AB126" t="s">
        <v>34</v>
      </c>
      <c r="AC126" t="s">
        <v>92</v>
      </c>
      <c r="AD126" t="s">
        <v>47</v>
      </c>
      <c r="AE126" t="str">
        <f t="shared" si="22"/>
        <v>Norat</v>
      </c>
      <c r="AF126">
        <v>1</v>
      </c>
      <c r="AG126">
        <v>0</v>
      </c>
      <c r="AH126">
        <v>0</v>
      </c>
      <c r="AI126">
        <v>1</v>
      </c>
      <c r="AJ126">
        <v>0.5</v>
      </c>
      <c r="AK126" t="s">
        <v>47</v>
      </c>
      <c r="AL126">
        <v>0.35714285714285698</v>
      </c>
      <c r="AO126">
        <f t="shared" si="38"/>
        <v>0</v>
      </c>
      <c r="AP126">
        <f t="shared" si="38"/>
        <v>0</v>
      </c>
      <c r="AQ126">
        <f t="shared" si="38"/>
        <v>0</v>
      </c>
      <c r="AR126">
        <f t="shared" si="38"/>
        <v>0</v>
      </c>
      <c r="AS126">
        <f t="shared" si="38"/>
        <v>0</v>
      </c>
      <c r="AT126">
        <f t="shared" si="38"/>
        <v>0</v>
      </c>
      <c r="AU126">
        <f t="shared" si="38"/>
        <v>0</v>
      </c>
      <c r="AV126">
        <f t="shared" si="38"/>
        <v>0</v>
      </c>
      <c r="AW126">
        <f t="shared" si="38"/>
        <v>0</v>
      </c>
      <c r="AX126">
        <f t="shared" si="38"/>
        <v>0</v>
      </c>
      <c r="AY126">
        <f t="shared" si="39"/>
        <v>0</v>
      </c>
      <c r="AZ126">
        <f t="shared" si="39"/>
        <v>0</v>
      </c>
      <c r="BA126">
        <f t="shared" si="39"/>
        <v>0</v>
      </c>
      <c r="BB126">
        <f t="shared" si="39"/>
        <v>0</v>
      </c>
      <c r="BC126">
        <f t="shared" si="39"/>
        <v>0</v>
      </c>
      <c r="BD126">
        <f t="shared" si="39"/>
        <v>0</v>
      </c>
      <c r="BE126">
        <f t="shared" si="39"/>
        <v>0</v>
      </c>
      <c r="BF126">
        <f t="shared" si="39"/>
        <v>0</v>
      </c>
      <c r="BG126">
        <f t="shared" si="39"/>
        <v>0</v>
      </c>
      <c r="BH126" t="str">
        <f t="shared" si="39"/>
        <v>Norat</v>
      </c>
      <c r="BI126">
        <f t="shared" si="40"/>
        <v>0</v>
      </c>
      <c r="BJ126">
        <f t="shared" si="40"/>
        <v>0</v>
      </c>
      <c r="BK126">
        <f t="shared" si="40"/>
        <v>0</v>
      </c>
      <c r="BL126">
        <f t="shared" si="40"/>
        <v>0</v>
      </c>
      <c r="BM126">
        <f t="shared" si="40"/>
        <v>0</v>
      </c>
      <c r="BN126">
        <f t="shared" si="40"/>
        <v>0</v>
      </c>
      <c r="BO126">
        <f t="shared" si="40"/>
        <v>0</v>
      </c>
      <c r="BP126">
        <f t="shared" si="40"/>
        <v>0</v>
      </c>
      <c r="BQ126">
        <f t="shared" si="40"/>
        <v>0</v>
      </c>
      <c r="BR126">
        <f t="shared" si="40"/>
        <v>0</v>
      </c>
      <c r="BS126">
        <f t="shared" si="40"/>
        <v>0</v>
      </c>
    </row>
    <row r="127" spans="2:71" ht="15" customHeight="1" x14ac:dyDescent="0.2">
      <c r="B127">
        <v>21</v>
      </c>
      <c r="C127">
        <v>2</v>
      </c>
      <c r="D127">
        <v>3</v>
      </c>
      <c r="E127" t="s">
        <v>201</v>
      </c>
      <c r="F127" t="s">
        <v>106</v>
      </c>
      <c r="G127" s="5">
        <v>42169</v>
      </c>
      <c r="H127" t="s">
        <v>73</v>
      </c>
      <c r="I127" t="s">
        <v>167</v>
      </c>
      <c r="J127" t="s">
        <v>168</v>
      </c>
      <c r="K127">
        <v>18</v>
      </c>
      <c r="L127" t="s">
        <v>107</v>
      </c>
      <c r="M127" t="s">
        <v>200</v>
      </c>
      <c r="N127" t="s">
        <v>123</v>
      </c>
      <c r="O127">
        <v>71.3</v>
      </c>
      <c r="P127">
        <v>130</v>
      </c>
      <c r="Q127">
        <v>6326</v>
      </c>
      <c r="R127" t="s">
        <v>110</v>
      </c>
      <c r="S127" t="s">
        <v>111</v>
      </c>
      <c r="T127" t="s">
        <v>81</v>
      </c>
      <c r="U127" t="s">
        <v>49</v>
      </c>
      <c r="V127" t="s">
        <v>52</v>
      </c>
      <c r="W127" t="s">
        <v>109</v>
      </c>
      <c r="X127">
        <v>19.3601769911504</v>
      </c>
      <c r="AA127">
        <v>2</v>
      </c>
      <c r="AB127" t="s">
        <v>32</v>
      </c>
      <c r="AC127" t="s">
        <v>202</v>
      </c>
      <c r="AD127" t="s">
        <v>54</v>
      </c>
      <c r="AE127" t="str">
        <f t="shared" si="22"/>
        <v>Connors</v>
      </c>
      <c r="AF127">
        <v>2</v>
      </c>
      <c r="AG127">
        <v>1</v>
      </c>
      <c r="AH127">
        <v>0</v>
      </c>
      <c r="AI127">
        <v>0</v>
      </c>
      <c r="AJ127">
        <v>1</v>
      </c>
      <c r="AK127" t="s">
        <v>54</v>
      </c>
      <c r="AL127">
        <v>0.37288135593220301</v>
      </c>
      <c r="AO127">
        <f t="shared" si="38"/>
        <v>0</v>
      </c>
      <c r="AP127">
        <f t="shared" si="38"/>
        <v>0</v>
      </c>
      <c r="AQ127">
        <f t="shared" si="38"/>
        <v>0</v>
      </c>
      <c r="AR127">
        <f t="shared" si="38"/>
        <v>0</v>
      </c>
      <c r="AS127">
        <f t="shared" si="38"/>
        <v>0</v>
      </c>
      <c r="AT127">
        <f t="shared" si="38"/>
        <v>0</v>
      </c>
      <c r="AU127">
        <f t="shared" si="38"/>
        <v>0</v>
      </c>
      <c r="AV127">
        <f t="shared" si="38"/>
        <v>0</v>
      </c>
      <c r="AW127">
        <f t="shared" si="38"/>
        <v>0</v>
      </c>
      <c r="AX127">
        <f t="shared" si="38"/>
        <v>0</v>
      </c>
      <c r="AY127">
        <f t="shared" si="39"/>
        <v>0</v>
      </c>
      <c r="AZ127">
        <f t="shared" si="39"/>
        <v>0</v>
      </c>
      <c r="BA127" t="str">
        <f t="shared" si="39"/>
        <v>Connors</v>
      </c>
      <c r="BB127">
        <f t="shared" si="39"/>
        <v>0</v>
      </c>
      <c r="BC127">
        <f t="shared" si="39"/>
        <v>0</v>
      </c>
      <c r="BD127">
        <f t="shared" si="39"/>
        <v>0</v>
      </c>
      <c r="BE127">
        <f t="shared" si="39"/>
        <v>0</v>
      </c>
      <c r="BF127">
        <f t="shared" si="39"/>
        <v>0</v>
      </c>
      <c r="BG127">
        <f t="shared" si="39"/>
        <v>0</v>
      </c>
      <c r="BH127">
        <f t="shared" si="39"/>
        <v>0</v>
      </c>
      <c r="BI127">
        <f t="shared" si="40"/>
        <v>0</v>
      </c>
      <c r="BJ127">
        <f t="shared" si="40"/>
        <v>0</v>
      </c>
      <c r="BK127">
        <f t="shared" si="40"/>
        <v>0</v>
      </c>
      <c r="BL127">
        <f t="shared" si="40"/>
        <v>0</v>
      </c>
      <c r="BM127">
        <f t="shared" si="40"/>
        <v>0</v>
      </c>
      <c r="BN127">
        <f t="shared" si="40"/>
        <v>0</v>
      </c>
      <c r="BO127">
        <f t="shared" si="40"/>
        <v>0</v>
      </c>
      <c r="BP127">
        <f t="shared" si="40"/>
        <v>0</v>
      </c>
      <c r="BQ127">
        <f t="shared" si="40"/>
        <v>0</v>
      </c>
      <c r="BR127">
        <f t="shared" si="40"/>
        <v>0</v>
      </c>
      <c r="BS127">
        <f t="shared" si="40"/>
        <v>0</v>
      </c>
    </row>
    <row r="128" spans="2:71" ht="15" customHeight="1" x14ac:dyDescent="0.2">
      <c r="B128">
        <v>22</v>
      </c>
      <c r="C128">
        <v>3</v>
      </c>
      <c r="D128">
        <v>3</v>
      </c>
      <c r="E128" t="s">
        <v>203</v>
      </c>
      <c r="F128" t="s">
        <v>106</v>
      </c>
      <c r="G128" s="5">
        <v>42169</v>
      </c>
      <c r="H128" t="s">
        <v>73</v>
      </c>
      <c r="I128" t="s">
        <v>167</v>
      </c>
      <c r="J128" t="s">
        <v>168</v>
      </c>
      <c r="K128">
        <v>18</v>
      </c>
      <c r="L128" t="s">
        <v>107</v>
      </c>
      <c r="M128" t="s">
        <v>200</v>
      </c>
      <c r="N128" t="s">
        <v>123</v>
      </c>
      <c r="O128">
        <v>71.3</v>
      </c>
      <c r="P128">
        <v>130</v>
      </c>
      <c r="Q128">
        <v>6326</v>
      </c>
      <c r="R128" t="s">
        <v>110</v>
      </c>
      <c r="S128" t="s">
        <v>111</v>
      </c>
      <c r="T128" t="s">
        <v>81</v>
      </c>
      <c r="U128" t="s">
        <v>49</v>
      </c>
      <c r="V128" t="s">
        <v>44</v>
      </c>
      <c r="W128" t="s">
        <v>109</v>
      </c>
      <c r="X128">
        <v>15.5345132743363</v>
      </c>
      <c r="AA128">
        <v>2</v>
      </c>
      <c r="AB128" t="s">
        <v>33</v>
      </c>
      <c r="AC128" t="s">
        <v>204</v>
      </c>
      <c r="AD128" t="s">
        <v>58</v>
      </c>
      <c r="AE128" t="str">
        <f t="shared" si="22"/>
        <v>Flanders</v>
      </c>
      <c r="AF128">
        <v>0</v>
      </c>
      <c r="AG128">
        <v>0</v>
      </c>
      <c r="AH128">
        <v>1</v>
      </c>
      <c r="AI128">
        <v>0</v>
      </c>
      <c r="AJ128">
        <v>0</v>
      </c>
      <c r="AK128" t="s">
        <v>58</v>
      </c>
      <c r="AL128">
        <v>0.65476190476190499</v>
      </c>
      <c r="AO128">
        <f t="shared" si="38"/>
        <v>0</v>
      </c>
      <c r="AP128">
        <f t="shared" si="38"/>
        <v>0</v>
      </c>
      <c r="AQ128">
        <f t="shared" si="38"/>
        <v>0</v>
      </c>
      <c r="AR128">
        <f t="shared" si="38"/>
        <v>0</v>
      </c>
      <c r="AS128" t="str">
        <f t="shared" si="38"/>
        <v>Flanders</v>
      </c>
      <c r="AT128">
        <f t="shared" si="38"/>
        <v>0</v>
      </c>
      <c r="AU128">
        <f t="shared" si="38"/>
        <v>0</v>
      </c>
      <c r="AV128">
        <f t="shared" si="38"/>
        <v>0</v>
      </c>
      <c r="AW128">
        <f t="shared" si="38"/>
        <v>0</v>
      </c>
      <c r="AX128">
        <f t="shared" si="38"/>
        <v>0</v>
      </c>
      <c r="AY128">
        <f t="shared" si="39"/>
        <v>0</v>
      </c>
      <c r="AZ128">
        <f t="shared" si="39"/>
        <v>0</v>
      </c>
      <c r="BA128">
        <f t="shared" si="39"/>
        <v>0</v>
      </c>
      <c r="BB128">
        <f t="shared" si="39"/>
        <v>0</v>
      </c>
      <c r="BC128">
        <f t="shared" si="39"/>
        <v>0</v>
      </c>
      <c r="BD128">
        <f t="shared" si="39"/>
        <v>0</v>
      </c>
      <c r="BE128">
        <f t="shared" si="39"/>
        <v>0</v>
      </c>
      <c r="BF128">
        <f t="shared" si="39"/>
        <v>0</v>
      </c>
      <c r="BG128">
        <f t="shared" si="39"/>
        <v>0</v>
      </c>
      <c r="BH128">
        <f t="shared" si="39"/>
        <v>0</v>
      </c>
      <c r="BI128">
        <f t="shared" si="40"/>
        <v>0</v>
      </c>
      <c r="BJ128">
        <f t="shared" si="40"/>
        <v>0</v>
      </c>
      <c r="BK128">
        <f t="shared" si="40"/>
        <v>0</v>
      </c>
      <c r="BL128">
        <f t="shared" si="40"/>
        <v>0</v>
      </c>
      <c r="BM128">
        <f t="shared" si="40"/>
        <v>0</v>
      </c>
      <c r="BN128">
        <f t="shared" si="40"/>
        <v>0</v>
      </c>
      <c r="BO128">
        <f t="shared" si="40"/>
        <v>0</v>
      </c>
      <c r="BP128">
        <f t="shared" si="40"/>
        <v>0</v>
      </c>
      <c r="BQ128">
        <f t="shared" si="40"/>
        <v>0</v>
      </c>
      <c r="BR128">
        <f t="shared" si="40"/>
        <v>0</v>
      </c>
      <c r="BS128">
        <f t="shared" si="40"/>
        <v>0</v>
      </c>
    </row>
    <row r="129" spans="2:71" ht="15" customHeight="1" x14ac:dyDescent="0.2">
      <c r="B129">
        <v>22</v>
      </c>
      <c r="C129">
        <v>4</v>
      </c>
      <c r="D129">
        <v>3</v>
      </c>
      <c r="E129" t="s">
        <v>205</v>
      </c>
      <c r="F129" t="s">
        <v>106</v>
      </c>
      <c r="G129" s="5">
        <v>42169</v>
      </c>
      <c r="H129" t="s">
        <v>73</v>
      </c>
      <c r="I129" t="s">
        <v>167</v>
      </c>
      <c r="J129" t="s">
        <v>168</v>
      </c>
      <c r="K129">
        <v>18</v>
      </c>
      <c r="L129" t="s">
        <v>107</v>
      </c>
      <c r="M129" t="s">
        <v>200</v>
      </c>
      <c r="N129" t="s">
        <v>123</v>
      </c>
      <c r="O129">
        <v>71.3</v>
      </c>
      <c r="P129">
        <v>130</v>
      </c>
      <c r="Q129">
        <v>6326</v>
      </c>
      <c r="R129" t="s">
        <v>110</v>
      </c>
      <c r="S129" t="s">
        <v>111</v>
      </c>
      <c r="T129" t="s">
        <v>81</v>
      </c>
      <c r="U129" t="s">
        <v>49</v>
      </c>
      <c r="V129" t="s">
        <v>53</v>
      </c>
      <c r="W129" t="s">
        <v>109</v>
      </c>
      <c r="X129">
        <v>28.982300884955801</v>
      </c>
      <c r="AA129">
        <v>2</v>
      </c>
      <c r="AB129" t="s">
        <v>32</v>
      </c>
      <c r="AC129" t="s">
        <v>184</v>
      </c>
      <c r="AD129" t="s">
        <v>41</v>
      </c>
      <c r="AE129" t="str">
        <f t="shared" si="22"/>
        <v>Forster</v>
      </c>
      <c r="AF129">
        <v>2</v>
      </c>
      <c r="AG129">
        <v>1</v>
      </c>
      <c r="AH129">
        <v>0</v>
      </c>
      <c r="AI129">
        <v>0</v>
      </c>
      <c r="AJ129">
        <v>1</v>
      </c>
      <c r="AK129" t="s">
        <v>41</v>
      </c>
      <c r="AL129">
        <v>0.47321428571428598</v>
      </c>
      <c r="AO129">
        <f t="shared" si="38"/>
        <v>0</v>
      </c>
      <c r="AP129">
        <f t="shared" si="38"/>
        <v>0</v>
      </c>
      <c r="AQ129">
        <f t="shared" si="38"/>
        <v>0</v>
      </c>
      <c r="AR129">
        <f t="shared" si="38"/>
        <v>0</v>
      </c>
      <c r="AS129">
        <f t="shared" si="38"/>
        <v>0</v>
      </c>
      <c r="AT129">
        <f t="shared" si="38"/>
        <v>0</v>
      </c>
      <c r="AU129">
        <f t="shared" si="38"/>
        <v>0</v>
      </c>
      <c r="AV129">
        <f t="shared" si="38"/>
        <v>0</v>
      </c>
      <c r="AW129">
        <f t="shared" si="38"/>
        <v>0</v>
      </c>
      <c r="AX129">
        <f t="shared" si="38"/>
        <v>0</v>
      </c>
      <c r="AY129">
        <f t="shared" si="39"/>
        <v>0</v>
      </c>
      <c r="AZ129">
        <f t="shared" si="39"/>
        <v>0</v>
      </c>
      <c r="BA129">
        <f t="shared" si="39"/>
        <v>0</v>
      </c>
      <c r="BB129" t="str">
        <f t="shared" si="39"/>
        <v>Forster</v>
      </c>
      <c r="BC129">
        <f t="shared" si="39"/>
        <v>0</v>
      </c>
      <c r="BD129">
        <f t="shared" si="39"/>
        <v>0</v>
      </c>
      <c r="BE129">
        <f t="shared" si="39"/>
        <v>0</v>
      </c>
      <c r="BF129">
        <f t="shared" si="39"/>
        <v>0</v>
      </c>
      <c r="BG129">
        <f t="shared" si="39"/>
        <v>0</v>
      </c>
      <c r="BH129">
        <f t="shared" si="39"/>
        <v>0</v>
      </c>
      <c r="BI129">
        <f t="shared" si="40"/>
        <v>0</v>
      </c>
      <c r="BJ129">
        <f t="shared" si="40"/>
        <v>0</v>
      </c>
      <c r="BK129">
        <f t="shared" si="40"/>
        <v>0</v>
      </c>
      <c r="BL129">
        <f t="shared" si="40"/>
        <v>0</v>
      </c>
      <c r="BM129">
        <f t="shared" si="40"/>
        <v>0</v>
      </c>
      <c r="BN129">
        <f t="shared" si="40"/>
        <v>0</v>
      </c>
      <c r="BO129">
        <f t="shared" si="40"/>
        <v>0</v>
      </c>
      <c r="BP129">
        <f t="shared" si="40"/>
        <v>0</v>
      </c>
      <c r="BQ129">
        <f t="shared" si="40"/>
        <v>0</v>
      </c>
      <c r="BR129">
        <f t="shared" si="40"/>
        <v>0</v>
      </c>
      <c r="BS129">
        <f t="shared" si="40"/>
        <v>0</v>
      </c>
    </row>
    <row r="130" spans="2:71" ht="15" customHeight="1" x14ac:dyDescent="0.2">
      <c r="B130">
        <v>23</v>
      </c>
      <c r="C130">
        <v>5</v>
      </c>
      <c r="D130">
        <v>3</v>
      </c>
      <c r="E130" t="s">
        <v>206</v>
      </c>
      <c r="F130" t="s">
        <v>106</v>
      </c>
      <c r="G130" s="5">
        <v>42169</v>
      </c>
      <c r="H130" t="s">
        <v>73</v>
      </c>
      <c r="I130" t="s">
        <v>167</v>
      </c>
      <c r="J130" t="s">
        <v>168</v>
      </c>
      <c r="K130">
        <v>18</v>
      </c>
      <c r="L130" t="s">
        <v>107</v>
      </c>
      <c r="M130" t="s">
        <v>200</v>
      </c>
      <c r="N130" t="s">
        <v>123</v>
      </c>
      <c r="O130">
        <v>71.3</v>
      </c>
      <c r="P130">
        <v>130</v>
      </c>
      <c r="Q130">
        <v>6326</v>
      </c>
      <c r="R130" t="s">
        <v>110</v>
      </c>
      <c r="S130" t="s">
        <v>111</v>
      </c>
      <c r="T130" t="s">
        <v>81</v>
      </c>
      <c r="U130" t="s">
        <v>49</v>
      </c>
      <c r="V130" t="s">
        <v>46</v>
      </c>
      <c r="W130" t="s">
        <v>109</v>
      </c>
      <c r="X130">
        <v>19.012389380531001</v>
      </c>
      <c r="AA130">
        <v>2</v>
      </c>
      <c r="AB130" t="s">
        <v>34</v>
      </c>
      <c r="AC130" t="s">
        <v>92</v>
      </c>
      <c r="AD130" t="s">
        <v>55</v>
      </c>
      <c r="AE130" t="str">
        <f t="shared" ref="AE130:AE193" si="41">$V130&amp;$Y130</f>
        <v>Mangold</v>
      </c>
      <c r="AF130">
        <v>1</v>
      </c>
      <c r="AG130">
        <v>0</v>
      </c>
      <c r="AH130">
        <v>0</v>
      </c>
      <c r="AI130">
        <v>1</v>
      </c>
      <c r="AJ130">
        <v>0.5</v>
      </c>
      <c r="AK130" t="s">
        <v>55</v>
      </c>
      <c r="AL130">
        <v>0.44067796610169502</v>
      </c>
      <c r="AO130">
        <f t="shared" si="38"/>
        <v>0</v>
      </c>
      <c r="AP130">
        <f t="shared" si="38"/>
        <v>0</v>
      </c>
      <c r="AQ130">
        <f t="shared" si="38"/>
        <v>0</v>
      </c>
      <c r="AR130">
        <f t="shared" si="38"/>
        <v>0</v>
      </c>
      <c r="AS130">
        <f t="shared" si="38"/>
        <v>0</v>
      </c>
      <c r="AT130">
        <f t="shared" si="38"/>
        <v>0</v>
      </c>
      <c r="AU130" t="str">
        <f t="shared" si="38"/>
        <v>Mangold</v>
      </c>
      <c r="AV130">
        <f t="shared" si="38"/>
        <v>0</v>
      </c>
      <c r="AW130">
        <f t="shared" si="38"/>
        <v>0</v>
      </c>
      <c r="AX130">
        <f t="shared" si="38"/>
        <v>0</v>
      </c>
      <c r="AY130">
        <f t="shared" si="39"/>
        <v>0</v>
      </c>
      <c r="AZ130">
        <f t="shared" si="39"/>
        <v>0</v>
      </c>
      <c r="BA130">
        <f t="shared" si="39"/>
        <v>0</v>
      </c>
      <c r="BB130">
        <f t="shared" si="39"/>
        <v>0</v>
      </c>
      <c r="BC130">
        <f t="shared" si="39"/>
        <v>0</v>
      </c>
      <c r="BD130">
        <f t="shared" si="39"/>
        <v>0</v>
      </c>
      <c r="BE130">
        <f t="shared" si="39"/>
        <v>0</v>
      </c>
      <c r="BF130">
        <f t="shared" si="39"/>
        <v>0</v>
      </c>
      <c r="BG130">
        <f t="shared" si="39"/>
        <v>0</v>
      </c>
      <c r="BH130">
        <f t="shared" si="39"/>
        <v>0</v>
      </c>
      <c r="BI130">
        <f t="shared" si="40"/>
        <v>0</v>
      </c>
      <c r="BJ130">
        <f t="shared" si="40"/>
        <v>0</v>
      </c>
      <c r="BK130">
        <f t="shared" si="40"/>
        <v>0</v>
      </c>
      <c r="BL130">
        <f t="shared" si="40"/>
        <v>0</v>
      </c>
      <c r="BM130">
        <f t="shared" si="40"/>
        <v>0</v>
      </c>
      <c r="BN130">
        <f t="shared" si="40"/>
        <v>0</v>
      </c>
      <c r="BO130">
        <f t="shared" si="40"/>
        <v>0</v>
      </c>
      <c r="BP130">
        <f t="shared" si="40"/>
        <v>0</v>
      </c>
      <c r="BQ130">
        <f t="shared" si="40"/>
        <v>0</v>
      </c>
      <c r="BR130">
        <f t="shared" si="40"/>
        <v>0</v>
      </c>
      <c r="BS130">
        <f t="shared" si="40"/>
        <v>0</v>
      </c>
    </row>
    <row r="131" spans="2:71" ht="15" customHeight="1" x14ac:dyDescent="0.2">
      <c r="B131">
        <v>23</v>
      </c>
      <c r="C131">
        <v>6</v>
      </c>
      <c r="D131">
        <v>3</v>
      </c>
      <c r="E131" t="s">
        <v>207</v>
      </c>
      <c r="F131" t="s">
        <v>106</v>
      </c>
      <c r="G131" s="5">
        <v>42169</v>
      </c>
      <c r="H131" t="s">
        <v>73</v>
      </c>
      <c r="I131" t="s">
        <v>167</v>
      </c>
      <c r="J131" t="s">
        <v>168</v>
      </c>
      <c r="K131">
        <v>18</v>
      </c>
      <c r="L131" t="s">
        <v>107</v>
      </c>
      <c r="M131" t="s">
        <v>200</v>
      </c>
      <c r="N131" t="s">
        <v>123</v>
      </c>
      <c r="O131">
        <v>71.3</v>
      </c>
      <c r="P131">
        <v>130</v>
      </c>
      <c r="Q131">
        <v>6326</v>
      </c>
      <c r="R131" t="s">
        <v>110</v>
      </c>
      <c r="S131" t="s">
        <v>111</v>
      </c>
      <c r="T131" t="s">
        <v>81</v>
      </c>
      <c r="U131" t="s">
        <v>49</v>
      </c>
      <c r="V131" t="s">
        <v>42</v>
      </c>
      <c r="W131" t="s">
        <v>109</v>
      </c>
      <c r="X131">
        <v>14.2592920353982</v>
      </c>
      <c r="AA131">
        <v>2</v>
      </c>
      <c r="AB131" t="s">
        <v>32</v>
      </c>
      <c r="AC131" t="s">
        <v>184</v>
      </c>
      <c r="AD131" t="s">
        <v>61</v>
      </c>
      <c r="AE131" t="str">
        <f t="shared" si="41"/>
        <v>Jackson</v>
      </c>
      <c r="AF131">
        <v>2</v>
      </c>
      <c r="AG131">
        <v>1</v>
      </c>
      <c r="AH131">
        <v>0</v>
      </c>
      <c r="AI131">
        <v>0</v>
      </c>
      <c r="AJ131">
        <v>1</v>
      </c>
      <c r="AK131" t="s">
        <v>61</v>
      </c>
      <c r="AL131">
        <v>0.5</v>
      </c>
      <c r="AO131">
        <f t="shared" si="38"/>
        <v>0</v>
      </c>
      <c r="AP131">
        <f t="shared" si="38"/>
        <v>0</v>
      </c>
      <c r="AQ131" t="str">
        <f t="shared" si="38"/>
        <v>Jackson</v>
      </c>
      <c r="AR131">
        <f t="shared" si="38"/>
        <v>0</v>
      </c>
      <c r="AS131">
        <f t="shared" si="38"/>
        <v>0</v>
      </c>
      <c r="AT131">
        <f t="shared" si="38"/>
        <v>0</v>
      </c>
      <c r="AU131">
        <f t="shared" si="38"/>
        <v>0</v>
      </c>
      <c r="AV131">
        <f t="shared" si="38"/>
        <v>0</v>
      </c>
      <c r="AW131">
        <f t="shared" si="38"/>
        <v>0</v>
      </c>
      <c r="AX131">
        <f t="shared" si="38"/>
        <v>0</v>
      </c>
      <c r="AY131">
        <f t="shared" si="39"/>
        <v>0</v>
      </c>
      <c r="AZ131">
        <f t="shared" si="39"/>
        <v>0</v>
      </c>
      <c r="BA131">
        <f t="shared" si="39"/>
        <v>0</v>
      </c>
      <c r="BB131">
        <f t="shared" si="39"/>
        <v>0</v>
      </c>
      <c r="BC131">
        <f t="shared" si="39"/>
        <v>0</v>
      </c>
      <c r="BD131">
        <f t="shared" si="39"/>
        <v>0</v>
      </c>
      <c r="BE131">
        <f t="shared" si="39"/>
        <v>0</v>
      </c>
      <c r="BF131">
        <f t="shared" si="39"/>
        <v>0</v>
      </c>
      <c r="BG131">
        <f t="shared" si="39"/>
        <v>0</v>
      </c>
      <c r="BH131">
        <f t="shared" si="39"/>
        <v>0</v>
      </c>
      <c r="BI131">
        <f t="shared" si="40"/>
        <v>0</v>
      </c>
      <c r="BJ131">
        <f t="shared" si="40"/>
        <v>0</v>
      </c>
      <c r="BK131">
        <f t="shared" si="40"/>
        <v>0</v>
      </c>
      <c r="BL131">
        <f t="shared" si="40"/>
        <v>0</v>
      </c>
      <c r="BM131">
        <f t="shared" si="40"/>
        <v>0</v>
      </c>
      <c r="BN131">
        <f t="shared" si="40"/>
        <v>0</v>
      </c>
      <c r="BO131">
        <f t="shared" si="40"/>
        <v>0</v>
      </c>
      <c r="BP131">
        <f t="shared" si="40"/>
        <v>0</v>
      </c>
      <c r="BQ131">
        <f t="shared" si="40"/>
        <v>0</v>
      </c>
      <c r="BR131">
        <f t="shared" si="40"/>
        <v>0</v>
      </c>
      <c r="BS131">
        <f t="shared" si="40"/>
        <v>0</v>
      </c>
    </row>
    <row r="132" spans="2:71" ht="15" customHeight="1" x14ac:dyDescent="0.2">
      <c r="B132">
        <v>24</v>
      </c>
      <c r="C132">
        <v>7</v>
      </c>
      <c r="D132">
        <v>3</v>
      </c>
      <c r="E132" t="s">
        <v>208</v>
      </c>
      <c r="F132" t="s">
        <v>106</v>
      </c>
      <c r="G132" s="5">
        <v>42169</v>
      </c>
      <c r="H132" t="s">
        <v>73</v>
      </c>
      <c r="I132" t="s">
        <v>167</v>
      </c>
      <c r="J132" t="s">
        <v>168</v>
      </c>
      <c r="K132">
        <v>18</v>
      </c>
      <c r="L132" t="s">
        <v>107</v>
      </c>
      <c r="M132" t="s">
        <v>200</v>
      </c>
      <c r="N132" t="s">
        <v>123</v>
      </c>
      <c r="O132">
        <v>71.3</v>
      </c>
      <c r="P132">
        <v>130</v>
      </c>
      <c r="Q132">
        <v>6326</v>
      </c>
      <c r="R132" t="s">
        <v>110</v>
      </c>
      <c r="S132" t="s">
        <v>111</v>
      </c>
      <c r="T132" t="s">
        <v>81</v>
      </c>
      <c r="U132" t="s">
        <v>49</v>
      </c>
      <c r="V132" t="s">
        <v>57</v>
      </c>
      <c r="W132" t="s">
        <v>109</v>
      </c>
      <c r="X132">
        <v>15.9982300884956</v>
      </c>
      <c r="AA132">
        <v>2</v>
      </c>
      <c r="AB132" t="s">
        <v>33</v>
      </c>
      <c r="AC132" t="s">
        <v>209</v>
      </c>
      <c r="AD132" t="s">
        <v>60</v>
      </c>
      <c r="AE132" t="str">
        <f t="shared" si="41"/>
        <v>Buss</v>
      </c>
      <c r="AF132">
        <v>0</v>
      </c>
      <c r="AG132">
        <v>0</v>
      </c>
      <c r="AH132">
        <v>1</v>
      </c>
      <c r="AI132">
        <v>0</v>
      </c>
      <c r="AJ132">
        <v>0</v>
      </c>
      <c r="AK132" t="s">
        <v>60</v>
      </c>
      <c r="AL132">
        <v>0.5</v>
      </c>
      <c r="AO132">
        <f t="shared" ref="AO132:AX141" si="42">IF(OR($V132=AO$1,$Y132=AO$1),AO$1,0)</f>
        <v>0</v>
      </c>
      <c r="AP132">
        <f t="shared" si="42"/>
        <v>0</v>
      </c>
      <c r="AQ132">
        <f t="shared" si="42"/>
        <v>0</v>
      </c>
      <c r="AR132">
        <f t="shared" si="42"/>
        <v>0</v>
      </c>
      <c r="AS132">
        <f t="shared" si="42"/>
        <v>0</v>
      </c>
      <c r="AT132">
        <f t="shared" si="42"/>
        <v>0</v>
      </c>
      <c r="AU132">
        <f t="shared" si="42"/>
        <v>0</v>
      </c>
      <c r="AV132">
        <f t="shared" si="42"/>
        <v>0</v>
      </c>
      <c r="AW132">
        <f t="shared" si="42"/>
        <v>0</v>
      </c>
      <c r="AX132">
        <f t="shared" si="42"/>
        <v>0</v>
      </c>
      <c r="AY132">
        <f t="shared" ref="AY132:BH141" si="43">IF(OR($V132=AY$1,$Y132=AY$1),AY$1,0)</f>
        <v>0</v>
      </c>
      <c r="AZ132">
        <f t="shared" si="43"/>
        <v>0</v>
      </c>
      <c r="BA132">
        <f t="shared" si="43"/>
        <v>0</v>
      </c>
      <c r="BB132">
        <f t="shared" si="43"/>
        <v>0</v>
      </c>
      <c r="BC132">
        <f t="shared" si="43"/>
        <v>0</v>
      </c>
      <c r="BD132">
        <f t="shared" si="43"/>
        <v>0</v>
      </c>
      <c r="BE132">
        <f t="shared" si="43"/>
        <v>0</v>
      </c>
      <c r="BF132" t="str">
        <f t="shared" si="43"/>
        <v>Buss</v>
      </c>
      <c r="BG132">
        <f t="shared" si="43"/>
        <v>0</v>
      </c>
      <c r="BH132">
        <f t="shared" si="43"/>
        <v>0</v>
      </c>
      <c r="BI132">
        <f t="shared" ref="BI132:BS141" si="44">IF(OR($V132=BI$1,$Y132=BI$1),BI$1,0)</f>
        <v>0</v>
      </c>
      <c r="BJ132">
        <f t="shared" si="44"/>
        <v>0</v>
      </c>
      <c r="BK132">
        <f t="shared" si="44"/>
        <v>0</v>
      </c>
      <c r="BL132">
        <f t="shared" si="44"/>
        <v>0</v>
      </c>
      <c r="BM132">
        <f t="shared" si="44"/>
        <v>0</v>
      </c>
      <c r="BN132">
        <f t="shared" si="44"/>
        <v>0</v>
      </c>
      <c r="BO132">
        <f t="shared" si="44"/>
        <v>0</v>
      </c>
      <c r="BP132">
        <f t="shared" si="44"/>
        <v>0</v>
      </c>
      <c r="BQ132">
        <f t="shared" si="44"/>
        <v>0</v>
      </c>
      <c r="BR132">
        <f t="shared" si="44"/>
        <v>0</v>
      </c>
      <c r="BS132">
        <f t="shared" si="44"/>
        <v>0</v>
      </c>
    </row>
    <row r="133" spans="2:71" ht="15" customHeight="1" x14ac:dyDescent="0.2">
      <c r="B133">
        <v>24</v>
      </c>
      <c r="C133">
        <v>8</v>
      </c>
      <c r="D133">
        <v>3</v>
      </c>
      <c r="E133" t="s">
        <v>210</v>
      </c>
      <c r="F133" t="s">
        <v>106</v>
      </c>
      <c r="G133" s="5">
        <v>42169</v>
      </c>
      <c r="H133" t="s">
        <v>73</v>
      </c>
      <c r="I133" t="s">
        <v>167</v>
      </c>
      <c r="J133" t="s">
        <v>168</v>
      </c>
      <c r="K133">
        <v>18</v>
      </c>
      <c r="L133" t="s">
        <v>107</v>
      </c>
      <c r="M133" t="s">
        <v>200</v>
      </c>
      <c r="N133" t="s">
        <v>123</v>
      </c>
      <c r="O133">
        <v>71.3</v>
      </c>
      <c r="P133">
        <v>130</v>
      </c>
      <c r="Q133">
        <v>6326</v>
      </c>
      <c r="R133" t="s">
        <v>110</v>
      </c>
      <c r="S133" t="s">
        <v>111</v>
      </c>
      <c r="T133" t="s">
        <v>81</v>
      </c>
      <c r="U133" t="s">
        <v>49</v>
      </c>
      <c r="V133" t="s">
        <v>40</v>
      </c>
      <c r="W133" t="s">
        <v>109</v>
      </c>
      <c r="X133">
        <v>17.041592920353999</v>
      </c>
      <c r="AA133">
        <v>2</v>
      </c>
      <c r="AB133" t="s">
        <v>33</v>
      </c>
      <c r="AC133" t="s">
        <v>174</v>
      </c>
      <c r="AD133" t="s">
        <v>45</v>
      </c>
      <c r="AE133" t="str">
        <f t="shared" si="41"/>
        <v>Grise</v>
      </c>
      <c r="AF133">
        <v>0</v>
      </c>
      <c r="AG133">
        <v>0</v>
      </c>
      <c r="AH133">
        <v>1</v>
      </c>
      <c r="AI133">
        <v>0</v>
      </c>
      <c r="AJ133">
        <v>0</v>
      </c>
      <c r="AK133" t="s">
        <v>45</v>
      </c>
      <c r="AL133">
        <v>0.59375</v>
      </c>
      <c r="AO133" t="str">
        <f t="shared" si="42"/>
        <v>Grise</v>
      </c>
      <c r="AP133">
        <f t="shared" si="42"/>
        <v>0</v>
      </c>
      <c r="AQ133">
        <f t="shared" si="42"/>
        <v>0</v>
      </c>
      <c r="AR133">
        <f t="shared" si="42"/>
        <v>0</v>
      </c>
      <c r="AS133">
        <f t="shared" si="42"/>
        <v>0</v>
      </c>
      <c r="AT133">
        <f t="shared" si="42"/>
        <v>0</v>
      </c>
      <c r="AU133">
        <f t="shared" si="42"/>
        <v>0</v>
      </c>
      <c r="AV133">
        <f t="shared" si="42"/>
        <v>0</v>
      </c>
      <c r="AW133">
        <f t="shared" si="42"/>
        <v>0</v>
      </c>
      <c r="AX133">
        <f t="shared" si="42"/>
        <v>0</v>
      </c>
      <c r="AY133">
        <f t="shared" si="43"/>
        <v>0</v>
      </c>
      <c r="AZ133">
        <f t="shared" si="43"/>
        <v>0</v>
      </c>
      <c r="BA133">
        <f t="shared" si="43"/>
        <v>0</v>
      </c>
      <c r="BB133">
        <f t="shared" si="43"/>
        <v>0</v>
      </c>
      <c r="BC133">
        <f t="shared" si="43"/>
        <v>0</v>
      </c>
      <c r="BD133">
        <f t="shared" si="43"/>
        <v>0</v>
      </c>
      <c r="BE133">
        <f t="shared" si="43"/>
        <v>0</v>
      </c>
      <c r="BF133">
        <f t="shared" si="43"/>
        <v>0</v>
      </c>
      <c r="BG133">
        <f t="shared" si="43"/>
        <v>0</v>
      </c>
      <c r="BH133">
        <f t="shared" si="43"/>
        <v>0</v>
      </c>
      <c r="BI133">
        <f t="shared" si="44"/>
        <v>0</v>
      </c>
      <c r="BJ133">
        <f t="shared" si="44"/>
        <v>0</v>
      </c>
      <c r="BK133">
        <f t="shared" si="44"/>
        <v>0</v>
      </c>
      <c r="BL133">
        <f t="shared" si="44"/>
        <v>0</v>
      </c>
      <c r="BM133">
        <f t="shared" si="44"/>
        <v>0</v>
      </c>
      <c r="BN133">
        <f t="shared" si="44"/>
        <v>0</v>
      </c>
      <c r="BO133">
        <f t="shared" si="44"/>
        <v>0</v>
      </c>
      <c r="BP133">
        <f t="shared" si="44"/>
        <v>0</v>
      </c>
      <c r="BQ133">
        <f t="shared" si="44"/>
        <v>0</v>
      </c>
      <c r="BR133">
        <f t="shared" si="44"/>
        <v>0</v>
      </c>
      <c r="BS133">
        <f t="shared" si="44"/>
        <v>0</v>
      </c>
    </row>
    <row r="134" spans="2:71" ht="15" customHeight="1" x14ac:dyDescent="0.2">
      <c r="B134">
        <v>25</v>
      </c>
      <c r="C134">
        <v>9</v>
      </c>
      <c r="D134">
        <v>3</v>
      </c>
      <c r="E134" t="s">
        <v>211</v>
      </c>
      <c r="F134" t="s">
        <v>106</v>
      </c>
      <c r="G134" s="5">
        <v>42169</v>
      </c>
      <c r="H134" t="s">
        <v>73</v>
      </c>
      <c r="I134" t="s">
        <v>167</v>
      </c>
      <c r="J134" t="s">
        <v>168</v>
      </c>
      <c r="K134">
        <v>18</v>
      </c>
      <c r="L134" t="s">
        <v>107</v>
      </c>
      <c r="M134" t="s">
        <v>200</v>
      </c>
      <c r="N134" t="s">
        <v>123</v>
      </c>
      <c r="O134">
        <v>71.3</v>
      </c>
      <c r="P134">
        <v>130</v>
      </c>
      <c r="Q134">
        <v>6326</v>
      </c>
      <c r="R134" t="s">
        <v>110</v>
      </c>
      <c r="S134" t="s">
        <v>111</v>
      </c>
      <c r="T134" t="s">
        <v>81</v>
      </c>
      <c r="U134" t="s">
        <v>49</v>
      </c>
      <c r="V134" t="s">
        <v>50</v>
      </c>
      <c r="W134" t="s">
        <v>109</v>
      </c>
      <c r="X134">
        <v>23.069911504424802</v>
      </c>
      <c r="AA134">
        <v>2</v>
      </c>
      <c r="AB134" t="s">
        <v>32</v>
      </c>
      <c r="AC134" t="s">
        <v>171</v>
      </c>
      <c r="AD134" t="s">
        <v>56</v>
      </c>
      <c r="AE134" t="str">
        <f t="shared" si="41"/>
        <v>Ferrin</v>
      </c>
      <c r="AF134">
        <v>2</v>
      </c>
      <c r="AG134">
        <v>1</v>
      </c>
      <c r="AH134">
        <v>0</v>
      </c>
      <c r="AI134">
        <v>0</v>
      </c>
      <c r="AJ134">
        <v>1</v>
      </c>
      <c r="AK134" t="s">
        <v>56</v>
      </c>
      <c r="AL134">
        <v>0.5</v>
      </c>
      <c r="AO134">
        <f t="shared" si="42"/>
        <v>0</v>
      </c>
      <c r="AP134">
        <f t="shared" si="42"/>
        <v>0</v>
      </c>
      <c r="AQ134">
        <f t="shared" si="42"/>
        <v>0</v>
      </c>
      <c r="AR134">
        <f t="shared" si="42"/>
        <v>0</v>
      </c>
      <c r="AS134">
        <f t="shared" si="42"/>
        <v>0</v>
      </c>
      <c r="AT134">
        <f t="shared" si="42"/>
        <v>0</v>
      </c>
      <c r="AU134">
        <f t="shared" si="42"/>
        <v>0</v>
      </c>
      <c r="AV134">
        <f t="shared" si="42"/>
        <v>0</v>
      </c>
      <c r="AW134">
        <f t="shared" si="42"/>
        <v>0</v>
      </c>
      <c r="AX134">
        <f t="shared" si="42"/>
        <v>0</v>
      </c>
      <c r="AY134" t="str">
        <f t="shared" si="43"/>
        <v>Ferrin</v>
      </c>
      <c r="AZ134">
        <f t="shared" si="43"/>
        <v>0</v>
      </c>
      <c r="BA134">
        <f t="shared" si="43"/>
        <v>0</v>
      </c>
      <c r="BB134">
        <f t="shared" si="43"/>
        <v>0</v>
      </c>
      <c r="BC134">
        <f t="shared" si="43"/>
        <v>0</v>
      </c>
      <c r="BD134">
        <f t="shared" si="43"/>
        <v>0</v>
      </c>
      <c r="BE134">
        <f t="shared" si="43"/>
        <v>0</v>
      </c>
      <c r="BF134">
        <f t="shared" si="43"/>
        <v>0</v>
      </c>
      <c r="BG134">
        <f t="shared" si="43"/>
        <v>0</v>
      </c>
      <c r="BH134">
        <f t="shared" si="43"/>
        <v>0</v>
      </c>
      <c r="BI134">
        <f t="shared" si="44"/>
        <v>0</v>
      </c>
      <c r="BJ134">
        <f t="shared" si="44"/>
        <v>0</v>
      </c>
      <c r="BK134">
        <f t="shared" si="44"/>
        <v>0</v>
      </c>
      <c r="BL134">
        <f t="shared" si="44"/>
        <v>0</v>
      </c>
      <c r="BM134">
        <f t="shared" si="44"/>
        <v>0</v>
      </c>
      <c r="BN134">
        <f t="shared" si="44"/>
        <v>0</v>
      </c>
      <c r="BO134">
        <f t="shared" si="44"/>
        <v>0</v>
      </c>
      <c r="BP134">
        <f t="shared" si="44"/>
        <v>0</v>
      </c>
      <c r="BQ134">
        <f t="shared" si="44"/>
        <v>0</v>
      </c>
      <c r="BR134">
        <f t="shared" si="44"/>
        <v>0</v>
      </c>
      <c r="BS134">
        <f t="shared" si="44"/>
        <v>0</v>
      </c>
    </row>
    <row r="135" spans="2:71" ht="15" customHeight="1" x14ac:dyDescent="0.2">
      <c r="B135">
        <v>25</v>
      </c>
      <c r="C135">
        <v>10</v>
      </c>
      <c r="D135">
        <v>3</v>
      </c>
      <c r="E135" t="s">
        <v>212</v>
      </c>
      <c r="F135" t="s">
        <v>106</v>
      </c>
      <c r="G135" s="5">
        <v>42169</v>
      </c>
      <c r="H135" t="s">
        <v>73</v>
      </c>
      <c r="I135" t="s">
        <v>167</v>
      </c>
      <c r="J135" t="s">
        <v>168</v>
      </c>
      <c r="K135">
        <v>18</v>
      </c>
      <c r="L135" t="s">
        <v>107</v>
      </c>
      <c r="M135" t="s">
        <v>200</v>
      </c>
      <c r="N135" t="s">
        <v>123</v>
      </c>
      <c r="O135">
        <v>71.3</v>
      </c>
      <c r="P135">
        <v>130</v>
      </c>
      <c r="Q135">
        <v>6326</v>
      </c>
      <c r="R135" t="s">
        <v>110</v>
      </c>
      <c r="S135" t="s">
        <v>111</v>
      </c>
      <c r="T135" t="s">
        <v>81</v>
      </c>
      <c r="U135" t="s">
        <v>49</v>
      </c>
      <c r="V135" t="s">
        <v>49</v>
      </c>
      <c r="W135" t="s">
        <v>109</v>
      </c>
      <c r="X135">
        <v>20.519469026548698</v>
      </c>
      <c r="AA135">
        <v>2</v>
      </c>
      <c r="AB135" t="s">
        <v>33</v>
      </c>
      <c r="AC135" t="s">
        <v>95</v>
      </c>
      <c r="AD135" t="s">
        <v>48</v>
      </c>
      <c r="AE135" t="str">
        <f t="shared" si="41"/>
        <v>Shively</v>
      </c>
      <c r="AF135">
        <v>0</v>
      </c>
      <c r="AG135">
        <v>0</v>
      </c>
      <c r="AH135">
        <v>1</v>
      </c>
      <c r="AI135">
        <v>0</v>
      </c>
      <c r="AJ135">
        <v>0</v>
      </c>
      <c r="AK135" t="s">
        <v>48</v>
      </c>
      <c r="AL135">
        <v>0.5546875</v>
      </c>
      <c r="AO135">
        <f t="shared" si="42"/>
        <v>0</v>
      </c>
      <c r="AP135">
        <f t="shared" si="42"/>
        <v>0</v>
      </c>
      <c r="AQ135">
        <f t="shared" si="42"/>
        <v>0</v>
      </c>
      <c r="AR135">
        <f t="shared" si="42"/>
        <v>0</v>
      </c>
      <c r="AS135">
        <f t="shared" si="42"/>
        <v>0</v>
      </c>
      <c r="AT135">
        <f t="shared" si="42"/>
        <v>0</v>
      </c>
      <c r="AU135">
        <f t="shared" si="42"/>
        <v>0</v>
      </c>
      <c r="AV135">
        <f t="shared" si="42"/>
        <v>0</v>
      </c>
      <c r="AW135">
        <f t="shared" si="42"/>
        <v>0</v>
      </c>
      <c r="AX135" t="str">
        <f t="shared" si="42"/>
        <v>Shively</v>
      </c>
      <c r="AY135">
        <f t="shared" si="43"/>
        <v>0</v>
      </c>
      <c r="AZ135">
        <f t="shared" si="43"/>
        <v>0</v>
      </c>
      <c r="BA135">
        <f t="shared" si="43"/>
        <v>0</v>
      </c>
      <c r="BB135">
        <f t="shared" si="43"/>
        <v>0</v>
      </c>
      <c r="BC135">
        <f t="shared" si="43"/>
        <v>0</v>
      </c>
      <c r="BD135">
        <f t="shared" si="43"/>
        <v>0</v>
      </c>
      <c r="BE135">
        <f t="shared" si="43"/>
        <v>0</v>
      </c>
      <c r="BF135">
        <f t="shared" si="43"/>
        <v>0</v>
      </c>
      <c r="BG135">
        <f t="shared" si="43"/>
        <v>0</v>
      </c>
      <c r="BH135">
        <f t="shared" si="43"/>
        <v>0</v>
      </c>
      <c r="BI135">
        <f t="shared" si="44"/>
        <v>0</v>
      </c>
      <c r="BJ135">
        <f t="shared" si="44"/>
        <v>0</v>
      </c>
      <c r="BK135">
        <f t="shared" si="44"/>
        <v>0</v>
      </c>
      <c r="BL135">
        <f t="shared" si="44"/>
        <v>0</v>
      </c>
      <c r="BM135">
        <f t="shared" si="44"/>
        <v>0</v>
      </c>
      <c r="BN135">
        <f t="shared" si="44"/>
        <v>0</v>
      </c>
      <c r="BO135">
        <f t="shared" si="44"/>
        <v>0</v>
      </c>
      <c r="BP135">
        <f t="shared" si="44"/>
        <v>0</v>
      </c>
      <c r="BQ135">
        <f t="shared" si="44"/>
        <v>0</v>
      </c>
      <c r="BR135">
        <f t="shared" si="44"/>
        <v>0</v>
      </c>
      <c r="BS135">
        <f t="shared" si="44"/>
        <v>0</v>
      </c>
    </row>
    <row r="136" spans="2:71" ht="15" customHeight="1" x14ac:dyDescent="0.2">
      <c r="B136">
        <v>26</v>
      </c>
      <c r="C136">
        <v>1</v>
      </c>
      <c r="D136">
        <v>3</v>
      </c>
      <c r="E136" t="s">
        <v>199</v>
      </c>
      <c r="F136" t="s">
        <v>106</v>
      </c>
      <c r="G136" s="5">
        <v>42169</v>
      </c>
      <c r="H136" t="s">
        <v>73</v>
      </c>
      <c r="I136" t="s">
        <v>167</v>
      </c>
      <c r="J136" t="s">
        <v>168</v>
      </c>
      <c r="K136">
        <v>18</v>
      </c>
      <c r="L136" t="s">
        <v>107</v>
      </c>
      <c r="M136" t="s">
        <v>200</v>
      </c>
      <c r="N136" t="s">
        <v>123</v>
      </c>
      <c r="O136">
        <v>71.3</v>
      </c>
      <c r="P136">
        <v>130</v>
      </c>
      <c r="Q136">
        <v>6326</v>
      </c>
      <c r="R136" t="s">
        <v>110</v>
      </c>
      <c r="S136" t="s">
        <v>111</v>
      </c>
      <c r="T136" t="s">
        <v>83</v>
      </c>
      <c r="U136" t="s">
        <v>48</v>
      </c>
      <c r="V136" t="s">
        <v>47</v>
      </c>
      <c r="W136" t="s">
        <v>78</v>
      </c>
      <c r="X136">
        <v>21.7946902654867</v>
      </c>
      <c r="AA136">
        <v>2</v>
      </c>
      <c r="AB136" t="s">
        <v>34</v>
      </c>
      <c r="AC136" t="s">
        <v>92</v>
      </c>
      <c r="AD136" t="s">
        <v>59</v>
      </c>
      <c r="AE136" t="str">
        <f t="shared" si="41"/>
        <v>Hickerson</v>
      </c>
      <c r="AF136">
        <v>1</v>
      </c>
      <c r="AG136">
        <v>0</v>
      </c>
      <c r="AH136">
        <v>0</v>
      </c>
      <c r="AI136">
        <v>1</v>
      </c>
      <c r="AJ136">
        <v>0.5</v>
      </c>
      <c r="AK136" t="s">
        <v>59</v>
      </c>
      <c r="AL136">
        <v>0.52777777777777801</v>
      </c>
      <c r="AO136">
        <f t="shared" si="42"/>
        <v>0</v>
      </c>
      <c r="AP136">
        <f t="shared" si="42"/>
        <v>0</v>
      </c>
      <c r="AQ136">
        <f t="shared" si="42"/>
        <v>0</v>
      </c>
      <c r="AR136">
        <f t="shared" si="42"/>
        <v>0</v>
      </c>
      <c r="AS136">
        <f t="shared" si="42"/>
        <v>0</v>
      </c>
      <c r="AT136">
        <f t="shared" si="42"/>
        <v>0</v>
      </c>
      <c r="AU136">
        <f t="shared" si="42"/>
        <v>0</v>
      </c>
      <c r="AV136" t="str">
        <f t="shared" si="42"/>
        <v>Hickerson</v>
      </c>
      <c r="AW136">
        <f t="shared" si="42"/>
        <v>0</v>
      </c>
      <c r="AX136">
        <f t="shared" si="42"/>
        <v>0</v>
      </c>
      <c r="AY136">
        <f t="shared" si="43"/>
        <v>0</v>
      </c>
      <c r="AZ136">
        <f t="shared" si="43"/>
        <v>0</v>
      </c>
      <c r="BA136">
        <f t="shared" si="43"/>
        <v>0</v>
      </c>
      <c r="BB136">
        <f t="shared" si="43"/>
        <v>0</v>
      </c>
      <c r="BC136">
        <f t="shared" si="43"/>
        <v>0</v>
      </c>
      <c r="BD136">
        <f t="shared" si="43"/>
        <v>0</v>
      </c>
      <c r="BE136">
        <f t="shared" si="43"/>
        <v>0</v>
      </c>
      <c r="BF136">
        <f t="shared" si="43"/>
        <v>0</v>
      </c>
      <c r="BG136">
        <f t="shared" si="43"/>
        <v>0</v>
      </c>
      <c r="BH136">
        <f t="shared" si="43"/>
        <v>0</v>
      </c>
      <c r="BI136">
        <f t="shared" si="44"/>
        <v>0</v>
      </c>
      <c r="BJ136">
        <f t="shared" si="44"/>
        <v>0</v>
      </c>
      <c r="BK136">
        <f t="shared" si="44"/>
        <v>0</v>
      </c>
      <c r="BL136">
        <f t="shared" si="44"/>
        <v>0</v>
      </c>
      <c r="BM136">
        <f t="shared" si="44"/>
        <v>0</v>
      </c>
      <c r="BN136">
        <f t="shared" si="44"/>
        <v>0</v>
      </c>
      <c r="BO136">
        <f t="shared" si="44"/>
        <v>0</v>
      </c>
      <c r="BP136">
        <f t="shared" si="44"/>
        <v>0</v>
      </c>
      <c r="BQ136">
        <f t="shared" si="44"/>
        <v>0</v>
      </c>
      <c r="BR136">
        <f t="shared" si="44"/>
        <v>0</v>
      </c>
      <c r="BS136">
        <f t="shared" si="44"/>
        <v>0</v>
      </c>
    </row>
    <row r="137" spans="2:71" ht="15" customHeight="1" x14ac:dyDescent="0.2">
      <c r="B137">
        <v>26</v>
      </c>
      <c r="C137">
        <v>2</v>
      </c>
      <c r="D137">
        <v>3</v>
      </c>
      <c r="E137" t="s">
        <v>201</v>
      </c>
      <c r="F137" t="s">
        <v>106</v>
      </c>
      <c r="G137" s="5">
        <v>42169</v>
      </c>
      <c r="H137" t="s">
        <v>73</v>
      </c>
      <c r="I137" t="s">
        <v>167</v>
      </c>
      <c r="J137" t="s">
        <v>168</v>
      </c>
      <c r="K137">
        <v>18</v>
      </c>
      <c r="L137" t="s">
        <v>107</v>
      </c>
      <c r="M137" t="s">
        <v>200</v>
      </c>
      <c r="N137" t="s">
        <v>123</v>
      </c>
      <c r="O137">
        <v>71.3</v>
      </c>
      <c r="P137">
        <v>130</v>
      </c>
      <c r="Q137">
        <v>6326</v>
      </c>
      <c r="R137" t="s">
        <v>110</v>
      </c>
      <c r="S137" t="s">
        <v>111</v>
      </c>
      <c r="T137" t="s">
        <v>83</v>
      </c>
      <c r="U137" t="s">
        <v>48</v>
      </c>
      <c r="V137" t="s">
        <v>54</v>
      </c>
      <c r="W137" t="s">
        <v>78</v>
      </c>
      <c r="X137">
        <v>28.982300884955801</v>
      </c>
      <c r="AA137">
        <v>2</v>
      </c>
      <c r="AB137" t="s">
        <v>33</v>
      </c>
      <c r="AC137" t="s">
        <v>202</v>
      </c>
      <c r="AD137" t="s">
        <v>52</v>
      </c>
      <c r="AE137" t="str">
        <f t="shared" si="41"/>
        <v>Fogan</v>
      </c>
      <c r="AF137">
        <v>0</v>
      </c>
      <c r="AG137">
        <v>0</v>
      </c>
      <c r="AH137">
        <v>1</v>
      </c>
      <c r="AI137">
        <v>0</v>
      </c>
      <c r="AJ137">
        <v>0</v>
      </c>
      <c r="AK137" t="s">
        <v>52</v>
      </c>
      <c r="AL137">
        <v>0.34745762711864397</v>
      </c>
      <c r="AO137">
        <f t="shared" si="42"/>
        <v>0</v>
      </c>
      <c r="AP137">
        <f t="shared" si="42"/>
        <v>0</v>
      </c>
      <c r="AQ137">
        <f t="shared" si="42"/>
        <v>0</v>
      </c>
      <c r="AR137">
        <f t="shared" si="42"/>
        <v>0</v>
      </c>
      <c r="AS137">
        <f t="shared" si="42"/>
        <v>0</v>
      </c>
      <c r="AT137">
        <f t="shared" si="42"/>
        <v>0</v>
      </c>
      <c r="AU137">
        <f t="shared" si="42"/>
        <v>0</v>
      </c>
      <c r="AV137">
        <f t="shared" si="42"/>
        <v>0</v>
      </c>
      <c r="AW137">
        <f t="shared" si="42"/>
        <v>0</v>
      </c>
      <c r="AX137">
        <f t="shared" si="42"/>
        <v>0</v>
      </c>
      <c r="AY137">
        <f t="shared" si="43"/>
        <v>0</v>
      </c>
      <c r="AZ137">
        <f t="shared" si="43"/>
        <v>0</v>
      </c>
      <c r="BA137">
        <f t="shared" si="43"/>
        <v>0</v>
      </c>
      <c r="BB137">
        <f t="shared" si="43"/>
        <v>0</v>
      </c>
      <c r="BC137" t="str">
        <f t="shared" si="43"/>
        <v>Fogan</v>
      </c>
      <c r="BD137">
        <f t="shared" si="43"/>
        <v>0</v>
      </c>
      <c r="BE137">
        <f t="shared" si="43"/>
        <v>0</v>
      </c>
      <c r="BF137">
        <f t="shared" si="43"/>
        <v>0</v>
      </c>
      <c r="BG137">
        <f t="shared" si="43"/>
        <v>0</v>
      </c>
      <c r="BH137">
        <f t="shared" si="43"/>
        <v>0</v>
      </c>
      <c r="BI137">
        <f t="shared" si="44"/>
        <v>0</v>
      </c>
      <c r="BJ137">
        <f t="shared" si="44"/>
        <v>0</v>
      </c>
      <c r="BK137">
        <f t="shared" si="44"/>
        <v>0</v>
      </c>
      <c r="BL137">
        <f t="shared" si="44"/>
        <v>0</v>
      </c>
      <c r="BM137">
        <f t="shared" si="44"/>
        <v>0</v>
      </c>
      <c r="BN137">
        <f t="shared" si="44"/>
        <v>0</v>
      </c>
      <c r="BO137">
        <f t="shared" si="44"/>
        <v>0</v>
      </c>
      <c r="BP137">
        <f t="shared" si="44"/>
        <v>0</v>
      </c>
      <c r="BQ137">
        <f t="shared" si="44"/>
        <v>0</v>
      </c>
      <c r="BR137">
        <f t="shared" si="44"/>
        <v>0</v>
      </c>
      <c r="BS137">
        <f t="shared" si="44"/>
        <v>0</v>
      </c>
    </row>
    <row r="138" spans="2:71" ht="15" customHeight="1" x14ac:dyDescent="0.2">
      <c r="B138">
        <v>27</v>
      </c>
      <c r="C138">
        <v>3</v>
      </c>
      <c r="D138">
        <v>3</v>
      </c>
      <c r="E138" t="s">
        <v>203</v>
      </c>
      <c r="F138" t="s">
        <v>106</v>
      </c>
      <c r="G138" s="5">
        <v>42169</v>
      </c>
      <c r="H138" t="s">
        <v>73</v>
      </c>
      <c r="I138" t="s">
        <v>167</v>
      </c>
      <c r="J138" t="s">
        <v>168</v>
      </c>
      <c r="K138">
        <v>18</v>
      </c>
      <c r="L138" t="s">
        <v>107</v>
      </c>
      <c r="M138" t="s">
        <v>200</v>
      </c>
      <c r="N138" t="s">
        <v>123</v>
      </c>
      <c r="O138">
        <v>71.3</v>
      </c>
      <c r="P138">
        <v>130</v>
      </c>
      <c r="Q138">
        <v>6326</v>
      </c>
      <c r="R138" t="s">
        <v>110</v>
      </c>
      <c r="S138" t="s">
        <v>111</v>
      </c>
      <c r="T138" t="s">
        <v>83</v>
      </c>
      <c r="U138" t="s">
        <v>48</v>
      </c>
      <c r="V138" t="s">
        <v>58</v>
      </c>
      <c r="W138" t="s">
        <v>78</v>
      </c>
      <c r="X138">
        <v>12.7522123893805</v>
      </c>
      <c r="AA138">
        <v>2</v>
      </c>
      <c r="AB138" t="s">
        <v>32</v>
      </c>
      <c r="AC138" t="s">
        <v>204</v>
      </c>
      <c r="AD138" t="s">
        <v>44</v>
      </c>
      <c r="AE138" t="str">
        <f t="shared" si="41"/>
        <v>Gray</v>
      </c>
      <c r="AF138">
        <v>2</v>
      </c>
      <c r="AG138">
        <v>1</v>
      </c>
      <c r="AH138">
        <v>0</v>
      </c>
      <c r="AI138">
        <v>0</v>
      </c>
      <c r="AJ138">
        <v>1</v>
      </c>
      <c r="AK138" t="s">
        <v>44</v>
      </c>
      <c r="AL138">
        <v>0.4296875</v>
      </c>
      <c r="AO138">
        <f t="shared" si="42"/>
        <v>0</v>
      </c>
      <c r="AP138">
        <f t="shared" si="42"/>
        <v>0</v>
      </c>
      <c r="AQ138">
        <f t="shared" si="42"/>
        <v>0</v>
      </c>
      <c r="AR138">
        <f t="shared" si="42"/>
        <v>0</v>
      </c>
      <c r="AS138">
        <f t="shared" si="42"/>
        <v>0</v>
      </c>
      <c r="AT138">
        <f t="shared" si="42"/>
        <v>0</v>
      </c>
      <c r="AU138">
        <f t="shared" si="42"/>
        <v>0</v>
      </c>
      <c r="AV138">
        <f t="shared" si="42"/>
        <v>0</v>
      </c>
      <c r="AW138">
        <f t="shared" si="42"/>
        <v>0</v>
      </c>
      <c r="AX138">
        <f t="shared" si="42"/>
        <v>0</v>
      </c>
      <c r="AY138">
        <f t="shared" si="43"/>
        <v>0</v>
      </c>
      <c r="AZ138">
        <f t="shared" si="43"/>
        <v>0</v>
      </c>
      <c r="BA138">
        <f t="shared" si="43"/>
        <v>0</v>
      </c>
      <c r="BB138">
        <f t="shared" si="43"/>
        <v>0</v>
      </c>
      <c r="BC138">
        <f t="shared" si="43"/>
        <v>0</v>
      </c>
      <c r="BD138">
        <f t="shared" si="43"/>
        <v>0</v>
      </c>
      <c r="BE138">
        <f t="shared" si="43"/>
        <v>0</v>
      </c>
      <c r="BF138">
        <f t="shared" si="43"/>
        <v>0</v>
      </c>
      <c r="BG138" t="str">
        <f t="shared" si="43"/>
        <v>Gray</v>
      </c>
      <c r="BH138">
        <f t="shared" si="43"/>
        <v>0</v>
      </c>
      <c r="BI138">
        <f t="shared" si="44"/>
        <v>0</v>
      </c>
      <c r="BJ138">
        <f t="shared" si="44"/>
        <v>0</v>
      </c>
      <c r="BK138">
        <f t="shared" si="44"/>
        <v>0</v>
      </c>
      <c r="BL138">
        <f t="shared" si="44"/>
        <v>0</v>
      </c>
      <c r="BM138">
        <f t="shared" si="44"/>
        <v>0</v>
      </c>
      <c r="BN138">
        <f t="shared" si="44"/>
        <v>0</v>
      </c>
      <c r="BO138">
        <f t="shared" si="44"/>
        <v>0</v>
      </c>
      <c r="BP138">
        <f t="shared" si="44"/>
        <v>0</v>
      </c>
      <c r="BQ138">
        <f t="shared" si="44"/>
        <v>0</v>
      </c>
      <c r="BR138">
        <f t="shared" si="44"/>
        <v>0</v>
      </c>
      <c r="BS138">
        <f t="shared" si="44"/>
        <v>0</v>
      </c>
    </row>
    <row r="139" spans="2:71" ht="15" customHeight="1" x14ac:dyDescent="0.2">
      <c r="B139">
        <v>27</v>
      </c>
      <c r="C139">
        <v>4</v>
      </c>
      <c r="D139">
        <v>3</v>
      </c>
      <c r="E139" t="s">
        <v>205</v>
      </c>
      <c r="F139" t="s">
        <v>106</v>
      </c>
      <c r="G139" s="5">
        <v>42169</v>
      </c>
      <c r="H139" t="s">
        <v>73</v>
      </c>
      <c r="I139" t="s">
        <v>167</v>
      </c>
      <c r="J139" t="s">
        <v>168</v>
      </c>
      <c r="K139">
        <v>18</v>
      </c>
      <c r="L139" t="s">
        <v>107</v>
      </c>
      <c r="M139" t="s">
        <v>200</v>
      </c>
      <c r="N139" t="s">
        <v>123</v>
      </c>
      <c r="O139">
        <v>71.3</v>
      </c>
      <c r="P139">
        <v>130</v>
      </c>
      <c r="Q139">
        <v>6326</v>
      </c>
      <c r="R139" t="s">
        <v>110</v>
      </c>
      <c r="S139" t="s">
        <v>111</v>
      </c>
      <c r="T139" t="s">
        <v>83</v>
      </c>
      <c r="U139" t="s">
        <v>48</v>
      </c>
      <c r="V139" t="s">
        <v>41</v>
      </c>
      <c r="W139" t="s">
        <v>78</v>
      </c>
      <c r="X139">
        <v>20.751327433628301</v>
      </c>
      <c r="AA139">
        <v>2</v>
      </c>
      <c r="AB139" t="s">
        <v>33</v>
      </c>
      <c r="AC139" t="s">
        <v>184</v>
      </c>
      <c r="AD139" t="s">
        <v>53</v>
      </c>
      <c r="AE139" t="str">
        <f t="shared" si="41"/>
        <v>Hilts</v>
      </c>
      <c r="AF139">
        <v>0</v>
      </c>
      <c r="AG139">
        <v>0</v>
      </c>
      <c r="AH139">
        <v>1</v>
      </c>
      <c r="AI139">
        <v>0</v>
      </c>
      <c r="AJ139">
        <v>0</v>
      </c>
      <c r="AK139" t="s">
        <v>53</v>
      </c>
      <c r="AL139">
        <v>0.59649122807017496</v>
      </c>
      <c r="AO139">
        <f t="shared" si="42"/>
        <v>0</v>
      </c>
      <c r="AP139" t="str">
        <f t="shared" si="42"/>
        <v>Hilts</v>
      </c>
      <c r="AQ139">
        <f t="shared" si="42"/>
        <v>0</v>
      </c>
      <c r="AR139">
        <f t="shared" si="42"/>
        <v>0</v>
      </c>
      <c r="AS139">
        <f t="shared" si="42"/>
        <v>0</v>
      </c>
      <c r="AT139">
        <f t="shared" si="42"/>
        <v>0</v>
      </c>
      <c r="AU139">
        <f t="shared" si="42"/>
        <v>0</v>
      </c>
      <c r="AV139">
        <f t="shared" si="42"/>
        <v>0</v>
      </c>
      <c r="AW139">
        <f t="shared" si="42"/>
        <v>0</v>
      </c>
      <c r="AX139">
        <f t="shared" si="42"/>
        <v>0</v>
      </c>
      <c r="AY139">
        <f t="shared" si="43"/>
        <v>0</v>
      </c>
      <c r="AZ139">
        <f t="shared" si="43"/>
        <v>0</v>
      </c>
      <c r="BA139">
        <f t="shared" si="43"/>
        <v>0</v>
      </c>
      <c r="BB139">
        <f t="shared" si="43"/>
        <v>0</v>
      </c>
      <c r="BC139">
        <f t="shared" si="43"/>
        <v>0</v>
      </c>
      <c r="BD139">
        <f t="shared" si="43"/>
        <v>0</v>
      </c>
      <c r="BE139">
        <f t="shared" si="43"/>
        <v>0</v>
      </c>
      <c r="BF139">
        <f t="shared" si="43"/>
        <v>0</v>
      </c>
      <c r="BG139">
        <f t="shared" si="43"/>
        <v>0</v>
      </c>
      <c r="BH139">
        <f t="shared" si="43"/>
        <v>0</v>
      </c>
      <c r="BI139">
        <f t="shared" si="44"/>
        <v>0</v>
      </c>
      <c r="BJ139">
        <f t="shared" si="44"/>
        <v>0</v>
      </c>
      <c r="BK139">
        <f t="shared" si="44"/>
        <v>0</v>
      </c>
      <c r="BL139">
        <f t="shared" si="44"/>
        <v>0</v>
      </c>
      <c r="BM139">
        <f t="shared" si="44"/>
        <v>0</v>
      </c>
      <c r="BN139">
        <f t="shared" si="44"/>
        <v>0</v>
      </c>
      <c r="BO139">
        <f t="shared" si="44"/>
        <v>0</v>
      </c>
      <c r="BP139">
        <f t="shared" si="44"/>
        <v>0</v>
      </c>
      <c r="BQ139">
        <f t="shared" si="44"/>
        <v>0</v>
      </c>
      <c r="BR139">
        <f t="shared" si="44"/>
        <v>0</v>
      </c>
      <c r="BS139">
        <f t="shared" si="44"/>
        <v>0</v>
      </c>
    </row>
    <row r="140" spans="2:71" ht="15" customHeight="1" x14ac:dyDescent="0.2">
      <c r="B140">
        <v>28</v>
      </c>
      <c r="C140">
        <v>5</v>
      </c>
      <c r="D140">
        <v>3</v>
      </c>
      <c r="E140" t="s">
        <v>206</v>
      </c>
      <c r="F140" t="s">
        <v>106</v>
      </c>
      <c r="G140" s="5">
        <v>42169</v>
      </c>
      <c r="H140" t="s">
        <v>73</v>
      </c>
      <c r="I140" t="s">
        <v>167</v>
      </c>
      <c r="J140" t="s">
        <v>168</v>
      </c>
      <c r="K140">
        <v>18</v>
      </c>
      <c r="L140" t="s">
        <v>107</v>
      </c>
      <c r="M140" t="s">
        <v>200</v>
      </c>
      <c r="N140" t="s">
        <v>123</v>
      </c>
      <c r="O140">
        <v>71.3</v>
      </c>
      <c r="P140">
        <v>130</v>
      </c>
      <c r="Q140">
        <v>6326</v>
      </c>
      <c r="R140" t="s">
        <v>110</v>
      </c>
      <c r="S140" t="s">
        <v>111</v>
      </c>
      <c r="T140" t="s">
        <v>83</v>
      </c>
      <c r="U140" t="s">
        <v>48</v>
      </c>
      <c r="V140" t="s">
        <v>55</v>
      </c>
      <c r="W140" t="s">
        <v>78</v>
      </c>
      <c r="X140">
        <v>28.750442477876099</v>
      </c>
      <c r="AA140">
        <v>2</v>
      </c>
      <c r="AB140" t="s">
        <v>34</v>
      </c>
      <c r="AC140" t="s">
        <v>92</v>
      </c>
      <c r="AD140" t="s">
        <v>46</v>
      </c>
      <c r="AE140" t="str">
        <f t="shared" si="41"/>
        <v>Cole</v>
      </c>
      <c r="AF140">
        <v>1</v>
      </c>
      <c r="AG140">
        <v>0</v>
      </c>
      <c r="AH140">
        <v>0</v>
      </c>
      <c r="AI140">
        <v>1</v>
      </c>
      <c r="AJ140">
        <v>0.5</v>
      </c>
      <c r="AK140" t="s">
        <v>46</v>
      </c>
      <c r="AL140">
        <v>0.38392857142857201</v>
      </c>
      <c r="AO140">
        <f t="shared" si="42"/>
        <v>0</v>
      </c>
      <c r="AP140">
        <f t="shared" si="42"/>
        <v>0</v>
      </c>
      <c r="AQ140">
        <f t="shared" si="42"/>
        <v>0</v>
      </c>
      <c r="AR140">
        <f t="shared" si="42"/>
        <v>0</v>
      </c>
      <c r="AS140">
        <f t="shared" si="42"/>
        <v>0</v>
      </c>
      <c r="AT140">
        <f t="shared" si="42"/>
        <v>0</v>
      </c>
      <c r="AU140">
        <f t="shared" si="42"/>
        <v>0</v>
      </c>
      <c r="AV140">
        <f t="shared" si="42"/>
        <v>0</v>
      </c>
      <c r="AW140">
        <f t="shared" si="42"/>
        <v>0</v>
      </c>
      <c r="AX140">
        <f t="shared" si="42"/>
        <v>0</v>
      </c>
      <c r="AY140">
        <f t="shared" si="43"/>
        <v>0</v>
      </c>
      <c r="AZ140">
        <f t="shared" si="43"/>
        <v>0</v>
      </c>
      <c r="BA140">
        <f t="shared" si="43"/>
        <v>0</v>
      </c>
      <c r="BB140">
        <f t="shared" si="43"/>
        <v>0</v>
      </c>
      <c r="BC140">
        <f t="shared" si="43"/>
        <v>0</v>
      </c>
      <c r="BD140" t="str">
        <f t="shared" si="43"/>
        <v>Cole</v>
      </c>
      <c r="BE140">
        <f t="shared" si="43"/>
        <v>0</v>
      </c>
      <c r="BF140">
        <f t="shared" si="43"/>
        <v>0</v>
      </c>
      <c r="BG140">
        <f t="shared" si="43"/>
        <v>0</v>
      </c>
      <c r="BH140">
        <f t="shared" si="43"/>
        <v>0</v>
      </c>
      <c r="BI140">
        <f t="shared" si="44"/>
        <v>0</v>
      </c>
      <c r="BJ140">
        <f t="shared" si="44"/>
        <v>0</v>
      </c>
      <c r="BK140">
        <f t="shared" si="44"/>
        <v>0</v>
      </c>
      <c r="BL140">
        <f t="shared" si="44"/>
        <v>0</v>
      </c>
      <c r="BM140">
        <f t="shared" si="44"/>
        <v>0</v>
      </c>
      <c r="BN140">
        <f t="shared" si="44"/>
        <v>0</v>
      </c>
      <c r="BO140">
        <f t="shared" si="44"/>
        <v>0</v>
      </c>
      <c r="BP140">
        <f t="shared" si="44"/>
        <v>0</v>
      </c>
      <c r="BQ140">
        <f t="shared" si="44"/>
        <v>0</v>
      </c>
      <c r="BR140">
        <f t="shared" si="44"/>
        <v>0</v>
      </c>
      <c r="BS140">
        <f t="shared" si="44"/>
        <v>0</v>
      </c>
    </row>
    <row r="141" spans="2:71" ht="15" customHeight="1" x14ac:dyDescent="0.2">
      <c r="B141">
        <v>28</v>
      </c>
      <c r="C141">
        <v>6</v>
      </c>
      <c r="D141">
        <v>3</v>
      </c>
      <c r="E141" t="s">
        <v>207</v>
      </c>
      <c r="F141" t="s">
        <v>106</v>
      </c>
      <c r="G141" s="5">
        <v>42169</v>
      </c>
      <c r="H141" t="s">
        <v>73</v>
      </c>
      <c r="I141" t="s">
        <v>167</v>
      </c>
      <c r="J141" t="s">
        <v>168</v>
      </c>
      <c r="K141">
        <v>18</v>
      </c>
      <c r="L141" t="s">
        <v>107</v>
      </c>
      <c r="M141" t="s">
        <v>200</v>
      </c>
      <c r="N141" t="s">
        <v>123</v>
      </c>
      <c r="O141">
        <v>71.3</v>
      </c>
      <c r="P141">
        <v>130</v>
      </c>
      <c r="Q141">
        <v>6326</v>
      </c>
      <c r="R141" t="s">
        <v>110</v>
      </c>
      <c r="S141" t="s">
        <v>111</v>
      </c>
      <c r="T141" t="s">
        <v>83</v>
      </c>
      <c r="U141" t="s">
        <v>48</v>
      </c>
      <c r="V141" t="s">
        <v>61</v>
      </c>
      <c r="W141" t="s">
        <v>78</v>
      </c>
      <c r="X141">
        <v>11.0132743362832</v>
      </c>
      <c r="AA141">
        <v>2</v>
      </c>
      <c r="AB141" t="s">
        <v>33</v>
      </c>
      <c r="AC141" t="s">
        <v>184</v>
      </c>
      <c r="AD141" t="s">
        <v>42</v>
      </c>
      <c r="AE141" t="str">
        <f t="shared" si="41"/>
        <v>McInerney</v>
      </c>
      <c r="AF141">
        <v>0</v>
      </c>
      <c r="AG141">
        <v>0</v>
      </c>
      <c r="AH141">
        <v>1</v>
      </c>
      <c r="AI141">
        <v>0</v>
      </c>
      <c r="AJ141">
        <v>0</v>
      </c>
      <c r="AK141" t="s">
        <v>42</v>
      </c>
      <c r="AL141">
        <v>0.6171875</v>
      </c>
      <c r="AO141">
        <f t="shared" si="42"/>
        <v>0</v>
      </c>
      <c r="AP141">
        <f t="shared" si="42"/>
        <v>0</v>
      </c>
      <c r="AQ141">
        <f t="shared" si="42"/>
        <v>0</v>
      </c>
      <c r="AR141">
        <f t="shared" si="42"/>
        <v>0</v>
      </c>
      <c r="AS141">
        <f t="shared" si="42"/>
        <v>0</v>
      </c>
      <c r="AT141">
        <f t="shared" si="42"/>
        <v>0</v>
      </c>
      <c r="AU141">
        <f t="shared" si="42"/>
        <v>0</v>
      </c>
      <c r="AV141">
        <f t="shared" si="42"/>
        <v>0</v>
      </c>
      <c r="AW141">
        <f t="shared" si="42"/>
        <v>0</v>
      </c>
      <c r="AX141">
        <f t="shared" si="42"/>
        <v>0</v>
      </c>
      <c r="AY141">
        <f t="shared" si="43"/>
        <v>0</v>
      </c>
      <c r="AZ141">
        <f t="shared" si="43"/>
        <v>0</v>
      </c>
      <c r="BA141">
        <f t="shared" si="43"/>
        <v>0</v>
      </c>
      <c r="BB141">
        <f t="shared" si="43"/>
        <v>0</v>
      </c>
      <c r="BC141">
        <f t="shared" si="43"/>
        <v>0</v>
      </c>
      <c r="BD141">
        <f t="shared" si="43"/>
        <v>0</v>
      </c>
      <c r="BE141">
        <f t="shared" si="43"/>
        <v>0</v>
      </c>
      <c r="BF141">
        <f t="shared" si="43"/>
        <v>0</v>
      </c>
      <c r="BG141">
        <f t="shared" si="43"/>
        <v>0</v>
      </c>
      <c r="BH141">
        <f t="shared" si="43"/>
        <v>0</v>
      </c>
      <c r="BI141">
        <f t="shared" si="44"/>
        <v>0</v>
      </c>
      <c r="BJ141" t="str">
        <f t="shared" si="44"/>
        <v>McInerney</v>
      </c>
      <c r="BK141">
        <f t="shared" si="44"/>
        <v>0</v>
      </c>
      <c r="BL141">
        <f t="shared" si="44"/>
        <v>0</v>
      </c>
      <c r="BM141">
        <f t="shared" si="44"/>
        <v>0</v>
      </c>
      <c r="BN141">
        <f t="shared" si="44"/>
        <v>0</v>
      </c>
      <c r="BO141">
        <f t="shared" si="44"/>
        <v>0</v>
      </c>
      <c r="BP141">
        <f t="shared" si="44"/>
        <v>0</v>
      </c>
      <c r="BQ141">
        <f t="shared" si="44"/>
        <v>0</v>
      </c>
      <c r="BR141">
        <f t="shared" si="44"/>
        <v>0</v>
      </c>
      <c r="BS141">
        <f t="shared" si="44"/>
        <v>0</v>
      </c>
    </row>
    <row r="142" spans="2:71" ht="15" customHeight="1" x14ac:dyDescent="0.2">
      <c r="B142">
        <v>29</v>
      </c>
      <c r="C142">
        <v>7</v>
      </c>
      <c r="D142">
        <v>3</v>
      </c>
      <c r="E142" t="s">
        <v>208</v>
      </c>
      <c r="F142" t="s">
        <v>106</v>
      </c>
      <c r="G142" s="5">
        <v>42169</v>
      </c>
      <c r="H142" t="s">
        <v>73</v>
      </c>
      <c r="I142" t="s">
        <v>167</v>
      </c>
      <c r="J142" t="s">
        <v>168</v>
      </c>
      <c r="K142">
        <v>18</v>
      </c>
      <c r="L142" t="s">
        <v>107</v>
      </c>
      <c r="M142" t="s">
        <v>200</v>
      </c>
      <c r="N142" t="s">
        <v>123</v>
      </c>
      <c r="O142">
        <v>71.3</v>
      </c>
      <c r="P142">
        <v>130</v>
      </c>
      <c r="Q142">
        <v>6326</v>
      </c>
      <c r="R142" t="s">
        <v>110</v>
      </c>
      <c r="S142" t="s">
        <v>111</v>
      </c>
      <c r="T142" t="s">
        <v>83</v>
      </c>
      <c r="U142" t="s">
        <v>48</v>
      </c>
      <c r="V142" t="s">
        <v>60</v>
      </c>
      <c r="W142" t="s">
        <v>78</v>
      </c>
      <c r="X142">
        <v>16.577876106194701</v>
      </c>
      <c r="AA142">
        <v>2</v>
      </c>
      <c r="AB142" t="s">
        <v>32</v>
      </c>
      <c r="AC142" t="s">
        <v>209</v>
      </c>
      <c r="AD142" t="s">
        <v>57</v>
      </c>
      <c r="AE142" t="str">
        <f t="shared" si="41"/>
        <v>Zimmer</v>
      </c>
      <c r="AF142">
        <v>2</v>
      </c>
      <c r="AG142">
        <v>1</v>
      </c>
      <c r="AH142">
        <v>0</v>
      </c>
      <c r="AI142">
        <v>0</v>
      </c>
      <c r="AJ142">
        <v>1</v>
      </c>
      <c r="AK142" t="s">
        <v>57</v>
      </c>
      <c r="AL142">
        <v>0.44827586206896602</v>
      </c>
      <c r="AO142">
        <f t="shared" ref="AO142:AX151" si="45">IF(OR($V142=AO$1,$Y142=AO$1),AO$1,0)</f>
        <v>0</v>
      </c>
      <c r="AP142">
        <f t="shared" si="45"/>
        <v>0</v>
      </c>
      <c r="AQ142">
        <f t="shared" si="45"/>
        <v>0</v>
      </c>
      <c r="AR142">
        <f t="shared" si="45"/>
        <v>0</v>
      </c>
      <c r="AS142">
        <f t="shared" si="45"/>
        <v>0</v>
      </c>
      <c r="AT142">
        <f t="shared" si="45"/>
        <v>0</v>
      </c>
      <c r="AU142">
        <f t="shared" si="45"/>
        <v>0</v>
      </c>
      <c r="AV142">
        <f t="shared" si="45"/>
        <v>0</v>
      </c>
      <c r="AW142">
        <f t="shared" si="45"/>
        <v>0</v>
      </c>
      <c r="AX142">
        <f t="shared" si="45"/>
        <v>0</v>
      </c>
      <c r="AY142">
        <f t="shared" ref="AY142:BH151" si="46">IF(OR($V142=AY$1,$Y142=AY$1),AY$1,0)</f>
        <v>0</v>
      </c>
      <c r="AZ142">
        <f t="shared" si="46"/>
        <v>0</v>
      </c>
      <c r="BA142">
        <f t="shared" si="46"/>
        <v>0</v>
      </c>
      <c r="BB142">
        <f t="shared" si="46"/>
        <v>0</v>
      </c>
      <c r="BC142">
        <f t="shared" si="46"/>
        <v>0</v>
      </c>
      <c r="BD142">
        <f t="shared" si="46"/>
        <v>0</v>
      </c>
      <c r="BE142">
        <f t="shared" si="46"/>
        <v>0</v>
      </c>
      <c r="BF142">
        <f t="shared" si="46"/>
        <v>0</v>
      </c>
      <c r="BG142">
        <f t="shared" si="46"/>
        <v>0</v>
      </c>
      <c r="BH142">
        <f t="shared" si="46"/>
        <v>0</v>
      </c>
      <c r="BI142" t="str">
        <f t="shared" ref="BI142:BS151" si="47">IF(OR($V142=BI$1,$Y142=BI$1),BI$1,0)</f>
        <v>Zimmer</v>
      </c>
      <c r="BJ142">
        <f t="shared" si="47"/>
        <v>0</v>
      </c>
      <c r="BK142">
        <f t="shared" si="47"/>
        <v>0</v>
      </c>
      <c r="BL142">
        <f t="shared" si="47"/>
        <v>0</v>
      </c>
      <c r="BM142">
        <f t="shared" si="47"/>
        <v>0</v>
      </c>
      <c r="BN142">
        <f t="shared" si="47"/>
        <v>0</v>
      </c>
      <c r="BO142">
        <f t="shared" si="47"/>
        <v>0</v>
      </c>
      <c r="BP142">
        <f t="shared" si="47"/>
        <v>0</v>
      </c>
      <c r="BQ142">
        <f t="shared" si="47"/>
        <v>0</v>
      </c>
      <c r="BR142">
        <f t="shared" si="47"/>
        <v>0</v>
      </c>
      <c r="BS142">
        <f t="shared" si="47"/>
        <v>0</v>
      </c>
    </row>
    <row r="143" spans="2:71" ht="15" customHeight="1" x14ac:dyDescent="0.2">
      <c r="B143">
        <v>29</v>
      </c>
      <c r="C143">
        <v>8</v>
      </c>
      <c r="D143">
        <v>3</v>
      </c>
      <c r="E143" t="s">
        <v>210</v>
      </c>
      <c r="F143" t="s">
        <v>106</v>
      </c>
      <c r="G143" s="5">
        <v>42169</v>
      </c>
      <c r="H143" t="s">
        <v>73</v>
      </c>
      <c r="I143" t="s">
        <v>167</v>
      </c>
      <c r="J143" t="s">
        <v>168</v>
      </c>
      <c r="K143">
        <v>18</v>
      </c>
      <c r="L143" t="s">
        <v>107</v>
      </c>
      <c r="M143" t="s">
        <v>200</v>
      </c>
      <c r="N143" t="s">
        <v>123</v>
      </c>
      <c r="O143">
        <v>71.3</v>
      </c>
      <c r="P143">
        <v>130</v>
      </c>
      <c r="Q143">
        <v>6326</v>
      </c>
      <c r="R143" t="s">
        <v>110</v>
      </c>
      <c r="S143" t="s">
        <v>111</v>
      </c>
      <c r="T143" t="s">
        <v>83</v>
      </c>
      <c r="U143" t="s">
        <v>48</v>
      </c>
      <c r="V143" t="s">
        <v>45</v>
      </c>
      <c r="W143" t="s">
        <v>78</v>
      </c>
      <c r="X143">
        <v>10.5495575221239</v>
      </c>
      <c r="AA143">
        <v>2</v>
      </c>
      <c r="AB143" t="s">
        <v>32</v>
      </c>
      <c r="AC143" t="s">
        <v>174</v>
      </c>
      <c r="AD143" t="s">
        <v>40</v>
      </c>
      <c r="AE143" t="str">
        <f t="shared" si="41"/>
        <v>Connolly</v>
      </c>
      <c r="AF143">
        <v>2</v>
      </c>
      <c r="AG143">
        <v>1</v>
      </c>
      <c r="AH143">
        <v>0</v>
      </c>
      <c r="AI143">
        <v>0</v>
      </c>
      <c r="AJ143">
        <v>1</v>
      </c>
      <c r="AK143" t="s">
        <v>40</v>
      </c>
      <c r="AL143">
        <v>0.546875</v>
      </c>
      <c r="AO143">
        <f t="shared" si="45"/>
        <v>0</v>
      </c>
      <c r="AP143">
        <f t="shared" si="45"/>
        <v>0</v>
      </c>
      <c r="AQ143">
        <f t="shared" si="45"/>
        <v>0</v>
      </c>
      <c r="AR143">
        <f t="shared" si="45"/>
        <v>0</v>
      </c>
      <c r="AS143">
        <f t="shared" si="45"/>
        <v>0</v>
      </c>
      <c r="AT143" t="str">
        <f t="shared" si="45"/>
        <v>Connolly</v>
      </c>
      <c r="AU143">
        <f t="shared" si="45"/>
        <v>0</v>
      </c>
      <c r="AV143">
        <f t="shared" si="45"/>
        <v>0</v>
      </c>
      <c r="AW143">
        <f t="shared" si="45"/>
        <v>0</v>
      </c>
      <c r="AX143">
        <f t="shared" si="45"/>
        <v>0</v>
      </c>
      <c r="AY143">
        <f t="shared" si="46"/>
        <v>0</v>
      </c>
      <c r="AZ143">
        <f t="shared" si="46"/>
        <v>0</v>
      </c>
      <c r="BA143">
        <f t="shared" si="46"/>
        <v>0</v>
      </c>
      <c r="BB143">
        <f t="shared" si="46"/>
        <v>0</v>
      </c>
      <c r="BC143">
        <f t="shared" si="46"/>
        <v>0</v>
      </c>
      <c r="BD143">
        <f t="shared" si="46"/>
        <v>0</v>
      </c>
      <c r="BE143">
        <f t="shared" si="46"/>
        <v>0</v>
      </c>
      <c r="BF143">
        <f t="shared" si="46"/>
        <v>0</v>
      </c>
      <c r="BG143">
        <f t="shared" si="46"/>
        <v>0</v>
      </c>
      <c r="BH143">
        <f t="shared" si="46"/>
        <v>0</v>
      </c>
      <c r="BI143">
        <f t="shared" si="47"/>
        <v>0</v>
      </c>
      <c r="BJ143">
        <f t="shared" si="47"/>
        <v>0</v>
      </c>
      <c r="BK143">
        <f t="shared" si="47"/>
        <v>0</v>
      </c>
      <c r="BL143">
        <f t="shared" si="47"/>
        <v>0</v>
      </c>
      <c r="BM143">
        <f t="shared" si="47"/>
        <v>0</v>
      </c>
      <c r="BN143">
        <f t="shared" si="47"/>
        <v>0</v>
      </c>
      <c r="BO143">
        <f t="shared" si="47"/>
        <v>0</v>
      </c>
      <c r="BP143">
        <f t="shared" si="47"/>
        <v>0</v>
      </c>
      <c r="BQ143">
        <f t="shared" si="47"/>
        <v>0</v>
      </c>
      <c r="BR143">
        <f t="shared" si="47"/>
        <v>0</v>
      </c>
      <c r="BS143">
        <f t="shared" si="47"/>
        <v>0</v>
      </c>
    </row>
    <row r="144" spans="2:71" ht="15" customHeight="1" x14ac:dyDescent="0.2">
      <c r="B144">
        <v>30</v>
      </c>
      <c r="C144">
        <v>9</v>
      </c>
      <c r="D144">
        <v>3</v>
      </c>
      <c r="E144" t="s">
        <v>211</v>
      </c>
      <c r="F144" t="s">
        <v>106</v>
      </c>
      <c r="G144" s="5">
        <v>42169</v>
      </c>
      <c r="H144" t="s">
        <v>73</v>
      </c>
      <c r="I144" t="s">
        <v>167</v>
      </c>
      <c r="J144" t="s">
        <v>168</v>
      </c>
      <c r="K144">
        <v>18</v>
      </c>
      <c r="L144" t="s">
        <v>107</v>
      </c>
      <c r="M144" t="s">
        <v>200</v>
      </c>
      <c r="N144" t="s">
        <v>123</v>
      </c>
      <c r="O144">
        <v>71.3</v>
      </c>
      <c r="P144">
        <v>130</v>
      </c>
      <c r="Q144">
        <v>6326</v>
      </c>
      <c r="R144" t="s">
        <v>110</v>
      </c>
      <c r="S144" t="s">
        <v>111</v>
      </c>
      <c r="T144" t="s">
        <v>83</v>
      </c>
      <c r="U144" t="s">
        <v>48</v>
      </c>
      <c r="V144" t="s">
        <v>56</v>
      </c>
      <c r="W144" t="s">
        <v>78</v>
      </c>
      <c r="X144">
        <v>18.316814159292001</v>
      </c>
      <c r="AA144">
        <v>2</v>
      </c>
      <c r="AB144" t="s">
        <v>33</v>
      </c>
      <c r="AC144" t="s">
        <v>171</v>
      </c>
      <c r="AD144" t="s">
        <v>50</v>
      </c>
      <c r="AE144" t="str">
        <f t="shared" si="41"/>
        <v>Weisberger</v>
      </c>
      <c r="AF144">
        <v>0</v>
      </c>
      <c r="AG144">
        <v>0</v>
      </c>
      <c r="AH144">
        <v>1</v>
      </c>
      <c r="AI144">
        <v>0</v>
      </c>
      <c r="AJ144">
        <v>0</v>
      </c>
      <c r="AK144" t="s">
        <v>50</v>
      </c>
      <c r="AL144">
        <v>0.59523809523809501</v>
      </c>
      <c r="AO144">
        <f t="shared" si="45"/>
        <v>0</v>
      </c>
      <c r="AP144">
        <f t="shared" si="45"/>
        <v>0</v>
      </c>
      <c r="AQ144">
        <f t="shared" si="45"/>
        <v>0</v>
      </c>
      <c r="AR144">
        <f t="shared" si="45"/>
        <v>0</v>
      </c>
      <c r="AS144">
        <f t="shared" si="45"/>
        <v>0</v>
      </c>
      <c r="AT144">
        <f t="shared" si="45"/>
        <v>0</v>
      </c>
      <c r="AU144">
        <f t="shared" si="45"/>
        <v>0</v>
      </c>
      <c r="AV144">
        <f t="shared" si="45"/>
        <v>0</v>
      </c>
      <c r="AW144">
        <f t="shared" si="45"/>
        <v>0</v>
      </c>
      <c r="AX144">
        <f t="shared" si="45"/>
        <v>0</v>
      </c>
      <c r="AY144">
        <f t="shared" si="46"/>
        <v>0</v>
      </c>
      <c r="AZ144">
        <f t="shared" si="46"/>
        <v>0</v>
      </c>
      <c r="BA144">
        <f t="shared" si="46"/>
        <v>0</v>
      </c>
      <c r="BB144">
        <f t="shared" si="46"/>
        <v>0</v>
      </c>
      <c r="BC144">
        <f t="shared" si="46"/>
        <v>0</v>
      </c>
      <c r="BD144">
        <f t="shared" si="46"/>
        <v>0</v>
      </c>
      <c r="BE144" t="str">
        <f t="shared" si="46"/>
        <v>Weisberger</v>
      </c>
      <c r="BF144">
        <f t="shared" si="46"/>
        <v>0</v>
      </c>
      <c r="BG144">
        <f t="shared" si="46"/>
        <v>0</v>
      </c>
      <c r="BH144">
        <f t="shared" si="46"/>
        <v>0</v>
      </c>
      <c r="BI144">
        <f t="shared" si="47"/>
        <v>0</v>
      </c>
      <c r="BJ144">
        <f t="shared" si="47"/>
        <v>0</v>
      </c>
      <c r="BK144">
        <f t="shared" si="47"/>
        <v>0</v>
      </c>
      <c r="BL144">
        <f t="shared" si="47"/>
        <v>0</v>
      </c>
      <c r="BM144">
        <f t="shared" si="47"/>
        <v>0</v>
      </c>
      <c r="BN144">
        <f t="shared" si="47"/>
        <v>0</v>
      </c>
      <c r="BO144">
        <f t="shared" si="47"/>
        <v>0</v>
      </c>
      <c r="BP144">
        <f t="shared" si="47"/>
        <v>0</v>
      </c>
      <c r="BQ144">
        <f t="shared" si="47"/>
        <v>0</v>
      </c>
      <c r="BR144">
        <f t="shared" si="47"/>
        <v>0</v>
      </c>
      <c r="BS144">
        <f t="shared" si="47"/>
        <v>0</v>
      </c>
    </row>
    <row r="145" spans="2:71" ht="15" customHeight="1" x14ac:dyDescent="0.2">
      <c r="B145">
        <v>30</v>
      </c>
      <c r="C145">
        <v>10</v>
      </c>
      <c r="D145">
        <v>3</v>
      </c>
      <c r="E145" t="s">
        <v>212</v>
      </c>
      <c r="F145" t="s">
        <v>106</v>
      </c>
      <c r="G145" s="5">
        <v>42169</v>
      </c>
      <c r="H145" t="s">
        <v>73</v>
      </c>
      <c r="I145" t="s">
        <v>167</v>
      </c>
      <c r="J145" t="s">
        <v>168</v>
      </c>
      <c r="K145">
        <v>18</v>
      </c>
      <c r="L145" t="s">
        <v>107</v>
      </c>
      <c r="M145" t="s">
        <v>200</v>
      </c>
      <c r="N145" t="s">
        <v>123</v>
      </c>
      <c r="O145">
        <v>71.3</v>
      </c>
      <c r="P145">
        <v>130</v>
      </c>
      <c r="Q145">
        <v>6326</v>
      </c>
      <c r="R145" t="s">
        <v>110</v>
      </c>
      <c r="S145" t="s">
        <v>111</v>
      </c>
      <c r="T145" t="s">
        <v>83</v>
      </c>
      <c r="U145" t="s">
        <v>48</v>
      </c>
      <c r="V145" t="s">
        <v>48</v>
      </c>
      <c r="W145" t="s">
        <v>78</v>
      </c>
      <c r="X145">
        <v>18.5486725663717</v>
      </c>
      <c r="AA145">
        <v>2</v>
      </c>
      <c r="AB145" t="s">
        <v>32</v>
      </c>
      <c r="AC145" t="s">
        <v>95</v>
      </c>
      <c r="AD145" t="s">
        <v>49</v>
      </c>
      <c r="AE145" t="str">
        <f t="shared" si="41"/>
        <v>Lynch</v>
      </c>
      <c r="AF145">
        <v>2</v>
      </c>
      <c r="AG145">
        <v>1</v>
      </c>
      <c r="AH145">
        <v>0</v>
      </c>
      <c r="AI145">
        <v>0</v>
      </c>
      <c r="AJ145">
        <v>1</v>
      </c>
      <c r="AK145" t="s">
        <v>49</v>
      </c>
      <c r="AO145">
        <f t="shared" si="45"/>
        <v>0</v>
      </c>
      <c r="AP145">
        <f t="shared" si="45"/>
        <v>0</v>
      </c>
      <c r="AQ145">
        <f t="shared" si="45"/>
        <v>0</v>
      </c>
      <c r="AR145">
        <f t="shared" si="45"/>
        <v>0</v>
      </c>
      <c r="AS145">
        <f t="shared" si="45"/>
        <v>0</v>
      </c>
      <c r="AT145">
        <f t="shared" si="45"/>
        <v>0</v>
      </c>
      <c r="AU145">
        <f t="shared" si="45"/>
        <v>0</v>
      </c>
      <c r="AV145">
        <f t="shared" si="45"/>
        <v>0</v>
      </c>
      <c r="AW145" t="str">
        <f t="shared" si="45"/>
        <v>Lynch</v>
      </c>
      <c r="AX145">
        <f t="shared" si="45"/>
        <v>0</v>
      </c>
      <c r="AY145">
        <f t="shared" si="46"/>
        <v>0</v>
      </c>
      <c r="AZ145">
        <f t="shared" si="46"/>
        <v>0</v>
      </c>
      <c r="BA145">
        <f t="shared" si="46"/>
        <v>0</v>
      </c>
      <c r="BB145">
        <f t="shared" si="46"/>
        <v>0</v>
      </c>
      <c r="BC145">
        <f t="shared" si="46"/>
        <v>0</v>
      </c>
      <c r="BD145">
        <f t="shared" si="46"/>
        <v>0</v>
      </c>
      <c r="BE145">
        <f t="shared" si="46"/>
        <v>0</v>
      </c>
      <c r="BF145">
        <f t="shared" si="46"/>
        <v>0</v>
      </c>
      <c r="BG145">
        <f t="shared" si="46"/>
        <v>0</v>
      </c>
      <c r="BH145">
        <f t="shared" si="46"/>
        <v>0</v>
      </c>
      <c r="BI145">
        <f t="shared" si="47"/>
        <v>0</v>
      </c>
      <c r="BJ145">
        <f t="shared" si="47"/>
        <v>0</v>
      </c>
      <c r="BK145">
        <f t="shared" si="47"/>
        <v>0</v>
      </c>
      <c r="BL145">
        <f t="shared" si="47"/>
        <v>0</v>
      </c>
      <c r="BM145">
        <f t="shared" si="47"/>
        <v>0</v>
      </c>
      <c r="BN145">
        <f t="shared" si="47"/>
        <v>0</v>
      </c>
      <c r="BO145">
        <f t="shared" si="47"/>
        <v>0</v>
      </c>
      <c r="BP145">
        <f t="shared" si="47"/>
        <v>0</v>
      </c>
      <c r="BQ145">
        <f t="shared" si="47"/>
        <v>0</v>
      </c>
      <c r="BR145">
        <f t="shared" si="47"/>
        <v>0</v>
      </c>
      <c r="BS145">
        <f t="shared" si="47"/>
        <v>0</v>
      </c>
    </row>
    <row r="146" spans="2:71" ht="15" customHeight="1" x14ac:dyDescent="0.2">
      <c r="B146">
        <v>1</v>
      </c>
      <c r="C146">
        <v>1</v>
      </c>
      <c r="D146">
        <v>4</v>
      </c>
      <c r="E146" t="s">
        <v>213</v>
      </c>
      <c r="F146" t="s">
        <v>214</v>
      </c>
      <c r="G146" s="5">
        <v>42573</v>
      </c>
      <c r="H146" t="s">
        <v>73</v>
      </c>
      <c r="I146" t="s">
        <v>215</v>
      </c>
      <c r="J146" t="s">
        <v>216</v>
      </c>
      <c r="K146">
        <v>9</v>
      </c>
      <c r="L146" t="s">
        <v>76</v>
      </c>
      <c r="M146" t="s">
        <v>217</v>
      </c>
      <c r="N146" t="s">
        <v>78</v>
      </c>
      <c r="O146">
        <v>70.599999999999994</v>
      </c>
      <c r="P146">
        <v>130</v>
      </c>
      <c r="Q146">
        <v>6111</v>
      </c>
      <c r="R146" t="s">
        <v>79</v>
      </c>
      <c r="S146" t="s">
        <v>80</v>
      </c>
      <c r="T146" t="s">
        <v>81</v>
      </c>
      <c r="U146" t="s">
        <v>46</v>
      </c>
      <c r="V146" t="s">
        <v>50</v>
      </c>
      <c r="W146" t="s">
        <v>123</v>
      </c>
      <c r="Y146" t="s">
        <v>42</v>
      </c>
      <c r="AA146">
        <v>1</v>
      </c>
      <c r="AB146" t="s">
        <v>33</v>
      </c>
      <c r="AC146" t="s">
        <v>174</v>
      </c>
      <c r="AE146" t="str">
        <f t="shared" si="41"/>
        <v>FerrinJackson</v>
      </c>
      <c r="AF146">
        <v>0</v>
      </c>
      <c r="AG146">
        <v>0</v>
      </c>
      <c r="AH146">
        <v>1</v>
      </c>
      <c r="AI146">
        <v>0</v>
      </c>
      <c r="AJ146">
        <v>0</v>
      </c>
      <c r="AK146" t="s">
        <v>40</v>
      </c>
      <c r="AL146">
        <v>0.546875</v>
      </c>
      <c r="AM146" t="s">
        <v>62</v>
      </c>
      <c r="AN146">
        <v>0.51041666666666696</v>
      </c>
      <c r="AO146">
        <f t="shared" si="45"/>
        <v>0</v>
      </c>
      <c r="AP146">
        <f t="shared" si="45"/>
        <v>0</v>
      </c>
      <c r="AQ146" t="str">
        <f t="shared" si="45"/>
        <v>Jackson</v>
      </c>
      <c r="AR146">
        <f t="shared" si="45"/>
        <v>0</v>
      </c>
      <c r="AS146">
        <f t="shared" si="45"/>
        <v>0</v>
      </c>
      <c r="AT146">
        <f t="shared" si="45"/>
        <v>0</v>
      </c>
      <c r="AU146">
        <f t="shared" si="45"/>
        <v>0</v>
      </c>
      <c r="AV146">
        <f t="shared" si="45"/>
        <v>0</v>
      </c>
      <c r="AW146">
        <f t="shared" si="45"/>
        <v>0</v>
      </c>
      <c r="AX146">
        <f t="shared" si="45"/>
        <v>0</v>
      </c>
      <c r="AY146" t="str">
        <f t="shared" si="46"/>
        <v>Ferrin</v>
      </c>
      <c r="AZ146">
        <f t="shared" si="46"/>
        <v>0</v>
      </c>
      <c r="BA146">
        <f t="shared" si="46"/>
        <v>0</v>
      </c>
      <c r="BB146">
        <f t="shared" si="46"/>
        <v>0</v>
      </c>
      <c r="BC146">
        <f t="shared" si="46"/>
        <v>0</v>
      </c>
      <c r="BD146">
        <f t="shared" si="46"/>
        <v>0</v>
      </c>
      <c r="BE146">
        <f t="shared" si="46"/>
        <v>0</v>
      </c>
      <c r="BF146">
        <f t="shared" si="46"/>
        <v>0</v>
      </c>
      <c r="BG146">
        <f t="shared" si="46"/>
        <v>0</v>
      </c>
      <c r="BH146">
        <f t="shared" si="46"/>
        <v>0</v>
      </c>
      <c r="BI146">
        <f t="shared" si="47"/>
        <v>0</v>
      </c>
      <c r="BJ146">
        <f t="shared" si="47"/>
        <v>0</v>
      </c>
      <c r="BK146">
        <f t="shared" si="47"/>
        <v>0</v>
      </c>
      <c r="BL146">
        <f t="shared" si="47"/>
        <v>0</v>
      </c>
      <c r="BM146">
        <f t="shared" si="47"/>
        <v>0</v>
      </c>
      <c r="BN146">
        <f t="shared" si="47"/>
        <v>0</v>
      </c>
      <c r="BO146">
        <f t="shared" si="47"/>
        <v>0</v>
      </c>
      <c r="BP146">
        <f t="shared" si="47"/>
        <v>0</v>
      </c>
      <c r="BQ146">
        <f t="shared" si="47"/>
        <v>0</v>
      </c>
      <c r="BR146">
        <f t="shared" si="47"/>
        <v>0</v>
      </c>
      <c r="BS146">
        <f t="shared" si="47"/>
        <v>0</v>
      </c>
    </row>
    <row r="147" spans="2:71" ht="15" customHeight="1" x14ac:dyDescent="0.2">
      <c r="B147">
        <v>1</v>
      </c>
      <c r="C147">
        <v>1</v>
      </c>
      <c r="D147">
        <v>4</v>
      </c>
      <c r="E147" t="s">
        <v>213</v>
      </c>
      <c r="F147" t="s">
        <v>214</v>
      </c>
      <c r="G147" s="5">
        <v>42573</v>
      </c>
      <c r="H147" t="s">
        <v>73</v>
      </c>
      <c r="I147" t="s">
        <v>215</v>
      </c>
      <c r="J147" t="s">
        <v>216</v>
      </c>
      <c r="K147">
        <v>9</v>
      </c>
      <c r="L147" t="s">
        <v>76</v>
      </c>
      <c r="M147" t="s">
        <v>217</v>
      </c>
      <c r="N147" t="s">
        <v>78</v>
      </c>
      <c r="O147">
        <v>70.599999999999994</v>
      </c>
      <c r="P147">
        <v>130</v>
      </c>
      <c r="Q147">
        <v>6111</v>
      </c>
      <c r="R147" t="s">
        <v>79</v>
      </c>
      <c r="S147" t="s">
        <v>80</v>
      </c>
      <c r="T147" t="s">
        <v>83</v>
      </c>
      <c r="U147" t="s">
        <v>40</v>
      </c>
      <c r="V147" t="s">
        <v>40</v>
      </c>
      <c r="W147" t="s">
        <v>109</v>
      </c>
      <c r="Y147" t="s">
        <v>62</v>
      </c>
      <c r="AA147">
        <v>1</v>
      </c>
      <c r="AB147" t="s">
        <v>32</v>
      </c>
      <c r="AC147" t="s">
        <v>174</v>
      </c>
      <c r="AE147" t="str">
        <f t="shared" si="41"/>
        <v>GriseWelker</v>
      </c>
      <c r="AF147">
        <v>1</v>
      </c>
      <c r="AG147">
        <v>1</v>
      </c>
      <c r="AH147">
        <v>0</v>
      </c>
      <c r="AI147">
        <v>0</v>
      </c>
      <c r="AJ147">
        <v>1</v>
      </c>
      <c r="AK147" t="s">
        <v>50</v>
      </c>
      <c r="AL147">
        <v>0.59523809523809501</v>
      </c>
      <c r="AM147" t="s">
        <v>42</v>
      </c>
      <c r="AN147">
        <v>0.6171875</v>
      </c>
      <c r="AO147" t="str">
        <f t="shared" si="45"/>
        <v>Grise</v>
      </c>
      <c r="AP147">
        <f t="shared" si="45"/>
        <v>0</v>
      </c>
      <c r="AQ147">
        <f t="shared" si="45"/>
        <v>0</v>
      </c>
      <c r="AR147">
        <f t="shared" si="45"/>
        <v>0</v>
      </c>
      <c r="AS147">
        <f t="shared" si="45"/>
        <v>0</v>
      </c>
      <c r="AT147">
        <f t="shared" si="45"/>
        <v>0</v>
      </c>
      <c r="AU147">
        <f t="shared" si="45"/>
        <v>0</v>
      </c>
      <c r="AV147">
        <f t="shared" si="45"/>
        <v>0</v>
      </c>
      <c r="AW147">
        <f t="shared" si="45"/>
        <v>0</v>
      </c>
      <c r="AX147">
        <f t="shared" si="45"/>
        <v>0</v>
      </c>
      <c r="AY147">
        <f t="shared" si="46"/>
        <v>0</v>
      </c>
      <c r="AZ147">
        <f t="shared" si="46"/>
        <v>0</v>
      </c>
      <c r="BA147">
        <f t="shared" si="46"/>
        <v>0</v>
      </c>
      <c r="BB147">
        <f t="shared" si="46"/>
        <v>0</v>
      </c>
      <c r="BC147">
        <f t="shared" si="46"/>
        <v>0</v>
      </c>
      <c r="BD147">
        <f t="shared" si="46"/>
        <v>0</v>
      </c>
      <c r="BE147">
        <f t="shared" si="46"/>
        <v>0</v>
      </c>
      <c r="BF147">
        <f t="shared" si="46"/>
        <v>0</v>
      </c>
      <c r="BG147">
        <f t="shared" si="46"/>
        <v>0</v>
      </c>
      <c r="BH147">
        <f t="shared" si="46"/>
        <v>0</v>
      </c>
      <c r="BI147">
        <f t="shared" si="47"/>
        <v>0</v>
      </c>
      <c r="BJ147">
        <f t="shared" si="47"/>
        <v>0</v>
      </c>
      <c r="BK147" t="str">
        <f t="shared" si="47"/>
        <v>Welker</v>
      </c>
      <c r="BL147">
        <f t="shared" si="47"/>
        <v>0</v>
      </c>
      <c r="BM147">
        <f t="shared" si="47"/>
        <v>0</v>
      </c>
      <c r="BN147">
        <f t="shared" si="47"/>
        <v>0</v>
      </c>
      <c r="BO147">
        <f t="shared" si="47"/>
        <v>0</v>
      </c>
      <c r="BP147">
        <f t="shared" si="47"/>
        <v>0</v>
      </c>
      <c r="BQ147">
        <f t="shared" si="47"/>
        <v>0</v>
      </c>
      <c r="BR147">
        <f t="shared" si="47"/>
        <v>0</v>
      </c>
      <c r="BS147">
        <f t="shared" si="47"/>
        <v>0</v>
      </c>
    </row>
    <row r="148" spans="2:71" ht="15" customHeight="1" x14ac:dyDescent="0.2">
      <c r="B148">
        <v>2</v>
      </c>
      <c r="C148">
        <v>2</v>
      </c>
      <c r="D148">
        <v>4</v>
      </c>
      <c r="E148" t="s">
        <v>218</v>
      </c>
      <c r="F148" t="s">
        <v>214</v>
      </c>
      <c r="G148" s="5">
        <v>42573</v>
      </c>
      <c r="H148" t="s">
        <v>73</v>
      </c>
      <c r="I148" t="s">
        <v>215</v>
      </c>
      <c r="J148" t="s">
        <v>216</v>
      </c>
      <c r="K148">
        <v>9</v>
      </c>
      <c r="L148" t="s">
        <v>76</v>
      </c>
      <c r="M148" t="s">
        <v>217</v>
      </c>
      <c r="N148" t="s">
        <v>78</v>
      </c>
      <c r="O148">
        <v>70.599999999999994</v>
      </c>
      <c r="P148">
        <v>130</v>
      </c>
      <c r="Q148">
        <v>6111</v>
      </c>
      <c r="R148" t="s">
        <v>79</v>
      </c>
      <c r="S148" t="s">
        <v>80</v>
      </c>
      <c r="T148" t="s">
        <v>83</v>
      </c>
      <c r="U148" t="s">
        <v>40</v>
      </c>
      <c r="V148" t="s">
        <v>57</v>
      </c>
      <c r="W148" t="s">
        <v>109</v>
      </c>
      <c r="Y148" t="s">
        <v>49</v>
      </c>
      <c r="AA148">
        <v>1</v>
      </c>
      <c r="AB148" t="s">
        <v>32</v>
      </c>
      <c r="AC148" t="s">
        <v>95</v>
      </c>
      <c r="AE148" t="str">
        <f t="shared" si="41"/>
        <v>BussShively</v>
      </c>
      <c r="AF148">
        <v>1</v>
      </c>
      <c r="AG148">
        <v>1</v>
      </c>
      <c r="AH148">
        <v>0</v>
      </c>
      <c r="AI148">
        <v>0</v>
      </c>
      <c r="AJ148">
        <v>1</v>
      </c>
      <c r="AK148" t="s">
        <v>46</v>
      </c>
      <c r="AL148">
        <v>0.38392857142857201</v>
      </c>
      <c r="AM148" t="s">
        <v>56</v>
      </c>
      <c r="AN148">
        <v>0.5</v>
      </c>
      <c r="AO148">
        <f t="shared" si="45"/>
        <v>0</v>
      </c>
      <c r="AP148">
        <f t="shared" si="45"/>
        <v>0</v>
      </c>
      <c r="AQ148">
        <f t="shared" si="45"/>
        <v>0</v>
      </c>
      <c r="AR148">
        <f t="shared" si="45"/>
        <v>0</v>
      </c>
      <c r="AS148">
        <f t="shared" si="45"/>
        <v>0</v>
      </c>
      <c r="AT148">
        <f t="shared" si="45"/>
        <v>0</v>
      </c>
      <c r="AU148">
        <f t="shared" si="45"/>
        <v>0</v>
      </c>
      <c r="AV148">
        <f t="shared" si="45"/>
        <v>0</v>
      </c>
      <c r="AW148">
        <f t="shared" si="45"/>
        <v>0</v>
      </c>
      <c r="AX148" t="str">
        <f t="shared" si="45"/>
        <v>Shively</v>
      </c>
      <c r="AY148">
        <f t="shared" si="46"/>
        <v>0</v>
      </c>
      <c r="AZ148">
        <f t="shared" si="46"/>
        <v>0</v>
      </c>
      <c r="BA148">
        <f t="shared" si="46"/>
        <v>0</v>
      </c>
      <c r="BB148">
        <f t="shared" si="46"/>
        <v>0</v>
      </c>
      <c r="BC148">
        <f t="shared" si="46"/>
        <v>0</v>
      </c>
      <c r="BD148">
        <f t="shared" si="46"/>
        <v>0</v>
      </c>
      <c r="BE148">
        <f t="shared" si="46"/>
        <v>0</v>
      </c>
      <c r="BF148" t="str">
        <f t="shared" si="46"/>
        <v>Buss</v>
      </c>
      <c r="BG148">
        <f t="shared" si="46"/>
        <v>0</v>
      </c>
      <c r="BH148">
        <f t="shared" si="46"/>
        <v>0</v>
      </c>
      <c r="BI148">
        <f t="shared" si="47"/>
        <v>0</v>
      </c>
      <c r="BJ148">
        <f t="shared" si="47"/>
        <v>0</v>
      </c>
      <c r="BK148">
        <f t="shared" si="47"/>
        <v>0</v>
      </c>
      <c r="BL148">
        <f t="shared" si="47"/>
        <v>0</v>
      </c>
      <c r="BM148">
        <f t="shared" si="47"/>
        <v>0</v>
      </c>
      <c r="BN148">
        <f t="shared" si="47"/>
        <v>0</v>
      </c>
      <c r="BO148">
        <f t="shared" si="47"/>
        <v>0</v>
      </c>
      <c r="BP148">
        <f t="shared" si="47"/>
        <v>0</v>
      </c>
      <c r="BQ148">
        <f t="shared" si="47"/>
        <v>0</v>
      </c>
      <c r="BR148">
        <f t="shared" si="47"/>
        <v>0</v>
      </c>
      <c r="BS148">
        <f t="shared" si="47"/>
        <v>0</v>
      </c>
    </row>
    <row r="149" spans="2:71" ht="15" customHeight="1" x14ac:dyDescent="0.2">
      <c r="B149">
        <v>2</v>
      </c>
      <c r="C149">
        <v>2</v>
      </c>
      <c r="D149">
        <v>4</v>
      </c>
      <c r="E149" t="s">
        <v>218</v>
      </c>
      <c r="F149" t="s">
        <v>214</v>
      </c>
      <c r="G149" s="5">
        <v>42573</v>
      </c>
      <c r="H149" t="s">
        <v>73</v>
      </c>
      <c r="I149" t="s">
        <v>215</v>
      </c>
      <c r="J149" t="s">
        <v>216</v>
      </c>
      <c r="K149">
        <v>9</v>
      </c>
      <c r="L149" t="s">
        <v>76</v>
      </c>
      <c r="M149" t="s">
        <v>217</v>
      </c>
      <c r="N149" t="s">
        <v>78</v>
      </c>
      <c r="O149">
        <v>70.599999999999994</v>
      </c>
      <c r="P149">
        <v>130</v>
      </c>
      <c r="Q149">
        <v>6111</v>
      </c>
      <c r="R149" t="s">
        <v>79</v>
      </c>
      <c r="S149" t="s">
        <v>80</v>
      </c>
      <c r="T149" t="s">
        <v>81</v>
      </c>
      <c r="U149" t="s">
        <v>46</v>
      </c>
      <c r="V149" t="s">
        <v>46</v>
      </c>
      <c r="W149" t="s">
        <v>123</v>
      </c>
      <c r="Y149" t="s">
        <v>56</v>
      </c>
      <c r="AA149">
        <v>1</v>
      </c>
      <c r="AB149" t="s">
        <v>33</v>
      </c>
      <c r="AC149" t="s">
        <v>95</v>
      </c>
      <c r="AE149" t="str">
        <f t="shared" si="41"/>
        <v>MangoldWeisberger</v>
      </c>
      <c r="AF149">
        <v>0</v>
      </c>
      <c r="AG149">
        <v>0</v>
      </c>
      <c r="AH149">
        <v>1</v>
      </c>
      <c r="AI149">
        <v>0</v>
      </c>
      <c r="AJ149">
        <v>0</v>
      </c>
      <c r="AK149" t="s">
        <v>57</v>
      </c>
      <c r="AL149">
        <v>0.44827586206896602</v>
      </c>
      <c r="AM149" t="s">
        <v>49</v>
      </c>
      <c r="AO149">
        <f t="shared" si="45"/>
        <v>0</v>
      </c>
      <c r="AP149">
        <f t="shared" si="45"/>
        <v>0</v>
      </c>
      <c r="AQ149">
        <f t="shared" si="45"/>
        <v>0</v>
      </c>
      <c r="AR149">
        <f t="shared" si="45"/>
        <v>0</v>
      </c>
      <c r="AS149">
        <f t="shared" si="45"/>
        <v>0</v>
      </c>
      <c r="AT149">
        <f t="shared" si="45"/>
        <v>0</v>
      </c>
      <c r="AU149" t="str">
        <f t="shared" si="45"/>
        <v>Mangold</v>
      </c>
      <c r="AV149">
        <f t="shared" si="45"/>
        <v>0</v>
      </c>
      <c r="AW149">
        <f t="shared" si="45"/>
        <v>0</v>
      </c>
      <c r="AX149">
        <f t="shared" si="45"/>
        <v>0</v>
      </c>
      <c r="AY149">
        <f t="shared" si="46"/>
        <v>0</v>
      </c>
      <c r="AZ149">
        <f t="shared" si="46"/>
        <v>0</v>
      </c>
      <c r="BA149">
        <f t="shared" si="46"/>
        <v>0</v>
      </c>
      <c r="BB149">
        <f t="shared" si="46"/>
        <v>0</v>
      </c>
      <c r="BC149">
        <f t="shared" si="46"/>
        <v>0</v>
      </c>
      <c r="BD149">
        <f t="shared" si="46"/>
        <v>0</v>
      </c>
      <c r="BE149" t="str">
        <f t="shared" si="46"/>
        <v>Weisberger</v>
      </c>
      <c r="BF149">
        <f t="shared" si="46"/>
        <v>0</v>
      </c>
      <c r="BG149">
        <f t="shared" si="46"/>
        <v>0</v>
      </c>
      <c r="BH149">
        <f t="shared" si="46"/>
        <v>0</v>
      </c>
      <c r="BI149">
        <f t="shared" si="47"/>
        <v>0</v>
      </c>
      <c r="BJ149">
        <f t="shared" si="47"/>
        <v>0</v>
      </c>
      <c r="BK149">
        <f t="shared" si="47"/>
        <v>0</v>
      </c>
      <c r="BL149">
        <f t="shared" si="47"/>
        <v>0</v>
      </c>
      <c r="BM149">
        <f t="shared" si="47"/>
        <v>0</v>
      </c>
      <c r="BN149">
        <f t="shared" si="47"/>
        <v>0</v>
      </c>
      <c r="BO149">
        <f t="shared" si="47"/>
        <v>0</v>
      </c>
      <c r="BP149">
        <f t="shared" si="47"/>
        <v>0</v>
      </c>
      <c r="BQ149">
        <f t="shared" si="47"/>
        <v>0</v>
      </c>
      <c r="BR149">
        <f t="shared" si="47"/>
        <v>0</v>
      </c>
      <c r="BS149">
        <f t="shared" si="47"/>
        <v>0</v>
      </c>
    </row>
    <row r="150" spans="2:71" ht="15" customHeight="1" x14ac:dyDescent="0.2">
      <c r="B150">
        <v>3</v>
      </c>
      <c r="C150">
        <v>3</v>
      </c>
      <c r="D150">
        <v>4</v>
      </c>
      <c r="E150" t="s">
        <v>219</v>
      </c>
      <c r="F150" t="s">
        <v>214</v>
      </c>
      <c r="G150" s="5">
        <v>42573</v>
      </c>
      <c r="H150" t="s">
        <v>73</v>
      </c>
      <c r="I150" t="s">
        <v>215</v>
      </c>
      <c r="J150" t="s">
        <v>216</v>
      </c>
      <c r="K150">
        <v>9</v>
      </c>
      <c r="L150" t="s">
        <v>76</v>
      </c>
      <c r="M150" t="s">
        <v>217</v>
      </c>
      <c r="N150" t="s">
        <v>78</v>
      </c>
      <c r="O150">
        <v>70.599999999999994</v>
      </c>
      <c r="P150">
        <v>130</v>
      </c>
      <c r="Q150">
        <v>6111</v>
      </c>
      <c r="R150" t="s">
        <v>79</v>
      </c>
      <c r="S150" t="s">
        <v>80</v>
      </c>
      <c r="T150" t="s">
        <v>81</v>
      </c>
      <c r="U150" t="s">
        <v>46</v>
      </c>
      <c r="V150" t="s">
        <v>44</v>
      </c>
      <c r="W150" t="s">
        <v>123</v>
      </c>
      <c r="Y150" t="s">
        <v>53</v>
      </c>
      <c r="AA150">
        <v>1</v>
      </c>
      <c r="AB150" t="s">
        <v>32</v>
      </c>
      <c r="AC150" t="s">
        <v>184</v>
      </c>
      <c r="AE150" t="str">
        <f t="shared" si="41"/>
        <v>FlandersForster</v>
      </c>
      <c r="AF150">
        <v>1</v>
      </c>
      <c r="AG150">
        <v>1</v>
      </c>
      <c r="AH150">
        <v>0</v>
      </c>
      <c r="AI150">
        <v>0</v>
      </c>
      <c r="AJ150">
        <v>1</v>
      </c>
      <c r="AK150" t="s">
        <v>47</v>
      </c>
      <c r="AL150">
        <v>0.35714285714285698</v>
      </c>
      <c r="AM150" t="s">
        <v>61</v>
      </c>
      <c r="AN150">
        <v>0.5</v>
      </c>
      <c r="AO150">
        <f t="shared" si="45"/>
        <v>0</v>
      </c>
      <c r="AP150">
        <f t="shared" si="45"/>
        <v>0</v>
      </c>
      <c r="AQ150">
        <f t="shared" si="45"/>
        <v>0</v>
      </c>
      <c r="AR150">
        <f t="shared" si="45"/>
        <v>0</v>
      </c>
      <c r="AS150" t="str">
        <f t="shared" si="45"/>
        <v>Flanders</v>
      </c>
      <c r="AT150">
        <f t="shared" si="45"/>
        <v>0</v>
      </c>
      <c r="AU150">
        <f t="shared" si="45"/>
        <v>0</v>
      </c>
      <c r="AV150">
        <f t="shared" si="45"/>
        <v>0</v>
      </c>
      <c r="AW150">
        <f t="shared" si="45"/>
        <v>0</v>
      </c>
      <c r="AX150">
        <f t="shared" si="45"/>
        <v>0</v>
      </c>
      <c r="AY150">
        <f t="shared" si="46"/>
        <v>0</v>
      </c>
      <c r="AZ150">
        <f t="shared" si="46"/>
        <v>0</v>
      </c>
      <c r="BA150">
        <f t="shared" si="46"/>
        <v>0</v>
      </c>
      <c r="BB150" t="str">
        <f t="shared" si="46"/>
        <v>Forster</v>
      </c>
      <c r="BC150">
        <f t="shared" si="46"/>
        <v>0</v>
      </c>
      <c r="BD150">
        <f t="shared" si="46"/>
        <v>0</v>
      </c>
      <c r="BE150">
        <f t="shared" si="46"/>
        <v>0</v>
      </c>
      <c r="BF150">
        <f t="shared" si="46"/>
        <v>0</v>
      </c>
      <c r="BG150">
        <f t="shared" si="46"/>
        <v>0</v>
      </c>
      <c r="BH150">
        <f t="shared" si="46"/>
        <v>0</v>
      </c>
      <c r="BI150">
        <f t="shared" si="47"/>
        <v>0</v>
      </c>
      <c r="BJ150">
        <f t="shared" si="47"/>
        <v>0</v>
      </c>
      <c r="BK150">
        <f t="shared" si="47"/>
        <v>0</v>
      </c>
      <c r="BL150">
        <f t="shared" si="47"/>
        <v>0</v>
      </c>
      <c r="BM150">
        <f t="shared" si="47"/>
        <v>0</v>
      </c>
      <c r="BN150">
        <f t="shared" si="47"/>
        <v>0</v>
      </c>
      <c r="BO150">
        <f t="shared" si="47"/>
        <v>0</v>
      </c>
      <c r="BP150">
        <f t="shared" si="47"/>
        <v>0</v>
      </c>
      <c r="BQ150">
        <f t="shared" si="47"/>
        <v>0</v>
      </c>
      <c r="BR150">
        <f t="shared" si="47"/>
        <v>0</v>
      </c>
      <c r="BS150">
        <f t="shared" si="47"/>
        <v>0</v>
      </c>
    </row>
    <row r="151" spans="2:71" ht="15" customHeight="1" x14ac:dyDescent="0.2">
      <c r="B151">
        <v>3</v>
      </c>
      <c r="C151">
        <v>3</v>
      </c>
      <c r="D151">
        <v>4</v>
      </c>
      <c r="E151" t="s">
        <v>219</v>
      </c>
      <c r="F151" t="s">
        <v>214</v>
      </c>
      <c r="G151" s="5">
        <v>42573</v>
      </c>
      <c r="H151" t="s">
        <v>73</v>
      </c>
      <c r="I151" t="s">
        <v>215</v>
      </c>
      <c r="J151" t="s">
        <v>216</v>
      </c>
      <c r="K151">
        <v>9</v>
      </c>
      <c r="L151" t="s">
        <v>76</v>
      </c>
      <c r="M151" t="s">
        <v>217</v>
      </c>
      <c r="N151" t="s">
        <v>78</v>
      </c>
      <c r="O151">
        <v>70.599999999999994</v>
      </c>
      <c r="P151">
        <v>130</v>
      </c>
      <c r="Q151">
        <v>6111</v>
      </c>
      <c r="R151" t="s">
        <v>79</v>
      </c>
      <c r="S151" t="s">
        <v>80</v>
      </c>
      <c r="T151" t="s">
        <v>83</v>
      </c>
      <c r="U151" t="s">
        <v>40</v>
      </c>
      <c r="V151" t="s">
        <v>47</v>
      </c>
      <c r="W151" t="s">
        <v>109</v>
      </c>
      <c r="Y151" t="s">
        <v>61</v>
      </c>
      <c r="AA151">
        <v>1</v>
      </c>
      <c r="AB151" t="s">
        <v>33</v>
      </c>
      <c r="AC151" t="s">
        <v>184</v>
      </c>
      <c r="AE151" t="str">
        <f t="shared" si="41"/>
        <v>HickersonMcInerney</v>
      </c>
      <c r="AF151">
        <v>0</v>
      </c>
      <c r="AG151">
        <v>0</v>
      </c>
      <c r="AH151">
        <v>1</v>
      </c>
      <c r="AI151">
        <v>0</v>
      </c>
      <c r="AJ151">
        <v>0</v>
      </c>
      <c r="AK151" t="s">
        <v>44</v>
      </c>
      <c r="AL151">
        <v>0.4296875</v>
      </c>
      <c r="AM151" t="s">
        <v>53</v>
      </c>
      <c r="AN151">
        <v>0.59649122807017496</v>
      </c>
      <c r="AO151">
        <f t="shared" si="45"/>
        <v>0</v>
      </c>
      <c r="AP151">
        <f t="shared" si="45"/>
        <v>0</v>
      </c>
      <c r="AQ151">
        <f t="shared" si="45"/>
        <v>0</v>
      </c>
      <c r="AR151">
        <f t="shared" si="45"/>
        <v>0</v>
      </c>
      <c r="AS151">
        <f t="shared" si="45"/>
        <v>0</v>
      </c>
      <c r="AT151">
        <f t="shared" si="45"/>
        <v>0</v>
      </c>
      <c r="AU151">
        <f t="shared" si="45"/>
        <v>0</v>
      </c>
      <c r="AV151" t="str">
        <f t="shared" si="45"/>
        <v>Hickerson</v>
      </c>
      <c r="AW151">
        <f t="shared" si="45"/>
        <v>0</v>
      </c>
      <c r="AX151">
        <f t="shared" si="45"/>
        <v>0</v>
      </c>
      <c r="AY151">
        <f t="shared" si="46"/>
        <v>0</v>
      </c>
      <c r="AZ151">
        <f t="shared" si="46"/>
        <v>0</v>
      </c>
      <c r="BA151">
        <f t="shared" si="46"/>
        <v>0</v>
      </c>
      <c r="BB151">
        <f t="shared" si="46"/>
        <v>0</v>
      </c>
      <c r="BC151">
        <f t="shared" si="46"/>
        <v>0</v>
      </c>
      <c r="BD151">
        <f t="shared" si="46"/>
        <v>0</v>
      </c>
      <c r="BE151">
        <f t="shared" si="46"/>
        <v>0</v>
      </c>
      <c r="BF151">
        <f t="shared" si="46"/>
        <v>0</v>
      </c>
      <c r="BG151">
        <f t="shared" si="46"/>
        <v>0</v>
      </c>
      <c r="BH151">
        <f t="shared" si="46"/>
        <v>0</v>
      </c>
      <c r="BI151">
        <f t="shared" si="47"/>
        <v>0</v>
      </c>
      <c r="BJ151" t="str">
        <f t="shared" si="47"/>
        <v>McInerney</v>
      </c>
      <c r="BK151">
        <f t="shared" si="47"/>
        <v>0</v>
      </c>
      <c r="BL151">
        <f t="shared" si="47"/>
        <v>0</v>
      </c>
      <c r="BM151">
        <f t="shared" si="47"/>
        <v>0</v>
      </c>
      <c r="BN151">
        <f t="shared" si="47"/>
        <v>0</v>
      </c>
      <c r="BO151">
        <f t="shared" si="47"/>
        <v>0</v>
      </c>
      <c r="BP151">
        <f t="shared" si="47"/>
        <v>0</v>
      </c>
      <c r="BQ151">
        <f t="shared" si="47"/>
        <v>0</v>
      </c>
      <c r="BR151">
        <f t="shared" si="47"/>
        <v>0</v>
      </c>
      <c r="BS151">
        <f t="shared" si="47"/>
        <v>0</v>
      </c>
    </row>
    <row r="152" spans="2:71" ht="15" customHeight="1" x14ac:dyDescent="0.2">
      <c r="B152">
        <v>4</v>
      </c>
      <c r="C152">
        <v>4</v>
      </c>
      <c r="D152">
        <v>4</v>
      </c>
      <c r="E152" t="s">
        <v>220</v>
      </c>
      <c r="F152" t="s">
        <v>214</v>
      </c>
      <c r="G152" s="5">
        <v>42573</v>
      </c>
      <c r="H152" t="s">
        <v>73</v>
      </c>
      <c r="I152" t="s">
        <v>215</v>
      </c>
      <c r="J152" t="s">
        <v>216</v>
      </c>
      <c r="K152">
        <v>9</v>
      </c>
      <c r="L152" t="s">
        <v>76</v>
      </c>
      <c r="M152" t="s">
        <v>217</v>
      </c>
      <c r="N152" t="s">
        <v>78</v>
      </c>
      <c r="O152">
        <v>70.599999999999994</v>
      </c>
      <c r="P152">
        <v>130</v>
      </c>
      <c r="Q152">
        <v>6111</v>
      </c>
      <c r="R152" t="s">
        <v>79</v>
      </c>
      <c r="S152" t="s">
        <v>80</v>
      </c>
      <c r="T152" t="s">
        <v>83</v>
      </c>
      <c r="U152" t="s">
        <v>40</v>
      </c>
      <c r="V152" t="s">
        <v>45</v>
      </c>
      <c r="W152" t="s">
        <v>109</v>
      </c>
      <c r="Y152" t="s">
        <v>60</v>
      </c>
      <c r="AA152">
        <v>1</v>
      </c>
      <c r="AB152" t="s">
        <v>32</v>
      </c>
      <c r="AC152" t="s">
        <v>221</v>
      </c>
      <c r="AE152" t="str">
        <f t="shared" si="41"/>
        <v>ConnollyZimmer</v>
      </c>
      <c r="AF152">
        <v>1</v>
      </c>
      <c r="AG152">
        <v>1</v>
      </c>
      <c r="AH152">
        <v>0</v>
      </c>
      <c r="AI152">
        <v>0</v>
      </c>
      <c r="AJ152">
        <v>1</v>
      </c>
      <c r="AK152" t="s">
        <v>55</v>
      </c>
      <c r="AL152">
        <v>0.44067796610169502</v>
      </c>
      <c r="AM152" t="s">
        <v>52</v>
      </c>
      <c r="AN152">
        <v>0.34745762711864397</v>
      </c>
      <c r="AO152">
        <f t="shared" ref="AO152:AX161" si="48">IF(OR($V152=AO$1,$Y152=AO$1),AO$1,0)</f>
        <v>0</v>
      </c>
      <c r="AP152">
        <f t="shared" si="48"/>
        <v>0</v>
      </c>
      <c r="AQ152">
        <f t="shared" si="48"/>
        <v>0</v>
      </c>
      <c r="AR152">
        <f t="shared" si="48"/>
        <v>0</v>
      </c>
      <c r="AS152">
        <f t="shared" si="48"/>
        <v>0</v>
      </c>
      <c r="AT152" t="str">
        <f t="shared" si="48"/>
        <v>Connolly</v>
      </c>
      <c r="AU152">
        <f t="shared" si="48"/>
        <v>0</v>
      </c>
      <c r="AV152">
        <f t="shared" si="48"/>
        <v>0</v>
      </c>
      <c r="AW152">
        <f t="shared" si="48"/>
        <v>0</v>
      </c>
      <c r="AX152">
        <f t="shared" si="48"/>
        <v>0</v>
      </c>
      <c r="AY152">
        <f t="shared" ref="AY152:BH161" si="49">IF(OR($V152=AY$1,$Y152=AY$1),AY$1,0)</f>
        <v>0</v>
      </c>
      <c r="AZ152">
        <f t="shared" si="49"/>
        <v>0</v>
      </c>
      <c r="BA152">
        <f t="shared" si="49"/>
        <v>0</v>
      </c>
      <c r="BB152">
        <f t="shared" si="49"/>
        <v>0</v>
      </c>
      <c r="BC152">
        <f t="shared" si="49"/>
        <v>0</v>
      </c>
      <c r="BD152">
        <f t="shared" si="49"/>
        <v>0</v>
      </c>
      <c r="BE152">
        <f t="shared" si="49"/>
        <v>0</v>
      </c>
      <c r="BF152">
        <f t="shared" si="49"/>
        <v>0</v>
      </c>
      <c r="BG152">
        <f t="shared" si="49"/>
        <v>0</v>
      </c>
      <c r="BH152">
        <f t="shared" si="49"/>
        <v>0</v>
      </c>
      <c r="BI152" t="str">
        <f t="shared" ref="BI152:BS161" si="50">IF(OR($V152=BI$1,$Y152=BI$1),BI$1,0)</f>
        <v>Zimmer</v>
      </c>
      <c r="BJ152">
        <f t="shared" si="50"/>
        <v>0</v>
      </c>
      <c r="BK152">
        <f t="shared" si="50"/>
        <v>0</v>
      </c>
      <c r="BL152">
        <f t="shared" si="50"/>
        <v>0</v>
      </c>
      <c r="BM152">
        <f t="shared" si="50"/>
        <v>0</v>
      </c>
      <c r="BN152">
        <f t="shared" si="50"/>
        <v>0</v>
      </c>
      <c r="BO152">
        <f t="shared" si="50"/>
        <v>0</v>
      </c>
      <c r="BP152">
        <f t="shared" si="50"/>
        <v>0</v>
      </c>
      <c r="BQ152">
        <f t="shared" si="50"/>
        <v>0</v>
      </c>
      <c r="BR152">
        <f t="shared" si="50"/>
        <v>0</v>
      </c>
      <c r="BS152">
        <f t="shared" si="50"/>
        <v>0</v>
      </c>
    </row>
    <row r="153" spans="2:71" ht="15" customHeight="1" x14ac:dyDescent="0.2">
      <c r="B153">
        <v>4</v>
      </c>
      <c r="C153">
        <v>4</v>
      </c>
      <c r="D153">
        <v>4</v>
      </c>
      <c r="E153" t="s">
        <v>220</v>
      </c>
      <c r="F153" t="s">
        <v>214</v>
      </c>
      <c r="G153" s="5">
        <v>42573</v>
      </c>
      <c r="H153" t="s">
        <v>73</v>
      </c>
      <c r="I153" t="s">
        <v>215</v>
      </c>
      <c r="J153" t="s">
        <v>216</v>
      </c>
      <c r="K153">
        <v>9</v>
      </c>
      <c r="L153" t="s">
        <v>76</v>
      </c>
      <c r="M153" t="s">
        <v>217</v>
      </c>
      <c r="N153" t="s">
        <v>78</v>
      </c>
      <c r="O153">
        <v>70.599999999999994</v>
      </c>
      <c r="P153">
        <v>130</v>
      </c>
      <c r="Q153">
        <v>6111</v>
      </c>
      <c r="R153" t="s">
        <v>79</v>
      </c>
      <c r="S153" t="s">
        <v>80</v>
      </c>
      <c r="T153" t="s">
        <v>81</v>
      </c>
      <c r="U153" t="s">
        <v>46</v>
      </c>
      <c r="V153" t="s">
        <v>55</v>
      </c>
      <c r="W153" t="s">
        <v>123</v>
      </c>
      <c r="Y153" t="s">
        <v>52</v>
      </c>
      <c r="AA153">
        <v>1</v>
      </c>
      <c r="AB153" t="s">
        <v>33</v>
      </c>
      <c r="AC153" t="s">
        <v>221</v>
      </c>
      <c r="AE153" t="str">
        <f t="shared" si="41"/>
        <v>ColeConnors</v>
      </c>
      <c r="AF153">
        <v>0</v>
      </c>
      <c r="AG153">
        <v>0</v>
      </c>
      <c r="AH153">
        <v>1</v>
      </c>
      <c r="AI153">
        <v>0</v>
      </c>
      <c r="AJ153">
        <v>0</v>
      </c>
      <c r="AK153" t="s">
        <v>45</v>
      </c>
      <c r="AL153">
        <v>0.59375</v>
      </c>
      <c r="AM153" t="s">
        <v>60</v>
      </c>
      <c r="AN153">
        <v>0.5</v>
      </c>
      <c r="AO153">
        <f t="shared" si="48"/>
        <v>0</v>
      </c>
      <c r="AP153">
        <f t="shared" si="48"/>
        <v>0</v>
      </c>
      <c r="AQ153">
        <f t="shared" si="48"/>
        <v>0</v>
      </c>
      <c r="AR153">
        <f t="shared" si="48"/>
        <v>0</v>
      </c>
      <c r="AS153">
        <f t="shared" si="48"/>
        <v>0</v>
      </c>
      <c r="AT153">
        <f t="shared" si="48"/>
        <v>0</v>
      </c>
      <c r="AU153">
        <f t="shared" si="48"/>
        <v>0</v>
      </c>
      <c r="AV153">
        <f t="shared" si="48"/>
        <v>0</v>
      </c>
      <c r="AW153">
        <f t="shared" si="48"/>
        <v>0</v>
      </c>
      <c r="AX153">
        <f t="shared" si="48"/>
        <v>0</v>
      </c>
      <c r="AY153">
        <f t="shared" si="49"/>
        <v>0</v>
      </c>
      <c r="AZ153">
        <f t="shared" si="49"/>
        <v>0</v>
      </c>
      <c r="BA153" t="str">
        <f t="shared" si="49"/>
        <v>Connors</v>
      </c>
      <c r="BB153">
        <f t="shared" si="49"/>
        <v>0</v>
      </c>
      <c r="BC153">
        <f t="shared" si="49"/>
        <v>0</v>
      </c>
      <c r="BD153" t="str">
        <f t="shared" si="49"/>
        <v>Cole</v>
      </c>
      <c r="BE153">
        <f t="shared" si="49"/>
        <v>0</v>
      </c>
      <c r="BF153">
        <f t="shared" si="49"/>
        <v>0</v>
      </c>
      <c r="BG153">
        <f t="shared" si="49"/>
        <v>0</v>
      </c>
      <c r="BH153">
        <f t="shared" si="49"/>
        <v>0</v>
      </c>
      <c r="BI153">
        <f t="shared" si="50"/>
        <v>0</v>
      </c>
      <c r="BJ153">
        <f t="shared" si="50"/>
        <v>0</v>
      </c>
      <c r="BK153">
        <f t="shared" si="50"/>
        <v>0</v>
      </c>
      <c r="BL153">
        <f t="shared" si="50"/>
        <v>0</v>
      </c>
      <c r="BM153">
        <f t="shared" si="50"/>
        <v>0</v>
      </c>
      <c r="BN153">
        <f t="shared" si="50"/>
        <v>0</v>
      </c>
      <c r="BO153">
        <f t="shared" si="50"/>
        <v>0</v>
      </c>
      <c r="BP153">
        <f t="shared" si="50"/>
        <v>0</v>
      </c>
      <c r="BQ153">
        <f t="shared" si="50"/>
        <v>0</v>
      </c>
      <c r="BR153">
        <f t="shared" si="50"/>
        <v>0</v>
      </c>
      <c r="BS153">
        <f t="shared" si="50"/>
        <v>0</v>
      </c>
    </row>
    <row r="154" spans="2:71" ht="15" customHeight="1" x14ac:dyDescent="0.2">
      <c r="B154">
        <v>5</v>
      </c>
      <c r="C154">
        <v>5</v>
      </c>
      <c r="D154">
        <v>4</v>
      </c>
      <c r="E154" t="s">
        <v>222</v>
      </c>
      <c r="F154" t="s">
        <v>214</v>
      </c>
      <c r="G154" s="5">
        <v>42573</v>
      </c>
      <c r="H154" t="s">
        <v>73</v>
      </c>
      <c r="I154" t="s">
        <v>215</v>
      </c>
      <c r="J154" t="s">
        <v>216</v>
      </c>
      <c r="K154">
        <v>9</v>
      </c>
      <c r="L154" t="s">
        <v>76</v>
      </c>
      <c r="M154" t="s">
        <v>217</v>
      </c>
      <c r="N154" t="s">
        <v>78</v>
      </c>
      <c r="O154">
        <v>70.599999999999994</v>
      </c>
      <c r="P154">
        <v>130</v>
      </c>
      <c r="Q154">
        <v>6111</v>
      </c>
      <c r="R154" t="s">
        <v>79</v>
      </c>
      <c r="S154" t="s">
        <v>80</v>
      </c>
      <c r="T154" t="s">
        <v>81</v>
      </c>
      <c r="U154" t="s">
        <v>46</v>
      </c>
      <c r="V154" t="s">
        <v>58</v>
      </c>
      <c r="W154" t="s">
        <v>123</v>
      </c>
      <c r="Y154" t="s">
        <v>59</v>
      </c>
      <c r="AA154">
        <v>1</v>
      </c>
      <c r="AB154" t="s">
        <v>33</v>
      </c>
      <c r="AC154" t="s">
        <v>202</v>
      </c>
      <c r="AE154" t="str">
        <f t="shared" si="41"/>
        <v>GrayNorat</v>
      </c>
      <c r="AF154">
        <v>0</v>
      </c>
      <c r="AG154">
        <v>0</v>
      </c>
      <c r="AH154">
        <v>1</v>
      </c>
      <c r="AI154">
        <v>0</v>
      </c>
      <c r="AJ154">
        <v>0</v>
      </c>
      <c r="AK154" t="s">
        <v>54</v>
      </c>
      <c r="AL154">
        <v>0.37288135593220301</v>
      </c>
      <c r="AM154" t="s">
        <v>48</v>
      </c>
      <c r="AN154">
        <v>0.5546875</v>
      </c>
      <c r="AO154">
        <f t="shared" si="48"/>
        <v>0</v>
      </c>
      <c r="AP154">
        <f t="shared" si="48"/>
        <v>0</v>
      </c>
      <c r="AQ154">
        <f t="shared" si="48"/>
        <v>0</v>
      </c>
      <c r="AR154">
        <f t="shared" si="48"/>
        <v>0</v>
      </c>
      <c r="AS154">
        <f t="shared" si="48"/>
        <v>0</v>
      </c>
      <c r="AT154">
        <f t="shared" si="48"/>
        <v>0</v>
      </c>
      <c r="AU154">
        <f t="shared" si="48"/>
        <v>0</v>
      </c>
      <c r="AV154">
        <f t="shared" si="48"/>
        <v>0</v>
      </c>
      <c r="AW154">
        <f t="shared" si="48"/>
        <v>0</v>
      </c>
      <c r="AX154">
        <f t="shared" si="48"/>
        <v>0</v>
      </c>
      <c r="AY154">
        <f t="shared" si="49"/>
        <v>0</v>
      </c>
      <c r="AZ154">
        <f t="shared" si="49"/>
        <v>0</v>
      </c>
      <c r="BA154">
        <f t="shared" si="49"/>
        <v>0</v>
      </c>
      <c r="BB154">
        <f t="shared" si="49"/>
        <v>0</v>
      </c>
      <c r="BC154">
        <f t="shared" si="49"/>
        <v>0</v>
      </c>
      <c r="BD154">
        <f t="shared" si="49"/>
        <v>0</v>
      </c>
      <c r="BE154">
        <f t="shared" si="49"/>
        <v>0</v>
      </c>
      <c r="BF154">
        <f t="shared" si="49"/>
        <v>0</v>
      </c>
      <c r="BG154" t="str">
        <f t="shared" si="49"/>
        <v>Gray</v>
      </c>
      <c r="BH154" t="str">
        <f t="shared" si="49"/>
        <v>Norat</v>
      </c>
      <c r="BI154">
        <f t="shared" si="50"/>
        <v>0</v>
      </c>
      <c r="BJ154">
        <f t="shared" si="50"/>
        <v>0</v>
      </c>
      <c r="BK154">
        <f t="shared" si="50"/>
        <v>0</v>
      </c>
      <c r="BL154">
        <f t="shared" si="50"/>
        <v>0</v>
      </c>
      <c r="BM154">
        <f t="shared" si="50"/>
        <v>0</v>
      </c>
      <c r="BN154">
        <f t="shared" si="50"/>
        <v>0</v>
      </c>
      <c r="BO154">
        <f t="shared" si="50"/>
        <v>0</v>
      </c>
      <c r="BP154">
        <f t="shared" si="50"/>
        <v>0</v>
      </c>
      <c r="BQ154">
        <f t="shared" si="50"/>
        <v>0</v>
      </c>
      <c r="BR154">
        <f t="shared" si="50"/>
        <v>0</v>
      </c>
      <c r="BS154">
        <f t="shared" si="50"/>
        <v>0</v>
      </c>
    </row>
    <row r="155" spans="2:71" ht="15" customHeight="1" x14ac:dyDescent="0.2">
      <c r="B155">
        <v>5</v>
      </c>
      <c r="C155">
        <v>5</v>
      </c>
      <c r="D155">
        <v>4</v>
      </c>
      <c r="E155" t="s">
        <v>222</v>
      </c>
      <c r="F155" t="s">
        <v>214</v>
      </c>
      <c r="G155" s="5">
        <v>42573</v>
      </c>
      <c r="H155" t="s">
        <v>73</v>
      </c>
      <c r="I155" t="s">
        <v>215</v>
      </c>
      <c r="J155" t="s">
        <v>216</v>
      </c>
      <c r="K155">
        <v>9</v>
      </c>
      <c r="L155" t="s">
        <v>76</v>
      </c>
      <c r="M155" t="s">
        <v>217</v>
      </c>
      <c r="N155" t="s">
        <v>78</v>
      </c>
      <c r="O155">
        <v>70.599999999999994</v>
      </c>
      <c r="P155">
        <v>130</v>
      </c>
      <c r="Q155">
        <v>6111</v>
      </c>
      <c r="R155" t="s">
        <v>79</v>
      </c>
      <c r="S155" t="s">
        <v>80</v>
      </c>
      <c r="T155" t="s">
        <v>83</v>
      </c>
      <c r="U155" t="s">
        <v>40</v>
      </c>
      <c r="V155" t="s">
        <v>54</v>
      </c>
      <c r="W155" t="s">
        <v>109</v>
      </c>
      <c r="Y155" t="s">
        <v>48</v>
      </c>
      <c r="AA155">
        <v>1</v>
      </c>
      <c r="AB155" t="s">
        <v>32</v>
      </c>
      <c r="AC155" t="s">
        <v>202</v>
      </c>
      <c r="AE155" t="str">
        <f t="shared" si="41"/>
        <v>FoganLynch</v>
      </c>
      <c r="AF155">
        <v>1</v>
      </c>
      <c r="AG155">
        <v>1</v>
      </c>
      <c r="AH155">
        <v>0</v>
      </c>
      <c r="AI155">
        <v>0</v>
      </c>
      <c r="AJ155">
        <v>1</v>
      </c>
      <c r="AK155" t="s">
        <v>58</v>
      </c>
      <c r="AL155">
        <v>0.65476190476190499</v>
      </c>
      <c r="AM155" t="s">
        <v>59</v>
      </c>
      <c r="AN155">
        <v>0.52777777777777801</v>
      </c>
      <c r="AO155">
        <f t="shared" si="48"/>
        <v>0</v>
      </c>
      <c r="AP155">
        <f t="shared" si="48"/>
        <v>0</v>
      </c>
      <c r="AQ155">
        <f t="shared" si="48"/>
        <v>0</v>
      </c>
      <c r="AR155">
        <f t="shared" si="48"/>
        <v>0</v>
      </c>
      <c r="AS155">
        <f t="shared" si="48"/>
        <v>0</v>
      </c>
      <c r="AT155">
        <f t="shared" si="48"/>
        <v>0</v>
      </c>
      <c r="AU155">
        <f t="shared" si="48"/>
        <v>0</v>
      </c>
      <c r="AV155">
        <f t="shared" si="48"/>
        <v>0</v>
      </c>
      <c r="AW155" t="str">
        <f t="shared" si="48"/>
        <v>Lynch</v>
      </c>
      <c r="AX155">
        <f t="shared" si="48"/>
        <v>0</v>
      </c>
      <c r="AY155">
        <f t="shared" si="49"/>
        <v>0</v>
      </c>
      <c r="AZ155">
        <f t="shared" si="49"/>
        <v>0</v>
      </c>
      <c r="BA155">
        <f t="shared" si="49"/>
        <v>0</v>
      </c>
      <c r="BB155">
        <f t="shared" si="49"/>
        <v>0</v>
      </c>
      <c r="BC155" t="str">
        <f t="shared" si="49"/>
        <v>Fogan</v>
      </c>
      <c r="BD155">
        <f t="shared" si="49"/>
        <v>0</v>
      </c>
      <c r="BE155">
        <f t="shared" si="49"/>
        <v>0</v>
      </c>
      <c r="BF155">
        <f t="shared" si="49"/>
        <v>0</v>
      </c>
      <c r="BG155">
        <f t="shared" si="49"/>
        <v>0</v>
      </c>
      <c r="BH155">
        <f t="shared" si="49"/>
        <v>0</v>
      </c>
      <c r="BI155">
        <f t="shared" si="50"/>
        <v>0</v>
      </c>
      <c r="BJ155">
        <f t="shared" si="50"/>
        <v>0</v>
      </c>
      <c r="BK155">
        <f t="shared" si="50"/>
        <v>0</v>
      </c>
      <c r="BL155">
        <f t="shared" si="50"/>
        <v>0</v>
      </c>
      <c r="BM155">
        <f t="shared" si="50"/>
        <v>0</v>
      </c>
      <c r="BN155">
        <f t="shared" si="50"/>
        <v>0</v>
      </c>
      <c r="BO155">
        <f t="shared" si="50"/>
        <v>0</v>
      </c>
      <c r="BP155">
        <f t="shared" si="50"/>
        <v>0</v>
      </c>
      <c r="BQ155">
        <f t="shared" si="50"/>
        <v>0</v>
      </c>
      <c r="BR155">
        <f t="shared" si="50"/>
        <v>0</v>
      </c>
      <c r="BS155">
        <f t="shared" si="50"/>
        <v>0</v>
      </c>
    </row>
    <row r="156" spans="2:71" ht="15" customHeight="1" x14ac:dyDescent="0.2">
      <c r="B156">
        <v>6</v>
      </c>
      <c r="C156">
        <v>1</v>
      </c>
      <c r="D156">
        <v>4</v>
      </c>
      <c r="E156" t="s">
        <v>223</v>
      </c>
      <c r="F156" t="s">
        <v>214</v>
      </c>
      <c r="G156" s="5">
        <v>42573</v>
      </c>
      <c r="H156" t="s">
        <v>73</v>
      </c>
      <c r="I156" t="s">
        <v>215</v>
      </c>
      <c r="J156" t="s">
        <v>216</v>
      </c>
      <c r="K156">
        <v>9</v>
      </c>
      <c r="L156" t="s">
        <v>90</v>
      </c>
      <c r="M156" t="s">
        <v>217</v>
      </c>
      <c r="N156" t="s">
        <v>78</v>
      </c>
      <c r="O156">
        <v>70.599999999999994</v>
      </c>
      <c r="P156">
        <v>130</v>
      </c>
      <c r="Q156">
        <v>6111</v>
      </c>
      <c r="R156" t="s">
        <v>137</v>
      </c>
      <c r="S156" t="s">
        <v>80</v>
      </c>
      <c r="T156" t="s">
        <v>81</v>
      </c>
      <c r="U156" t="s">
        <v>46</v>
      </c>
      <c r="V156" t="s">
        <v>50</v>
      </c>
      <c r="W156" t="s">
        <v>123</v>
      </c>
      <c r="Y156" t="s">
        <v>42</v>
      </c>
      <c r="AA156">
        <v>1</v>
      </c>
      <c r="AB156" t="s">
        <v>33</v>
      </c>
      <c r="AC156" t="s">
        <v>209</v>
      </c>
      <c r="AE156" t="str">
        <f t="shared" si="41"/>
        <v>FerrinJackson</v>
      </c>
      <c r="AF156">
        <v>0</v>
      </c>
      <c r="AG156">
        <v>0</v>
      </c>
      <c r="AH156">
        <v>1</v>
      </c>
      <c r="AI156">
        <v>0</v>
      </c>
      <c r="AJ156">
        <v>0</v>
      </c>
      <c r="AK156" t="s">
        <v>40</v>
      </c>
      <c r="AL156">
        <v>0.546875</v>
      </c>
      <c r="AM156" t="s">
        <v>62</v>
      </c>
      <c r="AN156">
        <v>0.51041666666666696</v>
      </c>
      <c r="AO156">
        <f t="shared" si="48"/>
        <v>0</v>
      </c>
      <c r="AP156">
        <f t="shared" si="48"/>
        <v>0</v>
      </c>
      <c r="AQ156" t="str">
        <f t="shared" si="48"/>
        <v>Jackson</v>
      </c>
      <c r="AR156">
        <f t="shared" si="48"/>
        <v>0</v>
      </c>
      <c r="AS156">
        <f t="shared" si="48"/>
        <v>0</v>
      </c>
      <c r="AT156">
        <f t="shared" si="48"/>
        <v>0</v>
      </c>
      <c r="AU156">
        <f t="shared" si="48"/>
        <v>0</v>
      </c>
      <c r="AV156">
        <f t="shared" si="48"/>
        <v>0</v>
      </c>
      <c r="AW156">
        <f t="shared" si="48"/>
        <v>0</v>
      </c>
      <c r="AX156">
        <f t="shared" si="48"/>
        <v>0</v>
      </c>
      <c r="AY156" t="str">
        <f t="shared" si="49"/>
        <v>Ferrin</v>
      </c>
      <c r="AZ156">
        <f t="shared" si="49"/>
        <v>0</v>
      </c>
      <c r="BA156">
        <f t="shared" si="49"/>
        <v>0</v>
      </c>
      <c r="BB156">
        <f t="shared" si="49"/>
        <v>0</v>
      </c>
      <c r="BC156">
        <f t="shared" si="49"/>
        <v>0</v>
      </c>
      <c r="BD156">
        <f t="shared" si="49"/>
        <v>0</v>
      </c>
      <c r="BE156">
        <f t="shared" si="49"/>
        <v>0</v>
      </c>
      <c r="BF156">
        <f t="shared" si="49"/>
        <v>0</v>
      </c>
      <c r="BG156">
        <f t="shared" si="49"/>
        <v>0</v>
      </c>
      <c r="BH156">
        <f t="shared" si="49"/>
        <v>0</v>
      </c>
      <c r="BI156">
        <f t="shared" si="50"/>
        <v>0</v>
      </c>
      <c r="BJ156">
        <f t="shared" si="50"/>
        <v>0</v>
      </c>
      <c r="BK156">
        <f t="shared" si="50"/>
        <v>0</v>
      </c>
      <c r="BL156">
        <f t="shared" si="50"/>
        <v>0</v>
      </c>
      <c r="BM156">
        <f t="shared" si="50"/>
        <v>0</v>
      </c>
      <c r="BN156">
        <f t="shared" si="50"/>
        <v>0</v>
      </c>
      <c r="BO156">
        <f t="shared" si="50"/>
        <v>0</v>
      </c>
      <c r="BP156">
        <f t="shared" si="50"/>
        <v>0</v>
      </c>
      <c r="BQ156">
        <f t="shared" si="50"/>
        <v>0</v>
      </c>
      <c r="BR156">
        <f t="shared" si="50"/>
        <v>0</v>
      </c>
      <c r="BS156">
        <f t="shared" si="50"/>
        <v>0</v>
      </c>
    </row>
    <row r="157" spans="2:71" ht="15" customHeight="1" x14ac:dyDescent="0.2">
      <c r="B157">
        <v>6</v>
      </c>
      <c r="C157">
        <v>1</v>
      </c>
      <c r="D157">
        <v>4</v>
      </c>
      <c r="E157" t="s">
        <v>223</v>
      </c>
      <c r="F157" t="s">
        <v>214</v>
      </c>
      <c r="G157" s="5">
        <v>42573</v>
      </c>
      <c r="H157" t="s">
        <v>73</v>
      </c>
      <c r="I157" t="s">
        <v>215</v>
      </c>
      <c r="J157" t="s">
        <v>216</v>
      </c>
      <c r="K157">
        <v>9</v>
      </c>
      <c r="L157" t="s">
        <v>90</v>
      </c>
      <c r="M157" t="s">
        <v>217</v>
      </c>
      <c r="N157" t="s">
        <v>78</v>
      </c>
      <c r="O157">
        <v>70.599999999999994</v>
      </c>
      <c r="P157">
        <v>130</v>
      </c>
      <c r="Q157">
        <v>6111</v>
      </c>
      <c r="R157" t="s">
        <v>137</v>
      </c>
      <c r="S157" t="s">
        <v>80</v>
      </c>
      <c r="T157" t="s">
        <v>83</v>
      </c>
      <c r="U157" t="s">
        <v>40</v>
      </c>
      <c r="V157" t="s">
        <v>40</v>
      </c>
      <c r="W157" t="s">
        <v>109</v>
      </c>
      <c r="Y157" t="s">
        <v>62</v>
      </c>
      <c r="AA157">
        <v>1</v>
      </c>
      <c r="AB157" t="s">
        <v>32</v>
      </c>
      <c r="AC157" t="s">
        <v>209</v>
      </c>
      <c r="AE157" t="str">
        <f t="shared" si="41"/>
        <v>GriseWelker</v>
      </c>
      <c r="AF157">
        <v>1</v>
      </c>
      <c r="AG157">
        <v>1</v>
      </c>
      <c r="AH157">
        <v>0</v>
      </c>
      <c r="AI157">
        <v>0</v>
      </c>
      <c r="AJ157">
        <v>1</v>
      </c>
      <c r="AK157" t="s">
        <v>50</v>
      </c>
      <c r="AL157">
        <v>0.59523809523809501</v>
      </c>
      <c r="AM157" t="s">
        <v>42</v>
      </c>
      <c r="AN157">
        <v>0.6171875</v>
      </c>
      <c r="AO157" t="str">
        <f t="shared" si="48"/>
        <v>Grise</v>
      </c>
      <c r="AP157">
        <f t="shared" si="48"/>
        <v>0</v>
      </c>
      <c r="AQ157">
        <f t="shared" si="48"/>
        <v>0</v>
      </c>
      <c r="AR157">
        <f t="shared" si="48"/>
        <v>0</v>
      </c>
      <c r="AS157">
        <f t="shared" si="48"/>
        <v>0</v>
      </c>
      <c r="AT157">
        <f t="shared" si="48"/>
        <v>0</v>
      </c>
      <c r="AU157">
        <f t="shared" si="48"/>
        <v>0</v>
      </c>
      <c r="AV157">
        <f t="shared" si="48"/>
        <v>0</v>
      </c>
      <c r="AW157">
        <f t="shared" si="48"/>
        <v>0</v>
      </c>
      <c r="AX157">
        <f t="shared" si="48"/>
        <v>0</v>
      </c>
      <c r="AY157">
        <f t="shared" si="49"/>
        <v>0</v>
      </c>
      <c r="AZ157">
        <f t="shared" si="49"/>
        <v>0</v>
      </c>
      <c r="BA157">
        <f t="shared" si="49"/>
        <v>0</v>
      </c>
      <c r="BB157">
        <f t="shared" si="49"/>
        <v>0</v>
      </c>
      <c r="BC157">
        <f t="shared" si="49"/>
        <v>0</v>
      </c>
      <c r="BD157">
        <f t="shared" si="49"/>
        <v>0</v>
      </c>
      <c r="BE157">
        <f t="shared" si="49"/>
        <v>0</v>
      </c>
      <c r="BF157">
        <f t="shared" si="49"/>
        <v>0</v>
      </c>
      <c r="BG157">
        <f t="shared" si="49"/>
        <v>0</v>
      </c>
      <c r="BH157">
        <f t="shared" si="49"/>
        <v>0</v>
      </c>
      <c r="BI157">
        <f t="shared" si="50"/>
        <v>0</v>
      </c>
      <c r="BJ157">
        <f t="shared" si="50"/>
        <v>0</v>
      </c>
      <c r="BK157" t="str">
        <f t="shared" si="50"/>
        <v>Welker</v>
      </c>
      <c r="BL157">
        <f t="shared" si="50"/>
        <v>0</v>
      </c>
      <c r="BM157">
        <f t="shared" si="50"/>
        <v>0</v>
      </c>
      <c r="BN157">
        <f t="shared" si="50"/>
        <v>0</v>
      </c>
      <c r="BO157">
        <f t="shared" si="50"/>
        <v>0</v>
      </c>
      <c r="BP157">
        <f t="shared" si="50"/>
        <v>0</v>
      </c>
      <c r="BQ157">
        <f t="shared" si="50"/>
        <v>0</v>
      </c>
      <c r="BR157">
        <f t="shared" si="50"/>
        <v>0</v>
      </c>
      <c r="BS157">
        <f t="shared" si="50"/>
        <v>0</v>
      </c>
    </row>
    <row r="158" spans="2:71" ht="15" customHeight="1" x14ac:dyDescent="0.2">
      <c r="B158">
        <v>7</v>
      </c>
      <c r="C158">
        <v>2</v>
      </c>
      <c r="D158">
        <v>4</v>
      </c>
      <c r="E158" t="s">
        <v>224</v>
      </c>
      <c r="F158" t="s">
        <v>214</v>
      </c>
      <c r="G158" s="5">
        <v>42573</v>
      </c>
      <c r="H158" t="s">
        <v>73</v>
      </c>
      <c r="I158" t="s">
        <v>215</v>
      </c>
      <c r="J158" t="s">
        <v>216</v>
      </c>
      <c r="K158">
        <v>9</v>
      </c>
      <c r="L158" t="s">
        <v>90</v>
      </c>
      <c r="M158" t="s">
        <v>217</v>
      </c>
      <c r="N158" t="s">
        <v>78</v>
      </c>
      <c r="O158">
        <v>70.599999999999994</v>
      </c>
      <c r="P158">
        <v>130</v>
      </c>
      <c r="Q158">
        <v>6111</v>
      </c>
      <c r="R158" t="s">
        <v>137</v>
      </c>
      <c r="S158" t="s">
        <v>80</v>
      </c>
      <c r="T158" t="s">
        <v>83</v>
      </c>
      <c r="U158" t="s">
        <v>40</v>
      </c>
      <c r="V158" t="s">
        <v>57</v>
      </c>
      <c r="W158" t="s">
        <v>109</v>
      </c>
      <c r="Y158" t="s">
        <v>49</v>
      </c>
      <c r="AA158">
        <v>1</v>
      </c>
      <c r="AB158" t="s">
        <v>34</v>
      </c>
      <c r="AC158" t="s">
        <v>92</v>
      </c>
      <c r="AE158" t="str">
        <f t="shared" si="41"/>
        <v>BussShively</v>
      </c>
      <c r="AF158">
        <v>0.5</v>
      </c>
      <c r="AG158">
        <v>0</v>
      </c>
      <c r="AH158">
        <v>0</v>
      </c>
      <c r="AI158">
        <v>1</v>
      </c>
      <c r="AJ158">
        <v>0.5</v>
      </c>
      <c r="AK158" t="s">
        <v>46</v>
      </c>
      <c r="AL158">
        <v>0.38392857142857201</v>
      </c>
      <c r="AM158" t="s">
        <v>56</v>
      </c>
      <c r="AN158">
        <v>0.5</v>
      </c>
      <c r="AO158">
        <f t="shared" si="48"/>
        <v>0</v>
      </c>
      <c r="AP158">
        <f t="shared" si="48"/>
        <v>0</v>
      </c>
      <c r="AQ158">
        <f t="shared" si="48"/>
        <v>0</v>
      </c>
      <c r="AR158">
        <f t="shared" si="48"/>
        <v>0</v>
      </c>
      <c r="AS158">
        <f t="shared" si="48"/>
        <v>0</v>
      </c>
      <c r="AT158">
        <f t="shared" si="48"/>
        <v>0</v>
      </c>
      <c r="AU158">
        <f t="shared" si="48"/>
        <v>0</v>
      </c>
      <c r="AV158">
        <f t="shared" si="48"/>
        <v>0</v>
      </c>
      <c r="AW158">
        <f t="shared" si="48"/>
        <v>0</v>
      </c>
      <c r="AX158" t="str">
        <f t="shared" si="48"/>
        <v>Shively</v>
      </c>
      <c r="AY158">
        <f t="shared" si="49"/>
        <v>0</v>
      </c>
      <c r="AZ158">
        <f t="shared" si="49"/>
        <v>0</v>
      </c>
      <c r="BA158">
        <f t="shared" si="49"/>
        <v>0</v>
      </c>
      <c r="BB158">
        <f t="shared" si="49"/>
        <v>0</v>
      </c>
      <c r="BC158">
        <f t="shared" si="49"/>
        <v>0</v>
      </c>
      <c r="BD158">
        <f t="shared" si="49"/>
        <v>0</v>
      </c>
      <c r="BE158">
        <f t="shared" si="49"/>
        <v>0</v>
      </c>
      <c r="BF158" t="str">
        <f t="shared" si="49"/>
        <v>Buss</v>
      </c>
      <c r="BG158">
        <f t="shared" si="49"/>
        <v>0</v>
      </c>
      <c r="BH158">
        <f t="shared" si="49"/>
        <v>0</v>
      </c>
      <c r="BI158">
        <f t="shared" si="50"/>
        <v>0</v>
      </c>
      <c r="BJ158">
        <f t="shared" si="50"/>
        <v>0</v>
      </c>
      <c r="BK158">
        <f t="shared" si="50"/>
        <v>0</v>
      </c>
      <c r="BL158">
        <f t="shared" si="50"/>
        <v>0</v>
      </c>
      <c r="BM158">
        <f t="shared" si="50"/>
        <v>0</v>
      </c>
      <c r="BN158">
        <f t="shared" si="50"/>
        <v>0</v>
      </c>
      <c r="BO158">
        <f t="shared" si="50"/>
        <v>0</v>
      </c>
      <c r="BP158">
        <f t="shared" si="50"/>
        <v>0</v>
      </c>
      <c r="BQ158">
        <f t="shared" si="50"/>
        <v>0</v>
      </c>
      <c r="BR158">
        <f t="shared" si="50"/>
        <v>0</v>
      </c>
      <c r="BS158">
        <f t="shared" si="50"/>
        <v>0</v>
      </c>
    </row>
    <row r="159" spans="2:71" ht="15" customHeight="1" x14ac:dyDescent="0.2">
      <c r="B159">
        <v>7</v>
      </c>
      <c r="C159">
        <v>2</v>
      </c>
      <c r="D159">
        <v>4</v>
      </c>
      <c r="E159" t="s">
        <v>224</v>
      </c>
      <c r="F159" t="s">
        <v>214</v>
      </c>
      <c r="G159" s="5">
        <v>42573</v>
      </c>
      <c r="H159" t="s">
        <v>73</v>
      </c>
      <c r="I159" t="s">
        <v>215</v>
      </c>
      <c r="J159" t="s">
        <v>216</v>
      </c>
      <c r="K159">
        <v>9</v>
      </c>
      <c r="L159" t="s">
        <v>90</v>
      </c>
      <c r="M159" t="s">
        <v>217</v>
      </c>
      <c r="N159" t="s">
        <v>78</v>
      </c>
      <c r="O159">
        <v>70.599999999999994</v>
      </c>
      <c r="P159">
        <v>130</v>
      </c>
      <c r="Q159">
        <v>6111</v>
      </c>
      <c r="R159" t="s">
        <v>137</v>
      </c>
      <c r="S159" t="s">
        <v>80</v>
      </c>
      <c r="T159" t="s">
        <v>81</v>
      </c>
      <c r="U159" t="s">
        <v>46</v>
      </c>
      <c r="V159" t="s">
        <v>46</v>
      </c>
      <c r="W159" t="s">
        <v>123</v>
      </c>
      <c r="Y159" t="s">
        <v>56</v>
      </c>
      <c r="AA159">
        <v>1</v>
      </c>
      <c r="AB159" t="s">
        <v>34</v>
      </c>
      <c r="AC159" t="s">
        <v>92</v>
      </c>
      <c r="AE159" t="str">
        <f t="shared" si="41"/>
        <v>MangoldWeisberger</v>
      </c>
      <c r="AF159">
        <v>0.5</v>
      </c>
      <c r="AG159">
        <v>0</v>
      </c>
      <c r="AH159">
        <v>0</v>
      </c>
      <c r="AI159">
        <v>1</v>
      </c>
      <c r="AJ159">
        <v>0.5</v>
      </c>
      <c r="AK159" t="s">
        <v>57</v>
      </c>
      <c r="AL159">
        <v>0.44827586206896602</v>
      </c>
      <c r="AM159" t="s">
        <v>49</v>
      </c>
      <c r="AO159">
        <f t="shared" si="48"/>
        <v>0</v>
      </c>
      <c r="AP159">
        <f t="shared" si="48"/>
        <v>0</v>
      </c>
      <c r="AQ159">
        <f t="shared" si="48"/>
        <v>0</v>
      </c>
      <c r="AR159">
        <f t="shared" si="48"/>
        <v>0</v>
      </c>
      <c r="AS159">
        <f t="shared" si="48"/>
        <v>0</v>
      </c>
      <c r="AT159">
        <f t="shared" si="48"/>
        <v>0</v>
      </c>
      <c r="AU159" t="str">
        <f t="shared" si="48"/>
        <v>Mangold</v>
      </c>
      <c r="AV159">
        <f t="shared" si="48"/>
        <v>0</v>
      </c>
      <c r="AW159">
        <f t="shared" si="48"/>
        <v>0</v>
      </c>
      <c r="AX159">
        <f t="shared" si="48"/>
        <v>0</v>
      </c>
      <c r="AY159">
        <f t="shared" si="49"/>
        <v>0</v>
      </c>
      <c r="AZ159">
        <f t="shared" si="49"/>
        <v>0</v>
      </c>
      <c r="BA159">
        <f t="shared" si="49"/>
        <v>0</v>
      </c>
      <c r="BB159">
        <f t="shared" si="49"/>
        <v>0</v>
      </c>
      <c r="BC159">
        <f t="shared" si="49"/>
        <v>0</v>
      </c>
      <c r="BD159">
        <f t="shared" si="49"/>
        <v>0</v>
      </c>
      <c r="BE159" t="str">
        <f t="shared" si="49"/>
        <v>Weisberger</v>
      </c>
      <c r="BF159">
        <f t="shared" si="49"/>
        <v>0</v>
      </c>
      <c r="BG159">
        <f t="shared" si="49"/>
        <v>0</v>
      </c>
      <c r="BH159">
        <f t="shared" si="49"/>
        <v>0</v>
      </c>
      <c r="BI159">
        <f t="shared" si="50"/>
        <v>0</v>
      </c>
      <c r="BJ159">
        <f t="shared" si="50"/>
        <v>0</v>
      </c>
      <c r="BK159">
        <f t="shared" si="50"/>
        <v>0</v>
      </c>
      <c r="BL159">
        <f t="shared" si="50"/>
        <v>0</v>
      </c>
      <c r="BM159">
        <f t="shared" si="50"/>
        <v>0</v>
      </c>
      <c r="BN159">
        <f t="shared" si="50"/>
        <v>0</v>
      </c>
      <c r="BO159">
        <f t="shared" si="50"/>
        <v>0</v>
      </c>
      <c r="BP159">
        <f t="shared" si="50"/>
        <v>0</v>
      </c>
      <c r="BQ159">
        <f t="shared" si="50"/>
        <v>0</v>
      </c>
      <c r="BR159">
        <f t="shared" si="50"/>
        <v>0</v>
      </c>
      <c r="BS159">
        <f t="shared" si="50"/>
        <v>0</v>
      </c>
    </row>
    <row r="160" spans="2:71" ht="15" customHeight="1" x14ac:dyDescent="0.2">
      <c r="B160">
        <v>8</v>
      </c>
      <c r="C160">
        <v>3</v>
      </c>
      <c r="D160">
        <v>4</v>
      </c>
      <c r="E160" t="s">
        <v>225</v>
      </c>
      <c r="F160" t="s">
        <v>214</v>
      </c>
      <c r="G160" s="5">
        <v>42573</v>
      </c>
      <c r="H160" t="s">
        <v>73</v>
      </c>
      <c r="I160" t="s">
        <v>215</v>
      </c>
      <c r="J160" t="s">
        <v>216</v>
      </c>
      <c r="K160">
        <v>9</v>
      </c>
      <c r="L160" t="s">
        <v>90</v>
      </c>
      <c r="M160" t="s">
        <v>217</v>
      </c>
      <c r="N160" t="s">
        <v>78</v>
      </c>
      <c r="O160">
        <v>70.599999999999994</v>
      </c>
      <c r="P160">
        <v>130</v>
      </c>
      <c r="Q160">
        <v>6111</v>
      </c>
      <c r="R160" t="s">
        <v>137</v>
      </c>
      <c r="S160" t="s">
        <v>80</v>
      </c>
      <c r="T160" t="s">
        <v>81</v>
      </c>
      <c r="U160" t="s">
        <v>46</v>
      </c>
      <c r="V160" t="s">
        <v>44</v>
      </c>
      <c r="W160" t="s">
        <v>123</v>
      </c>
      <c r="Y160" t="s">
        <v>53</v>
      </c>
      <c r="AA160">
        <v>1</v>
      </c>
      <c r="AB160" t="s">
        <v>32</v>
      </c>
      <c r="AC160" t="s">
        <v>221</v>
      </c>
      <c r="AE160" t="str">
        <f t="shared" si="41"/>
        <v>FlandersForster</v>
      </c>
      <c r="AF160">
        <v>1</v>
      </c>
      <c r="AG160">
        <v>1</v>
      </c>
      <c r="AH160">
        <v>0</v>
      </c>
      <c r="AI160">
        <v>0</v>
      </c>
      <c r="AJ160">
        <v>1</v>
      </c>
      <c r="AK160" t="s">
        <v>47</v>
      </c>
      <c r="AL160">
        <v>0.35714285714285698</v>
      </c>
      <c r="AM160" t="s">
        <v>61</v>
      </c>
      <c r="AN160">
        <v>0.5</v>
      </c>
      <c r="AO160">
        <f t="shared" si="48"/>
        <v>0</v>
      </c>
      <c r="AP160">
        <f t="shared" si="48"/>
        <v>0</v>
      </c>
      <c r="AQ160">
        <f t="shared" si="48"/>
        <v>0</v>
      </c>
      <c r="AR160">
        <f t="shared" si="48"/>
        <v>0</v>
      </c>
      <c r="AS160" t="str">
        <f t="shared" si="48"/>
        <v>Flanders</v>
      </c>
      <c r="AT160">
        <f t="shared" si="48"/>
        <v>0</v>
      </c>
      <c r="AU160">
        <f t="shared" si="48"/>
        <v>0</v>
      </c>
      <c r="AV160">
        <f t="shared" si="48"/>
        <v>0</v>
      </c>
      <c r="AW160">
        <f t="shared" si="48"/>
        <v>0</v>
      </c>
      <c r="AX160">
        <f t="shared" si="48"/>
        <v>0</v>
      </c>
      <c r="AY160">
        <f t="shared" si="49"/>
        <v>0</v>
      </c>
      <c r="AZ160">
        <f t="shared" si="49"/>
        <v>0</v>
      </c>
      <c r="BA160">
        <f t="shared" si="49"/>
        <v>0</v>
      </c>
      <c r="BB160" t="str">
        <f t="shared" si="49"/>
        <v>Forster</v>
      </c>
      <c r="BC160">
        <f t="shared" si="49"/>
        <v>0</v>
      </c>
      <c r="BD160">
        <f t="shared" si="49"/>
        <v>0</v>
      </c>
      <c r="BE160">
        <f t="shared" si="49"/>
        <v>0</v>
      </c>
      <c r="BF160">
        <f t="shared" si="49"/>
        <v>0</v>
      </c>
      <c r="BG160">
        <f t="shared" si="49"/>
        <v>0</v>
      </c>
      <c r="BH160">
        <f t="shared" si="49"/>
        <v>0</v>
      </c>
      <c r="BI160">
        <f t="shared" si="50"/>
        <v>0</v>
      </c>
      <c r="BJ160">
        <f t="shared" si="50"/>
        <v>0</v>
      </c>
      <c r="BK160">
        <f t="shared" si="50"/>
        <v>0</v>
      </c>
      <c r="BL160">
        <f t="shared" si="50"/>
        <v>0</v>
      </c>
      <c r="BM160">
        <f t="shared" si="50"/>
        <v>0</v>
      </c>
      <c r="BN160">
        <f t="shared" si="50"/>
        <v>0</v>
      </c>
      <c r="BO160">
        <f t="shared" si="50"/>
        <v>0</v>
      </c>
      <c r="BP160">
        <f t="shared" si="50"/>
        <v>0</v>
      </c>
      <c r="BQ160">
        <f t="shared" si="50"/>
        <v>0</v>
      </c>
      <c r="BR160">
        <f t="shared" si="50"/>
        <v>0</v>
      </c>
      <c r="BS160">
        <f t="shared" si="50"/>
        <v>0</v>
      </c>
    </row>
    <row r="161" spans="2:71" ht="15" customHeight="1" x14ac:dyDescent="0.2">
      <c r="B161">
        <v>8</v>
      </c>
      <c r="C161">
        <v>3</v>
      </c>
      <c r="D161">
        <v>4</v>
      </c>
      <c r="E161" t="s">
        <v>225</v>
      </c>
      <c r="F161" t="s">
        <v>214</v>
      </c>
      <c r="G161" s="5">
        <v>42573</v>
      </c>
      <c r="H161" t="s">
        <v>73</v>
      </c>
      <c r="I161" t="s">
        <v>215</v>
      </c>
      <c r="J161" t="s">
        <v>216</v>
      </c>
      <c r="K161">
        <v>9</v>
      </c>
      <c r="L161" t="s">
        <v>90</v>
      </c>
      <c r="M161" t="s">
        <v>217</v>
      </c>
      <c r="N161" t="s">
        <v>78</v>
      </c>
      <c r="O161">
        <v>70.599999999999994</v>
      </c>
      <c r="P161">
        <v>130</v>
      </c>
      <c r="Q161">
        <v>6111</v>
      </c>
      <c r="R161" t="s">
        <v>137</v>
      </c>
      <c r="S161" t="s">
        <v>80</v>
      </c>
      <c r="T161" t="s">
        <v>83</v>
      </c>
      <c r="U161" t="s">
        <v>40</v>
      </c>
      <c r="V161" t="s">
        <v>47</v>
      </c>
      <c r="W161" t="s">
        <v>109</v>
      </c>
      <c r="Y161" t="s">
        <v>61</v>
      </c>
      <c r="AA161">
        <v>1</v>
      </c>
      <c r="AB161" t="s">
        <v>33</v>
      </c>
      <c r="AC161" t="s">
        <v>221</v>
      </c>
      <c r="AE161" t="str">
        <f t="shared" si="41"/>
        <v>HickersonMcInerney</v>
      </c>
      <c r="AF161">
        <v>0</v>
      </c>
      <c r="AG161">
        <v>0</v>
      </c>
      <c r="AH161">
        <v>1</v>
      </c>
      <c r="AI161">
        <v>0</v>
      </c>
      <c r="AJ161">
        <v>0</v>
      </c>
      <c r="AK161" t="s">
        <v>44</v>
      </c>
      <c r="AL161">
        <v>0.4296875</v>
      </c>
      <c r="AM161" t="s">
        <v>53</v>
      </c>
      <c r="AN161">
        <v>0.59649122807017496</v>
      </c>
      <c r="AO161">
        <f t="shared" si="48"/>
        <v>0</v>
      </c>
      <c r="AP161">
        <f t="shared" si="48"/>
        <v>0</v>
      </c>
      <c r="AQ161">
        <f t="shared" si="48"/>
        <v>0</v>
      </c>
      <c r="AR161">
        <f t="shared" si="48"/>
        <v>0</v>
      </c>
      <c r="AS161">
        <f t="shared" si="48"/>
        <v>0</v>
      </c>
      <c r="AT161">
        <f t="shared" si="48"/>
        <v>0</v>
      </c>
      <c r="AU161">
        <f t="shared" si="48"/>
        <v>0</v>
      </c>
      <c r="AV161" t="str">
        <f t="shared" si="48"/>
        <v>Hickerson</v>
      </c>
      <c r="AW161">
        <f t="shared" si="48"/>
        <v>0</v>
      </c>
      <c r="AX161">
        <f t="shared" si="48"/>
        <v>0</v>
      </c>
      <c r="AY161">
        <f t="shared" si="49"/>
        <v>0</v>
      </c>
      <c r="AZ161">
        <f t="shared" si="49"/>
        <v>0</v>
      </c>
      <c r="BA161">
        <f t="shared" si="49"/>
        <v>0</v>
      </c>
      <c r="BB161">
        <f t="shared" si="49"/>
        <v>0</v>
      </c>
      <c r="BC161">
        <f t="shared" si="49"/>
        <v>0</v>
      </c>
      <c r="BD161">
        <f t="shared" si="49"/>
        <v>0</v>
      </c>
      <c r="BE161">
        <f t="shared" si="49"/>
        <v>0</v>
      </c>
      <c r="BF161">
        <f t="shared" si="49"/>
        <v>0</v>
      </c>
      <c r="BG161">
        <f t="shared" si="49"/>
        <v>0</v>
      </c>
      <c r="BH161">
        <f t="shared" si="49"/>
        <v>0</v>
      </c>
      <c r="BI161">
        <f t="shared" si="50"/>
        <v>0</v>
      </c>
      <c r="BJ161" t="str">
        <f t="shared" si="50"/>
        <v>McInerney</v>
      </c>
      <c r="BK161">
        <f t="shared" si="50"/>
        <v>0</v>
      </c>
      <c r="BL161">
        <f t="shared" si="50"/>
        <v>0</v>
      </c>
      <c r="BM161">
        <f t="shared" si="50"/>
        <v>0</v>
      </c>
      <c r="BN161">
        <f t="shared" si="50"/>
        <v>0</v>
      </c>
      <c r="BO161">
        <f t="shared" si="50"/>
        <v>0</v>
      </c>
      <c r="BP161">
        <f t="shared" si="50"/>
        <v>0</v>
      </c>
      <c r="BQ161">
        <f t="shared" si="50"/>
        <v>0</v>
      </c>
      <c r="BR161">
        <f t="shared" si="50"/>
        <v>0</v>
      </c>
      <c r="BS161">
        <f t="shared" si="50"/>
        <v>0</v>
      </c>
    </row>
    <row r="162" spans="2:71" ht="15" customHeight="1" x14ac:dyDescent="0.2">
      <c r="B162">
        <v>9</v>
      </c>
      <c r="C162">
        <v>4</v>
      </c>
      <c r="D162">
        <v>4</v>
      </c>
      <c r="E162" t="s">
        <v>226</v>
      </c>
      <c r="F162" t="s">
        <v>214</v>
      </c>
      <c r="G162" s="5">
        <v>42573</v>
      </c>
      <c r="H162" t="s">
        <v>73</v>
      </c>
      <c r="I162" t="s">
        <v>215</v>
      </c>
      <c r="J162" t="s">
        <v>216</v>
      </c>
      <c r="K162">
        <v>9</v>
      </c>
      <c r="L162" t="s">
        <v>90</v>
      </c>
      <c r="M162" t="s">
        <v>217</v>
      </c>
      <c r="N162" t="s">
        <v>78</v>
      </c>
      <c r="O162">
        <v>70.599999999999994</v>
      </c>
      <c r="P162">
        <v>130</v>
      </c>
      <c r="Q162">
        <v>6111</v>
      </c>
      <c r="R162" t="s">
        <v>137</v>
      </c>
      <c r="S162" t="s">
        <v>80</v>
      </c>
      <c r="T162" t="s">
        <v>83</v>
      </c>
      <c r="U162" t="s">
        <v>40</v>
      </c>
      <c r="V162" t="s">
        <v>45</v>
      </c>
      <c r="W162" t="s">
        <v>109</v>
      </c>
      <c r="Y162" t="s">
        <v>60</v>
      </c>
      <c r="AA162">
        <v>1</v>
      </c>
      <c r="AB162" t="s">
        <v>32</v>
      </c>
      <c r="AC162" t="s">
        <v>209</v>
      </c>
      <c r="AE162" t="str">
        <f t="shared" si="41"/>
        <v>ConnollyZimmer</v>
      </c>
      <c r="AF162">
        <v>1</v>
      </c>
      <c r="AG162">
        <v>1</v>
      </c>
      <c r="AH162">
        <v>0</v>
      </c>
      <c r="AI162">
        <v>0</v>
      </c>
      <c r="AJ162">
        <v>1</v>
      </c>
      <c r="AK162" t="s">
        <v>55</v>
      </c>
      <c r="AL162">
        <v>0.44067796610169502</v>
      </c>
      <c r="AM162" t="s">
        <v>52</v>
      </c>
      <c r="AN162">
        <v>0.34745762711864397</v>
      </c>
      <c r="AO162">
        <f t="shared" ref="AO162:AX171" si="51">IF(OR($V162=AO$1,$Y162=AO$1),AO$1,0)</f>
        <v>0</v>
      </c>
      <c r="AP162">
        <f t="shared" si="51"/>
        <v>0</v>
      </c>
      <c r="AQ162">
        <f t="shared" si="51"/>
        <v>0</v>
      </c>
      <c r="AR162">
        <f t="shared" si="51"/>
        <v>0</v>
      </c>
      <c r="AS162">
        <f t="shared" si="51"/>
        <v>0</v>
      </c>
      <c r="AT162" t="str">
        <f t="shared" si="51"/>
        <v>Connolly</v>
      </c>
      <c r="AU162">
        <f t="shared" si="51"/>
        <v>0</v>
      </c>
      <c r="AV162">
        <f t="shared" si="51"/>
        <v>0</v>
      </c>
      <c r="AW162">
        <f t="shared" si="51"/>
        <v>0</v>
      </c>
      <c r="AX162">
        <f t="shared" si="51"/>
        <v>0</v>
      </c>
      <c r="AY162">
        <f t="shared" ref="AY162:BH171" si="52">IF(OR($V162=AY$1,$Y162=AY$1),AY$1,0)</f>
        <v>0</v>
      </c>
      <c r="AZ162">
        <f t="shared" si="52"/>
        <v>0</v>
      </c>
      <c r="BA162">
        <f t="shared" si="52"/>
        <v>0</v>
      </c>
      <c r="BB162">
        <f t="shared" si="52"/>
        <v>0</v>
      </c>
      <c r="BC162">
        <f t="shared" si="52"/>
        <v>0</v>
      </c>
      <c r="BD162">
        <f t="shared" si="52"/>
        <v>0</v>
      </c>
      <c r="BE162">
        <f t="shared" si="52"/>
        <v>0</v>
      </c>
      <c r="BF162">
        <f t="shared" si="52"/>
        <v>0</v>
      </c>
      <c r="BG162">
        <f t="shared" si="52"/>
        <v>0</v>
      </c>
      <c r="BH162">
        <f t="shared" si="52"/>
        <v>0</v>
      </c>
      <c r="BI162" t="str">
        <f t="shared" ref="BI162:BS171" si="53">IF(OR($V162=BI$1,$Y162=BI$1),BI$1,0)</f>
        <v>Zimmer</v>
      </c>
      <c r="BJ162">
        <f t="shared" si="53"/>
        <v>0</v>
      </c>
      <c r="BK162">
        <f t="shared" si="53"/>
        <v>0</v>
      </c>
      <c r="BL162">
        <f t="shared" si="53"/>
        <v>0</v>
      </c>
      <c r="BM162">
        <f t="shared" si="53"/>
        <v>0</v>
      </c>
      <c r="BN162">
        <f t="shared" si="53"/>
        <v>0</v>
      </c>
      <c r="BO162">
        <f t="shared" si="53"/>
        <v>0</v>
      </c>
      <c r="BP162">
        <f t="shared" si="53"/>
        <v>0</v>
      </c>
      <c r="BQ162">
        <f t="shared" si="53"/>
        <v>0</v>
      </c>
      <c r="BR162">
        <f t="shared" si="53"/>
        <v>0</v>
      </c>
      <c r="BS162">
        <f t="shared" si="53"/>
        <v>0</v>
      </c>
    </row>
    <row r="163" spans="2:71" ht="15" customHeight="1" x14ac:dyDescent="0.2">
      <c r="B163">
        <v>9</v>
      </c>
      <c r="C163">
        <v>4</v>
      </c>
      <c r="D163">
        <v>4</v>
      </c>
      <c r="E163" t="s">
        <v>226</v>
      </c>
      <c r="F163" t="s">
        <v>214</v>
      </c>
      <c r="G163" s="5">
        <v>42573</v>
      </c>
      <c r="H163" t="s">
        <v>73</v>
      </c>
      <c r="I163" t="s">
        <v>215</v>
      </c>
      <c r="J163" t="s">
        <v>216</v>
      </c>
      <c r="K163">
        <v>9</v>
      </c>
      <c r="L163" t="s">
        <v>90</v>
      </c>
      <c r="M163" t="s">
        <v>217</v>
      </c>
      <c r="N163" t="s">
        <v>78</v>
      </c>
      <c r="O163">
        <v>70.599999999999994</v>
      </c>
      <c r="P163">
        <v>130</v>
      </c>
      <c r="Q163">
        <v>6111</v>
      </c>
      <c r="R163" t="s">
        <v>137</v>
      </c>
      <c r="S163" t="s">
        <v>80</v>
      </c>
      <c r="T163" t="s">
        <v>81</v>
      </c>
      <c r="U163" t="s">
        <v>46</v>
      </c>
      <c r="V163" t="s">
        <v>55</v>
      </c>
      <c r="W163" t="s">
        <v>123</v>
      </c>
      <c r="Y163" t="s">
        <v>52</v>
      </c>
      <c r="AA163">
        <v>1</v>
      </c>
      <c r="AB163" t="s">
        <v>33</v>
      </c>
      <c r="AC163" t="s">
        <v>209</v>
      </c>
      <c r="AE163" t="str">
        <f t="shared" si="41"/>
        <v>ColeConnors</v>
      </c>
      <c r="AF163">
        <v>0</v>
      </c>
      <c r="AG163">
        <v>0</v>
      </c>
      <c r="AH163">
        <v>1</v>
      </c>
      <c r="AI163">
        <v>0</v>
      </c>
      <c r="AJ163">
        <v>0</v>
      </c>
      <c r="AK163" t="s">
        <v>45</v>
      </c>
      <c r="AL163">
        <v>0.59375</v>
      </c>
      <c r="AM163" t="s">
        <v>60</v>
      </c>
      <c r="AN163">
        <v>0.5</v>
      </c>
      <c r="AO163">
        <f t="shared" si="51"/>
        <v>0</v>
      </c>
      <c r="AP163">
        <f t="shared" si="51"/>
        <v>0</v>
      </c>
      <c r="AQ163">
        <f t="shared" si="51"/>
        <v>0</v>
      </c>
      <c r="AR163">
        <f t="shared" si="51"/>
        <v>0</v>
      </c>
      <c r="AS163">
        <f t="shared" si="51"/>
        <v>0</v>
      </c>
      <c r="AT163">
        <f t="shared" si="51"/>
        <v>0</v>
      </c>
      <c r="AU163">
        <f t="shared" si="51"/>
        <v>0</v>
      </c>
      <c r="AV163">
        <f t="shared" si="51"/>
        <v>0</v>
      </c>
      <c r="AW163">
        <f t="shared" si="51"/>
        <v>0</v>
      </c>
      <c r="AX163">
        <f t="shared" si="51"/>
        <v>0</v>
      </c>
      <c r="AY163">
        <f t="shared" si="52"/>
        <v>0</v>
      </c>
      <c r="AZ163">
        <f t="shared" si="52"/>
        <v>0</v>
      </c>
      <c r="BA163" t="str">
        <f t="shared" si="52"/>
        <v>Connors</v>
      </c>
      <c r="BB163">
        <f t="shared" si="52"/>
        <v>0</v>
      </c>
      <c r="BC163">
        <f t="shared" si="52"/>
        <v>0</v>
      </c>
      <c r="BD163" t="str">
        <f t="shared" si="52"/>
        <v>Cole</v>
      </c>
      <c r="BE163">
        <f t="shared" si="52"/>
        <v>0</v>
      </c>
      <c r="BF163">
        <f t="shared" si="52"/>
        <v>0</v>
      </c>
      <c r="BG163">
        <f t="shared" si="52"/>
        <v>0</v>
      </c>
      <c r="BH163">
        <f t="shared" si="52"/>
        <v>0</v>
      </c>
      <c r="BI163">
        <f t="shared" si="53"/>
        <v>0</v>
      </c>
      <c r="BJ163">
        <f t="shared" si="53"/>
        <v>0</v>
      </c>
      <c r="BK163">
        <f t="shared" si="53"/>
        <v>0</v>
      </c>
      <c r="BL163">
        <f t="shared" si="53"/>
        <v>0</v>
      </c>
      <c r="BM163">
        <f t="shared" si="53"/>
        <v>0</v>
      </c>
      <c r="BN163">
        <f t="shared" si="53"/>
        <v>0</v>
      </c>
      <c r="BO163">
        <f t="shared" si="53"/>
        <v>0</v>
      </c>
      <c r="BP163">
        <f t="shared" si="53"/>
        <v>0</v>
      </c>
      <c r="BQ163">
        <f t="shared" si="53"/>
        <v>0</v>
      </c>
      <c r="BR163">
        <f t="shared" si="53"/>
        <v>0</v>
      </c>
      <c r="BS163">
        <f t="shared" si="53"/>
        <v>0</v>
      </c>
    </row>
    <row r="164" spans="2:71" ht="15" customHeight="1" x14ac:dyDescent="0.2">
      <c r="B164">
        <v>10</v>
      </c>
      <c r="C164">
        <v>5</v>
      </c>
      <c r="D164">
        <v>4</v>
      </c>
      <c r="E164" t="s">
        <v>227</v>
      </c>
      <c r="F164" t="s">
        <v>214</v>
      </c>
      <c r="G164" s="5">
        <v>42573</v>
      </c>
      <c r="H164" t="s">
        <v>73</v>
      </c>
      <c r="I164" t="s">
        <v>215</v>
      </c>
      <c r="J164" t="s">
        <v>216</v>
      </c>
      <c r="K164">
        <v>9</v>
      </c>
      <c r="L164" t="s">
        <v>90</v>
      </c>
      <c r="M164" t="s">
        <v>217</v>
      </c>
      <c r="N164" t="s">
        <v>78</v>
      </c>
      <c r="O164">
        <v>70.599999999999994</v>
      </c>
      <c r="P164">
        <v>130</v>
      </c>
      <c r="Q164">
        <v>6111</v>
      </c>
      <c r="R164" t="s">
        <v>137</v>
      </c>
      <c r="S164" t="s">
        <v>80</v>
      </c>
      <c r="T164" t="s">
        <v>81</v>
      </c>
      <c r="U164" t="s">
        <v>46</v>
      </c>
      <c r="V164" t="s">
        <v>58</v>
      </c>
      <c r="W164" t="s">
        <v>123</v>
      </c>
      <c r="Y164" t="s">
        <v>59</v>
      </c>
      <c r="AA164">
        <v>1</v>
      </c>
      <c r="AB164" t="s">
        <v>32</v>
      </c>
      <c r="AC164" t="s">
        <v>202</v>
      </c>
      <c r="AE164" t="str">
        <f t="shared" si="41"/>
        <v>GrayNorat</v>
      </c>
      <c r="AF164">
        <v>1</v>
      </c>
      <c r="AG164">
        <v>1</v>
      </c>
      <c r="AH164">
        <v>0</v>
      </c>
      <c r="AI164">
        <v>0</v>
      </c>
      <c r="AJ164">
        <v>1</v>
      </c>
      <c r="AK164" t="s">
        <v>54</v>
      </c>
      <c r="AL164">
        <v>0.37288135593220301</v>
      </c>
      <c r="AM164" t="s">
        <v>48</v>
      </c>
      <c r="AN164">
        <v>0.5546875</v>
      </c>
      <c r="AO164">
        <f t="shared" si="51"/>
        <v>0</v>
      </c>
      <c r="AP164">
        <f t="shared" si="51"/>
        <v>0</v>
      </c>
      <c r="AQ164">
        <f t="shared" si="51"/>
        <v>0</v>
      </c>
      <c r="AR164">
        <f t="shared" si="51"/>
        <v>0</v>
      </c>
      <c r="AS164">
        <f t="shared" si="51"/>
        <v>0</v>
      </c>
      <c r="AT164">
        <f t="shared" si="51"/>
        <v>0</v>
      </c>
      <c r="AU164">
        <f t="shared" si="51"/>
        <v>0</v>
      </c>
      <c r="AV164">
        <f t="shared" si="51"/>
        <v>0</v>
      </c>
      <c r="AW164">
        <f t="shared" si="51"/>
        <v>0</v>
      </c>
      <c r="AX164">
        <f t="shared" si="51"/>
        <v>0</v>
      </c>
      <c r="AY164">
        <f t="shared" si="52"/>
        <v>0</v>
      </c>
      <c r="AZ164">
        <f t="shared" si="52"/>
        <v>0</v>
      </c>
      <c r="BA164">
        <f t="shared" si="52"/>
        <v>0</v>
      </c>
      <c r="BB164">
        <f t="shared" si="52"/>
        <v>0</v>
      </c>
      <c r="BC164">
        <f t="shared" si="52"/>
        <v>0</v>
      </c>
      <c r="BD164">
        <f t="shared" si="52"/>
        <v>0</v>
      </c>
      <c r="BE164">
        <f t="shared" si="52"/>
        <v>0</v>
      </c>
      <c r="BF164">
        <f t="shared" si="52"/>
        <v>0</v>
      </c>
      <c r="BG164" t="str">
        <f t="shared" si="52"/>
        <v>Gray</v>
      </c>
      <c r="BH164" t="str">
        <f t="shared" si="52"/>
        <v>Norat</v>
      </c>
      <c r="BI164">
        <f t="shared" si="53"/>
        <v>0</v>
      </c>
      <c r="BJ164">
        <f t="shared" si="53"/>
        <v>0</v>
      </c>
      <c r="BK164">
        <f t="shared" si="53"/>
        <v>0</v>
      </c>
      <c r="BL164">
        <f t="shared" si="53"/>
        <v>0</v>
      </c>
      <c r="BM164">
        <f t="shared" si="53"/>
        <v>0</v>
      </c>
      <c r="BN164">
        <f t="shared" si="53"/>
        <v>0</v>
      </c>
      <c r="BO164">
        <f t="shared" si="53"/>
        <v>0</v>
      </c>
      <c r="BP164">
        <f t="shared" si="53"/>
        <v>0</v>
      </c>
      <c r="BQ164">
        <f t="shared" si="53"/>
        <v>0</v>
      </c>
      <c r="BR164">
        <f t="shared" si="53"/>
        <v>0</v>
      </c>
      <c r="BS164">
        <f t="shared" si="53"/>
        <v>0</v>
      </c>
    </row>
    <row r="165" spans="2:71" ht="15" customHeight="1" x14ac:dyDescent="0.2">
      <c r="B165">
        <v>10</v>
      </c>
      <c r="C165">
        <v>5</v>
      </c>
      <c r="D165">
        <v>4</v>
      </c>
      <c r="E165" t="s">
        <v>227</v>
      </c>
      <c r="F165" t="s">
        <v>214</v>
      </c>
      <c r="G165" s="5">
        <v>42573</v>
      </c>
      <c r="H165" t="s">
        <v>73</v>
      </c>
      <c r="I165" t="s">
        <v>215</v>
      </c>
      <c r="J165" t="s">
        <v>216</v>
      </c>
      <c r="K165">
        <v>9</v>
      </c>
      <c r="L165" t="s">
        <v>90</v>
      </c>
      <c r="M165" t="s">
        <v>217</v>
      </c>
      <c r="N165" t="s">
        <v>78</v>
      </c>
      <c r="O165">
        <v>70.599999999999994</v>
      </c>
      <c r="P165">
        <v>130</v>
      </c>
      <c r="Q165">
        <v>6111</v>
      </c>
      <c r="R165" t="s">
        <v>137</v>
      </c>
      <c r="S165" t="s">
        <v>80</v>
      </c>
      <c r="T165" t="s">
        <v>83</v>
      </c>
      <c r="U165" t="s">
        <v>40</v>
      </c>
      <c r="V165" t="s">
        <v>54</v>
      </c>
      <c r="W165" t="s">
        <v>109</v>
      </c>
      <c r="Y165" t="s">
        <v>48</v>
      </c>
      <c r="AA165">
        <v>1</v>
      </c>
      <c r="AB165" t="s">
        <v>33</v>
      </c>
      <c r="AC165" t="s">
        <v>202</v>
      </c>
      <c r="AE165" t="str">
        <f t="shared" si="41"/>
        <v>FoganLynch</v>
      </c>
      <c r="AF165">
        <v>0</v>
      </c>
      <c r="AG165">
        <v>0</v>
      </c>
      <c r="AH165">
        <v>1</v>
      </c>
      <c r="AI165">
        <v>0</v>
      </c>
      <c r="AJ165">
        <v>0</v>
      </c>
      <c r="AK165" t="s">
        <v>58</v>
      </c>
      <c r="AL165">
        <v>0.65476190476190499</v>
      </c>
      <c r="AM165" t="s">
        <v>59</v>
      </c>
      <c r="AN165">
        <v>0.52777777777777801</v>
      </c>
      <c r="AO165">
        <f t="shared" si="51"/>
        <v>0</v>
      </c>
      <c r="AP165">
        <f t="shared" si="51"/>
        <v>0</v>
      </c>
      <c r="AQ165">
        <f t="shared" si="51"/>
        <v>0</v>
      </c>
      <c r="AR165">
        <f t="shared" si="51"/>
        <v>0</v>
      </c>
      <c r="AS165">
        <f t="shared" si="51"/>
        <v>0</v>
      </c>
      <c r="AT165">
        <f t="shared" si="51"/>
        <v>0</v>
      </c>
      <c r="AU165">
        <f t="shared" si="51"/>
        <v>0</v>
      </c>
      <c r="AV165">
        <f t="shared" si="51"/>
        <v>0</v>
      </c>
      <c r="AW165" t="str">
        <f t="shared" si="51"/>
        <v>Lynch</v>
      </c>
      <c r="AX165">
        <f t="shared" si="51"/>
        <v>0</v>
      </c>
      <c r="AY165">
        <f t="shared" si="52"/>
        <v>0</v>
      </c>
      <c r="AZ165">
        <f t="shared" si="52"/>
        <v>0</v>
      </c>
      <c r="BA165">
        <f t="shared" si="52"/>
        <v>0</v>
      </c>
      <c r="BB165">
        <f t="shared" si="52"/>
        <v>0</v>
      </c>
      <c r="BC165" t="str">
        <f t="shared" si="52"/>
        <v>Fogan</v>
      </c>
      <c r="BD165">
        <f t="shared" si="52"/>
        <v>0</v>
      </c>
      <c r="BE165">
        <f t="shared" si="52"/>
        <v>0</v>
      </c>
      <c r="BF165">
        <f t="shared" si="52"/>
        <v>0</v>
      </c>
      <c r="BG165">
        <f t="shared" si="52"/>
        <v>0</v>
      </c>
      <c r="BH165">
        <f t="shared" si="52"/>
        <v>0</v>
      </c>
      <c r="BI165">
        <f t="shared" si="53"/>
        <v>0</v>
      </c>
      <c r="BJ165">
        <f t="shared" si="53"/>
        <v>0</v>
      </c>
      <c r="BK165">
        <f t="shared" si="53"/>
        <v>0</v>
      </c>
      <c r="BL165">
        <f t="shared" si="53"/>
        <v>0</v>
      </c>
      <c r="BM165">
        <f t="shared" si="53"/>
        <v>0</v>
      </c>
      <c r="BN165">
        <f t="shared" si="53"/>
        <v>0</v>
      </c>
      <c r="BO165">
        <f t="shared" si="53"/>
        <v>0</v>
      </c>
      <c r="BP165">
        <f t="shared" si="53"/>
        <v>0</v>
      </c>
      <c r="BQ165">
        <f t="shared" si="53"/>
        <v>0</v>
      </c>
      <c r="BR165">
        <f t="shared" si="53"/>
        <v>0</v>
      </c>
      <c r="BS165">
        <f t="shared" si="53"/>
        <v>0</v>
      </c>
    </row>
    <row r="166" spans="2:71" ht="15" customHeight="1" x14ac:dyDescent="0.2">
      <c r="B166">
        <v>11</v>
      </c>
      <c r="C166">
        <v>1</v>
      </c>
      <c r="D166">
        <v>4</v>
      </c>
      <c r="E166" t="s">
        <v>228</v>
      </c>
      <c r="F166" t="s">
        <v>214</v>
      </c>
      <c r="G166" s="5">
        <v>42573</v>
      </c>
      <c r="H166" t="s">
        <v>97</v>
      </c>
      <c r="I166" t="s">
        <v>215</v>
      </c>
      <c r="J166" t="s">
        <v>216</v>
      </c>
      <c r="K166">
        <v>9</v>
      </c>
      <c r="L166" t="s">
        <v>76</v>
      </c>
      <c r="M166" t="s">
        <v>217</v>
      </c>
      <c r="N166" t="s">
        <v>78</v>
      </c>
      <c r="O166">
        <v>70.599999999999994</v>
      </c>
      <c r="P166">
        <v>130</v>
      </c>
      <c r="Q166">
        <v>6111</v>
      </c>
      <c r="R166" t="s">
        <v>98</v>
      </c>
      <c r="S166" t="s">
        <v>80</v>
      </c>
      <c r="T166" t="s">
        <v>81</v>
      </c>
      <c r="U166" t="s">
        <v>46</v>
      </c>
      <c r="V166" t="s">
        <v>52</v>
      </c>
      <c r="W166" t="s">
        <v>123</v>
      </c>
      <c r="Y166" t="s">
        <v>46</v>
      </c>
      <c r="AA166">
        <v>1</v>
      </c>
      <c r="AB166" t="s">
        <v>32</v>
      </c>
      <c r="AC166" t="s">
        <v>174</v>
      </c>
      <c r="AE166" t="str">
        <f t="shared" si="41"/>
        <v>ConnorsMangold</v>
      </c>
      <c r="AF166">
        <v>1</v>
      </c>
      <c r="AG166">
        <v>1</v>
      </c>
      <c r="AH166">
        <v>0</v>
      </c>
      <c r="AI166">
        <v>0</v>
      </c>
      <c r="AJ166">
        <v>1</v>
      </c>
      <c r="AK166" t="s">
        <v>40</v>
      </c>
      <c r="AL166">
        <v>0.546875</v>
      </c>
      <c r="AM166" t="s">
        <v>49</v>
      </c>
      <c r="AO166">
        <f t="shared" si="51"/>
        <v>0</v>
      </c>
      <c r="AP166">
        <f t="shared" si="51"/>
        <v>0</v>
      </c>
      <c r="AQ166">
        <f t="shared" si="51"/>
        <v>0</v>
      </c>
      <c r="AR166">
        <f t="shared" si="51"/>
        <v>0</v>
      </c>
      <c r="AS166">
        <f t="shared" si="51"/>
        <v>0</v>
      </c>
      <c r="AT166">
        <f t="shared" si="51"/>
        <v>0</v>
      </c>
      <c r="AU166" t="str">
        <f t="shared" si="51"/>
        <v>Mangold</v>
      </c>
      <c r="AV166">
        <f t="shared" si="51"/>
        <v>0</v>
      </c>
      <c r="AW166">
        <f t="shared" si="51"/>
        <v>0</v>
      </c>
      <c r="AX166">
        <f t="shared" si="51"/>
        <v>0</v>
      </c>
      <c r="AY166">
        <f t="shared" si="52"/>
        <v>0</v>
      </c>
      <c r="AZ166">
        <f t="shared" si="52"/>
        <v>0</v>
      </c>
      <c r="BA166" t="str">
        <f t="shared" si="52"/>
        <v>Connors</v>
      </c>
      <c r="BB166">
        <f t="shared" si="52"/>
        <v>0</v>
      </c>
      <c r="BC166">
        <f t="shared" si="52"/>
        <v>0</v>
      </c>
      <c r="BD166">
        <f t="shared" si="52"/>
        <v>0</v>
      </c>
      <c r="BE166">
        <f t="shared" si="52"/>
        <v>0</v>
      </c>
      <c r="BF166">
        <f t="shared" si="52"/>
        <v>0</v>
      </c>
      <c r="BG166">
        <f t="shared" si="52"/>
        <v>0</v>
      </c>
      <c r="BH166">
        <f t="shared" si="52"/>
        <v>0</v>
      </c>
      <c r="BI166">
        <f t="shared" si="53"/>
        <v>0</v>
      </c>
      <c r="BJ166">
        <f t="shared" si="53"/>
        <v>0</v>
      </c>
      <c r="BK166">
        <f t="shared" si="53"/>
        <v>0</v>
      </c>
      <c r="BL166">
        <f t="shared" si="53"/>
        <v>0</v>
      </c>
      <c r="BM166">
        <f t="shared" si="53"/>
        <v>0</v>
      </c>
      <c r="BN166">
        <f t="shared" si="53"/>
        <v>0</v>
      </c>
      <c r="BO166">
        <f t="shared" si="53"/>
        <v>0</v>
      </c>
      <c r="BP166">
        <f t="shared" si="53"/>
        <v>0</v>
      </c>
      <c r="BQ166">
        <f t="shared" si="53"/>
        <v>0</v>
      </c>
      <c r="BR166">
        <f t="shared" si="53"/>
        <v>0</v>
      </c>
      <c r="BS166">
        <f t="shared" si="53"/>
        <v>0</v>
      </c>
    </row>
    <row r="167" spans="2:71" ht="15" customHeight="1" x14ac:dyDescent="0.2">
      <c r="B167">
        <v>11</v>
      </c>
      <c r="C167">
        <v>1</v>
      </c>
      <c r="D167">
        <v>4</v>
      </c>
      <c r="E167" t="s">
        <v>228</v>
      </c>
      <c r="F167" t="s">
        <v>214</v>
      </c>
      <c r="G167" s="5">
        <v>42573</v>
      </c>
      <c r="H167" t="s">
        <v>97</v>
      </c>
      <c r="I167" t="s">
        <v>215</v>
      </c>
      <c r="J167" t="s">
        <v>216</v>
      </c>
      <c r="K167">
        <v>9</v>
      </c>
      <c r="L167" t="s">
        <v>76</v>
      </c>
      <c r="M167" t="s">
        <v>217</v>
      </c>
      <c r="N167" t="s">
        <v>78</v>
      </c>
      <c r="O167">
        <v>70.599999999999994</v>
      </c>
      <c r="P167">
        <v>130</v>
      </c>
      <c r="Q167">
        <v>6111</v>
      </c>
      <c r="R167" t="s">
        <v>98</v>
      </c>
      <c r="S167" t="s">
        <v>80</v>
      </c>
      <c r="T167" t="s">
        <v>83</v>
      </c>
      <c r="U167" t="s">
        <v>40</v>
      </c>
      <c r="V167" t="s">
        <v>40</v>
      </c>
      <c r="W167" t="s">
        <v>109</v>
      </c>
      <c r="Y167" t="s">
        <v>49</v>
      </c>
      <c r="AA167">
        <v>1</v>
      </c>
      <c r="AB167" t="s">
        <v>33</v>
      </c>
      <c r="AC167" t="s">
        <v>174</v>
      </c>
      <c r="AE167" t="str">
        <f t="shared" si="41"/>
        <v>GriseShively</v>
      </c>
      <c r="AF167">
        <v>0</v>
      </c>
      <c r="AG167">
        <v>0</v>
      </c>
      <c r="AH167">
        <v>1</v>
      </c>
      <c r="AI167">
        <v>0</v>
      </c>
      <c r="AJ167">
        <v>0</v>
      </c>
      <c r="AK167" t="s">
        <v>52</v>
      </c>
      <c r="AL167">
        <v>0.34745762711864397</v>
      </c>
      <c r="AM167" t="s">
        <v>46</v>
      </c>
      <c r="AN167">
        <v>0.38392857142857201</v>
      </c>
      <c r="AO167" t="str">
        <f t="shared" si="51"/>
        <v>Grise</v>
      </c>
      <c r="AP167">
        <f t="shared" si="51"/>
        <v>0</v>
      </c>
      <c r="AQ167">
        <f t="shared" si="51"/>
        <v>0</v>
      </c>
      <c r="AR167">
        <f t="shared" si="51"/>
        <v>0</v>
      </c>
      <c r="AS167">
        <f t="shared" si="51"/>
        <v>0</v>
      </c>
      <c r="AT167">
        <f t="shared" si="51"/>
        <v>0</v>
      </c>
      <c r="AU167">
        <f t="shared" si="51"/>
        <v>0</v>
      </c>
      <c r="AV167">
        <f t="shared" si="51"/>
        <v>0</v>
      </c>
      <c r="AW167">
        <f t="shared" si="51"/>
        <v>0</v>
      </c>
      <c r="AX167" t="str">
        <f t="shared" si="51"/>
        <v>Shively</v>
      </c>
      <c r="AY167">
        <f t="shared" si="52"/>
        <v>0</v>
      </c>
      <c r="AZ167">
        <f t="shared" si="52"/>
        <v>0</v>
      </c>
      <c r="BA167">
        <f t="shared" si="52"/>
        <v>0</v>
      </c>
      <c r="BB167">
        <f t="shared" si="52"/>
        <v>0</v>
      </c>
      <c r="BC167">
        <f t="shared" si="52"/>
        <v>0</v>
      </c>
      <c r="BD167">
        <f t="shared" si="52"/>
        <v>0</v>
      </c>
      <c r="BE167">
        <f t="shared" si="52"/>
        <v>0</v>
      </c>
      <c r="BF167">
        <f t="shared" si="52"/>
        <v>0</v>
      </c>
      <c r="BG167">
        <f t="shared" si="52"/>
        <v>0</v>
      </c>
      <c r="BH167">
        <f t="shared" si="52"/>
        <v>0</v>
      </c>
      <c r="BI167">
        <f t="shared" si="53"/>
        <v>0</v>
      </c>
      <c r="BJ167">
        <f t="shared" si="53"/>
        <v>0</v>
      </c>
      <c r="BK167">
        <f t="shared" si="53"/>
        <v>0</v>
      </c>
      <c r="BL167">
        <f t="shared" si="53"/>
        <v>0</v>
      </c>
      <c r="BM167">
        <f t="shared" si="53"/>
        <v>0</v>
      </c>
      <c r="BN167">
        <f t="shared" si="53"/>
        <v>0</v>
      </c>
      <c r="BO167">
        <f t="shared" si="53"/>
        <v>0</v>
      </c>
      <c r="BP167">
        <f t="shared" si="53"/>
        <v>0</v>
      </c>
      <c r="BQ167">
        <f t="shared" si="53"/>
        <v>0</v>
      </c>
      <c r="BR167">
        <f t="shared" si="53"/>
        <v>0</v>
      </c>
      <c r="BS167">
        <f t="shared" si="53"/>
        <v>0</v>
      </c>
    </row>
    <row r="168" spans="2:71" ht="15" customHeight="1" x14ac:dyDescent="0.2">
      <c r="B168">
        <v>12</v>
      </c>
      <c r="C168">
        <v>2</v>
      </c>
      <c r="D168">
        <v>4</v>
      </c>
      <c r="E168" t="s">
        <v>229</v>
      </c>
      <c r="F168" t="s">
        <v>214</v>
      </c>
      <c r="G168" s="5">
        <v>42573</v>
      </c>
      <c r="H168" t="s">
        <v>97</v>
      </c>
      <c r="I168" t="s">
        <v>215</v>
      </c>
      <c r="J168" t="s">
        <v>216</v>
      </c>
      <c r="K168">
        <v>9</v>
      </c>
      <c r="L168" t="s">
        <v>76</v>
      </c>
      <c r="M168" t="s">
        <v>217</v>
      </c>
      <c r="N168" t="s">
        <v>78</v>
      </c>
      <c r="O168">
        <v>70.599999999999994</v>
      </c>
      <c r="P168">
        <v>130</v>
      </c>
      <c r="Q168">
        <v>6111</v>
      </c>
      <c r="R168" t="s">
        <v>98</v>
      </c>
      <c r="S168" t="s">
        <v>80</v>
      </c>
      <c r="T168" t="s">
        <v>83</v>
      </c>
      <c r="U168" t="s">
        <v>40</v>
      </c>
      <c r="V168" t="s">
        <v>57</v>
      </c>
      <c r="W168" t="s">
        <v>109</v>
      </c>
      <c r="Y168" t="s">
        <v>48</v>
      </c>
      <c r="AA168">
        <v>1</v>
      </c>
      <c r="AB168" t="s">
        <v>33</v>
      </c>
      <c r="AC168" t="s">
        <v>95</v>
      </c>
      <c r="AE168" t="str">
        <f t="shared" si="41"/>
        <v>BussLynch</v>
      </c>
      <c r="AF168">
        <v>0</v>
      </c>
      <c r="AG168">
        <v>0</v>
      </c>
      <c r="AH168">
        <v>1</v>
      </c>
      <c r="AI168">
        <v>0</v>
      </c>
      <c r="AJ168">
        <v>0</v>
      </c>
      <c r="AK168" t="s">
        <v>44</v>
      </c>
      <c r="AL168">
        <v>0.4296875</v>
      </c>
      <c r="AM168" t="s">
        <v>53</v>
      </c>
      <c r="AN168">
        <v>0.59649122807017496</v>
      </c>
      <c r="AO168">
        <f t="shared" si="51"/>
        <v>0</v>
      </c>
      <c r="AP168">
        <f t="shared" si="51"/>
        <v>0</v>
      </c>
      <c r="AQ168">
        <f t="shared" si="51"/>
        <v>0</v>
      </c>
      <c r="AR168">
        <f t="shared" si="51"/>
        <v>0</v>
      </c>
      <c r="AS168">
        <f t="shared" si="51"/>
        <v>0</v>
      </c>
      <c r="AT168">
        <f t="shared" si="51"/>
        <v>0</v>
      </c>
      <c r="AU168">
        <f t="shared" si="51"/>
        <v>0</v>
      </c>
      <c r="AV168">
        <f t="shared" si="51"/>
        <v>0</v>
      </c>
      <c r="AW168" t="str">
        <f t="shared" si="51"/>
        <v>Lynch</v>
      </c>
      <c r="AX168">
        <f t="shared" si="51"/>
        <v>0</v>
      </c>
      <c r="AY168">
        <f t="shared" si="52"/>
        <v>0</v>
      </c>
      <c r="AZ168">
        <f t="shared" si="52"/>
        <v>0</v>
      </c>
      <c r="BA168">
        <f t="shared" si="52"/>
        <v>0</v>
      </c>
      <c r="BB168">
        <f t="shared" si="52"/>
        <v>0</v>
      </c>
      <c r="BC168">
        <f t="shared" si="52"/>
        <v>0</v>
      </c>
      <c r="BD168">
        <f t="shared" si="52"/>
        <v>0</v>
      </c>
      <c r="BE168">
        <f t="shared" si="52"/>
        <v>0</v>
      </c>
      <c r="BF168" t="str">
        <f t="shared" si="52"/>
        <v>Buss</v>
      </c>
      <c r="BG168">
        <f t="shared" si="52"/>
        <v>0</v>
      </c>
      <c r="BH168">
        <f t="shared" si="52"/>
        <v>0</v>
      </c>
      <c r="BI168">
        <f t="shared" si="53"/>
        <v>0</v>
      </c>
      <c r="BJ168">
        <f t="shared" si="53"/>
        <v>0</v>
      </c>
      <c r="BK168">
        <f t="shared" si="53"/>
        <v>0</v>
      </c>
      <c r="BL168">
        <f t="shared" si="53"/>
        <v>0</v>
      </c>
      <c r="BM168">
        <f t="shared" si="53"/>
        <v>0</v>
      </c>
      <c r="BN168">
        <f t="shared" si="53"/>
        <v>0</v>
      </c>
      <c r="BO168">
        <f t="shared" si="53"/>
        <v>0</v>
      </c>
      <c r="BP168">
        <f t="shared" si="53"/>
        <v>0</v>
      </c>
      <c r="BQ168">
        <f t="shared" si="53"/>
        <v>0</v>
      </c>
      <c r="BR168">
        <f t="shared" si="53"/>
        <v>0</v>
      </c>
      <c r="BS168">
        <f t="shared" si="53"/>
        <v>0</v>
      </c>
    </row>
    <row r="169" spans="2:71" ht="15" customHeight="1" x14ac:dyDescent="0.2">
      <c r="B169">
        <v>12</v>
      </c>
      <c r="C169">
        <v>2</v>
      </c>
      <c r="D169">
        <v>4</v>
      </c>
      <c r="E169" t="s">
        <v>229</v>
      </c>
      <c r="F169" t="s">
        <v>214</v>
      </c>
      <c r="G169" s="5">
        <v>42573</v>
      </c>
      <c r="H169" t="s">
        <v>97</v>
      </c>
      <c r="I169" t="s">
        <v>215</v>
      </c>
      <c r="J169" t="s">
        <v>216</v>
      </c>
      <c r="K169">
        <v>9</v>
      </c>
      <c r="L169" t="s">
        <v>76</v>
      </c>
      <c r="M169" t="s">
        <v>217</v>
      </c>
      <c r="N169" t="s">
        <v>78</v>
      </c>
      <c r="O169">
        <v>70.599999999999994</v>
      </c>
      <c r="P169">
        <v>130</v>
      </c>
      <c r="Q169">
        <v>6111</v>
      </c>
      <c r="R169" t="s">
        <v>98</v>
      </c>
      <c r="S169" t="s">
        <v>80</v>
      </c>
      <c r="T169" t="s">
        <v>81</v>
      </c>
      <c r="U169" t="s">
        <v>46</v>
      </c>
      <c r="V169" t="s">
        <v>44</v>
      </c>
      <c r="W169" t="s">
        <v>123</v>
      </c>
      <c r="Y169" t="s">
        <v>53</v>
      </c>
      <c r="AA169">
        <v>1</v>
      </c>
      <c r="AB169" t="s">
        <v>32</v>
      </c>
      <c r="AC169" t="s">
        <v>209</v>
      </c>
      <c r="AE169" t="str">
        <f t="shared" si="41"/>
        <v>FlandersForster</v>
      </c>
      <c r="AF169">
        <v>1</v>
      </c>
      <c r="AG169">
        <v>1</v>
      </c>
      <c r="AH169">
        <v>0</v>
      </c>
      <c r="AI169">
        <v>0</v>
      </c>
      <c r="AJ169">
        <v>1</v>
      </c>
      <c r="AK169" t="s">
        <v>57</v>
      </c>
      <c r="AL169">
        <v>0.44827586206896602</v>
      </c>
      <c r="AM169" t="s">
        <v>48</v>
      </c>
      <c r="AN169">
        <v>0.5546875</v>
      </c>
      <c r="AO169">
        <f t="shared" si="51"/>
        <v>0</v>
      </c>
      <c r="AP169">
        <f t="shared" si="51"/>
        <v>0</v>
      </c>
      <c r="AQ169">
        <f t="shared" si="51"/>
        <v>0</v>
      </c>
      <c r="AR169">
        <f t="shared" si="51"/>
        <v>0</v>
      </c>
      <c r="AS169" t="str">
        <f t="shared" si="51"/>
        <v>Flanders</v>
      </c>
      <c r="AT169">
        <f t="shared" si="51"/>
        <v>0</v>
      </c>
      <c r="AU169">
        <f t="shared" si="51"/>
        <v>0</v>
      </c>
      <c r="AV169">
        <f t="shared" si="51"/>
        <v>0</v>
      </c>
      <c r="AW169">
        <f t="shared" si="51"/>
        <v>0</v>
      </c>
      <c r="AX169">
        <f t="shared" si="51"/>
        <v>0</v>
      </c>
      <c r="AY169">
        <f t="shared" si="52"/>
        <v>0</v>
      </c>
      <c r="AZ169">
        <f t="shared" si="52"/>
        <v>0</v>
      </c>
      <c r="BA169">
        <f t="shared" si="52"/>
        <v>0</v>
      </c>
      <c r="BB169" t="str">
        <f t="shared" si="52"/>
        <v>Forster</v>
      </c>
      <c r="BC169">
        <f t="shared" si="52"/>
        <v>0</v>
      </c>
      <c r="BD169">
        <f t="shared" si="52"/>
        <v>0</v>
      </c>
      <c r="BE169">
        <f t="shared" si="52"/>
        <v>0</v>
      </c>
      <c r="BF169">
        <f t="shared" si="52"/>
        <v>0</v>
      </c>
      <c r="BG169">
        <f t="shared" si="52"/>
        <v>0</v>
      </c>
      <c r="BH169">
        <f t="shared" si="52"/>
        <v>0</v>
      </c>
      <c r="BI169">
        <f t="shared" si="53"/>
        <v>0</v>
      </c>
      <c r="BJ169">
        <f t="shared" si="53"/>
        <v>0</v>
      </c>
      <c r="BK169">
        <f t="shared" si="53"/>
        <v>0</v>
      </c>
      <c r="BL169">
        <f t="shared" si="53"/>
        <v>0</v>
      </c>
      <c r="BM169">
        <f t="shared" si="53"/>
        <v>0</v>
      </c>
      <c r="BN169">
        <f t="shared" si="53"/>
        <v>0</v>
      </c>
      <c r="BO169">
        <f t="shared" si="53"/>
        <v>0</v>
      </c>
      <c r="BP169">
        <f t="shared" si="53"/>
        <v>0</v>
      </c>
      <c r="BQ169">
        <f t="shared" si="53"/>
        <v>0</v>
      </c>
      <c r="BR169">
        <f t="shared" si="53"/>
        <v>0</v>
      </c>
      <c r="BS169">
        <f t="shared" si="53"/>
        <v>0</v>
      </c>
    </row>
    <row r="170" spans="2:71" ht="15" customHeight="1" x14ac:dyDescent="0.2">
      <c r="B170">
        <v>13</v>
      </c>
      <c r="C170">
        <v>3</v>
      </c>
      <c r="D170">
        <v>4</v>
      </c>
      <c r="E170" t="s">
        <v>230</v>
      </c>
      <c r="F170" t="s">
        <v>214</v>
      </c>
      <c r="G170" s="5">
        <v>42573</v>
      </c>
      <c r="H170" t="s">
        <v>97</v>
      </c>
      <c r="I170" t="s">
        <v>215</v>
      </c>
      <c r="J170" t="s">
        <v>216</v>
      </c>
      <c r="K170">
        <v>9</v>
      </c>
      <c r="L170" t="s">
        <v>76</v>
      </c>
      <c r="M170" t="s">
        <v>217</v>
      </c>
      <c r="N170" t="s">
        <v>78</v>
      </c>
      <c r="O170">
        <v>70.599999999999994</v>
      </c>
      <c r="P170">
        <v>130</v>
      </c>
      <c r="Q170">
        <v>6111</v>
      </c>
      <c r="R170" t="s">
        <v>98</v>
      </c>
      <c r="S170" t="s">
        <v>80</v>
      </c>
      <c r="T170" t="s">
        <v>81</v>
      </c>
      <c r="U170" t="s">
        <v>46</v>
      </c>
      <c r="V170" t="s">
        <v>58</v>
      </c>
      <c r="W170" t="s">
        <v>123</v>
      </c>
      <c r="Y170" t="s">
        <v>59</v>
      </c>
      <c r="AA170">
        <v>1</v>
      </c>
      <c r="AB170" t="s">
        <v>34</v>
      </c>
      <c r="AC170" t="s">
        <v>231</v>
      </c>
      <c r="AE170" t="str">
        <f t="shared" si="41"/>
        <v>GrayNorat</v>
      </c>
      <c r="AF170">
        <v>0.5</v>
      </c>
      <c r="AG170">
        <v>0</v>
      </c>
      <c r="AH170">
        <v>0</v>
      </c>
      <c r="AI170">
        <v>1</v>
      </c>
      <c r="AJ170">
        <v>0.5</v>
      </c>
      <c r="AK170" t="s">
        <v>45</v>
      </c>
      <c r="AL170">
        <v>0.59375</v>
      </c>
      <c r="AM170" t="s">
        <v>61</v>
      </c>
      <c r="AN170">
        <v>0.5</v>
      </c>
      <c r="AO170">
        <f t="shared" si="51"/>
        <v>0</v>
      </c>
      <c r="AP170">
        <f t="shared" si="51"/>
        <v>0</v>
      </c>
      <c r="AQ170">
        <f t="shared" si="51"/>
        <v>0</v>
      </c>
      <c r="AR170">
        <f t="shared" si="51"/>
        <v>0</v>
      </c>
      <c r="AS170">
        <f t="shared" si="51"/>
        <v>0</v>
      </c>
      <c r="AT170">
        <f t="shared" si="51"/>
        <v>0</v>
      </c>
      <c r="AU170">
        <f t="shared" si="51"/>
        <v>0</v>
      </c>
      <c r="AV170">
        <f t="shared" si="51"/>
        <v>0</v>
      </c>
      <c r="AW170">
        <f t="shared" si="51"/>
        <v>0</v>
      </c>
      <c r="AX170">
        <f t="shared" si="51"/>
        <v>0</v>
      </c>
      <c r="AY170">
        <f t="shared" si="52"/>
        <v>0</v>
      </c>
      <c r="AZ170">
        <f t="shared" si="52"/>
        <v>0</v>
      </c>
      <c r="BA170">
        <f t="shared" si="52"/>
        <v>0</v>
      </c>
      <c r="BB170">
        <f t="shared" si="52"/>
        <v>0</v>
      </c>
      <c r="BC170">
        <f t="shared" si="52"/>
        <v>0</v>
      </c>
      <c r="BD170">
        <f t="shared" si="52"/>
        <v>0</v>
      </c>
      <c r="BE170">
        <f t="shared" si="52"/>
        <v>0</v>
      </c>
      <c r="BF170">
        <f t="shared" si="52"/>
        <v>0</v>
      </c>
      <c r="BG170" t="str">
        <f t="shared" si="52"/>
        <v>Gray</v>
      </c>
      <c r="BH170" t="str">
        <f t="shared" si="52"/>
        <v>Norat</v>
      </c>
      <c r="BI170">
        <f t="shared" si="53"/>
        <v>0</v>
      </c>
      <c r="BJ170">
        <f t="shared" si="53"/>
        <v>0</v>
      </c>
      <c r="BK170">
        <f t="shared" si="53"/>
        <v>0</v>
      </c>
      <c r="BL170">
        <f t="shared" si="53"/>
        <v>0</v>
      </c>
      <c r="BM170">
        <f t="shared" si="53"/>
        <v>0</v>
      </c>
      <c r="BN170">
        <f t="shared" si="53"/>
        <v>0</v>
      </c>
      <c r="BO170">
        <f t="shared" si="53"/>
        <v>0</v>
      </c>
      <c r="BP170">
        <f t="shared" si="53"/>
        <v>0</v>
      </c>
      <c r="BQ170">
        <f t="shared" si="53"/>
        <v>0</v>
      </c>
      <c r="BR170">
        <f t="shared" si="53"/>
        <v>0</v>
      </c>
      <c r="BS170">
        <f t="shared" si="53"/>
        <v>0</v>
      </c>
    </row>
    <row r="171" spans="2:71" ht="15" customHeight="1" x14ac:dyDescent="0.2">
      <c r="B171">
        <v>13</v>
      </c>
      <c r="C171">
        <v>3</v>
      </c>
      <c r="D171">
        <v>4</v>
      </c>
      <c r="E171" t="s">
        <v>230</v>
      </c>
      <c r="F171" t="s">
        <v>214</v>
      </c>
      <c r="G171" s="5">
        <v>42573</v>
      </c>
      <c r="H171" t="s">
        <v>97</v>
      </c>
      <c r="I171" t="s">
        <v>215</v>
      </c>
      <c r="J171" t="s">
        <v>216</v>
      </c>
      <c r="K171">
        <v>9</v>
      </c>
      <c r="L171" t="s">
        <v>76</v>
      </c>
      <c r="M171" t="s">
        <v>217</v>
      </c>
      <c r="N171" t="s">
        <v>78</v>
      </c>
      <c r="O171">
        <v>70.599999999999994</v>
      </c>
      <c r="P171">
        <v>130</v>
      </c>
      <c r="Q171">
        <v>6111</v>
      </c>
      <c r="R171" t="s">
        <v>98</v>
      </c>
      <c r="S171" t="s">
        <v>80</v>
      </c>
      <c r="T171" t="s">
        <v>83</v>
      </c>
      <c r="U171" t="s">
        <v>40</v>
      </c>
      <c r="V171" t="s">
        <v>45</v>
      </c>
      <c r="W171" t="s">
        <v>109</v>
      </c>
      <c r="Y171" t="s">
        <v>61</v>
      </c>
      <c r="AA171">
        <v>1</v>
      </c>
      <c r="AB171" t="s">
        <v>34</v>
      </c>
      <c r="AC171" t="s">
        <v>231</v>
      </c>
      <c r="AE171" t="str">
        <f t="shared" si="41"/>
        <v>ConnollyMcInerney</v>
      </c>
      <c r="AF171">
        <v>0.5</v>
      </c>
      <c r="AG171">
        <v>0</v>
      </c>
      <c r="AH171">
        <v>0</v>
      </c>
      <c r="AI171">
        <v>1</v>
      </c>
      <c r="AJ171">
        <v>0.5</v>
      </c>
      <c r="AK171" t="s">
        <v>58</v>
      </c>
      <c r="AL171">
        <v>0.65476190476190499</v>
      </c>
      <c r="AM171" t="s">
        <v>59</v>
      </c>
      <c r="AN171">
        <v>0.52777777777777801</v>
      </c>
      <c r="AO171">
        <f t="shared" si="51"/>
        <v>0</v>
      </c>
      <c r="AP171">
        <f t="shared" si="51"/>
        <v>0</v>
      </c>
      <c r="AQ171">
        <f t="shared" si="51"/>
        <v>0</v>
      </c>
      <c r="AR171">
        <f t="shared" si="51"/>
        <v>0</v>
      </c>
      <c r="AS171">
        <f t="shared" si="51"/>
        <v>0</v>
      </c>
      <c r="AT171" t="str">
        <f t="shared" si="51"/>
        <v>Connolly</v>
      </c>
      <c r="AU171">
        <f t="shared" si="51"/>
        <v>0</v>
      </c>
      <c r="AV171">
        <f t="shared" si="51"/>
        <v>0</v>
      </c>
      <c r="AW171">
        <f t="shared" si="51"/>
        <v>0</v>
      </c>
      <c r="AX171">
        <f t="shared" si="51"/>
        <v>0</v>
      </c>
      <c r="AY171">
        <f t="shared" si="52"/>
        <v>0</v>
      </c>
      <c r="AZ171">
        <f t="shared" si="52"/>
        <v>0</v>
      </c>
      <c r="BA171">
        <f t="shared" si="52"/>
        <v>0</v>
      </c>
      <c r="BB171">
        <f t="shared" si="52"/>
        <v>0</v>
      </c>
      <c r="BC171">
        <f t="shared" si="52"/>
        <v>0</v>
      </c>
      <c r="BD171">
        <f t="shared" si="52"/>
        <v>0</v>
      </c>
      <c r="BE171">
        <f t="shared" si="52"/>
        <v>0</v>
      </c>
      <c r="BF171">
        <f t="shared" si="52"/>
        <v>0</v>
      </c>
      <c r="BG171">
        <f t="shared" si="52"/>
        <v>0</v>
      </c>
      <c r="BH171">
        <f t="shared" si="52"/>
        <v>0</v>
      </c>
      <c r="BI171">
        <f t="shared" si="53"/>
        <v>0</v>
      </c>
      <c r="BJ171" t="str">
        <f t="shared" si="53"/>
        <v>McInerney</v>
      </c>
      <c r="BK171">
        <f t="shared" si="53"/>
        <v>0</v>
      </c>
      <c r="BL171">
        <f t="shared" si="53"/>
        <v>0</v>
      </c>
      <c r="BM171">
        <f t="shared" si="53"/>
        <v>0</v>
      </c>
      <c r="BN171">
        <f t="shared" si="53"/>
        <v>0</v>
      </c>
      <c r="BO171">
        <f t="shared" si="53"/>
        <v>0</v>
      </c>
      <c r="BP171">
        <f t="shared" si="53"/>
        <v>0</v>
      </c>
      <c r="BQ171">
        <f t="shared" si="53"/>
        <v>0</v>
      </c>
      <c r="BR171">
        <f t="shared" si="53"/>
        <v>0</v>
      </c>
      <c r="BS171">
        <f t="shared" si="53"/>
        <v>0</v>
      </c>
    </row>
    <row r="172" spans="2:71" ht="15" customHeight="1" x14ac:dyDescent="0.2">
      <c r="B172">
        <v>14</v>
      </c>
      <c r="C172">
        <v>4</v>
      </c>
      <c r="D172">
        <v>4</v>
      </c>
      <c r="E172" t="s">
        <v>232</v>
      </c>
      <c r="F172" t="s">
        <v>214</v>
      </c>
      <c r="G172" s="5">
        <v>42573</v>
      </c>
      <c r="H172" t="s">
        <v>97</v>
      </c>
      <c r="I172" t="s">
        <v>215</v>
      </c>
      <c r="J172" t="s">
        <v>216</v>
      </c>
      <c r="K172">
        <v>9</v>
      </c>
      <c r="L172" t="s">
        <v>76</v>
      </c>
      <c r="M172" t="s">
        <v>217</v>
      </c>
      <c r="N172" t="s">
        <v>78</v>
      </c>
      <c r="O172">
        <v>70.599999999999994</v>
      </c>
      <c r="P172">
        <v>130</v>
      </c>
      <c r="Q172">
        <v>6111</v>
      </c>
      <c r="R172" t="s">
        <v>98</v>
      </c>
      <c r="S172" t="s">
        <v>80</v>
      </c>
      <c r="T172" t="s">
        <v>83</v>
      </c>
      <c r="U172" t="s">
        <v>40</v>
      </c>
      <c r="V172" t="s">
        <v>60</v>
      </c>
      <c r="W172" t="s">
        <v>109</v>
      </c>
      <c r="Y172" t="s">
        <v>62</v>
      </c>
      <c r="AA172">
        <v>1</v>
      </c>
      <c r="AB172" t="s">
        <v>33</v>
      </c>
      <c r="AC172" t="s">
        <v>233</v>
      </c>
      <c r="AE172" t="str">
        <f t="shared" si="41"/>
        <v>ZimmerWelker</v>
      </c>
      <c r="AF172">
        <v>0</v>
      </c>
      <c r="AG172">
        <v>0</v>
      </c>
      <c r="AH172">
        <v>1</v>
      </c>
      <c r="AI172">
        <v>0</v>
      </c>
      <c r="AJ172">
        <v>0</v>
      </c>
      <c r="AK172" t="s">
        <v>50</v>
      </c>
      <c r="AL172">
        <v>0.59523809523809501</v>
      </c>
      <c r="AM172" t="s">
        <v>42</v>
      </c>
      <c r="AN172">
        <v>0.6171875</v>
      </c>
      <c r="AO172">
        <f t="shared" ref="AO172:AX181" si="54">IF(OR($V172=AO$1,$Y172=AO$1),AO$1,0)</f>
        <v>0</v>
      </c>
      <c r="AP172">
        <f t="shared" si="54"/>
        <v>0</v>
      </c>
      <c r="AQ172">
        <f t="shared" si="54"/>
        <v>0</v>
      </c>
      <c r="AR172">
        <f t="shared" si="54"/>
        <v>0</v>
      </c>
      <c r="AS172">
        <f t="shared" si="54"/>
        <v>0</v>
      </c>
      <c r="AT172">
        <f t="shared" si="54"/>
        <v>0</v>
      </c>
      <c r="AU172">
        <f t="shared" si="54"/>
        <v>0</v>
      </c>
      <c r="AV172">
        <f t="shared" si="54"/>
        <v>0</v>
      </c>
      <c r="AW172">
        <f t="shared" si="54"/>
        <v>0</v>
      </c>
      <c r="AX172">
        <f t="shared" si="54"/>
        <v>0</v>
      </c>
      <c r="AY172">
        <f t="shared" ref="AY172:BH181" si="55">IF(OR($V172=AY$1,$Y172=AY$1),AY$1,0)</f>
        <v>0</v>
      </c>
      <c r="AZ172">
        <f t="shared" si="55"/>
        <v>0</v>
      </c>
      <c r="BA172">
        <f t="shared" si="55"/>
        <v>0</v>
      </c>
      <c r="BB172">
        <f t="shared" si="55"/>
        <v>0</v>
      </c>
      <c r="BC172">
        <f t="shared" si="55"/>
        <v>0</v>
      </c>
      <c r="BD172">
        <f t="shared" si="55"/>
        <v>0</v>
      </c>
      <c r="BE172">
        <f t="shared" si="55"/>
        <v>0</v>
      </c>
      <c r="BF172">
        <f t="shared" si="55"/>
        <v>0</v>
      </c>
      <c r="BG172">
        <f t="shared" si="55"/>
        <v>0</v>
      </c>
      <c r="BH172">
        <f t="shared" si="55"/>
        <v>0</v>
      </c>
      <c r="BI172" t="str">
        <f t="shared" ref="BI172:BS181" si="56">IF(OR($V172=BI$1,$Y172=BI$1),BI$1,0)</f>
        <v>Zimmer</v>
      </c>
      <c r="BJ172">
        <f t="shared" si="56"/>
        <v>0</v>
      </c>
      <c r="BK172" t="str">
        <f t="shared" si="56"/>
        <v>Welker</v>
      </c>
      <c r="BL172">
        <f t="shared" si="56"/>
        <v>0</v>
      </c>
      <c r="BM172">
        <f t="shared" si="56"/>
        <v>0</v>
      </c>
      <c r="BN172">
        <f t="shared" si="56"/>
        <v>0</v>
      </c>
      <c r="BO172">
        <f t="shared" si="56"/>
        <v>0</v>
      </c>
      <c r="BP172">
        <f t="shared" si="56"/>
        <v>0</v>
      </c>
      <c r="BQ172">
        <f t="shared" si="56"/>
        <v>0</v>
      </c>
      <c r="BR172">
        <f t="shared" si="56"/>
        <v>0</v>
      </c>
      <c r="BS172">
        <f t="shared" si="56"/>
        <v>0</v>
      </c>
    </row>
    <row r="173" spans="2:71" ht="15" customHeight="1" x14ac:dyDescent="0.2">
      <c r="B173">
        <v>14</v>
      </c>
      <c r="C173">
        <v>4</v>
      </c>
      <c r="D173">
        <v>4</v>
      </c>
      <c r="E173" t="s">
        <v>232</v>
      </c>
      <c r="F173" t="s">
        <v>214</v>
      </c>
      <c r="G173" s="5">
        <v>42573</v>
      </c>
      <c r="H173" t="s">
        <v>97</v>
      </c>
      <c r="I173" t="s">
        <v>215</v>
      </c>
      <c r="J173" t="s">
        <v>216</v>
      </c>
      <c r="K173">
        <v>9</v>
      </c>
      <c r="L173" t="s">
        <v>76</v>
      </c>
      <c r="M173" t="s">
        <v>217</v>
      </c>
      <c r="N173" t="s">
        <v>78</v>
      </c>
      <c r="O173">
        <v>70.599999999999994</v>
      </c>
      <c r="P173">
        <v>130</v>
      </c>
      <c r="Q173">
        <v>6111</v>
      </c>
      <c r="R173" t="s">
        <v>98</v>
      </c>
      <c r="S173" t="s">
        <v>80</v>
      </c>
      <c r="T173" t="s">
        <v>81</v>
      </c>
      <c r="U173" t="s">
        <v>46</v>
      </c>
      <c r="V173" t="s">
        <v>50</v>
      </c>
      <c r="W173" t="s">
        <v>123</v>
      </c>
      <c r="Y173" t="s">
        <v>42</v>
      </c>
      <c r="AA173">
        <v>1</v>
      </c>
      <c r="AB173" t="s">
        <v>32</v>
      </c>
      <c r="AC173" t="s">
        <v>233</v>
      </c>
      <c r="AE173" t="str">
        <f t="shared" si="41"/>
        <v>FerrinJackson</v>
      </c>
      <c r="AF173">
        <v>1</v>
      </c>
      <c r="AG173">
        <v>1</v>
      </c>
      <c r="AH173">
        <v>0</v>
      </c>
      <c r="AI173">
        <v>0</v>
      </c>
      <c r="AJ173">
        <v>1</v>
      </c>
      <c r="AK173" t="s">
        <v>60</v>
      </c>
      <c r="AL173">
        <v>0.5</v>
      </c>
      <c r="AM173" t="s">
        <v>62</v>
      </c>
      <c r="AN173">
        <v>0.51041666666666696</v>
      </c>
      <c r="AO173">
        <f t="shared" si="54"/>
        <v>0</v>
      </c>
      <c r="AP173">
        <f t="shared" si="54"/>
        <v>0</v>
      </c>
      <c r="AQ173" t="str">
        <f t="shared" si="54"/>
        <v>Jackson</v>
      </c>
      <c r="AR173">
        <f t="shared" si="54"/>
        <v>0</v>
      </c>
      <c r="AS173">
        <f t="shared" si="54"/>
        <v>0</v>
      </c>
      <c r="AT173">
        <f t="shared" si="54"/>
        <v>0</v>
      </c>
      <c r="AU173">
        <f t="shared" si="54"/>
        <v>0</v>
      </c>
      <c r="AV173">
        <f t="shared" si="54"/>
        <v>0</v>
      </c>
      <c r="AW173">
        <f t="shared" si="54"/>
        <v>0</v>
      </c>
      <c r="AX173">
        <f t="shared" si="54"/>
        <v>0</v>
      </c>
      <c r="AY173" t="str">
        <f t="shared" si="55"/>
        <v>Ferrin</v>
      </c>
      <c r="AZ173">
        <f t="shared" si="55"/>
        <v>0</v>
      </c>
      <c r="BA173">
        <f t="shared" si="55"/>
        <v>0</v>
      </c>
      <c r="BB173">
        <f t="shared" si="55"/>
        <v>0</v>
      </c>
      <c r="BC173">
        <f t="shared" si="55"/>
        <v>0</v>
      </c>
      <c r="BD173">
        <f t="shared" si="55"/>
        <v>0</v>
      </c>
      <c r="BE173">
        <f t="shared" si="55"/>
        <v>0</v>
      </c>
      <c r="BF173">
        <f t="shared" si="55"/>
        <v>0</v>
      </c>
      <c r="BG173">
        <f t="shared" si="55"/>
        <v>0</v>
      </c>
      <c r="BH173">
        <f t="shared" si="55"/>
        <v>0</v>
      </c>
      <c r="BI173">
        <f t="shared" si="56"/>
        <v>0</v>
      </c>
      <c r="BJ173">
        <f t="shared" si="56"/>
        <v>0</v>
      </c>
      <c r="BK173">
        <f t="shared" si="56"/>
        <v>0</v>
      </c>
      <c r="BL173">
        <f t="shared" si="56"/>
        <v>0</v>
      </c>
      <c r="BM173">
        <f t="shared" si="56"/>
        <v>0</v>
      </c>
      <c r="BN173">
        <f t="shared" si="56"/>
        <v>0</v>
      </c>
      <c r="BO173">
        <f t="shared" si="56"/>
        <v>0</v>
      </c>
      <c r="BP173">
        <f t="shared" si="56"/>
        <v>0</v>
      </c>
      <c r="BQ173">
        <f t="shared" si="56"/>
        <v>0</v>
      </c>
      <c r="BR173">
        <f t="shared" si="56"/>
        <v>0</v>
      </c>
      <c r="BS173">
        <f t="shared" si="56"/>
        <v>0</v>
      </c>
    </row>
    <row r="174" spans="2:71" ht="15" customHeight="1" x14ac:dyDescent="0.2">
      <c r="B174">
        <v>15</v>
      </c>
      <c r="C174">
        <v>5</v>
      </c>
      <c r="D174">
        <v>4</v>
      </c>
      <c r="E174" t="s">
        <v>234</v>
      </c>
      <c r="F174" t="s">
        <v>214</v>
      </c>
      <c r="G174" s="5">
        <v>42573</v>
      </c>
      <c r="H174" t="s">
        <v>97</v>
      </c>
      <c r="I174" t="s">
        <v>215</v>
      </c>
      <c r="J174" t="s">
        <v>216</v>
      </c>
      <c r="K174">
        <v>9</v>
      </c>
      <c r="L174" t="s">
        <v>76</v>
      </c>
      <c r="M174" t="s">
        <v>217</v>
      </c>
      <c r="N174" t="s">
        <v>78</v>
      </c>
      <c r="O174">
        <v>70.599999999999994</v>
      </c>
      <c r="P174">
        <v>130</v>
      </c>
      <c r="Q174">
        <v>6111</v>
      </c>
      <c r="R174" t="s">
        <v>98</v>
      </c>
      <c r="S174" t="s">
        <v>80</v>
      </c>
      <c r="T174" t="s">
        <v>81</v>
      </c>
      <c r="U174" t="s">
        <v>46</v>
      </c>
      <c r="V174" t="s">
        <v>55</v>
      </c>
      <c r="W174" t="s">
        <v>123</v>
      </c>
      <c r="Y174" t="s">
        <v>56</v>
      </c>
      <c r="AA174">
        <v>1</v>
      </c>
      <c r="AB174" t="s">
        <v>32</v>
      </c>
      <c r="AC174" t="s">
        <v>202</v>
      </c>
      <c r="AE174" t="str">
        <f t="shared" si="41"/>
        <v>ColeWeisberger</v>
      </c>
      <c r="AF174">
        <v>1</v>
      </c>
      <c r="AG174">
        <v>1</v>
      </c>
      <c r="AH174">
        <v>0</v>
      </c>
      <c r="AI174">
        <v>0</v>
      </c>
      <c r="AJ174">
        <v>1</v>
      </c>
      <c r="AK174" t="s">
        <v>54</v>
      </c>
      <c r="AL174">
        <v>0.37288135593220301</v>
      </c>
      <c r="AM174" t="s">
        <v>47</v>
      </c>
      <c r="AN174">
        <v>0.35714285714285698</v>
      </c>
      <c r="AO174">
        <f t="shared" si="54"/>
        <v>0</v>
      </c>
      <c r="AP174">
        <f t="shared" si="54"/>
        <v>0</v>
      </c>
      <c r="AQ174">
        <f t="shared" si="54"/>
        <v>0</v>
      </c>
      <c r="AR174">
        <f t="shared" si="54"/>
        <v>0</v>
      </c>
      <c r="AS174">
        <f t="shared" si="54"/>
        <v>0</v>
      </c>
      <c r="AT174">
        <f t="shared" si="54"/>
        <v>0</v>
      </c>
      <c r="AU174">
        <f t="shared" si="54"/>
        <v>0</v>
      </c>
      <c r="AV174">
        <f t="shared" si="54"/>
        <v>0</v>
      </c>
      <c r="AW174">
        <f t="shared" si="54"/>
        <v>0</v>
      </c>
      <c r="AX174">
        <f t="shared" si="54"/>
        <v>0</v>
      </c>
      <c r="AY174">
        <f t="shared" si="55"/>
        <v>0</v>
      </c>
      <c r="AZ174">
        <f t="shared" si="55"/>
        <v>0</v>
      </c>
      <c r="BA174">
        <f t="shared" si="55"/>
        <v>0</v>
      </c>
      <c r="BB174">
        <f t="shared" si="55"/>
        <v>0</v>
      </c>
      <c r="BC174">
        <f t="shared" si="55"/>
        <v>0</v>
      </c>
      <c r="BD174" t="str">
        <f t="shared" si="55"/>
        <v>Cole</v>
      </c>
      <c r="BE174" t="str">
        <f t="shared" si="55"/>
        <v>Weisberger</v>
      </c>
      <c r="BF174">
        <f t="shared" si="55"/>
        <v>0</v>
      </c>
      <c r="BG174">
        <f t="shared" si="55"/>
        <v>0</v>
      </c>
      <c r="BH174">
        <f t="shared" si="55"/>
        <v>0</v>
      </c>
      <c r="BI174">
        <f t="shared" si="56"/>
        <v>0</v>
      </c>
      <c r="BJ174">
        <f t="shared" si="56"/>
        <v>0</v>
      </c>
      <c r="BK174">
        <f t="shared" si="56"/>
        <v>0</v>
      </c>
      <c r="BL174">
        <f t="shared" si="56"/>
        <v>0</v>
      </c>
      <c r="BM174">
        <f t="shared" si="56"/>
        <v>0</v>
      </c>
      <c r="BN174">
        <f t="shared" si="56"/>
        <v>0</v>
      </c>
      <c r="BO174">
        <f t="shared" si="56"/>
        <v>0</v>
      </c>
      <c r="BP174">
        <f t="shared" si="56"/>
        <v>0</v>
      </c>
      <c r="BQ174">
        <f t="shared" si="56"/>
        <v>0</v>
      </c>
      <c r="BR174">
        <f t="shared" si="56"/>
        <v>0</v>
      </c>
      <c r="BS174">
        <f t="shared" si="56"/>
        <v>0</v>
      </c>
    </row>
    <row r="175" spans="2:71" ht="15" customHeight="1" x14ac:dyDescent="0.2">
      <c r="B175">
        <v>15</v>
      </c>
      <c r="C175">
        <v>5</v>
      </c>
      <c r="D175">
        <v>4</v>
      </c>
      <c r="E175" t="s">
        <v>234</v>
      </c>
      <c r="F175" t="s">
        <v>214</v>
      </c>
      <c r="G175" s="5">
        <v>42573</v>
      </c>
      <c r="H175" t="s">
        <v>97</v>
      </c>
      <c r="I175" t="s">
        <v>215</v>
      </c>
      <c r="J175" t="s">
        <v>216</v>
      </c>
      <c r="K175">
        <v>9</v>
      </c>
      <c r="L175" t="s">
        <v>76</v>
      </c>
      <c r="M175" t="s">
        <v>217</v>
      </c>
      <c r="N175" t="s">
        <v>78</v>
      </c>
      <c r="O175">
        <v>70.599999999999994</v>
      </c>
      <c r="P175">
        <v>130</v>
      </c>
      <c r="Q175">
        <v>6111</v>
      </c>
      <c r="R175" t="s">
        <v>98</v>
      </c>
      <c r="S175" t="s">
        <v>80</v>
      </c>
      <c r="T175" t="s">
        <v>83</v>
      </c>
      <c r="U175" t="s">
        <v>40</v>
      </c>
      <c r="V175" t="s">
        <v>54</v>
      </c>
      <c r="W175" t="s">
        <v>109</v>
      </c>
      <c r="Y175" t="s">
        <v>47</v>
      </c>
      <c r="AA175">
        <v>1</v>
      </c>
      <c r="AB175" t="s">
        <v>33</v>
      </c>
      <c r="AC175" t="s">
        <v>202</v>
      </c>
      <c r="AE175" t="str">
        <f t="shared" si="41"/>
        <v>FoganHickerson</v>
      </c>
      <c r="AF175">
        <v>0</v>
      </c>
      <c r="AG175">
        <v>0</v>
      </c>
      <c r="AH175">
        <v>1</v>
      </c>
      <c r="AI175">
        <v>0</v>
      </c>
      <c r="AJ175">
        <v>0</v>
      </c>
      <c r="AK175" t="s">
        <v>55</v>
      </c>
      <c r="AL175">
        <v>0.44067796610169502</v>
      </c>
      <c r="AM175" t="s">
        <v>56</v>
      </c>
      <c r="AN175">
        <v>0.5</v>
      </c>
      <c r="AO175">
        <f t="shared" si="54"/>
        <v>0</v>
      </c>
      <c r="AP175">
        <f t="shared" si="54"/>
        <v>0</v>
      </c>
      <c r="AQ175">
        <f t="shared" si="54"/>
        <v>0</v>
      </c>
      <c r="AR175">
        <f t="shared" si="54"/>
        <v>0</v>
      </c>
      <c r="AS175">
        <f t="shared" si="54"/>
        <v>0</v>
      </c>
      <c r="AT175">
        <f t="shared" si="54"/>
        <v>0</v>
      </c>
      <c r="AU175">
        <f t="shared" si="54"/>
        <v>0</v>
      </c>
      <c r="AV175" t="str">
        <f t="shared" si="54"/>
        <v>Hickerson</v>
      </c>
      <c r="AW175">
        <f t="shared" si="54"/>
        <v>0</v>
      </c>
      <c r="AX175">
        <f t="shared" si="54"/>
        <v>0</v>
      </c>
      <c r="AY175">
        <f t="shared" si="55"/>
        <v>0</v>
      </c>
      <c r="AZ175">
        <f t="shared" si="55"/>
        <v>0</v>
      </c>
      <c r="BA175">
        <f t="shared" si="55"/>
        <v>0</v>
      </c>
      <c r="BB175">
        <f t="shared" si="55"/>
        <v>0</v>
      </c>
      <c r="BC175" t="str">
        <f t="shared" si="55"/>
        <v>Fogan</v>
      </c>
      <c r="BD175">
        <f t="shared" si="55"/>
        <v>0</v>
      </c>
      <c r="BE175">
        <f t="shared" si="55"/>
        <v>0</v>
      </c>
      <c r="BF175">
        <f t="shared" si="55"/>
        <v>0</v>
      </c>
      <c r="BG175">
        <f t="shared" si="55"/>
        <v>0</v>
      </c>
      <c r="BH175">
        <f t="shared" si="55"/>
        <v>0</v>
      </c>
      <c r="BI175">
        <f t="shared" si="56"/>
        <v>0</v>
      </c>
      <c r="BJ175">
        <f t="shared" si="56"/>
        <v>0</v>
      </c>
      <c r="BK175">
        <f t="shared" si="56"/>
        <v>0</v>
      </c>
      <c r="BL175">
        <f t="shared" si="56"/>
        <v>0</v>
      </c>
      <c r="BM175">
        <f t="shared" si="56"/>
        <v>0</v>
      </c>
      <c r="BN175">
        <f t="shared" si="56"/>
        <v>0</v>
      </c>
      <c r="BO175">
        <f t="shared" si="56"/>
        <v>0</v>
      </c>
      <c r="BP175">
        <f t="shared" si="56"/>
        <v>0</v>
      </c>
      <c r="BQ175">
        <f t="shared" si="56"/>
        <v>0</v>
      </c>
      <c r="BR175">
        <f t="shared" si="56"/>
        <v>0</v>
      </c>
      <c r="BS175">
        <f t="shared" si="56"/>
        <v>0</v>
      </c>
    </row>
    <row r="176" spans="2:71" ht="15" customHeight="1" x14ac:dyDescent="0.2">
      <c r="B176">
        <v>16</v>
      </c>
      <c r="C176">
        <v>1</v>
      </c>
      <c r="D176">
        <v>4</v>
      </c>
      <c r="E176" t="s">
        <v>235</v>
      </c>
      <c r="F176" t="s">
        <v>214</v>
      </c>
      <c r="G176" s="5">
        <v>42573</v>
      </c>
      <c r="H176" t="s">
        <v>97</v>
      </c>
      <c r="I176" t="s">
        <v>215</v>
      </c>
      <c r="J176" t="s">
        <v>216</v>
      </c>
      <c r="K176">
        <v>9</v>
      </c>
      <c r="L176" t="s">
        <v>90</v>
      </c>
      <c r="M176" t="s">
        <v>217</v>
      </c>
      <c r="N176" t="s">
        <v>78</v>
      </c>
      <c r="O176">
        <v>70.599999999999994</v>
      </c>
      <c r="P176">
        <v>130</v>
      </c>
      <c r="Q176">
        <v>6111</v>
      </c>
      <c r="R176" t="s">
        <v>145</v>
      </c>
      <c r="S176" t="s">
        <v>80</v>
      </c>
      <c r="T176" t="s">
        <v>81</v>
      </c>
      <c r="U176" t="s">
        <v>46</v>
      </c>
      <c r="V176" t="s">
        <v>52</v>
      </c>
      <c r="W176" t="s">
        <v>123</v>
      </c>
      <c r="Y176" t="s">
        <v>46</v>
      </c>
      <c r="AA176">
        <v>1</v>
      </c>
      <c r="AB176" t="s">
        <v>33</v>
      </c>
      <c r="AC176" t="s">
        <v>236</v>
      </c>
      <c r="AE176" t="str">
        <f t="shared" si="41"/>
        <v>ConnorsMangold</v>
      </c>
      <c r="AF176">
        <v>0</v>
      </c>
      <c r="AG176">
        <v>0</v>
      </c>
      <c r="AH176">
        <v>1</v>
      </c>
      <c r="AI176">
        <v>0</v>
      </c>
      <c r="AJ176">
        <v>0</v>
      </c>
      <c r="AK176" t="s">
        <v>40</v>
      </c>
      <c r="AL176">
        <v>0.546875</v>
      </c>
      <c r="AM176" t="s">
        <v>49</v>
      </c>
      <c r="AO176">
        <f t="shared" si="54"/>
        <v>0</v>
      </c>
      <c r="AP176">
        <f t="shared" si="54"/>
        <v>0</v>
      </c>
      <c r="AQ176">
        <f t="shared" si="54"/>
        <v>0</v>
      </c>
      <c r="AR176">
        <f t="shared" si="54"/>
        <v>0</v>
      </c>
      <c r="AS176">
        <f t="shared" si="54"/>
        <v>0</v>
      </c>
      <c r="AT176">
        <f t="shared" si="54"/>
        <v>0</v>
      </c>
      <c r="AU176" t="str">
        <f t="shared" si="54"/>
        <v>Mangold</v>
      </c>
      <c r="AV176">
        <f t="shared" si="54"/>
        <v>0</v>
      </c>
      <c r="AW176">
        <f t="shared" si="54"/>
        <v>0</v>
      </c>
      <c r="AX176">
        <f t="shared" si="54"/>
        <v>0</v>
      </c>
      <c r="AY176">
        <f t="shared" si="55"/>
        <v>0</v>
      </c>
      <c r="AZ176">
        <f t="shared" si="55"/>
        <v>0</v>
      </c>
      <c r="BA176" t="str">
        <f t="shared" si="55"/>
        <v>Connors</v>
      </c>
      <c r="BB176">
        <f t="shared" si="55"/>
        <v>0</v>
      </c>
      <c r="BC176">
        <f t="shared" si="55"/>
        <v>0</v>
      </c>
      <c r="BD176">
        <f t="shared" si="55"/>
        <v>0</v>
      </c>
      <c r="BE176">
        <f t="shared" si="55"/>
        <v>0</v>
      </c>
      <c r="BF176">
        <f t="shared" si="55"/>
        <v>0</v>
      </c>
      <c r="BG176">
        <f t="shared" si="55"/>
        <v>0</v>
      </c>
      <c r="BH176">
        <f t="shared" si="55"/>
        <v>0</v>
      </c>
      <c r="BI176">
        <f t="shared" si="56"/>
        <v>0</v>
      </c>
      <c r="BJ176">
        <f t="shared" si="56"/>
        <v>0</v>
      </c>
      <c r="BK176">
        <f t="shared" si="56"/>
        <v>0</v>
      </c>
      <c r="BL176">
        <f t="shared" si="56"/>
        <v>0</v>
      </c>
      <c r="BM176">
        <f t="shared" si="56"/>
        <v>0</v>
      </c>
      <c r="BN176">
        <f t="shared" si="56"/>
        <v>0</v>
      </c>
      <c r="BO176">
        <f t="shared" si="56"/>
        <v>0</v>
      </c>
      <c r="BP176">
        <f t="shared" si="56"/>
        <v>0</v>
      </c>
      <c r="BQ176">
        <f t="shared" si="56"/>
        <v>0</v>
      </c>
      <c r="BR176">
        <f t="shared" si="56"/>
        <v>0</v>
      </c>
      <c r="BS176">
        <f t="shared" si="56"/>
        <v>0</v>
      </c>
    </row>
    <row r="177" spans="2:71" ht="15" customHeight="1" x14ac:dyDescent="0.2">
      <c r="B177">
        <v>16</v>
      </c>
      <c r="C177">
        <v>1</v>
      </c>
      <c r="D177">
        <v>4</v>
      </c>
      <c r="E177" t="s">
        <v>235</v>
      </c>
      <c r="F177" t="s">
        <v>214</v>
      </c>
      <c r="G177" s="5">
        <v>42573</v>
      </c>
      <c r="H177" t="s">
        <v>97</v>
      </c>
      <c r="I177" t="s">
        <v>215</v>
      </c>
      <c r="J177" t="s">
        <v>216</v>
      </c>
      <c r="K177">
        <v>9</v>
      </c>
      <c r="L177" t="s">
        <v>90</v>
      </c>
      <c r="M177" t="s">
        <v>217</v>
      </c>
      <c r="N177" t="s">
        <v>78</v>
      </c>
      <c r="O177">
        <v>70.599999999999994</v>
      </c>
      <c r="P177">
        <v>130</v>
      </c>
      <c r="Q177">
        <v>6111</v>
      </c>
      <c r="R177" t="s">
        <v>145</v>
      </c>
      <c r="S177" t="s">
        <v>80</v>
      </c>
      <c r="T177" t="s">
        <v>83</v>
      </c>
      <c r="U177" t="s">
        <v>40</v>
      </c>
      <c r="V177" t="s">
        <v>40</v>
      </c>
      <c r="W177" t="s">
        <v>109</v>
      </c>
      <c r="Y177" t="s">
        <v>49</v>
      </c>
      <c r="AA177">
        <v>1</v>
      </c>
      <c r="AB177" t="s">
        <v>32</v>
      </c>
      <c r="AC177" t="s">
        <v>236</v>
      </c>
      <c r="AE177" t="str">
        <f t="shared" si="41"/>
        <v>GriseShively</v>
      </c>
      <c r="AF177">
        <v>1</v>
      </c>
      <c r="AG177">
        <v>1</v>
      </c>
      <c r="AH177">
        <v>0</v>
      </c>
      <c r="AI177">
        <v>0</v>
      </c>
      <c r="AJ177">
        <v>1</v>
      </c>
      <c r="AK177" t="s">
        <v>52</v>
      </c>
      <c r="AL177">
        <v>0.34745762711864397</v>
      </c>
      <c r="AM177" t="s">
        <v>46</v>
      </c>
      <c r="AN177">
        <v>0.38392857142857201</v>
      </c>
      <c r="AO177" t="str">
        <f t="shared" si="54"/>
        <v>Grise</v>
      </c>
      <c r="AP177">
        <f t="shared" si="54"/>
        <v>0</v>
      </c>
      <c r="AQ177">
        <f t="shared" si="54"/>
        <v>0</v>
      </c>
      <c r="AR177">
        <f t="shared" si="54"/>
        <v>0</v>
      </c>
      <c r="AS177">
        <f t="shared" si="54"/>
        <v>0</v>
      </c>
      <c r="AT177">
        <f t="shared" si="54"/>
        <v>0</v>
      </c>
      <c r="AU177">
        <f t="shared" si="54"/>
        <v>0</v>
      </c>
      <c r="AV177">
        <f t="shared" si="54"/>
        <v>0</v>
      </c>
      <c r="AW177">
        <f t="shared" si="54"/>
        <v>0</v>
      </c>
      <c r="AX177" t="str">
        <f t="shared" si="54"/>
        <v>Shively</v>
      </c>
      <c r="AY177">
        <f t="shared" si="55"/>
        <v>0</v>
      </c>
      <c r="AZ177">
        <f t="shared" si="55"/>
        <v>0</v>
      </c>
      <c r="BA177">
        <f t="shared" si="55"/>
        <v>0</v>
      </c>
      <c r="BB177">
        <f t="shared" si="55"/>
        <v>0</v>
      </c>
      <c r="BC177">
        <f t="shared" si="55"/>
        <v>0</v>
      </c>
      <c r="BD177">
        <f t="shared" si="55"/>
        <v>0</v>
      </c>
      <c r="BE177">
        <f t="shared" si="55"/>
        <v>0</v>
      </c>
      <c r="BF177">
        <f t="shared" si="55"/>
        <v>0</v>
      </c>
      <c r="BG177">
        <f t="shared" si="55"/>
        <v>0</v>
      </c>
      <c r="BH177">
        <f t="shared" si="55"/>
        <v>0</v>
      </c>
      <c r="BI177">
        <f t="shared" si="56"/>
        <v>0</v>
      </c>
      <c r="BJ177">
        <f t="shared" si="56"/>
        <v>0</v>
      </c>
      <c r="BK177">
        <f t="shared" si="56"/>
        <v>0</v>
      </c>
      <c r="BL177">
        <f t="shared" si="56"/>
        <v>0</v>
      </c>
      <c r="BM177">
        <f t="shared" si="56"/>
        <v>0</v>
      </c>
      <c r="BN177">
        <f t="shared" si="56"/>
        <v>0</v>
      </c>
      <c r="BO177">
        <f t="shared" si="56"/>
        <v>0</v>
      </c>
      <c r="BP177">
        <f t="shared" si="56"/>
        <v>0</v>
      </c>
      <c r="BQ177">
        <f t="shared" si="56"/>
        <v>0</v>
      </c>
      <c r="BR177">
        <f t="shared" si="56"/>
        <v>0</v>
      </c>
      <c r="BS177">
        <f t="shared" si="56"/>
        <v>0</v>
      </c>
    </row>
    <row r="178" spans="2:71" ht="15" customHeight="1" x14ac:dyDescent="0.2">
      <c r="B178">
        <v>17</v>
      </c>
      <c r="C178">
        <v>2</v>
      </c>
      <c r="D178">
        <v>4</v>
      </c>
      <c r="E178" t="s">
        <v>237</v>
      </c>
      <c r="F178" t="s">
        <v>214</v>
      </c>
      <c r="G178" s="5">
        <v>42573</v>
      </c>
      <c r="H178" t="s">
        <v>97</v>
      </c>
      <c r="I178" t="s">
        <v>215</v>
      </c>
      <c r="J178" t="s">
        <v>216</v>
      </c>
      <c r="K178">
        <v>9</v>
      </c>
      <c r="L178" t="s">
        <v>90</v>
      </c>
      <c r="M178" t="s">
        <v>217</v>
      </c>
      <c r="N178" t="s">
        <v>78</v>
      </c>
      <c r="O178">
        <v>70.599999999999994</v>
      </c>
      <c r="P178">
        <v>130</v>
      </c>
      <c r="Q178">
        <v>6111</v>
      </c>
      <c r="R178" t="s">
        <v>145</v>
      </c>
      <c r="S178" t="s">
        <v>80</v>
      </c>
      <c r="T178" t="s">
        <v>83</v>
      </c>
      <c r="U178" t="s">
        <v>40</v>
      </c>
      <c r="V178" t="s">
        <v>57</v>
      </c>
      <c r="W178" t="s">
        <v>109</v>
      </c>
      <c r="Y178" t="s">
        <v>48</v>
      </c>
      <c r="AA178">
        <v>1</v>
      </c>
      <c r="AB178" t="s">
        <v>32</v>
      </c>
      <c r="AC178" t="s">
        <v>238</v>
      </c>
      <c r="AE178" t="str">
        <f t="shared" si="41"/>
        <v>BussLynch</v>
      </c>
      <c r="AF178">
        <v>1</v>
      </c>
      <c r="AG178">
        <v>1</v>
      </c>
      <c r="AH178">
        <v>0</v>
      </c>
      <c r="AI178">
        <v>0</v>
      </c>
      <c r="AJ178">
        <v>1</v>
      </c>
      <c r="AK178" t="s">
        <v>44</v>
      </c>
      <c r="AL178">
        <v>0.4296875</v>
      </c>
      <c r="AM178" t="s">
        <v>53</v>
      </c>
      <c r="AN178">
        <v>0.59649122807017496</v>
      </c>
      <c r="AO178">
        <f t="shared" si="54"/>
        <v>0</v>
      </c>
      <c r="AP178">
        <f t="shared" si="54"/>
        <v>0</v>
      </c>
      <c r="AQ178">
        <f t="shared" si="54"/>
        <v>0</v>
      </c>
      <c r="AR178">
        <f t="shared" si="54"/>
        <v>0</v>
      </c>
      <c r="AS178">
        <f t="shared" si="54"/>
        <v>0</v>
      </c>
      <c r="AT178">
        <f t="shared" si="54"/>
        <v>0</v>
      </c>
      <c r="AU178">
        <f t="shared" si="54"/>
        <v>0</v>
      </c>
      <c r="AV178">
        <f t="shared" si="54"/>
        <v>0</v>
      </c>
      <c r="AW178" t="str">
        <f t="shared" si="54"/>
        <v>Lynch</v>
      </c>
      <c r="AX178">
        <f t="shared" si="54"/>
        <v>0</v>
      </c>
      <c r="AY178">
        <f t="shared" si="55"/>
        <v>0</v>
      </c>
      <c r="AZ178">
        <f t="shared" si="55"/>
        <v>0</v>
      </c>
      <c r="BA178">
        <f t="shared" si="55"/>
        <v>0</v>
      </c>
      <c r="BB178">
        <f t="shared" si="55"/>
        <v>0</v>
      </c>
      <c r="BC178">
        <f t="shared" si="55"/>
        <v>0</v>
      </c>
      <c r="BD178">
        <f t="shared" si="55"/>
        <v>0</v>
      </c>
      <c r="BE178">
        <f t="shared" si="55"/>
        <v>0</v>
      </c>
      <c r="BF178" t="str">
        <f t="shared" si="55"/>
        <v>Buss</v>
      </c>
      <c r="BG178">
        <f t="shared" si="55"/>
        <v>0</v>
      </c>
      <c r="BH178">
        <f t="shared" si="55"/>
        <v>0</v>
      </c>
      <c r="BI178">
        <f t="shared" si="56"/>
        <v>0</v>
      </c>
      <c r="BJ178">
        <f t="shared" si="56"/>
        <v>0</v>
      </c>
      <c r="BK178">
        <f t="shared" si="56"/>
        <v>0</v>
      </c>
      <c r="BL178">
        <f t="shared" si="56"/>
        <v>0</v>
      </c>
      <c r="BM178">
        <f t="shared" si="56"/>
        <v>0</v>
      </c>
      <c r="BN178">
        <f t="shared" si="56"/>
        <v>0</v>
      </c>
      <c r="BO178">
        <f t="shared" si="56"/>
        <v>0</v>
      </c>
      <c r="BP178">
        <f t="shared" si="56"/>
        <v>0</v>
      </c>
      <c r="BQ178">
        <f t="shared" si="56"/>
        <v>0</v>
      </c>
      <c r="BR178">
        <f t="shared" si="56"/>
        <v>0</v>
      </c>
      <c r="BS178">
        <f t="shared" si="56"/>
        <v>0</v>
      </c>
    </row>
    <row r="179" spans="2:71" ht="15" customHeight="1" x14ac:dyDescent="0.2">
      <c r="B179">
        <v>17</v>
      </c>
      <c r="C179">
        <v>2</v>
      </c>
      <c r="D179">
        <v>4</v>
      </c>
      <c r="E179" t="s">
        <v>237</v>
      </c>
      <c r="F179" t="s">
        <v>214</v>
      </c>
      <c r="G179" s="5">
        <v>42573</v>
      </c>
      <c r="H179" t="s">
        <v>97</v>
      </c>
      <c r="I179" t="s">
        <v>215</v>
      </c>
      <c r="J179" t="s">
        <v>216</v>
      </c>
      <c r="K179">
        <v>9</v>
      </c>
      <c r="L179" t="s">
        <v>90</v>
      </c>
      <c r="M179" t="s">
        <v>217</v>
      </c>
      <c r="N179" t="s">
        <v>78</v>
      </c>
      <c r="O179">
        <v>70.599999999999994</v>
      </c>
      <c r="P179">
        <v>130</v>
      </c>
      <c r="Q179">
        <v>6111</v>
      </c>
      <c r="R179" t="s">
        <v>145</v>
      </c>
      <c r="S179" t="s">
        <v>80</v>
      </c>
      <c r="T179" t="s">
        <v>81</v>
      </c>
      <c r="U179" t="s">
        <v>46</v>
      </c>
      <c r="V179" t="s">
        <v>44</v>
      </c>
      <c r="W179" t="s">
        <v>123</v>
      </c>
      <c r="Y179" t="s">
        <v>53</v>
      </c>
      <c r="AA179">
        <v>1</v>
      </c>
      <c r="AB179" t="s">
        <v>33</v>
      </c>
      <c r="AC179" t="s">
        <v>238</v>
      </c>
      <c r="AE179" t="str">
        <f t="shared" si="41"/>
        <v>FlandersForster</v>
      </c>
      <c r="AF179">
        <v>0</v>
      </c>
      <c r="AG179">
        <v>0</v>
      </c>
      <c r="AH179">
        <v>1</v>
      </c>
      <c r="AI179">
        <v>0</v>
      </c>
      <c r="AJ179">
        <v>0</v>
      </c>
      <c r="AK179" t="s">
        <v>57</v>
      </c>
      <c r="AL179">
        <v>0.44827586206896602</v>
      </c>
      <c r="AM179" t="s">
        <v>48</v>
      </c>
      <c r="AN179">
        <v>0.5546875</v>
      </c>
      <c r="AO179">
        <f t="shared" si="54"/>
        <v>0</v>
      </c>
      <c r="AP179">
        <f t="shared" si="54"/>
        <v>0</v>
      </c>
      <c r="AQ179">
        <f t="shared" si="54"/>
        <v>0</v>
      </c>
      <c r="AR179">
        <f t="shared" si="54"/>
        <v>0</v>
      </c>
      <c r="AS179" t="str">
        <f t="shared" si="54"/>
        <v>Flanders</v>
      </c>
      <c r="AT179">
        <f t="shared" si="54"/>
        <v>0</v>
      </c>
      <c r="AU179">
        <f t="shared" si="54"/>
        <v>0</v>
      </c>
      <c r="AV179">
        <f t="shared" si="54"/>
        <v>0</v>
      </c>
      <c r="AW179">
        <f t="shared" si="54"/>
        <v>0</v>
      </c>
      <c r="AX179">
        <f t="shared" si="54"/>
        <v>0</v>
      </c>
      <c r="AY179">
        <f t="shared" si="55"/>
        <v>0</v>
      </c>
      <c r="AZ179">
        <f t="shared" si="55"/>
        <v>0</v>
      </c>
      <c r="BA179">
        <f t="shared" si="55"/>
        <v>0</v>
      </c>
      <c r="BB179" t="str">
        <f t="shared" si="55"/>
        <v>Forster</v>
      </c>
      <c r="BC179">
        <f t="shared" si="55"/>
        <v>0</v>
      </c>
      <c r="BD179">
        <f t="shared" si="55"/>
        <v>0</v>
      </c>
      <c r="BE179">
        <f t="shared" si="55"/>
        <v>0</v>
      </c>
      <c r="BF179">
        <f t="shared" si="55"/>
        <v>0</v>
      </c>
      <c r="BG179">
        <f t="shared" si="55"/>
        <v>0</v>
      </c>
      <c r="BH179">
        <f t="shared" si="55"/>
        <v>0</v>
      </c>
      <c r="BI179">
        <f t="shared" si="56"/>
        <v>0</v>
      </c>
      <c r="BJ179">
        <f t="shared" si="56"/>
        <v>0</v>
      </c>
      <c r="BK179">
        <f t="shared" si="56"/>
        <v>0</v>
      </c>
      <c r="BL179">
        <f t="shared" si="56"/>
        <v>0</v>
      </c>
      <c r="BM179">
        <f t="shared" si="56"/>
        <v>0</v>
      </c>
      <c r="BN179">
        <f t="shared" si="56"/>
        <v>0</v>
      </c>
      <c r="BO179">
        <f t="shared" si="56"/>
        <v>0</v>
      </c>
      <c r="BP179">
        <f t="shared" si="56"/>
        <v>0</v>
      </c>
      <c r="BQ179">
        <f t="shared" si="56"/>
        <v>0</v>
      </c>
      <c r="BR179">
        <f t="shared" si="56"/>
        <v>0</v>
      </c>
      <c r="BS179">
        <f t="shared" si="56"/>
        <v>0</v>
      </c>
    </row>
    <row r="180" spans="2:71" ht="15" customHeight="1" x14ac:dyDescent="0.2">
      <c r="B180">
        <v>18</v>
      </c>
      <c r="C180">
        <v>3</v>
      </c>
      <c r="D180">
        <v>4</v>
      </c>
      <c r="E180" t="s">
        <v>239</v>
      </c>
      <c r="F180" t="s">
        <v>214</v>
      </c>
      <c r="G180" s="5">
        <v>42573</v>
      </c>
      <c r="H180" t="s">
        <v>97</v>
      </c>
      <c r="I180" t="s">
        <v>215</v>
      </c>
      <c r="J180" t="s">
        <v>216</v>
      </c>
      <c r="K180">
        <v>9</v>
      </c>
      <c r="L180" t="s">
        <v>90</v>
      </c>
      <c r="M180" t="s">
        <v>217</v>
      </c>
      <c r="N180" t="s">
        <v>78</v>
      </c>
      <c r="O180">
        <v>70.599999999999994</v>
      </c>
      <c r="P180">
        <v>130</v>
      </c>
      <c r="Q180">
        <v>6111</v>
      </c>
      <c r="R180" t="s">
        <v>145</v>
      </c>
      <c r="S180" t="s">
        <v>80</v>
      </c>
      <c r="T180" t="s">
        <v>81</v>
      </c>
      <c r="U180" t="s">
        <v>46</v>
      </c>
      <c r="V180" t="s">
        <v>58</v>
      </c>
      <c r="W180" t="s">
        <v>123</v>
      </c>
      <c r="Y180" t="s">
        <v>59</v>
      </c>
      <c r="AA180">
        <v>1</v>
      </c>
      <c r="AB180" t="s">
        <v>33</v>
      </c>
      <c r="AC180" t="s">
        <v>240</v>
      </c>
      <c r="AE180" t="str">
        <f t="shared" si="41"/>
        <v>GrayNorat</v>
      </c>
      <c r="AF180">
        <v>0</v>
      </c>
      <c r="AG180">
        <v>0</v>
      </c>
      <c r="AH180">
        <v>1</v>
      </c>
      <c r="AI180">
        <v>0</v>
      </c>
      <c r="AJ180">
        <v>0</v>
      </c>
      <c r="AK180" t="s">
        <v>45</v>
      </c>
      <c r="AL180">
        <v>0.59375</v>
      </c>
      <c r="AM180" t="s">
        <v>61</v>
      </c>
      <c r="AN180">
        <v>0.5</v>
      </c>
      <c r="AO180">
        <f t="shared" si="54"/>
        <v>0</v>
      </c>
      <c r="AP180">
        <f t="shared" si="54"/>
        <v>0</v>
      </c>
      <c r="AQ180">
        <f t="shared" si="54"/>
        <v>0</v>
      </c>
      <c r="AR180">
        <f t="shared" si="54"/>
        <v>0</v>
      </c>
      <c r="AS180">
        <f t="shared" si="54"/>
        <v>0</v>
      </c>
      <c r="AT180">
        <f t="shared" si="54"/>
        <v>0</v>
      </c>
      <c r="AU180">
        <f t="shared" si="54"/>
        <v>0</v>
      </c>
      <c r="AV180">
        <f t="shared" si="54"/>
        <v>0</v>
      </c>
      <c r="AW180">
        <f t="shared" si="54"/>
        <v>0</v>
      </c>
      <c r="AX180">
        <f t="shared" si="54"/>
        <v>0</v>
      </c>
      <c r="AY180">
        <f t="shared" si="55"/>
        <v>0</v>
      </c>
      <c r="AZ180">
        <f t="shared" si="55"/>
        <v>0</v>
      </c>
      <c r="BA180">
        <f t="shared" si="55"/>
        <v>0</v>
      </c>
      <c r="BB180">
        <f t="shared" si="55"/>
        <v>0</v>
      </c>
      <c r="BC180">
        <f t="shared" si="55"/>
        <v>0</v>
      </c>
      <c r="BD180">
        <f t="shared" si="55"/>
        <v>0</v>
      </c>
      <c r="BE180">
        <f t="shared" si="55"/>
        <v>0</v>
      </c>
      <c r="BF180">
        <f t="shared" si="55"/>
        <v>0</v>
      </c>
      <c r="BG180" t="str">
        <f t="shared" si="55"/>
        <v>Gray</v>
      </c>
      <c r="BH180" t="str">
        <f t="shared" si="55"/>
        <v>Norat</v>
      </c>
      <c r="BI180">
        <f t="shared" si="56"/>
        <v>0</v>
      </c>
      <c r="BJ180">
        <f t="shared" si="56"/>
        <v>0</v>
      </c>
      <c r="BK180">
        <f t="shared" si="56"/>
        <v>0</v>
      </c>
      <c r="BL180">
        <f t="shared" si="56"/>
        <v>0</v>
      </c>
      <c r="BM180">
        <f t="shared" si="56"/>
        <v>0</v>
      </c>
      <c r="BN180">
        <f t="shared" si="56"/>
        <v>0</v>
      </c>
      <c r="BO180">
        <f t="shared" si="56"/>
        <v>0</v>
      </c>
      <c r="BP180">
        <f t="shared" si="56"/>
        <v>0</v>
      </c>
      <c r="BQ180">
        <f t="shared" si="56"/>
        <v>0</v>
      </c>
      <c r="BR180">
        <f t="shared" si="56"/>
        <v>0</v>
      </c>
      <c r="BS180">
        <f t="shared" si="56"/>
        <v>0</v>
      </c>
    </row>
    <row r="181" spans="2:71" ht="15" customHeight="1" x14ac:dyDescent="0.2">
      <c r="B181">
        <v>18</v>
      </c>
      <c r="C181">
        <v>3</v>
      </c>
      <c r="D181">
        <v>4</v>
      </c>
      <c r="E181" t="s">
        <v>239</v>
      </c>
      <c r="F181" t="s">
        <v>214</v>
      </c>
      <c r="G181" s="5">
        <v>42573</v>
      </c>
      <c r="H181" t="s">
        <v>97</v>
      </c>
      <c r="I181" t="s">
        <v>215</v>
      </c>
      <c r="J181" t="s">
        <v>216</v>
      </c>
      <c r="K181">
        <v>9</v>
      </c>
      <c r="L181" t="s">
        <v>90</v>
      </c>
      <c r="M181" t="s">
        <v>217</v>
      </c>
      <c r="N181" t="s">
        <v>78</v>
      </c>
      <c r="O181">
        <v>70.599999999999994</v>
      </c>
      <c r="P181">
        <v>130</v>
      </c>
      <c r="Q181">
        <v>6111</v>
      </c>
      <c r="R181" t="s">
        <v>145</v>
      </c>
      <c r="S181" t="s">
        <v>80</v>
      </c>
      <c r="T181" t="s">
        <v>83</v>
      </c>
      <c r="U181" t="s">
        <v>40</v>
      </c>
      <c r="V181" t="s">
        <v>45</v>
      </c>
      <c r="W181" t="s">
        <v>109</v>
      </c>
      <c r="Y181" t="s">
        <v>61</v>
      </c>
      <c r="AA181">
        <v>1</v>
      </c>
      <c r="AB181" t="s">
        <v>32</v>
      </c>
      <c r="AC181" t="s">
        <v>240</v>
      </c>
      <c r="AE181" t="str">
        <f t="shared" si="41"/>
        <v>ConnollyMcInerney</v>
      </c>
      <c r="AF181">
        <v>1</v>
      </c>
      <c r="AG181">
        <v>1</v>
      </c>
      <c r="AH181">
        <v>0</v>
      </c>
      <c r="AI181">
        <v>0</v>
      </c>
      <c r="AJ181">
        <v>1</v>
      </c>
      <c r="AK181" t="s">
        <v>58</v>
      </c>
      <c r="AL181">
        <v>0.65476190476190499</v>
      </c>
      <c r="AM181" t="s">
        <v>59</v>
      </c>
      <c r="AN181">
        <v>0.52777777777777801</v>
      </c>
      <c r="AO181">
        <f t="shared" si="54"/>
        <v>0</v>
      </c>
      <c r="AP181">
        <f t="shared" si="54"/>
        <v>0</v>
      </c>
      <c r="AQ181">
        <f t="shared" si="54"/>
        <v>0</v>
      </c>
      <c r="AR181">
        <f t="shared" si="54"/>
        <v>0</v>
      </c>
      <c r="AS181">
        <f t="shared" si="54"/>
        <v>0</v>
      </c>
      <c r="AT181" t="str">
        <f t="shared" si="54"/>
        <v>Connolly</v>
      </c>
      <c r="AU181">
        <f t="shared" si="54"/>
        <v>0</v>
      </c>
      <c r="AV181">
        <f t="shared" si="54"/>
        <v>0</v>
      </c>
      <c r="AW181">
        <f t="shared" si="54"/>
        <v>0</v>
      </c>
      <c r="AX181">
        <f t="shared" si="54"/>
        <v>0</v>
      </c>
      <c r="AY181">
        <f t="shared" si="55"/>
        <v>0</v>
      </c>
      <c r="AZ181">
        <f t="shared" si="55"/>
        <v>0</v>
      </c>
      <c r="BA181">
        <f t="shared" si="55"/>
        <v>0</v>
      </c>
      <c r="BB181">
        <f t="shared" si="55"/>
        <v>0</v>
      </c>
      <c r="BC181">
        <f t="shared" si="55"/>
        <v>0</v>
      </c>
      <c r="BD181">
        <f t="shared" si="55"/>
        <v>0</v>
      </c>
      <c r="BE181">
        <f t="shared" si="55"/>
        <v>0</v>
      </c>
      <c r="BF181">
        <f t="shared" si="55"/>
        <v>0</v>
      </c>
      <c r="BG181">
        <f t="shared" si="55"/>
        <v>0</v>
      </c>
      <c r="BH181">
        <f t="shared" si="55"/>
        <v>0</v>
      </c>
      <c r="BI181">
        <f t="shared" si="56"/>
        <v>0</v>
      </c>
      <c r="BJ181" t="str">
        <f t="shared" si="56"/>
        <v>McInerney</v>
      </c>
      <c r="BK181">
        <f t="shared" si="56"/>
        <v>0</v>
      </c>
      <c r="BL181">
        <f t="shared" si="56"/>
        <v>0</v>
      </c>
      <c r="BM181">
        <f t="shared" si="56"/>
        <v>0</v>
      </c>
      <c r="BN181">
        <f t="shared" si="56"/>
        <v>0</v>
      </c>
      <c r="BO181">
        <f t="shared" si="56"/>
        <v>0</v>
      </c>
      <c r="BP181">
        <f t="shared" si="56"/>
        <v>0</v>
      </c>
      <c r="BQ181">
        <f t="shared" si="56"/>
        <v>0</v>
      </c>
      <c r="BR181">
        <f t="shared" si="56"/>
        <v>0</v>
      </c>
      <c r="BS181">
        <f t="shared" si="56"/>
        <v>0</v>
      </c>
    </row>
    <row r="182" spans="2:71" ht="15" customHeight="1" x14ac:dyDescent="0.2">
      <c r="B182">
        <v>19</v>
      </c>
      <c r="C182">
        <v>4</v>
      </c>
      <c r="D182">
        <v>4</v>
      </c>
      <c r="E182" t="s">
        <v>241</v>
      </c>
      <c r="F182" t="s">
        <v>214</v>
      </c>
      <c r="G182" s="5">
        <v>42573</v>
      </c>
      <c r="H182" t="s">
        <v>97</v>
      </c>
      <c r="I182" t="s">
        <v>215</v>
      </c>
      <c r="J182" t="s">
        <v>216</v>
      </c>
      <c r="K182">
        <v>9</v>
      </c>
      <c r="L182" t="s">
        <v>90</v>
      </c>
      <c r="M182" t="s">
        <v>217</v>
      </c>
      <c r="N182" t="s">
        <v>78</v>
      </c>
      <c r="O182">
        <v>70.599999999999994</v>
      </c>
      <c r="P182">
        <v>130</v>
      </c>
      <c r="Q182">
        <v>6111</v>
      </c>
      <c r="R182" t="s">
        <v>145</v>
      </c>
      <c r="S182" t="s">
        <v>80</v>
      </c>
      <c r="T182" t="s">
        <v>83</v>
      </c>
      <c r="U182" t="s">
        <v>40</v>
      </c>
      <c r="V182" t="s">
        <v>60</v>
      </c>
      <c r="W182" t="s">
        <v>109</v>
      </c>
      <c r="Y182" t="s">
        <v>62</v>
      </c>
      <c r="AA182">
        <v>1</v>
      </c>
      <c r="AB182" t="s">
        <v>33</v>
      </c>
      <c r="AC182" t="s">
        <v>242</v>
      </c>
      <c r="AE182" t="str">
        <f t="shared" si="41"/>
        <v>ZimmerWelker</v>
      </c>
      <c r="AF182">
        <v>0</v>
      </c>
      <c r="AG182">
        <v>0</v>
      </c>
      <c r="AH182">
        <v>1</v>
      </c>
      <c r="AI182">
        <v>0</v>
      </c>
      <c r="AJ182">
        <v>0</v>
      </c>
      <c r="AK182" t="s">
        <v>50</v>
      </c>
      <c r="AL182">
        <v>0.59523809523809501</v>
      </c>
      <c r="AM182" t="s">
        <v>42</v>
      </c>
      <c r="AN182">
        <v>0.6171875</v>
      </c>
      <c r="AO182">
        <f t="shared" ref="AO182:AX191" si="57">IF(OR($V182=AO$1,$Y182=AO$1),AO$1,0)</f>
        <v>0</v>
      </c>
      <c r="AP182">
        <f t="shared" si="57"/>
        <v>0</v>
      </c>
      <c r="AQ182">
        <f t="shared" si="57"/>
        <v>0</v>
      </c>
      <c r="AR182">
        <f t="shared" si="57"/>
        <v>0</v>
      </c>
      <c r="AS182">
        <f t="shared" si="57"/>
        <v>0</v>
      </c>
      <c r="AT182">
        <f t="shared" si="57"/>
        <v>0</v>
      </c>
      <c r="AU182">
        <f t="shared" si="57"/>
        <v>0</v>
      </c>
      <c r="AV182">
        <f t="shared" si="57"/>
        <v>0</v>
      </c>
      <c r="AW182">
        <f t="shared" si="57"/>
        <v>0</v>
      </c>
      <c r="AX182">
        <f t="shared" si="57"/>
        <v>0</v>
      </c>
      <c r="AY182">
        <f t="shared" ref="AY182:BH191" si="58">IF(OR($V182=AY$1,$Y182=AY$1),AY$1,0)</f>
        <v>0</v>
      </c>
      <c r="AZ182">
        <f t="shared" si="58"/>
        <v>0</v>
      </c>
      <c r="BA182">
        <f t="shared" si="58"/>
        <v>0</v>
      </c>
      <c r="BB182">
        <f t="shared" si="58"/>
        <v>0</v>
      </c>
      <c r="BC182">
        <f t="shared" si="58"/>
        <v>0</v>
      </c>
      <c r="BD182">
        <f t="shared" si="58"/>
        <v>0</v>
      </c>
      <c r="BE182">
        <f t="shared" si="58"/>
        <v>0</v>
      </c>
      <c r="BF182">
        <f t="shared" si="58"/>
        <v>0</v>
      </c>
      <c r="BG182">
        <f t="shared" si="58"/>
        <v>0</v>
      </c>
      <c r="BH182">
        <f t="shared" si="58"/>
        <v>0</v>
      </c>
      <c r="BI182" t="str">
        <f t="shared" ref="BI182:BS191" si="59">IF(OR($V182=BI$1,$Y182=BI$1),BI$1,0)</f>
        <v>Zimmer</v>
      </c>
      <c r="BJ182">
        <f t="shared" si="59"/>
        <v>0</v>
      </c>
      <c r="BK182" t="str">
        <f t="shared" si="59"/>
        <v>Welker</v>
      </c>
      <c r="BL182">
        <f t="shared" si="59"/>
        <v>0</v>
      </c>
      <c r="BM182">
        <f t="shared" si="59"/>
        <v>0</v>
      </c>
      <c r="BN182">
        <f t="shared" si="59"/>
        <v>0</v>
      </c>
      <c r="BO182">
        <f t="shared" si="59"/>
        <v>0</v>
      </c>
      <c r="BP182">
        <f t="shared" si="59"/>
        <v>0</v>
      </c>
      <c r="BQ182">
        <f t="shared" si="59"/>
        <v>0</v>
      </c>
      <c r="BR182">
        <f t="shared" si="59"/>
        <v>0</v>
      </c>
      <c r="BS182">
        <f t="shared" si="59"/>
        <v>0</v>
      </c>
    </row>
    <row r="183" spans="2:71" ht="15" customHeight="1" x14ac:dyDescent="0.2">
      <c r="B183">
        <v>19</v>
      </c>
      <c r="C183">
        <v>4</v>
      </c>
      <c r="D183">
        <v>4</v>
      </c>
      <c r="E183" t="s">
        <v>241</v>
      </c>
      <c r="F183" t="s">
        <v>214</v>
      </c>
      <c r="G183" s="5">
        <v>42573</v>
      </c>
      <c r="H183" t="s">
        <v>97</v>
      </c>
      <c r="I183" t="s">
        <v>215</v>
      </c>
      <c r="J183" t="s">
        <v>216</v>
      </c>
      <c r="K183">
        <v>9</v>
      </c>
      <c r="L183" t="s">
        <v>90</v>
      </c>
      <c r="M183" t="s">
        <v>217</v>
      </c>
      <c r="N183" t="s">
        <v>78</v>
      </c>
      <c r="O183">
        <v>70.599999999999994</v>
      </c>
      <c r="P183">
        <v>130</v>
      </c>
      <c r="Q183">
        <v>6111</v>
      </c>
      <c r="R183" t="s">
        <v>145</v>
      </c>
      <c r="S183" t="s">
        <v>80</v>
      </c>
      <c r="T183" t="s">
        <v>81</v>
      </c>
      <c r="U183" t="s">
        <v>46</v>
      </c>
      <c r="V183" t="s">
        <v>50</v>
      </c>
      <c r="W183" t="s">
        <v>123</v>
      </c>
      <c r="Y183" t="s">
        <v>42</v>
      </c>
      <c r="AA183">
        <v>1</v>
      </c>
      <c r="AB183" t="s">
        <v>32</v>
      </c>
      <c r="AC183" t="s">
        <v>242</v>
      </c>
      <c r="AE183" t="str">
        <f t="shared" si="41"/>
        <v>FerrinJackson</v>
      </c>
      <c r="AF183">
        <v>1</v>
      </c>
      <c r="AG183">
        <v>1</v>
      </c>
      <c r="AH183">
        <v>0</v>
      </c>
      <c r="AI183">
        <v>0</v>
      </c>
      <c r="AJ183">
        <v>1</v>
      </c>
      <c r="AK183" t="s">
        <v>60</v>
      </c>
      <c r="AL183">
        <v>0.5</v>
      </c>
      <c r="AM183" t="s">
        <v>62</v>
      </c>
      <c r="AN183">
        <v>0.51041666666666696</v>
      </c>
      <c r="AO183">
        <f t="shared" si="57"/>
        <v>0</v>
      </c>
      <c r="AP183">
        <f t="shared" si="57"/>
        <v>0</v>
      </c>
      <c r="AQ183" t="str">
        <f t="shared" si="57"/>
        <v>Jackson</v>
      </c>
      <c r="AR183">
        <f t="shared" si="57"/>
        <v>0</v>
      </c>
      <c r="AS183">
        <f t="shared" si="57"/>
        <v>0</v>
      </c>
      <c r="AT183">
        <f t="shared" si="57"/>
        <v>0</v>
      </c>
      <c r="AU183">
        <f t="shared" si="57"/>
        <v>0</v>
      </c>
      <c r="AV183">
        <f t="shared" si="57"/>
        <v>0</v>
      </c>
      <c r="AW183">
        <f t="shared" si="57"/>
        <v>0</v>
      </c>
      <c r="AX183">
        <f t="shared" si="57"/>
        <v>0</v>
      </c>
      <c r="AY183" t="str">
        <f t="shared" si="58"/>
        <v>Ferrin</v>
      </c>
      <c r="AZ183">
        <f t="shared" si="58"/>
        <v>0</v>
      </c>
      <c r="BA183">
        <f t="shared" si="58"/>
        <v>0</v>
      </c>
      <c r="BB183">
        <f t="shared" si="58"/>
        <v>0</v>
      </c>
      <c r="BC183">
        <f t="shared" si="58"/>
        <v>0</v>
      </c>
      <c r="BD183">
        <f t="shared" si="58"/>
        <v>0</v>
      </c>
      <c r="BE183">
        <f t="shared" si="58"/>
        <v>0</v>
      </c>
      <c r="BF183">
        <f t="shared" si="58"/>
        <v>0</v>
      </c>
      <c r="BG183">
        <f t="shared" si="58"/>
        <v>0</v>
      </c>
      <c r="BH183">
        <f t="shared" si="58"/>
        <v>0</v>
      </c>
      <c r="BI183">
        <f t="shared" si="59"/>
        <v>0</v>
      </c>
      <c r="BJ183">
        <f t="shared" si="59"/>
        <v>0</v>
      </c>
      <c r="BK183">
        <f t="shared" si="59"/>
        <v>0</v>
      </c>
      <c r="BL183">
        <f t="shared" si="59"/>
        <v>0</v>
      </c>
      <c r="BM183">
        <f t="shared" si="59"/>
        <v>0</v>
      </c>
      <c r="BN183">
        <f t="shared" si="59"/>
        <v>0</v>
      </c>
      <c r="BO183">
        <f t="shared" si="59"/>
        <v>0</v>
      </c>
      <c r="BP183">
        <f t="shared" si="59"/>
        <v>0</v>
      </c>
      <c r="BQ183">
        <f t="shared" si="59"/>
        <v>0</v>
      </c>
      <c r="BR183">
        <f t="shared" si="59"/>
        <v>0</v>
      </c>
      <c r="BS183">
        <f t="shared" si="59"/>
        <v>0</v>
      </c>
    </row>
    <row r="184" spans="2:71" ht="15" customHeight="1" x14ac:dyDescent="0.2">
      <c r="B184">
        <v>20</v>
      </c>
      <c r="C184">
        <v>5</v>
      </c>
      <c r="D184">
        <v>4</v>
      </c>
      <c r="E184" t="s">
        <v>243</v>
      </c>
      <c r="F184" t="s">
        <v>214</v>
      </c>
      <c r="G184" s="5">
        <v>42573</v>
      </c>
      <c r="H184" t="s">
        <v>97</v>
      </c>
      <c r="I184" t="s">
        <v>215</v>
      </c>
      <c r="J184" t="s">
        <v>216</v>
      </c>
      <c r="K184">
        <v>9</v>
      </c>
      <c r="L184" t="s">
        <v>90</v>
      </c>
      <c r="M184" t="s">
        <v>217</v>
      </c>
      <c r="N184" t="s">
        <v>78</v>
      </c>
      <c r="O184">
        <v>70.599999999999994</v>
      </c>
      <c r="P184">
        <v>130</v>
      </c>
      <c r="Q184">
        <v>6111</v>
      </c>
      <c r="R184" t="s">
        <v>145</v>
      </c>
      <c r="S184" t="s">
        <v>80</v>
      </c>
      <c r="T184" t="s">
        <v>81</v>
      </c>
      <c r="U184" t="s">
        <v>46</v>
      </c>
      <c r="V184" t="s">
        <v>55</v>
      </c>
      <c r="W184" t="s">
        <v>123</v>
      </c>
      <c r="Y184" t="s">
        <v>56</v>
      </c>
      <c r="AA184">
        <v>1</v>
      </c>
      <c r="AB184" t="s">
        <v>32</v>
      </c>
      <c r="AC184" t="s">
        <v>244</v>
      </c>
      <c r="AE184" t="str">
        <f t="shared" si="41"/>
        <v>ColeWeisberger</v>
      </c>
      <c r="AF184">
        <v>1</v>
      </c>
      <c r="AG184">
        <v>1</v>
      </c>
      <c r="AH184">
        <v>0</v>
      </c>
      <c r="AI184">
        <v>0</v>
      </c>
      <c r="AJ184">
        <v>1</v>
      </c>
      <c r="AK184" t="s">
        <v>54</v>
      </c>
      <c r="AL184">
        <v>0.37288135593220301</v>
      </c>
      <c r="AM184" t="s">
        <v>47</v>
      </c>
      <c r="AN184">
        <v>0.35714285714285698</v>
      </c>
      <c r="AO184">
        <f t="shared" si="57"/>
        <v>0</v>
      </c>
      <c r="AP184">
        <f t="shared" si="57"/>
        <v>0</v>
      </c>
      <c r="AQ184">
        <f t="shared" si="57"/>
        <v>0</v>
      </c>
      <c r="AR184">
        <f t="shared" si="57"/>
        <v>0</v>
      </c>
      <c r="AS184">
        <f t="shared" si="57"/>
        <v>0</v>
      </c>
      <c r="AT184">
        <f t="shared" si="57"/>
        <v>0</v>
      </c>
      <c r="AU184">
        <f t="shared" si="57"/>
        <v>0</v>
      </c>
      <c r="AV184">
        <f t="shared" si="57"/>
        <v>0</v>
      </c>
      <c r="AW184">
        <f t="shared" si="57"/>
        <v>0</v>
      </c>
      <c r="AX184">
        <f t="shared" si="57"/>
        <v>0</v>
      </c>
      <c r="AY184">
        <f t="shared" si="58"/>
        <v>0</v>
      </c>
      <c r="AZ184">
        <f t="shared" si="58"/>
        <v>0</v>
      </c>
      <c r="BA184">
        <f t="shared" si="58"/>
        <v>0</v>
      </c>
      <c r="BB184">
        <f t="shared" si="58"/>
        <v>0</v>
      </c>
      <c r="BC184">
        <f t="shared" si="58"/>
        <v>0</v>
      </c>
      <c r="BD184" t="str">
        <f t="shared" si="58"/>
        <v>Cole</v>
      </c>
      <c r="BE184" t="str">
        <f t="shared" si="58"/>
        <v>Weisberger</v>
      </c>
      <c r="BF184">
        <f t="shared" si="58"/>
        <v>0</v>
      </c>
      <c r="BG184">
        <f t="shared" si="58"/>
        <v>0</v>
      </c>
      <c r="BH184">
        <f t="shared" si="58"/>
        <v>0</v>
      </c>
      <c r="BI184">
        <f t="shared" si="59"/>
        <v>0</v>
      </c>
      <c r="BJ184">
        <f t="shared" si="59"/>
        <v>0</v>
      </c>
      <c r="BK184">
        <f t="shared" si="59"/>
        <v>0</v>
      </c>
      <c r="BL184">
        <f t="shared" si="59"/>
        <v>0</v>
      </c>
      <c r="BM184">
        <f t="shared" si="59"/>
        <v>0</v>
      </c>
      <c r="BN184">
        <f t="shared" si="59"/>
        <v>0</v>
      </c>
      <c r="BO184">
        <f t="shared" si="59"/>
        <v>0</v>
      </c>
      <c r="BP184">
        <f t="shared" si="59"/>
        <v>0</v>
      </c>
      <c r="BQ184">
        <f t="shared" si="59"/>
        <v>0</v>
      </c>
      <c r="BR184">
        <f t="shared" si="59"/>
        <v>0</v>
      </c>
      <c r="BS184">
        <f t="shared" si="59"/>
        <v>0</v>
      </c>
    </row>
    <row r="185" spans="2:71" ht="15" customHeight="1" x14ac:dyDescent="0.2">
      <c r="B185">
        <v>20</v>
      </c>
      <c r="C185">
        <v>5</v>
      </c>
      <c r="D185">
        <v>4</v>
      </c>
      <c r="E185" t="s">
        <v>243</v>
      </c>
      <c r="F185" t="s">
        <v>214</v>
      </c>
      <c r="G185" s="5">
        <v>42573</v>
      </c>
      <c r="H185" t="s">
        <v>97</v>
      </c>
      <c r="I185" t="s">
        <v>215</v>
      </c>
      <c r="J185" t="s">
        <v>216</v>
      </c>
      <c r="K185">
        <v>9</v>
      </c>
      <c r="L185" t="s">
        <v>90</v>
      </c>
      <c r="M185" t="s">
        <v>217</v>
      </c>
      <c r="N185" t="s">
        <v>78</v>
      </c>
      <c r="O185">
        <v>70.599999999999994</v>
      </c>
      <c r="P185">
        <v>130</v>
      </c>
      <c r="Q185">
        <v>6111</v>
      </c>
      <c r="R185" t="s">
        <v>145</v>
      </c>
      <c r="S185" t="s">
        <v>80</v>
      </c>
      <c r="T185" t="s">
        <v>83</v>
      </c>
      <c r="U185" t="s">
        <v>40</v>
      </c>
      <c r="V185" t="s">
        <v>54</v>
      </c>
      <c r="W185" t="s">
        <v>109</v>
      </c>
      <c r="Y185" t="s">
        <v>47</v>
      </c>
      <c r="AA185">
        <v>1</v>
      </c>
      <c r="AB185" t="s">
        <v>33</v>
      </c>
      <c r="AC185" t="s">
        <v>244</v>
      </c>
      <c r="AE185" t="str">
        <f t="shared" si="41"/>
        <v>FoganHickerson</v>
      </c>
      <c r="AF185">
        <v>0</v>
      </c>
      <c r="AG185">
        <v>0</v>
      </c>
      <c r="AH185">
        <v>1</v>
      </c>
      <c r="AI185">
        <v>0</v>
      </c>
      <c r="AJ185">
        <v>0</v>
      </c>
      <c r="AK185" t="s">
        <v>55</v>
      </c>
      <c r="AL185">
        <v>0.44067796610169502</v>
      </c>
      <c r="AM185" t="s">
        <v>56</v>
      </c>
      <c r="AN185">
        <v>0.5</v>
      </c>
      <c r="AO185">
        <f t="shared" si="57"/>
        <v>0</v>
      </c>
      <c r="AP185">
        <f t="shared" si="57"/>
        <v>0</v>
      </c>
      <c r="AQ185">
        <f t="shared" si="57"/>
        <v>0</v>
      </c>
      <c r="AR185">
        <f t="shared" si="57"/>
        <v>0</v>
      </c>
      <c r="AS185">
        <f t="shared" si="57"/>
        <v>0</v>
      </c>
      <c r="AT185">
        <f t="shared" si="57"/>
        <v>0</v>
      </c>
      <c r="AU185">
        <f t="shared" si="57"/>
        <v>0</v>
      </c>
      <c r="AV185" t="str">
        <f t="shared" si="57"/>
        <v>Hickerson</v>
      </c>
      <c r="AW185">
        <f t="shared" si="57"/>
        <v>0</v>
      </c>
      <c r="AX185">
        <f t="shared" si="57"/>
        <v>0</v>
      </c>
      <c r="AY185">
        <f t="shared" si="58"/>
        <v>0</v>
      </c>
      <c r="AZ185">
        <f t="shared" si="58"/>
        <v>0</v>
      </c>
      <c r="BA185">
        <f t="shared" si="58"/>
        <v>0</v>
      </c>
      <c r="BB185">
        <f t="shared" si="58"/>
        <v>0</v>
      </c>
      <c r="BC185" t="str">
        <f t="shared" si="58"/>
        <v>Fogan</v>
      </c>
      <c r="BD185">
        <f t="shared" si="58"/>
        <v>0</v>
      </c>
      <c r="BE185">
        <f t="shared" si="58"/>
        <v>0</v>
      </c>
      <c r="BF185">
        <f t="shared" si="58"/>
        <v>0</v>
      </c>
      <c r="BG185">
        <f t="shared" si="58"/>
        <v>0</v>
      </c>
      <c r="BH185">
        <f t="shared" si="58"/>
        <v>0</v>
      </c>
      <c r="BI185">
        <f t="shared" si="59"/>
        <v>0</v>
      </c>
      <c r="BJ185">
        <f t="shared" si="59"/>
        <v>0</v>
      </c>
      <c r="BK185">
        <f t="shared" si="59"/>
        <v>0</v>
      </c>
      <c r="BL185">
        <f t="shared" si="59"/>
        <v>0</v>
      </c>
      <c r="BM185">
        <f t="shared" si="59"/>
        <v>0</v>
      </c>
      <c r="BN185">
        <f t="shared" si="59"/>
        <v>0</v>
      </c>
      <c r="BO185">
        <f t="shared" si="59"/>
        <v>0</v>
      </c>
      <c r="BP185">
        <f t="shared" si="59"/>
        <v>0</v>
      </c>
      <c r="BQ185">
        <f t="shared" si="59"/>
        <v>0</v>
      </c>
      <c r="BR185">
        <f t="shared" si="59"/>
        <v>0</v>
      </c>
      <c r="BS185">
        <f t="shared" si="59"/>
        <v>0</v>
      </c>
    </row>
    <row r="186" spans="2:71" ht="15" customHeight="1" x14ac:dyDescent="0.2">
      <c r="B186" t="s">
        <v>245</v>
      </c>
      <c r="D186">
        <v>4</v>
      </c>
      <c r="E186" t="s">
        <v>246</v>
      </c>
      <c r="F186" t="s">
        <v>214</v>
      </c>
      <c r="G186" s="5">
        <v>42573</v>
      </c>
      <c r="H186" t="s">
        <v>97</v>
      </c>
      <c r="I186" t="s">
        <v>215</v>
      </c>
      <c r="J186" t="s">
        <v>216</v>
      </c>
      <c r="K186">
        <v>6</v>
      </c>
      <c r="L186" t="s">
        <v>247</v>
      </c>
      <c r="M186" t="s">
        <v>217</v>
      </c>
      <c r="N186" t="s">
        <v>78</v>
      </c>
      <c r="O186">
        <v>70.599999999999994</v>
      </c>
      <c r="P186">
        <v>130</v>
      </c>
      <c r="Q186">
        <v>6111</v>
      </c>
      <c r="R186" t="s">
        <v>248</v>
      </c>
      <c r="S186" t="s">
        <v>248</v>
      </c>
      <c r="T186" t="s">
        <v>81</v>
      </c>
      <c r="U186" t="s">
        <v>46</v>
      </c>
      <c r="V186" t="s">
        <v>44</v>
      </c>
      <c r="W186" t="s">
        <v>123</v>
      </c>
      <c r="AA186">
        <v>0.5</v>
      </c>
      <c r="AB186" t="s">
        <v>32</v>
      </c>
      <c r="AC186" t="s">
        <v>249</v>
      </c>
      <c r="AE186" t="str">
        <f t="shared" si="41"/>
        <v>Flanders</v>
      </c>
      <c r="AF186">
        <v>0.5</v>
      </c>
      <c r="AG186">
        <v>1</v>
      </c>
      <c r="AH186">
        <v>0</v>
      </c>
      <c r="AI186">
        <v>0</v>
      </c>
      <c r="AJ186">
        <v>1</v>
      </c>
      <c r="AO186">
        <f t="shared" si="57"/>
        <v>0</v>
      </c>
      <c r="AP186">
        <f t="shared" si="57"/>
        <v>0</v>
      </c>
      <c r="AQ186">
        <f t="shared" si="57"/>
        <v>0</v>
      </c>
      <c r="AR186">
        <f t="shared" si="57"/>
        <v>0</v>
      </c>
      <c r="AS186" t="str">
        <f t="shared" si="57"/>
        <v>Flanders</v>
      </c>
      <c r="AT186">
        <f t="shared" si="57"/>
        <v>0</v>
      </c>
      <c r="AU186">
        <f t="shared" si="57"/>
        <v>0</v>
      </c>
      <c r="AV186">
        <f t="shared" si="57"/>
        <v>0</v>
      </c>
      <c r="AW186">
        <f t="shared" si="57"/>
        <v>0</v>
      </c>
      <c r="AX186">
        <f t="shared" si="57"/>
        <v>0</v>
      </c>
      <c r="AY186">
        <f t="shared" si="58"/>
        <v>0</v>
      </c>
      <c r="AZ186">
        <f t="shared" si="58"/>
        <v>0</v>
      </c>
      <c r="BA186">
        <f t="shared" si="58"/>
        <v>0</v>
      </c>
      <c r="BB186">
        <f t="shared" si="58"/>
        <v>0</v>
      </c>
      <c r="BC186">
        <f t="shared" si="58"/>
        <v>0</v>
      </c>
      <c r="BD186">
        <f t="shared" si="58"/>
        <v>0</v>
      </c>
      <c r="BE186">
        <f t="shared" si="58"/>
        <v>0</v>
      </c>
      <c r="BF186">
        <f t="shared" si="58"/>
        <v>0</v>
      </c>
      <c r="BG186">
        <f t="shared" si="58"/>
        <v>0</v>
      </c>
      <c r="BH186">
        <f t="shared" si="58"/>
        <v>0</v>
      </c>
      <c r="BI186">
        <f t="shared" si="59"/>
        <v>0</v>
      </c>
      <c r="BJ186">
        <f t="shared" si="59"/>
        <v>0</v>
      </c>
      <c r="BK186">
        <f t="shared" si="59"/>
        <v>0</v>
      </c>
      <c r="BL186">
        <f t="shared" si="59"/>
        <v>0</v>
      </c>
      <c r="BM186">
        <f t="shared" si="59"/>
        <v>0</v>
      </c>
      <c r="BN186">
        <f t="shared" si="59"/>
        <v>0</v>
      </c>
      <c r="BO186">
        <f t="shared" si="59"/>
        <v>0</v>
      </c>
      <c r="BP186">
        <f t="shared" si="59"/>
        <v>0</v>
      </c>
      <c r="BQ186">
        <f t="shared" si="59"/>
        <v>0</v>
      </c>
      <c r="BR186">
        <f t="shared" si="59"/>
        <v>0</v>
      </c>
      <c r="BS186">
        <f t="shared" si="59"/>
        <v>0</v>
      </c>
    </row>
    <row r="187" spans="2:71" ht="15" customHeight="1" x14ac:dyDescent="0.2">
      <c r="B187" t="s">
        <v>245</v>
      </c>
      <c r="D187">
        <v>4</v>
      </c>
      <c r="E187" t="s">
        <v>246</v>
      </c>
      <c r="F187" t="s">
        <v>214</v>
      </c>
      <c r="G187" s="5">
        <v>42573</v>
      </c>
      <c r="H187" t="s">
        <v>97</v>
      </c>
      <c r="I187" t="s">
        <v>215</v>
      </c>
      <c r="J187" t="s">
        <v>216</v>
      </c>
      <c r="K187">
        <v>6</v>
      </c>
      <c r="L187" t="s">
        <v>247</v>
      </c>
      <c r="M187" t="s">
        <v>217</v>
      </c>
      <c r="N187" t="s">
        <v>78</v>
      </c>
      <c r="O187">
        <v>70.599999999999994</v>
      </c>
      <c r="P187">
        <v>130</v>
      </c>
      <c r="Q187">
        <v>6111</v>
      </c>
      <c r="R187" t="s">
        <v>248</v>
      </c>
      <c r="S187" t="s">
        <v>248</v>
      </c>
      <c r="T187" t="s">
        <v>81</v>
      </c>
      <c r="U187" t="s">
        <v>46</v>
      </c>
      <c r="V187" t="s">
        <v>42</v>
      </c>
      <c r="W187" t="s">
        <v>123</v>
      </c>
      <c r="AA187">
        <v>0.5</v>
      </c>
      <c r="AB187" t="s">
        <v>32</v>
      </c>
      <c r="AC187" t="s">
        <v>249</v>
      </c>
      <c r="AE187" t="str">
        <f t="shared" si="41"/>
        <v>Jackson</v>
      </c>
      <c r="AF187">
        <v>0.5</v>
      </c>
      <c r="AG187">
        <v>1</v>
      </c>
      <c r="AH187">
        <v>0</v>
      </c>
      <c r="AI187">
        <v>0</v>
      </c>
      <c r="AJ187">
        <v>1</v>
      </c>
      <c r="AO187">
        <f t="shared" si="57"/>
        <v>0</v>
      </c>
      <c r="AP187">
        <f t="shared" si="57"/>
        <v>0</v>
      </c>
      <c r="AQ187" t="str">
        <f t="shared" si="57"/>
        <v>Jackson</v>
      </c>
      <c r="AR187">
        <f t="shared" si="57"/>
        <v>0</v>
      </c>
      <c r="AS187">
        <f t="shared" si="57"/>
        <v>0</v>
      </c>
      <c r="AT187">
        <f t="shared" si="57"/>
        <v>0</v>
      </c>
      <c r="AU187">
        <f t="shared" si="57"/>
        <v>0</v>
      </c>
      <c r="AV187">
        <f t="shared" si="57"/>
        <v>0</v>
      </c>
      <c r="AW187">
        <f t="shared" si="57"/>
        <v>0</v>
      </c>
      <c r="AX187">
        <f t="shared" si="57"/>
        <v>0</v>
      </c>
      <c r="AY187">
        <f t="shared" si="58"/>
        <v>0</v>
      </c>
      <c r="AZ187">
        <f t="shared" si="58"/>
        <v>0</v>
      </c>
      <c r="BA187">
        <f t="shared" si="58"/>
        <v>0</v>
      </c>
      <c r="BB187">
        <f t="shared" si="58"/>
        <v>0</v>
      </c>
      <c r="BC187">
        <f t="shared" si="58"/>
        <v>0</v>
      </c>
      <c r="BD187">
        <f t="shared" si="58"/>
        <v>0</v>
      </c>
      <c r="BE187">
        <f t="shared" si="58"/>
        <v>0</v>
      </c>
      <c r="BF187">
        <f t="shared" si="58"/>
        <v>0</v>
      </c>
      <c r="BG187">
        <f t="shared" si="58"/>
        <v>0</v>
      </c>
      <c r="BH187">
        <f t="shared" si="58"/>
        <v>0</v>
      </c>
      <c r="BI187">
        <f t="shared" si="59"/>
        <v>0</v>
      </c>
      <c r="BJ187">
        <f t="shared" si="59"/>
        <v>0</v>
      </c>
      <c r="BK187">
        <f t="shared" si="59"/>
        <v>0</v>
      </c>
      <c r="BL187">
        <f t="shared" si="59"/>
        <v>0</v>
      </c>
      <c r="BM187">
        <f t="shared" si="59"/>
        <v>0</v>
      </c>
      <c r="BN187">
        <f t="shared" si="59"/>
        <v>0</v>
      </c>
      <c r="BO187">
        <f t="shared" si="59"/>
        <v>0</v>
      </c>
      <c r="BP187">
        <f t="shared" si="59"/>
        <v>0</v>
      </c>
      <c r="BQ187">
        <f t="shared" si="59"/>
        <v>0</v>
      </c>
      <c r="BR187">
        <f t="shared" si="59"/>
        <v>0</v>
      </c>
      <c r="BS187">
        <f t="shared" si="59"/>
        <v>0</v>
      </c>
    </row>
    <row r="188" spans="2:71" ht="15" customHeight="1" x14ac:dyDescent="0.2">
      <c r="B188" t="s">
        <v>245</v>
      </c>
      <c r="D188">
        <v>4</v>
      </c>
      <c r="E188" t="s">
        <v>246</v>
      </c>
      <c r="F188" t="s">
        <v>214</v>
      </c>
      <c r="G188" s="5">
        <v>42573</v>
      </c>
      <c r="H188" t="s">
        <v>97</v>
      </c>
      <c r="I188" t="s">
        <v>215</v>
      </c>
      <c r="J188" t="s">
        <v>216</v>
      </c>
      <c r="K188">
        <v>6</v>
      </c>
      <c r="L188" t="s">
        <v>247</v>
      </c>
      <c r="M188" t="s">
        <v>217</v>
      </c>
      <c r="N188" t="s">
        <v>78</v>
      </c>
      <c r="O188">
        <v>70.599999999999994</v>
      </c>
      <c r="P188">
        <v>130</v>
      </c>
      <c r="Q188">
        <v>6111</v>
      </c>
      <c r="R188" t="s">
        <v>248</v>
      </c>
      <c r="S188" t="s">
        <v>248</v>
      </c>
      <c r="T188" t="s">
        <v>81</v>
      </c>
      <c r="U188" t="s">
        <v>46</v>
      </c>
      <c r="V188" t="s">
        <v>56</v>
      </c>
      <c r="W188" t="s">
        <v>123</v>
      </c>
      <c r="AA188">
        <v>0.5</v>
      </c>
      <c r="AB188" t="s">
        <v>32</v>
      </c>
      <c r="AC188" t="s">
        <v>249</v>
      </c>
      <c r="AE188" t="str">
        <f t="shared" si="41"/>
        <v>Weisberger</v>
      </c>
      <c r="AF188">
        <v>0.5</v>
      </c>
      <c r="AG188">
        <v>1</v>
      </c>
      <c r="AH188">
        <v>0</v>
      </c>
      <c r="AI188">
        <v>0</v>
      </c>
      <c r="AJ188">
        <v>1</v>
      </c>
      <c r="AO188">
        <f t="shared" si="57"/>
        <v>0</v>
      </c>
      <c r="AP188">
        <f t="shared" si="57"/>
        <v>0</v>
      </c>
      <c r="AQ188">
        <f t="shared" si="57"/>
        <v>0</v>
      </c>
      <c r="AR188">
        <f t="shared" si="57"/>
        <v>0</v>
      </c>
      <c r="AS188">
        <f t="shared" si="57"/>
        <v>0</v>
      </c>
      <c r="AT188">
        <f t="shared" si="57"/>
        <v>0</v>
      </c>
      <c r="AU188">
        <f t="shared" si="57"/>
        <v>0</v>
      </c>
      <c r="AV188">
        <f t="shared" si="57"/>
        <v>0</v>
      </c>
      <c r="AW188">
        <f t="shared" si="57"/>
        <v>0</v>
      </c>
      <c r="AX188">
        <f t="shared" si="57"/>
        <v>0</v>
      </c>
      <c r="AY188">
        <f t="shared" si="58"/>
        <v>0</v>
      </c>
      <c r="AZ188">
        <f t="shared" si="58"/>
        <v>0</v>
      </c>
      <c r="BA188">
        <f t="shared" si="58"/>
        <v>0</v>
      </c>
      <c r="BB188">
        <f t="shared" si="58"/>
        <v>0</v>
      </c>
      <c r="BC188">
        <f t="shared" si="58"/>
        <v>0</v>
      </c>
      <c r="BD188">
        <f t="shared" si="58"/>
        <v>0</v>
      </c>
      <c r="BE188" t="str">
        <f t="shared" si="58"/>
        <v>Weisberger</v>
      </c>
      <c r="BF188">
        <f t="shared" si="58"/>
        <v>0</v>
      </c>
      <c r="BG188">
        <f t="shared" si="58"/>
        <v>0</v>
      </c>
      <c r="BH188">
        <f t="shared" si="58"/>
        <v>0</v>
      </c>
      <c r="BI188">
        <f t="shared" si="59"/>
        <v>0</v>
      </c>
      <c r="BJ188">
        <f t="shared" si="59"/>
        <v>0</v>
      </c>
      <c r="BK188">
        <f t="shared" si="59"/>
        <v>0</v>
      </c>
      <c r="BL188">
        <f t="shared" si="59"/>
        <v>0</v>
      </c>
      <c r="BM188">
        <f t="shared" si="59"/>
        <v>0</v>
      </c>
      <c r="BN188">
        <f t="shared" si="59"/>
        <v>0</v>
      </c>
      <c r="BO188">
        <f t="shared" si="59"/>
        <v>0</v>
      </c>
      <c r="BP188">
        <f t="shared" si="59"/>
        <v>0</v>
      </c>
      <c r="BQ188">
        <f t="shared" si="59"/>
        <v>0</v>
      </c>
      <c r="BR188">
        <f t="shared" si="59"/>
        <v>0</v>
      </c>
      <c r="BS188">
        <f t="shared" si="59"/>
        <v>0</v>
      </c>
    </row>
    <row r="189" spans="2:71" ht="15" customHeight="1" x14ac:dyDescent="0.2">
      <c r="B189" t="s">
        <v>245</v>
      </c>
      <c r="D189">
        <v>4</v>
      </c>
      <c r="E189" t="s">
        <v>246</v>
      </c>
      <c r="F189" t="s">
        <v>214</v>
      </c>
      <c r="G189" s="5">
        <v>42573</v>
      </c>
      <c r="H189" t="s">
        <v>97</v>
      </c>
      <c r="I189" t="s">
        <v>215</v>
      </c>
      <c r="J189" t="s">
        <v>216</v>
      </c>
      <c r="K189">
        <v>6</v>
      </c>
      <c r="L189" t="s">
        <v>247</v>
      </c>
      <c r="M189" t="s">
        <v>217</v>
      </c>
      <c r="N189" t="s">
        <v>78</v>
      </c>
      <c r="O189">
        <v>70.599999999999994</v>
      </c>
      <c r="P189">
        <v>130</v>
      </c>
      <c r="Q189">
        <v>6111</v>
      </c>
      <c r="R189" t="s">
        <v>248</v>
      </c>
      <c r="S189" t="s">
        <v>248</v>
      </c>
      <c r="T189" t="s">
        <v>81</v>
      </c>
      <c r="U189" t="s">
        <v>46</v>
      </c>
      <c r="V189" t="s">
        <v>50</v>
      </c>
      <c r="W189" t="s">
        <v>123</v>
      </c>
      <c r="AA189">
        <v>0.5</v>
      </c>
      <c r="AB189" t="s">
        <v>32</v>
      </c>
      <c r="AC189" t="s">
        <v>249</v>
      </c>
      <c r="AE189" t="str">
        <f t="shared" si="41"/>
        <v>Ferrin</v>
      </c>
      <c r="AF189">
        <v>0.5</v>
      </c>
      <c r="AG189">
        <v>1</v>
      </c>
      <c r="AH189">
        <v>0</v>
      </c>
      <c r="AI189">
        <v>0</v>
      </c>
      <c r="AJ189">
        <v>1</v>
      </c>
      <c r="AO189">
        <f t="shared" si="57"/>
        <v>0</v>
      </c>
      <c r="AP189">
        <f t="shared" si="57"/>
        <v>0</v>
      </c>
      <c r="AQ189">
        <f t="shared" si="57"/>
        <v>0</v>
      </c>
      <c r="AR189">
        <f t="shared" si="57"/>
        <v>0</v>
      </c>
      <c r="AS189">
        <f t="shared" si="57"/>
        <v>0</v>
      </c>
      <c r="AT189">
        <f t="shared" si="57"/>
        <v>0</v>
      </c>
      <c r="AU189">
        <f t="shared" si="57"/>
        <v>0</v>
      </c>
      <c r="AV189">
        <f t="shared" si="57"/>
        <v>0</v>
      </c>
      <c r="AW189">
        <f t="shared" si="57"/>
        <v>0</v>
      </c>
      <c r="AX189">
        <f t="shared" si="57"/>
        <v>0</v>
      </c>
      <c r="AY189" t="str">
        <f t="shared" si="58"/>
        <v>Ferrin</v>
      </c>
      <c r="AZ189">
        <f t="shared" si="58"/>
        <v>0</v>
      </c>
      <c r="BA189">
        <f t="shared" si="58"/>
        <v>0</v>
      </c>
      <c r="BB189">
        <f t="shared" si="58"/>
        <v>0</v>
      </c>
      <c r="BC189">
        <f t="shared" si="58"/>
        <v>0</v>
      </c>
      <c r="BD189">
        <f t="shared" si="58"/>
        <v>0</v>
      </c>
      <c r="BE189">
        <f t="shared" si="58"/>
        <v>0</v>
      </c>
      <c r="BF189">
        <f t="shared" si="58"/>
        <v>0</v>
      </c>
      <c r="BG189">
        <f t="shared" si="58"/>
        <v>0</v>
      </c>
      <c r="BH189">
        <f t="shared" si="58"/>
        <v>0</v>
      </c>
      <c r="BI189">
        <f t="shared" si="59"/>
        <v>0</v>
      </c>
      <c r="BJ189">
        <f t="shared" si="59"/>
        <v>0</v>
      </c>
      <c r="BK189">
        <f t="shared" si="59"/>
        <v>0</v>
      </c>
      <c r="BL189">
        <f t="shared" si="59"/>
        <v>0</v>
      </c>
      <c r="BM189">
        <f t="shared" si="59"/>
        <v>0</v>
      </c>
      <c r="BN189">
        <f t="shared" si="59"/>
        <v>0</v>
      </c>
      <c r="BO189">
        <f t="shared" si="59"/>
        <v>0</v>
      </c>
      <c r="BP189">
        <f t="shared" si="59"/>
        <v>0</v>
      </c>
      <c r="BQ189">
        <f t="shared" si="59"/>
        <v>0</v>
      </c>
      <c r="BR189">
        <f t="shared" si="59"/>
        <v>0</v>
      </c>
      <c r="BS189">
        <f t="shared" si="59"/>
        <v>0</v>
      </c>
    </row>
    <row r="190" spans="2:71" ht="15" customHeight="1" x14ac:dyDescent="0.2">
      <c r="B190" t="s">
        <v>245</v>
      </c>
      <c r="D190">
        <v>4</v>
      </c>
      <c r="E190" t="s">
        <v>246</v>
      </c>
      <c r="F190" t="s">
        <v>214</v>
      </c>
      <c r="G190" s="5">
        <v>42573</v>
      </c>
      <c r="H190" t="s">
        <v>97</v>
      </c>
      <c r="I190" t="s">
        <v>215</v>
      </c>
      <c r="J190" t="s">
        <v>216</v>
      </c>
      <c r="K190">
        <v>6</v>
      </c>
      <c r="L190" t="s">
        <v>247</v>
      </c>
      <c r="M190" t="s">
        <v>217</v>
      </c>
      <c r="N190" t="s">
        <v>78</v>
      </c>
      <c r="O190">
        <v>70.599999999999994</v>
      </c>
      <c r="P190">
        <v>130</v>
      </c>
      <c r="Q190">
        <v>6111</v>
      </c>
      <c r="R190" t="s">
        <v>248</v>
      </c>
      <c r="S190" t="s">
        <v>248</v>
      </c>
      <c r="T190" t="s">
        <v>81</v>
      </c>
      <c r="U190" t="s">
        <v>46</v>
      </c>
      <c r="V190" t="s">
        <v>58</v>
      </c>
      <c r="W190" t="s">
        <v>123</v>
      </c>
      <c r="AA190">
        <v>0.5</v>
      </c>
      <c r="AB190" t="s">
        <v>32</v>
      </c>
      <c r="AC190" t="s">
        <v>249</v>
      </c>
      <c r="AE190" t="str">
        <f t="shared" si="41"/>
        <v>Gray</v>
      </c>
      <c r="AF190">
        <v>0.5</v>
      </c>
      <c r="AG190">
        <v>1</v>
      </c>
      <c r="AH190">
        <v>0</v>
      </c>
      <c r="AI190">
        <v>0</v>
      </c>
      <c r="AJ190">
        <v>1</v>
      </c>
      <c r="AO190">
        <f t="shared" si="57"/>
        <v>0</v>
      </c>
      <c r="AP190">
        <f t="shared" si="57"/>
        <v>0</v>
      </c>
      <c r="AQ190">
        <f t="shared" si="57"/>
        <v>0</v>
      </c>
      <c r="AR190">
        <f t="shared" si="57"/>
        <v>0</v>
      </c>
      <c r="AS190">
        <f t="shared" si="57"/>
        <v>0</v>
      </c>
      <c r="AT190">
        <f t="shared" si="57"/>
        <v>0</v>
      </c>
      <c r="AU190">
        <f t="shared" si="57"/>
        <v>0</v>
      </c>
      <c r="AV190">
        <f t="shared" si="57"/>
        <v>0</v>
      </c>
      <c r="AW190">
        <f t="shared" si="57"/>
        <v>0</v>
      </c>
      <c r="AX190">
        <f t="shared" si="57"/>
        <v>0</v>
      </c>
      <c r="AY190">
        <f t="shared" si="58"/>
        <v>0</v>
      </c>
      <c r="AZ190">
        <f t="shared" si="58"/>
        <v>0</v>
      </c>
      <c r="BA190">
        <f t="shared" si="58"/>
        <v>0</v>
      </c>
      <c r="BB190">
        <f t="shared" si="58"/>
        <v>0</v>
      </c>
      <c r="BC190">
        <f t="shared" si="58"/>
        <v>0</v>
      </c>
      <c r="BD190">
        <f t="shared" si="58"/>
        <v>0</v>
      </c>
      <c r="BE190">
        <f t="shared" si="58"/>
        <v>0</v>
      </c>
      <c r="BF190">
        <f t="shared" si="58"/>
        <v>0</v>
      </c>
      <c r="BG190" t="str">
        <f t="shared" si="58"/>
        <v>Gray</v>
      </c>
      <c r="BH190">
        <f t="shared" si="58"/>
        <v>0</v>
      </c>
      <c r="BI190">
        <f t="shared" si="59"/>
        <v>0</v>
      </c>
      <c r="BJ190">
        <f t="shared" si="59"/>
        <v>0</v>
      </c>
      <c r="BK190">
        <f t="shared" si="59"/>
        <v>0</v>
      </c>
      <c r="BL190">
        <f t="shared" si="59"/>
        <v>0</v>
      </c>
      <c r="BM190">
        <f t="shared" si="59"/>
        <v>0</v>
      </c>
      <c r="BN190">
        <f t="shared" si="59"/>
        <v>0</v>
      </c>
      <c r="BO190">
        <f t="shared" si="59"/>
        <v>0</v>
      </c>
      <c r="BP190">
        <f t="shared" si="59"/>
        <v>0</v>
      </c>
      <c r="BQ190">
        <f t="shared" si="59"/>
        <v>0</v>
      </c>
      <c r="BR190">
        <f t="shared" si="59"/>
        <v>0</v>
      </c>
      <c r="BS190">
        <f t="shared" si="59"/>
        <v>0</v>
      </c>
    </row>
    <row r="191" spans="2:71" ht="15" customHeight="1" x14ac:dyDescent="0.2">
      <c r="B191" t="s">
        <v>245</v>
      </c>
      <c r="D191">
        <v>4</v>
      </c>
      <c r="E191" t="s">
        <v>246</v>
      </c>
      <c r="F191" t="s">
        <v>214</v>
      </c>
      <c r="G191" s="5">
        <v>42573</v>
      </c>
      <c r="H191" t="s">
        <v>97</v>
      </c>
      <c r="I191" t="s">
        <v>215</v>
      </c>
      <c r="J191" t="s">
        <v>216</v>
      </c>
      <c r="K191">
        <v>6</v>
      </c>
      <c r="L191" t="s">
        <v>247</v>
      </c>
      <c r="M191" t="s">
        <v>217</v>
      </c>
      <c r="N191" t="s">
        <v>78</v>
      </c>
      <c r="O191">
        <v>70.599999999999994</v>
      </c>
      <c r="P191">
        <v>130</v>
      </c>
      <c r="Q191">
        <v>6111</v>
      </c>
      <c r="R191" t="s">
        <v>248</v>
      </c>
      <c r="S191" t="s">
        <v>248</v>
      </c>
      <c r="T191" t="s">
        <v>81</v>
      </c>
      <c r="U191" t="s">
        <v>46</v>
      </c>
      <c r="V191" t="s">
        <v>52</v>
      </c>
      <c r="W191" t="s">
        <v>123</v>
      </c>
      <c r="AA191">
        <v>0.5</v>
      </c>
      <c r="AB191" t="s">
        <v>32</v>
      </c>
      <c r="AC191" t="s">
        <v>249</v>
      </c>
      <c r="AE191" t="str">
        <f t="shared" si="41"/>
        <v>Connors</v>
      </c>
      <c r="AF191">
        <v>0.5</v>
      </c>
      <c r="AG191">
        <v>1</v>
      </c>
      <c r="AH191">
        <v>0</v>
      </c>
      <c r="AI191">
        <v>0</v>
      </c>
      <c r="AJ191">
        <v>1</v>
      </c>
      <c r="AO191">
        <f t="shared" si="57"/>
        <v>0</v>
      </c>
      <c r="AP191">
        <f t="shared" si="57"/>
        <v>0</v>
      </c>
      <c r="AQ191">
        <f t="shared" si="57"/>
        <v>0</v>
      </c>
      <c r="AR191">
        <f t="shared" si="57"/>
        <v>0</v>
      </c>
      <c r="AS191">
        <f t="shared" si="57"/>
        <v>0</v>
      </c>
      <c r="AT191">
        <f t="shared" si="57"/>
        <v>0</v>
      </c>
      <c r="AU191">
        <f t="shared" si="57"/>
        <v>0</v>
      </c>
      <c r="AV191">
        <f t="shared" si="57"/>
        <v>0</v>
      </c>
      <c r="AW191">
        <f t="shared" si="57"/>
        <v>0</v>
      </c>
      <c r="AX191">
        <f t="shared" si="57"/>
        <v>0</v>
      </c>
      <c r="AY191">
        <f t="shared" si="58"/>
        <v>0</v>
      </c>
      <c r="AZ191">
        <f t="shared" si="58"/>
        <v>0</v>
      </c>
      <c r="BA191" t="str">
        <f t="shared" si="58"/>
        <v>Connors</v>
      </c>
      <c r="BB191">
        <f t="shared" si="58"/>
        <v>0</v>
      </c>
      <c r="BC191">
        <f t="shared" si="58"/>
        <v>0</v>
      </c>
      <c r="BD191">
        <f t="shared" si="58"/>
        <v>0</v>
      </c>
      <c r="BE191">
        <f t="shared" si="58"/>
        <v>0</v>
      </c>
      <c r="BF191">
        <f t="shared" si="58"/>
        <v>0</v>
      </c>
      <c r="BG191">
        <f t="shared" si="58"/>
        <v>0</v>
      </c>
      <c r="BH191">
        <f t="shared" si="58"/>
        <v>0</v>
      </c>
      <c r="BI191">
        <f t="shared" si="59"/>
        <v>0</v>
      </c>
      <c r="BJ191">
        <f t="shared" si="59"/>
        <v>0</v>
      </c>
      <c r="BK191">
        <f t="shared" si="59"/>
        <v>0</v>
      </c>
      <c r="BL191">
        <f t="shared" si="59"/>
        <v>0</v>
      </c>
      <c r="BM191">
        <f t="shared" si="59"/>
        <v>0</v>
      </c>
      <c r="BN191">
        <f t="shared" si="59"/>
        <v>0</v>
      </c>
      <c r="BO191">
        <f t="shared" si="59"/>
        <v>0</v>
      </c>
      <c r="BP191">
        <f t="shared" si="59"/>
        <v>0</v>
      </c>
      <c r="BQ191">
        <f t="shared" si="59"/>
        <v>0</v>
      </c>
      <c r="BR191">
        <f t="shared" si="59"/>
        <v>0</v>
      </c>
      <c r="BS191">
        <f t="shared" si="59"/>
        <v>0</v>
      </c>
    </row>
    <row r="192" spans="2:71" ht="15" customHeight="1" x14ac:dyDescent="0.2">
      <c r="B192" t="s">
        <v>245</v>
      </c>
      <c r="D192">
        <v>4</v>
      </c>
      <c r="E192" t="s">
        <v>246</v>
      </c>
      <c r="F192" t="s">
        <v>214</v>
      </c>
      <c r="G192" s="5">
        <v>42573</v>
      </c>
      <c r="H192" t="s">
        <v>97</v>
      </c>
      <c r="I192" t="s">
        <v>215</v>
      </c>
      <c r="J192" t="s">
        <v>216</v>
      </c>
      <c r="K192">
        <v>6</v>
      </c>
      <c r="L192" t="s">
        <v>247</v>
      </c>
      <c r="M192" t="s">
        <v>217</v>
      </c>
      <c r="N192" t="s">
        <v>78</v>
      </c>
      <c r="O192">
        <v>70.599999999999994</v>
      </c>
      <c r="P192">
        <v>130</v>
      </c>
      <c r="Q192">
        <v>6111</v>
      </c>
      <c r="R192" t="s">
        <v>248</v>
      </c>
      <c r="S192" t="s">
        <v>248</v>
      </c>
      <c r="T192" t="s">
        <v>81</v>
      </c>
      <c r="U192" t="s">
        <v>46</v>
      </c>
      <c r="V192" t="s">
        <v>55</v>
      </c>
      <c r="W192" t="s">
        <v>123</v>
      </c>
      <c r="AA192">
        <v>0.5</v>
      </c>
      <c r="AB192" t="s">
        <v>32</v>
      </c>
      <c r="AC192" t="s">
        <v>249</v>
      </c>
      <c r="AE192" t="str">
        <f t="shared" si="41"/>
        <v>Cole</v>
      </c>
      <c r="AF192">
        <v>0.5</v>
      </c>
      <c r="AG192">
        <v>1</v>
      </c>
      <c r="AH192">
        <v>0</v>
      </c>
      <c r="AI192">
        <v>0</v>
      </c>
      <c r="AJ192">
        <v>1</v>
      </c>
      <c r="AO192">
        <f t="shared" ref="AO192:AX201" si="60">IF(OR($V192=AO$1,$Y192=AO$1),AO$1,0)</f>
        <v>0</v>
      </c>
      <c r="AP192">
        <f t="shared" si="60"/>
        <v>0</v>
      </c>
      <c r="AQ192">
        <f t="shared" si="60"/>
        <v>0</v>
      </c>
      <c r="AR192">
        <f t="shared" si="60"/>
        <v>0</v>
      </c>
      <c r="AS192">
        <f t="shared" si="60"/>
        <v>0</v>
      </c>
      <c r="AT192">
        <f t="shared" si="60"/>
        <v>0</v>
      </c>
      <c r="AU192">
        <f t="shared" si="60"/>
        <v>0</v>
      </c>
      <c r="AV192">
        <f t="shared" si="60"/>
        <v>0</v>
      </c>
      <c r="AW192">
        <f t="shared" si="60"/>
        <v>0</v>
      </c>
      <c r="AX192">
        <f t="shared" si="60"/>
        <v>0</v>
      </c>
      <c r="AY192">
        <f t="shared" ref="AY192:BH201" si="61">IF(OR($V192=AY$1,$Y192=AY$1),AY$1,0)</f>
        <v>0</v>
      </c>
      <c r="AZ192">
        <f t="shared" si="61"/>
        <v>0</v>
      </c>
      <c r="BA192">
        <f t="shared" si="61"/>
        <v>0</v>
      </c>
      <c r="BB192">
        <f t="shared" si="61"/>
        <v>0</v>
      </c>
      <c r="BC192">
        <f t="shared" si="61"/>
        <v>0</v>
      </c>
      <c r="BD192" t="str">
        <f t="shared" si="61"/>
        <v>Cole</v>
      </c>
      <c r="BE192">
        <f t="shared" si="61"/>
        <v>0</v>
      </c>
      <c r="BF192">
        <f t="shared" si="61"/>
        <v>0</v>
      </c>
      <c r="BG192">
        <f t="shared" si="61"/>
        <v>0</v>
      </c>
      <c r="BH192">
        <f t="shared" si="61"/>
        <v>0</v>
      </c>
      <c r="BI192">
        <f t="shared" ref="BI192:BS201" si="62">IF(OR($V192=BI$1,$Y192=BI$1),BI$1,0)</f>
        <v>0</v>
      </c>
      <c r="BJ192">
        <f t="shared" si="62"/>
        <v>0</v>
      </c>
      <c r="BK192">
        <f t="shared" si="62"/>
        <v>0</v>
      </c>
      <c r="BL192">
        <f t="shared" si="62"/>
        <v>0</v>
      </c>
      <c r="BM192">
        <f t="shared" si="62"/>
        <v>0</v>
      </c>
      <c r="BN192">
        <f t="shared" si="62"/>
        <v>0</v>
      </c>
      <c r="BO192">
        <f t="shared" si="62"/>
        <v>0</v>
      </c>
      <c r="BP192">
        <f t="shared" si="62"/>
        <v>0</v>
      </c>
      <c r="BQ192">
        <f t="shared" si="62"/>
        <v>0</v>
      </c>
      <c r="BR192">
        <f t="shared" si="62"/>
        <v>0</v>
      </c>
      <c r="BS192">
        <f t="shared" si="62"/>
        <v>0</v>
      </c>
    </row>
    <row r="193" spans="2:71" ht="15" customHeight="1" x14ac:dyDescent="0.2">
      <c r="B193" t="s">
        <v>245</v>
      </c>
      <c r="D193">
        <v>4</v>
      </c>
      <c r="E193" t="s">
        <v>246</v>
      </c>
      <c r="F193" t="s">
        <v>214</v>
      </c>
      <c r="G193" s="5">
        <v>42573</v>
      </c>
      <c r="H193" t="s">
        <v>97</v>
      </c>
      <c r="I193" t="s">
        <v>215</v>
      </c>
      <c r="J193" t="s">
        <v>216</v>
      </c>
      <c r="K193">
        <v>6</v>
      </c>
      <c r="L193" t="s">
        <v>247</v>
      </c>
      <c r="M193" t="s">
        <v>217</v>
      </c>
      <c r="N193" t="s">
        <v>78</v>
      </c>
      <c r="O193">
        <v>70.599999999999994</v>
      </c>
      <c r="P193">
        <v>130</v>
      </c>
      <c r="Q193">
        <v>6111</v>
      </c>
      <c r="R193" t="s">
        <v>248</v>
      </c>
      <c r="S193" t="s">
        <v>248</v>
      </c>
      <c r="T193" t="s">
        <v>81</v>
      </c>
      <c r="U193" t="s">
        <v>46</v>
      </c>
      <c r="V193" t="s">
        <v>53</v>
      </c>
      <c r="W193" t="s">
        <v>123</v>
      </c>
      <c r="AA193">
        <v>0.5</v>
      </c>
      <c r="AB193" t="s">
        <v>32</v>
      </c>
      <c r="AC193" t="s">
        <v>249</v>
      </c>
      <c r="AE193" t="str">
        <f t="shared" si="41"/>
        <v>Forster</v>
      </c>
      <c r="AF193">
        <v>0.5</v>
      </c>
      <c r="AG193">
        <v>1</v>
      </c>
      <c r="AH193">
        <v>0</v>
      </c>
      <c r="AI193">
        <v>0</v>
      </c>
      <c r="AJ193">
        <v>1</v>
      </c>
      <c r="AO193">
        <f t="shared" si="60"/>
        <v>0</v>
      </c>
      <c r="AP193">
        <f t="shared" si="60"/>
        <v>0</v>
      </c>
      <c r="AQ193">
        <f t="shared" si="60"/>
        <v>0</v>
      </c>
      <c r="AR193">
        <f t="shared" si="60"/>
        <v>0</v>
      </c>
      <c r="AS193">
        <f t="shared" si="60"/>
        <v>0</v>
      </c>
      <c r="AT193">
        <f t="shared" si="60"/>
        <v>0</v>
      </c>
      <c r="AU193">
        <f t="shared" si="60"/>
        <v>0</v>
      </c>
      <c r="AV193">
        <f t="shared" si="60"/>
        <v>0</v>
      </c>
      <c r="AW193">
        <f t="shared" si="60"/>
        <v>0</v>
      </c>
      <c r="AX193">
        <f t="shared" si="60"/>
        <v>0</v>
      </c>
      <c r="AY193">
        <f t="shared" si="61"/>
        <v>0</v>
      </c>
      <c r="AZ193">
        <f t="shared" si="61"/>
        <v>0</v>
      </c>
      <c r="BA193">
        <f t="shared" si="61"/>
        <v>0</v>
      </c>
      <c r="BB193" t="str">
        <f t="shared" si="61"/>
        <v>Forster</v>
      </c>
      <c r="BC193">
        <f t="shared" si="61"/>
        <v>0</v>
      </c>
      <c r="BD193">
        <f t="shared" si="61"/>
        <v>0</v>
      </c>
      <c r="BE193">
        <f t="shared" si="61"/>
        <v>0</v>
      </c>
      <c r="BF193">
        <f t="shared" si="61"/>
        <v>0</v>
      </c>
      <c r="BG193">
        <f t="shared" si="61"/>
        <v>0</v>
      </c>
      <c r="BH193">
        <f t="shared" si="61"/>
        <v>0</v>
      </c>
      <c r="BI193">
        <f t="shared" si="62"/>
        <v>0</v>
      </c>
      <c r="BJ193">
        <f t="shared" si="62"/>
        <v>0</v>
      </c>
      <c r="BK193">
        <f t="shared" si="62"/>
        <v>0</v>
      </c>
      <c r="BL193">
        <f t="shared" si="62"/>
        <v>0</v>
      </c>
      <c r="BM193">
        <f t="shared" si="62"/>
        <v>0</v>
      </c>
      <c r="BN193">
        <f t="shared" si="62"/>
        <v>0</v>
      </c>
      <c r="BO193">
        <f t="shared" si="62"/>
        <v>0</v>
      </c>
      <c r="BP193">
        <f t="shared" si="62"/>
        <v>0</v>
      </c>
      <c r="BQ193">
        <f t="shared" si="62"/>
        <v>0</v>
      </c>
      <c r="BR193">
        <f t="shared" si="62"/>
        <v>0</v>
      </c>
      <c r="BS193">
        <f t="shared" si="62"/>
        <v>0</v>
      </c>
    </row>
    <row r="194" spans="2:71" ht="15" customHeight="1" x14ac:dyDescent="0.2">
      <c r="B194" t="s">
        <v>245</v>
      </c>
      <c r="D194">
        <v>4</v>
      </c>
      <c r="E194" t="s">
        <v>246</v>
      </c>
      <c r="F194" t="s">
        <v>214</v>
      </c>
      <c r="G194" s="5">
        <v>42573</v>
      </c>
      <c r="H194" t="s">
        <v>97</v>
      </c>
      <c r="I194" t="s">
        <v>215</v>
      </c>
      <c r="J194" t="s">
        <v>216</v>
      </c>
      <c r="K194">
        <v>6</v>
      </c>
      <c r="L194" t="s">
        <v>247</v>
      </c>
      <c r="M194" t="s">
        <v>217</v>
      </c>
      <c r="N194" t="s">
        <v>78</v>
      </c>
      <c r="O194">
        <v>70.599999999999994</v>
      </c>
      <c r="P194">
        <v>130</v>
      </c>
      <c r="Q194">
        <v>6111</v>
      </c>
      <c r="R194" t="s">
        <v>248</v>
      </c>
      <c r="S194" t="s">
        <v>248</v>
      </c>
      <c r="T194" t="s">
        <v>81</v>
      </c>
      <c r="U194" t="s">
        <v>46</v>
      </c>
      <c r="V194" t="s">
        <v>59</v>
      </c>
      <c r="W194" t="s">
        <v>123</v>
      </c>
      <c r="AA194">
        <v>0.5</v>
      </c>
      <c r="AB194" t="s">
        <v>32</v>
      </c>
      <c r="AC194" t="s">
        <v>249</v>
      </c>
      <c r="AE194" t="str">
        <f t="shared" ref="AE194:AE257" si="63">$V194&amp;$Y194</f>
        <v>Norat</v>
      </c>
      <c r="AF194">
        <v>0.5</v>
      </c>
      <c r="AG194">
        <v>1</v>
      </c>
      <c r="AH194">
        <v>0</v>
      </c>
      <c r="AI194">
        <v>0</v>
      </c>
      <c r="AJ194">
        <v>1</v>
      </c>
      <c r="AO194">
        <f t="shared" si="60"/>
        <v>0</v>
      </c>
      <c r="AP194">
        <f t="shared" si="60"/>
        <v>0</v>
      </c>
      <c r="AQ194">
        <f t="shared" si="60"/>
        <v>0</v>
      </c>
      <c r="AR194">
        <f t="shared" si="60"/>
        <v>0</v>
      </c>
      <c r="AS194">
        <f t="shared" si="60"/>
        <v>0</v>
      </c>
      <c r="AT194">
        <f t="shared" si="60"/>
        <v>0</v>
      </c>
      <c r="AU194">
        <f t="shared" si="60"/>
        <v>0</v>
      </c>
      <c r="AV194">
        <f t="shared" si="60"/>
        <v>0</v>
      </c>
      <c r="AW194">
        <f t="shared" si="60"/>
        <v>0</v>
      </c>
      <c r="AX194">
        <f t="shared" si="60"/>
        <v>0</v>
      </c>
      <c r="AY194">
        <f t="shared" si="61"/>
        <v>0</v>
      </c>
      <c r="AZ194">
        <f t="shared" si="61"/>
        <v>0</v>
      </c>
      <c r="BA194">
        <f t="shared" si="61"/>
        <v>0</v>
      </c>
      <c r="BB194">
        <f t="shared" si="61"/>
        <v>0</v>
      </c>
      <c r="BC194">
        <f t="shared" si="61"/>
        <v>0</v>
      </c>
      <c r="BD194">
        <f t="shared" si="61"/>
        <v>0</v>
      </c>
      <c r="BE194">
        <f t="shared" si="61"/>
        <v>0</v>
      </c>
      <c r="BF194">
        <f t="shared" si="61"/>
        <v>0</v>
      </c>
      <c r="BG194">
        <f t="shared" si="61"/>
        <v>0</v>
      </c>
      <c r="BH194" t="str">
        <f t="shared" si="61"/>
        <v>Norat</v>
      </c>
      <c r="BI194">
        <f t="shared" si="62"/>
        <v>0</v>
      </c>
      <c r="BJ194">
        <f t="shared" si="62"/>
        <v>0</v>
      </c>
      <c r="BK194">
        <f t="shared" si="62"/>
        <v>0</v>
      </c>
      <c r="BL194">
        <f t="shared" si="62"/>
        <v>0</v>
      </c>
      <c r="BM194">
        <f t="shared" si="62"/>
        <v>0</v>
      </c>
      <c r="BN194">
        <f t="shared" si="62"/>
        <v>0</v>
      </c>
      <c r="BO194">
        <f t="shared" si="62"/>
        <v>0</v>
      </c>
      <c r="BP194">
        <f t="shared" si="62"/>
        <v>0</v>
      </c>
      <c r="BQ194">
        <f t="shared" si="62"/>
        <v>0</v>
      </c>
      <c r="BR194">
        <f t="shared" si="62"/>
        <v>0</v>
      </c>
      <c r="BS194">
        <f t="shared" si="62"/>
        <v>0</v>
      </c>
    </row>
    <row r="195" spans="2:71" ht="15" customHeight="1" x14ac:dyDescent="0.2">
      <c r="B195" t="s">
        <v>245</v>
      </c>
      <c r="D195">
        <v>4</v>
      </c>
      <c r="E195" t="s">
        <v>246</v>
      </c>
      <c r="F195" t="s">
        <v>214</v>
      </c>
      <c r="G195" s="5">
        <v>42573</v>
      </c>
      <c r="H195" t="s">
        <v>97</v>
      </c>
      <c r="I195" t="s">
        <v>215</v>
      </c>
      <c r="J195" t="s">
        <v>216</v>
      </c>
      <c r="K195">
        <v>6</v>
      </c>
      <c r="L195" t="s">
        <v>247</v>
      </c>
      <c r="M195" t="s">
        <v>217</v>
      </c>
      <c r="N195" t="s">
        <v>78</v>
      </c>
      <c r="O195">
        <v>70.599999999999994</v>
      </c>
      <c r="P195">
        <v>130</v>
      </c>
      <c r="Q195">
        <v>6111</v>
      </c>
      <c r="R195" t="s">
        <v>248</v>
      </c>
      <c r="S195" t="s">
        <v>248</v>
      </c>
      <c r="T195" t="s">
        <v>81</v>
      </c>
      <c r="U195" t="s">
        <v>46</v>
      </c>
      <c r="V195" t="s">
        <v>46</v>
      </c>
      <c r="W195" t="s">
        <v>123</v>
      </c>
      <c r="AA195">
        <v>0.5</v>
      </c>
      <c r="AB195" t="s">
        <v>32</v>
      </c>
      <c r="AC195" t="s">
        <v>249</v>
      </c>
      <c r="AE195" t="str">
        <f t="shared" si="63"/>
        <v>Mangold</v>
      </c>
      <c r="AF195">
        <v>0.5</v>
      </c>
      <c r="AG195">
        <v>1</v>
      </c>
      <c r="AH195">
        <v>0</v>
      </c>
      <c r="AI195">
        <v>0</v>
      </c>
      <c r="AJ195">
        <v>1</v>
      </c>
      <c r="AO195">
        <f t="shared" si="60"/>
        <v>0</v>
      </c>
      <c r="AP195">
        <f t="shared" si="60"/>
        <v>0</v>
      </c>
      <c r="AQ195">
        <f t="shared" si="60"/>
        <v>0</v>
      </c>
      <c r="AR195">
        <f t="shared" si="60"/>
        <v>0</v>
      </c>
      <c r="AS195">
        <f t="shared" si="60"/>
        <v>0</v>
      </c>
      <c r="AT195">
        <f t="shared" si="60"/>
        <v>0</v>
      </c>
      <c r="AU195" t="str">
        <f t="shared" si="60"/>
        <v>Mangold</v>
      </c>
      <c r="AV195">
        <f t="shared" si="60"/>
        <v>0</v>
      </c>
      <c r="AW195">
        <f t="shared" si="60"/>
        <v>0</v>
      </c>
      <c r="AX195">
        <f t="shared" si="60"/>
        <v>0</v>
      </c>
      <c r="AY195">
        <f t="shared" si="61"/>
        <v>0</v>
      </c>
      <c r="AZ195">
        <f t="shared" si="61"/>
        <v>0</v>
      </c>
      <c r="BA195">
        <f t="shared" si="61"/>
        <v>0</v>
      </c>
      <c r="BB195">
        <f t="shared" si="61"/>
        <v>0</v>
      </c>
      <c r="BC195">
        <f t="shared" si="61"/>
        <v>0</v>
      </c>
      <c r="BD195">
        <f t="shared" si="61"/>
        <v>0</v>
      </c>
      <c r="BE195">
        <f t="shared" si="61"/>
        <v>0</v>
      </c>
      <c r="BF195">
        <f t="shared" si="61"/>
        <v>0</v>
      </c>
      <c r="BG195">
        <f t="shared" si="61"/>
        <v>0</v>
      </c>
      <c r="BH195">
        <f t="shared" si="61"/>
        <v>0</v>
      </c>
      <c r="BI195">
        <f t="shared" si="62"/>
        <v>0</v>
      </c>
      <c r="BJ195">
        <f t="shared" si="62"/>
        <v>0</v>
      </c>
      <c r="BK195">
        <f t="shared" si="62"/>
        <v>0</v>
      </c>
      <c r="BL195">
        <f t="shared" si="62"/>
        <v>0</v>
      </c>
      <c r="BM195">
        <f t="shared" si="62"/>
        <v>0</v>
      </c>
      <c r="BN195">
        <f t="shared" si="62"/>
        <v>0</v>
      </c>
      <c r="BO195">
        <f t="shared" si="62"/>
        <v>0</v>
      </c>
      <c r="BP195">
        <f t="shared" si="62"/>
        <v>0</v>
      </c>
      <c r="BQ195">
        <f t="shared" si="62"/>
        <v>0</v>
      </c>
      <c r="BR195">
        <f t="shared" si="62"/>
        <v>0</v>
      </c>
      <c r="BS195">
        <f t="shared" si="62"/>
        <v>0</v>
      </c>
    </row>
    <row r="196" spans="2:71" ht="15" customHeight="1" x14ac:dyDescent="0.2">
      <c r="B196" t="s">
        <v>245</v>
      </c>
      <c r="D196">
        <v>4</v>
      </c>
      <c r="E196" t="s">
        <v>246</v>
      </c>
      <c r="F196" t="s">
        <v>214</v>
      </c>
      <c r="G196" s="5">
        <v>42573</v>
      </c>
      <c r="H196" t="s">
        <v>97</v>
      </c>
      <c r="I196" t="s">
        <v>215</v>
      </c>
      <c r="J196" t="s">
        <v>216</v>
      </c>
      <c r="K196">
        <v>6</v>
      </c>
      <c r="L196" t="s">
        <v>247</v>
      </c>
      <c r="M196" t="s">
        <v>217</v>
      </c>
      <c r="N196" t="s">
        <v>78</v>
      </c>
      <c r="O196">
        <v>70.599999999999994</v>
      </c>
      <c r="P196">
        <v>130</v>
      </c>
      <c r="Q196">
        <v>6111</v>
      </c>
      <c r="R196" t="s">
        <v>248</v>
      </c>
      <c r="S196" t="s">
        <v>248</v>
      </c>
      <c r="T196" t="s">
        <v>83</v>
      </c>
      <c r="U196" t="s">
        <v>40</v>
      </c>
      <c r="V196" t="s">
        <v>40</v>
      </c>
      <c r="W196" t="s">
        <v>109</v>
      </c>
      <c r="AA196">
        <v>0.5</v>
      </c>
      <c r="AB196" t="s">
        <v>33</v>
      </c>
      <c r="AC196" t="s">
        <v>249</v>
      </c>
      <c r="AE196" t="str">
        <f t="shared" si="63"/>
        <v>Grise</v>
      </c>
      <c r="AF196">
        <v>0</v>
      </c>
      <c r="AG196">
        <v>0</v>
      </c>
      <c r="AH196">
        <v>1</v>
      </c>
      <c r="AI196">
        <v>0</v>
      </c>
      <c r="AJ196">
        <v>0</v>
      </c>
      <c r="AO196" t="str">
        <f t="shared" si="60"/>
        <v>Grise</v>
      </c>
      <c r="AP196">
        <f t="shared" si="60"/>
        <v>0</v>
      </c>
      <c r="AQ196">
        <f t="shared" si="60"/>
        <v>0</v>
      </c>
      <c r="AR196">
        <f t="shared" si="60"/>
        <v>0</v>
      </c>
      <c r="AS196">
        <f t="shared" si="60"/>
        <v>0</v>
      </c>
      <c r="AT196">
        <f t="shared" si="60"/>
        <v>0</v>
      </c>
      <c r="AU196">
        <f t="shared" si="60"/>
        <v>0</v>
      </c>
      <c r="AV196">
        <f t="shared" si="60"/>
        <v>0</v>
      </c>
      <c r="AW196">
        <f t="shared" si="60"/>
        <v>0</v>
      </c>
      <c r="AX196">
        <f t="shared" si="60"/>
        <v>0</v>
      </c>
      <c r="AY196">
        <f t="shared" si="61"/>
        <v>0</v>
      </c>
      <c r="AZ196">
        <f t="shared" si="61"/>
        <v>0</v>
      </c>
      <c r="BA196">
        <f t="shared" si="61"/>
        <v>0</v>
      </c>
      <c r="BB196">
        <f t="shared" si="61"/>
        <v>0</v>
      </c>
      <c r="BC196">
        <f t="shared" si="61"/>
        <v>0</v>
      </c>
      <c r="BD196">
        <f t="shared" si="61"/>
        <v>0</v>
      </c>
      <c r="BE196">
        <f t="shared" si="61"/>
        <v>0</v>
      </c>
      <c r="BF196">
        <f t="shared" si="61"/>
        <v>0</v>
      </c>
      <c r="BG196">
        <f t="shared" si="61"/>
        <v>0</v>
      </c>
      <c r="BH196">
        <f t="shared" si="61"/>
        <v>0</v>
      </c>
      <c r="BI196">
        <f t="shared" si="62"/>
        <v>0</v>
      </c>
      <c r="BJ196">
        <f t="shared" si="62"/>
        <v>0</v>
      </c>
      <c r="BK196">
        <f t="shared" si="62"/>
        <v>0</v>
      </c>
      <c r="BL196">
        <f t="shared" si="62"/>
        <v>0</v>
      </c>
      <c r="BM196">
        <f t="shared" si="62"/>
        <v>0</v>
      </c>
      <c r="BN196">
        <f t="shared" si="62"/>
        <v>0</v>
      </c>
      <c r="BO196">
        <f t="shared" si="62"/>
        <v>0</v>
      </c>
      <c r="BP196">
        <f t="shared" si="62"/>
        <v>0</v>
      </c>
      <c r="BQ196">
        <f t="shared" si="62"/>
        <v>0</v>
      </c>
      <c r="BR196">
        <f t="shared" si="62"/>
        <v>0</v>
      </c>
      <c r="BS196">
        <f t="shared" si="62"/>
        <v>0</v>
      </c>
    </row>
    <row r="197" spans="2:71" ht="15" customHeight="1" x14ac:dyDescent="0.2">
      <c r="B197" t="s">
        <v>245</v>
      </c>
      <c r="D197">
        <v>4</v>
      </c>
      <c r="E197" t="s">
        <v>246</v>
      </c>
      <c r="F197" t="s">
        <v>214</v>
      </c>
      <c r="G197" s="5">
        <v>42573</v>
      </c>
      <c r="H197" t="s">
        <v>97</v>
      </c>
      <c r="I197" t="s">
        <v>215</v>
      </c>
      <c r="J197" t="s">
        <v>216</v>
      </c>
      <c r="K197">
        <v>6</v>
      </c>
      <c r="L197" t="s">
        <v>247</v>
      </c>
      <c r="M197" t="s">
        <v>217</v>
      </c>
      <c r="N197" t="s">
        <v>78</v>
      </c>
      <c r="O197">
        <v>70.599999999999994</v>
      </c>
      <c r="P197">
        <v>130</v>
      </c>
      <c r="Q197">
        <v>6111</v>
      </c>
      <c r="R197" t="s">
        <v>248</v>
      </c>
      <c r="S197" t="s">
        <v>248</v>
      </c>
      <c r="T197" t="s">
        <v>83</v>
      </c>
      <c r="U197" t="s">
        <v>40</v>
      </c>
      <c r="V197" t="s">
        <v>60</v>
      </c>
      <c r="W197" t="s">
        <v>109</v>
      </c>
      <c r="AA197">
        <v>0.5</v>
      </c>
      <c r="AB197" t="s">
        <v>33</v>
      </c>
      <c r="AC197" t="s">
        <v>249</v>
      </c>
      <c r="AE197" t="str">
        <f t="shared" si="63"/>
        <v>Zimmer</v>
      </c>
      <c r="AF197">
        <v>0</v>
      </c>
      <c r="AG197">
        <v>0</v>
      </c>
      <c r="AH197">
        <v>1</v>
      </c>
      <c r="AI197">
        <v>0</v>
      </c>
      <c r="AJ197">
        <v>0</v>
      </c>
      <c r="AO197">
        <f t="shared" si="60"/>
        <v>0</v>
      </c>
      <c r="AP197">
        <f t="shared" si="60"/>
        <v>0</v>
      </c>
      <c r="AQ197">
        <f t="shared" si="60"/>
        <v>0</v>
      </c>
      <c r="AR197">
        <f t="shared" si="60"/>
        <v>0</v>
      </c>
      <c r="AS197">
        <f t="shared" si="60"/>
        <v>0</v>
      </c>
      <c r="AT197">
        <f t="shared" si="60"/>
        <v>0</v>
      </c>
      <c r="AU197">
        <f t="shared" si="60"/>
        <v>0</v>
      </c>
      <c r="AV197">
        <f t="shared" si="60"/>
        <v>0</v>
      </c>
      <c r="AW197">
        <f t="shared" si="60"/>
        <v>0</v>
      </c>
      <c r="AX197">
        <f t="shared" si="60"/>
        <v>0</v>
      </c>
      <c r="AY197">
        <f t="shared" si="61"/>
        <v>0</v>
      </c>
      <c r="AZ197">
        <f t="shared" si="61"/>
        <v>0</v>
      </c>
      <c r="BA197">
        <f t="shared" si="61"/>
        <v>0</v>
      </c>
      <c r="BB197">
        <f t="shared" si="61"/>
        <v>0</v>
      </c>
      <c r="BC197">
        <f t="shared" si="61"/>
        <v>0</v>
      </c>
      <c r="BD197">
        <f t="shared" si="61"/>
        <v>0</v>
      </c>
      <c r="BE197">
        <f t="shared" si="61"/>
        <v>0</v>
      </c>
      <c r="BF197">
        <f t="shared" si="61"/>
        <v>0</v>
      </c>
      <c r="BG197">
        <f t="shared" si="61"/>
        <v>0</v>
      </c>
      <c r="BH197">
        <f t="shared" si="61"/>
        <v>0</v>
      </c>
      <c r="BI197" t="str">
        <f t="shared" si="62"/>
        <v>Zimmer</v>
      </c>
      <c r="BJ197">
        <f t="shared" si="62"/>
        <v>0</v>
      </c>
      <c r="BK197">
        <f t="shared" si="62"/>
        <v>0</v>
      </c>
      <c r="BL197">
        <f t="shared" si="62"/>
        <v>0</v>
      </c>
      <c r="BM197">
        <f t="shared" si="62"/>
        <v>0</v>
      </c>
      <c r="BN197">
        <f t="shared" si="62"/>
        <v>0</v>
      </c>
      <c r="BO197">
        <f t="shared" si="62"/>
        <v>0</v>
      </c>
      <c r="BP197">
        <f t="shared" si="62"/>
        <v>0</v>
      </c>
      <c r="BQ197">
        <f t="shared" si="62"/>
        <v>0</v>
      </c>
      <c r="BR197">
        <f t="shared" si="62"/>
        <v>0</v>
      </c>
      <c r="BS197">
        <f t="shared" si="62"/>
        <v>0</v>
      </c>
    </row>
    <row r="198" spans="2:71" ht="15" customHeight="1" x14ac:dyDescent="0.2">
      <c r="B198" t="s">
        <v>245</v>
      </c>
      <c r="D198">
        <v>4</v>
      </c>
      <c r="E198" t="s">
        <v>246</v>
      </c>
      <c r="F198" t="s">
        <v>214</v>
      </c>
      <c r="G198" s="5">
        <v>42573</v>
      </c>
      <c r="H198" t="s">
        <v>97</v>
      </c>
      <c r="I198" t="s">
        <v>215</v>
      </c>
      <c r="J198" t="s">
        <v>216</v>
      </c>
      <c r="K198">
        <v>6</v>
      </c>
      <c r="L198" t="s">
        <v>247</v>
      </c>
      <c r="M198" t="s">
        <v>217</v>
      </c>
      <c r="N198" t="s">
        <v>78</v>
      </c>
      <c r="O198">
        <v>70.599999999999994</v>
      </c>
      <c r="P198">
        <v>130</v>
      </c>
      <c r="Q198">
        <v>6111</v>
      </c>
      <c r="R198" t="s">
        <v>248</v>
      </c>
      <c r="S198" t="s">
        <v>248</v>
      </c>
      <c r="T198" t="s">
        <v>83</v>
      </c>
      <c r="U198" t="s">
        <v>40</v>
      </c>
      <c r="V198" t="s">
        <v>62</v>
      </c>
      <c r="W198" t="s">
        <v>109</v>
      </c>
      <c r="AA198">
        <v>0.5</v>
      </c>
      <c r="AB198" t="s">
        <v>33</v>
      </c>
      <c r="AC198" t="s">
        <v>249</v>
      </c>
      <c r="AE198" t="str">
        <f t="shared" si="63"/>
        <v>Welker</v>
      </c>
      <c r="AF198">
        <v>0</v>
      </c>
      <c r="AG198">
        <v>0</v>
      </c>
      <c r="AH198">
        <v>1</v>
      </c>
      <c r="AI198">
        <v>0</v>
      </c>
      <c r="AJ198">
        <v>0</v>
      </c>
      <c r="AO198">
        <f t="shared" si="60"/>
        <v>0</v>
      </c>
      <c r="AP198">
        <f t="shared" si="60"/>
        <v>0</v>
      </c>
      <c r="AQ198">
        <f t="shared" si="60"/>
        <v>0</v>
      </c>
      <c r="AR198">
        <f t="shared" si="60"/>
        <v>0</v>
      </c>
      <c r="AS198">
        <f t="shared" si="60"/>
        <v>0</v>
      </c>
      <c r="AT198">
        <f t="shared" si="60"/>
        <v>0</v>
      </c>
      <c r="AU198">
        <f t="shared" si="60"/>
        <v>0</v>
      </c>
      <c r="AV198">
        <f t="shared" si="60"/>
        <v>0</v>
      </c>
      <c r="AW198">
        <f t="shared" si="60"/>
        <v>0</v>
      </c>
      <c r="AX198">
        <f t="shared" si="60"/>
        <v>0</v>
      </c>
      <c r="AY198">
        <f t="shared" si="61"/>
        <v>0</v>
      </c>
      <c r="AZ198">
        <f t="shared" si="61"/>
        <v>0</v>
      </c>
      <c r="BA198">
        <f t="shared" si="61"/>
        <v>0</v>
      </c>
      <c r="BB198">
        <f t="shared" si="61"/>
        <v>0</v>
      </c>
      <c r="BC198">
        <f t="shared" si="61"/>
        <v>0</v>
      </c>
      <c r="BD198">
        <f t="shared" si="61"/>
        <v>0</v>
      </c>
      <c r="BE198">
        <f t="shared" si="61"/>
        <v>0</v>
      </c>
      <c r="BF198">
        <f t="shared" si="61"/>
        <v>0</v>
      </c>
      <c r="BG198">
        <f t="shared" si="61"/>
        <v>0</v>
      </c>
      <c r="BH198">
        <f t="shared" si="61"/>
        <v>0</v>
      </c>
      <c r="BI198">
        <f t="shared" si="62"/>
        <v>0</v>
      </c>
      <c r="BJ198">
        <f t="shared" si="62"/>
        <v>0</v>
      </c>
      <c r="BK198" t="str">
        <f t="shared" si="62"/>
        <v>Welker</v>
      </c>
      <c r="BL198">
        <f t="shared" si="62"/>
        <v>0</v>
      </c>
      <c r="BM198">
        <f t="shared" si="62"/>
        <v>0</v>
      </c>
      <c r="BN198">
        <f t="shared" si="62"/>
        <v>0</v>
      </c>
      <c r="BO198">
        <f t="shared" si="62"/>
        <v>0</v>
      </c>
      <c r="BP198">
        <f t="shared" si="62"/>
        <v>0</v>
      </c>
      <c r="BQ198">
        <f t="shared" si="62"/>
        <v>0</v>
      </c>
      <c r="BR198">
        <f t="shared" si="62"/>
        <v>0</v>
      </c>
      <c r="BS198">
        <f t="shared" si="62"/>
        <v>0</v>
      </c>
    </row>
    <row r="199" spans="2:71" ht="15" customHeight="1" x14ac:dyDescent="0.2">
      <c r="B199" t="s">
        <v>245</v>
      </c>
      <c r="D199">
        <v>4</v>
      </c>
      <c r="E199" t="s">
        <v>246</v>
      </c>
      <c r="F199" t="s">
        <v>214</v>
      </c>
      <c r="G199" s="5">
        <v>42573</v>
      </c>
      <c r="H199" t="s">
        <v>97</v>
      </c>
      <c r="I199" t="s">
        <v>215</v>
      </c>
      <c r="J199" t="s">
        <v>216</v>
      </c>
      <c r="K199">
        <v>6</v>
      </c>
      <c r="L199" t="s">
        <v>247</v>
      </c>
      <c r="M199" t="s">
        <v>217</v>
      </c>
      <c r="N199" t="s">
        <v>78</v>
      </c>
      <c r="O199">
        <v>70.599999999999994</v>
      </c>
      <c r="P199">
        <v>130</v>
      </c>
      <c r="Q199">
        <v>6111</v>
      </c>
      <c r="R199" t="s">
        <v>248</v>
      </c>
      <c r="S199" t="s">
        <v>248</v>
      </c>
      <c r="T199" t="s">
        <v>83</v>
      </c>
      <c r="U199" t="s">
        <v>40</v>
      </c>
      <c r="V199" t="s">
        <v>45</v>
      </c>
      <c r="W199" t="s">
        <v>109</v>
      </c>
      <c r="AA199">
        <v>0.5</v>
      </c>
      <c r="AB199" t="s">
        <v>33</v>
      </c>
      <c r="AC199" t="s">
        <v>249</v>
      </c>
      <c r="AE199" t="str">
        <f t="shared" si="63"/>
        <v>Connolly</v>
      </c>
      <c r="AF199">
        <v>0</v>
      </c>
      <c r="AG199">
        <v>0</v>
      </c>
      <c r="AH199">
        <v>1</v>
      </c>
      <c r="AI199">
        <v>0</v>
      </c>
      <c r="AJ199">
        <v>0</v>
      </c>
      <c r="AO199">
        <f t="shared" si="60"/>
        <v>0</v>
      </c>
      <c r="AP199">
        <f t="shared" si="60"/>
        <v>0</v>
      </c>
      <c r="AQ199">
        <f t="shared" si="60"/>
        <v>0</v>
      </c>
      <c r="AR199">
        <f t="shared" si="60"/>
        <v>0</v>
      </c>
      <c r="AS199">
        <f t="shared" si="60"/>
        <v>0</v>
      </c>
      <c r="AT199" t="str">
        <f t="shared" si="60"/>
        <v>Connolly</v>
      </c>
      <c r="AU199">
        <f t="shared" si="60"/>
        <v>0</v>
      </c>
      <c r="AV199">
        <f t="shared" si="60"/>
        <v>0</v>
      </c>
      <c r="AW199">
        <f t="shared" si="60"/>
        <v>0</v>
      </c>
      <c r="AX199">
        <f t="shared" si="60"/>
        <v>0</v>
      </c>
      <c r="AY199">
        <f t="shared" si="61"/>
        <v>0</v>
      </c>
      <c r="AZ199">
        <f t="shared" si="61"/>
        <v>0</v>
      </c>
      <c r="BA199">
        <f t="shared" si="61"/>
        <v>0</v>
      </c>
      <c r="BB199">
        <f t="shared" si="61"/>
        <v>0</v>
      </c>
      <c r="BC199">
        <f t="shared" si="61"/>
        <v>0</v>
      </c>
      <c r="BD199">
        <f t="shared" si="61"/>
        <v>0</v>
      </c>
      <c r="BE199">
        <f t="shared" si="61"/>
        <v>0</v>
      </c>
      <c r="BF199">
        <f t="shared" si="61"/>
        <v>0</v>
      </c>
      <c r="BG199">
        <f t="shared" si="61"/>
        <v>0</v>
      </c>
      <c r="BH199">
        <f t="shared" si="61"/>
        <v>0</v>
      </c>
      <c r="BI199">
        <f t="shared" si="62"/>
        <v>0</v>
      </c>
      <c r="BJ199">
        <f t="shared" si="62"/>
        <v>0</v>
      </c>
      <c r="BK199">
        <f t="shared" si="62"/>
        <v>0</v>
      </c>
      <c r="BL199">
        <f t="shared" si="62"/>
        <v>0</v>
      </c>
      <c r="BM199">
        <f t="shared" si="62"/>
        <v>0</v>
      </c>
      <c r="BN199">
        <f t="shared" si="62"/>
        <v>0</v>
      </c>
      <c r="BO199">
        <f t="shared" si="62"/>
        <v>0</v>
      </c>
      <c r="BP199">
        <f t="shared" si="62"/>
        <v>0</v>
      </c>
      <c r="BQ199">
        <f t="shared" si="62"/>
        <v>0</v>
      </c>
      <c r="BR199">
        <f t="shared" si="62"/>
        <v>0</v>
      </c>
      <c r="BS199">
        <f t="shared" si="62"/>
        <v>0</v>
      </c>
    </row>
    <row r="200" spans="2:71" ht="15" customHeight="1" x14ac:dyDescent="0.2">
      <c r="B200" t="s">
        <v>245</v>
      </c>
      <c r="D200">
        <v>4</v>
      </c>
      <c r="E200" t="s">
        <v>246</v>
      </c>
      <c r="F200" t="s">
        <v>214</v>
      </c>
      <c r="G200" s="5">
        <v>42573</v>
      </c>
      <c r="H200" t="s">
        <v>97</v>
      </c>
      <c r="I200" t="s">
        <v>215</v>
      </c>
      <c r="J200" t="s">
        <v>216</v>
      </c>
      <c r="K200">
        <v>6</v>
      </c>
      <c r="L200" t="s">
        <v>247</v>
      </c>
      <c r="M200" t="s">
        <v>217</v>
      </c>
      <c r="N200" t="s">
        <v>78</v>
      </c>
      <c r="O200">
        <v>70.599999999999994</v>
      </c>
      <c r="P200">
        <v>130</v>
      </c>
      <c r="Q200">
        <v>6111</v>
      </c>
      <c r="R200" t="s">
        <v>248</v>
      </c>
      <c r="S200" t="s">
        <v>248</v>
      </c>
      <c r="T200" t="s">
        <v>83</v>
      </c>
      <c r="U200" t="s">
        <v>40</v>
      </c>
      <c r="V200" t="s">
        <v>47</v>
      </c>
      <c r="W200" t="s">
        <v>109</v>
      </c>
      <c r="AA200">
        <v>0.5</v>
      </c>
      <c r="AB200" t="s">
        <v>33</v>
      </c>
      <c r="AC200" t="s">
        <v>249</v>
      </c>
      <c r="AE200" t="str">
        <f t="shared" si="63"/>
        <v>Hickerson</v>
      </c>
      <c r="AF200">
        <v>0</v>
      </c>
      <c r="AG200">
        <v>0</v>
      </c>
      <c r="AH200">
        <v>1</v>
      </c>
      <c r="AI200">
        <v>0</v>
      </c>
      <c r="AJ200">
        <v>0</v>
      </c>
      <c r="AO200">
        <f t="shared" si="60"/>
        <v>0</v>
      </c>
      <c r="AP200">
        <f t="shared" si="60"/>
        <v>0</v>
      </c>
      <c r="AQ200">
        <f t="shared" si="60"/>
        <v>0</v>
      </c>
      <c r="AR200">
        <f t="shared" si="60"/>
        <v>0</v>
      </c>
      <c r="AS200">
        <f t="shared" si="60"/>
        <v>0</v>
      </c>
      <c r="AT200">
        <f t="shared" si="60"/>
        <v>0</v>
      </c>
      <c r="AU200">
        <f t="shared" si="60"/>
        <v>0</v>
      </c>
      <c r="AV200" t="str">
        <f t="shared" si="60"/>
        <v>Hickerson</v>
      </c>
      <c r="AW200">
        <f t="shared" si="60"/>
        <v>0</v>
      </c>
      <c r="AX200">
        <f t="shared" si="60"/>
        <v>0</v>
      </c>
      <c r="AY200">
        <f t="shared" si="61"/>
        <v>0</v>
      </c>
      <c r="AZ200">
        <f t="shared" si="61"/>
        <v>0</v>
      </c>
      <c r="BA200">
        <f t="shared" si="61"/>
        <v>0</v>
      </c>
      <c r="BB200">
        <f t="shared" si="61"/>
        <v>0</v>
      </c>
      <c r="BC200">
        <f t="shared" si="61"/>
        <v>0</v>
      </c>
      <c r="BD200">
        <f t="shared" si="61"/>
        <v>0</v>
      </c>
      <c r="BE200">
        <f t="shared" si="61"/>
        <v>0</v>
      </c>
      <c r="BF200">
        <f t="shared" si="61"/>
        <v>0</v>
      </c>
      <c r="BG200">
        <f t="shared" si="61"/>
        <v>0</v>
      </c>
      <c r="BH200">
        <f t="shared" si="61"/>
        <v>0</v>
      </c>
      <c r="BI200">
        <f t="shared" si="62"/>
        <v>0</v>
      </c>
      <c r="BJ200">
        <f t="shared" si="62"/>
        <v>0</v>
      </c>
      <c r="BK200">
        <f t="shared" si="62"/>
        <v>0</v>
      </c>
      <c r="BL200">
        <f t="shared" si="62"/>
        <v>0</v>
      </c>
      <c r="BM200">
        <f t="shared" si="62"/>
        <v>0</v>
      </c>
      <c r="BN200">
        <f t="shared" si="62"/>
        <v>0</v>
      </c>
      <c r="BO200">
        <f t="shared" si="62"/>
        <v>0</v>
      </c>
      <c r="BP200">
        <f t="shared" si="62"/>
        <v>0</v>
      </c>
      <c r="BQ200">
        <f t="shared" si="62"/>
        <v>0</v>
      </c>
      <c r="BR200">
        <f t="shared" si="62"/>
        <v>0</v>
      </c>
      <c r="BS200">
        <f t="shared" si="62"/>
        <v>0</v>
      </c>
    </row>
    <row r="201" spans="2:71" ht="15" customHeight="1" x14ac:dyDescent="0.2">
      <c r="B201" t="s">
        <v>245</v>
      </c>
      <c r="D201">
        <v>4</v>
      </c>
      <c r="E201" t="s">
        <v>246</v>
      </c>
      <c r="F201" t="s">
        <v>214</v>
      </c>
      <c r="G201" s="5">
        <v>42573</v>
      </c>
      <c r="H201" t="s">
        <v>97</v>
      </c>
      <c r="I201" t="s">
        <v>215</v>
      </c>
      <c r="J201" t="s">
        <v>216</v>
      </c>
      <c r="K201">
        <v>6</v>
      </c>
      <c r="L201" t="s">
        <v>247</v>
      </c>
      <c r="M201" t="s">
        <v>217</v>
      </c>
      <c r="N201" t="s">
        <v>78</v>
      </c>
      <c r="O201">
        <v>70.599999999999994</v>
      </c>
      <c r="P201">
        <v>130</v>
      </c>
      <c r="Q201">
        <v>6111</v>
      </c>
      <c r="R201" t="s">
        <v>248</v>
      </c>
      <c r="S201" t="s">
        <v>248</v>
      </c>
      <c r="T201" t="s">
        <v>83</v>
      </c>
      <c r="U201" t="s">
        <v>40</v>
      </c>
      <c r="V201" t="s">
        <v>61</v>
      </c>
      <c r="W201" t="s">
        <v>109</v>
      </c>
      <c r="AA201">
        <v>0.5</v>
      </c>
      <c r="AB201" t="s">
        <v>33</v>
      </c>
      <c r="AC201" t="s">
        <v>249</v>
      </c>
      <c r="AE201" t="str">
        <f t="shared" si="63"/>
        <v>McInerney</v>
      </c>
      <c r="AF201">
        <v>0</v>
      </c>
      <c r="AG201">
        <v>0</v>
      </c>
      <c r="AH201">
        <v>1</v>
      </c>
      <c r="AI201">
        <v>0</v>
      </c>
      <c r="AJ201">
        <v>0</v>
      </c>
      <c r="AO201">
        <f t="shared" si="60"/>
        <v>0</v>
      </c>
      <c r="AP201">
        <f t="shared" si="60"/>
        <v>0</v>
      </c>
      <c r="AQ201">
        <f t="shared" si="60"/>
        <v>0</v>
      </c>
      <c r="AR201">
        <f t="shared" si="60"/>
        <v>0</v>
      </c>
      <c r="AS201">
        <f t="shared" si="60"/>
        <v>0</v>
      </c>
      <c r="AT201">
        <f t="shared" si="60"/>
        <v>0</v>
      </c>
      <c r="AU201">
        <f t="shared" si="60"/>
        <v>0</v>
      </c>
      <c r="AV201">
        <f t="shared" si="60"/>
        <v>0</v>
      </c>
      <c r="AW201">
        <f t="shared" si="60"/>
        <v>0</v>
      </c>
      <c r="AX201">
        <f t="shared" si="60"/>
        <v>0</v>
      </c>
      <c r="AY201">
        <f t="shared" si="61"/>
        <v>0</v>
      </c>
      <c r="AZ201">
        <f t="shared" si="61"/>
        <v>0</v>
      </c>
      <c r="BA201">
        <f t="shared" si="61"/>
        <v>0</v>
      </c>
      <c r="BB201">
        <f t="shared" si="61"/>
        <v>0</v>
      </c>
      <c r="BC201">
        <f t="shared" si="61"/>
        <v>0</v>
      </c>
      <c r="BD201">
        <f t="shared" si="61"/>
        <v>0</v>
      </c>
      <c r="BE201">
        <f t="shared" si="61"/>
        <v>0</v>
      </c>
      <c r="BF201">
        <f t="shared" si="61"/>
        <v>0</v>
      </c>
      <c r="BG201">
        <f t="shared" si="61"/>
        <v>0</v>
      </c>
      <c r="BH201">
        <f t="shared" si="61"/>
        <v>0</v>
      </c>
      <c r="BI201">
        <f t="shared" si="62"/>
        <v>0</v>
      </c>
      <c r="BJ201" t="str">
        <f t="shared" si="62"/>
        <v>McInerney</v>
      </c>
      <c r="BK201">
        <f t="shared" si="62"/>
        <v>0</v>
      </c>
      <c r="BL201">
        <f t="shared" si="62"/>
        <v>0</v>
      </c>
      <c r="BM201">
        <f t="shared" si="62"/>
        <v>0</v>
      </c>
      <c r="BN201">
        <f t="shared" si="62"/>
        <v>0</v>
      </c>
      <c r="BO201">
        <f t="shared" si="62"/>
        <v>0</v>
      </c>
      <c r="BP201">
        <f t="shared" si="62"/>
        <v>0</v>
      </c>
      <c r="BQ201">
        <f t="shared" si="62"/>
        <v>0</v>
      </c>
      <c r="BR201">
        <f t="shared" si="62"/>
        <v>0</v>
      </c>
      <c r="BS201">
        <f t="shared" si="62"/>
        <v>0</v>
      </c>
    </row>
    <row r="202" spans="2:71" ht="15" customHeight="1" x14ac:dyDescent="0.2">
      <c r="B202" t="s">
        <v>245</v>
      </c>
      <c r="D202">
        <v>4</v>
      </c>
      <c r="E202" t="s">
        <v>246</v>
      </c>
      <c r="F202" t="s">
        <v>214</v>
      </c>
      <c r="G202" s="5">
        <v>42573</v>
      </c>
      <c r="H202" t="s">
        <v>97</v>
      </c>
      <c r="I202" t="s">
        <v>215</v>
      </c>
      <c r="J202" t="s">
        <v>216</v>
      </c>
      <c r="K202">
        <v>6</v>
      </c>
      <c r="L202" t="s">
        <v>247</v>
      </c>
      <c r="M202" t="s">
        <v>217</v>
      </c>
      <c r="N202" t="s">
        <v>78</v>
      </c>
      <c r="O202">
        <v>70.599999999999994</v>
      </c>
      <c r="P202">
        <v>130</v>
      </c>
      <c r="Q202">
        <v>6111</v>
      </c>
      <c r="R202" t="s">
        <v>248</v>
      </c>
      <c r="S202" t="s">
        <v>248</v>
      </c>
      <c r="T202" t="s">
        <v>83</v>
      </c>
      <c r="U202" t="s">
        <v>40</v>
      </c>
      <c r="V202" t="s">
        <v>48</v>
      </c>
      <c r="W202" t="s">
        <v>109</v>
      </c>
      <c r="AA202">
        <v>0.5</v>
      </c>
      <c r="AB202" t="s">
        <v>33</v>
      </c>
      <c r="AC202" t="s">
        <v>249</v>
      </c>
      <c r="AE202" t="str">
        <f t="shared" si="63"/>
        <v>Lynch</v>
      </c>
      <c r="AF202">
        <v>0</v>
      </c>
      <c r="AG202">
        <v>0</v>
      </c>
      <c r="AH202">
        <v>1</v>
      </c>
      <c r="AI202">
        <v>0</v>
      </c>
      <c r="AJ202">
        <v>0</v>
      </c>
      <c r="AO202">
        <f t="shared" ref="AO202:AX211" si="64">IF(OR($V202=AO$1,$Y202=AO$1),AO$1,0)</f>
        <v>0</v>
      </c>
      <c r="AP202">
        <f t="shared" si="64"/>
        <v>0</v>
      </c>
      <c r="AQ202">
        <f t="shared" si="64"/>
        <v>0</v>
      </c>
      <c r="AR202">
        <f t="shared" si="64"/>
        <v>0</v>
      </c>
      <c r="AS202">
        <f t="shared" si="64"/>
        <v>0</v>
      </c>
      <c r="AT202">
        <f t="shared" si="64"/>
        <v>0</v>
      </c>
      <c r="AU202">
        <f t="shared" si="64"/>
        <v>0</v>
      </c>
      <c r="AV202">
        <f t="shared" si="64"/>
        <v>0</v>
      </c>
      <c r="AW202" t="str">
        <f t="shared" si="64"/>
        <v>Lynch</v>
      </c>
      <c r="AX202">
        <f t="shared" si="64"/>
        <v>0</v>
      </c>
      <c r="AY202">
        <f t="shared" ref="AY202:BH211" si="65">IF(OR($V202=AY$1,$Y202=AY$1),AY$1,0)</f>
        <v>0</v>
      </c>
      <c r="AZ202">
        <f t="shared" si="65"/>
        <v>0</v>
      </c>
      <c r="BA202">
        <f t="shared" si="65"/>
        <v>0</v>
      </c>
      <c r="BB202">
        <f t="shared" si="65"/>
        <v>0</v>
      </c>
      <c r="BC202">
        <f t="shared" si="65"/>
        <v>0</v>
      </c>
      <c r="BD202">
        <f t="shared" si="65"/>
        <v>0</v>
      </c>
      <c r="BE202">
        <f t="shared" si="65"/>
        <v>0</v>
      </c>
      <c r="BF202">
        <f t="shared" si="65"/>
        <v>0</v>
      </c>
      <c r="BG202">
        <f t="shared" si="65"/>
        <v>0</v>
      </c>
      <c r="BH202">
        <f t="shared" si="65"/>
        <v>0</v>
      </c>
      <c r="BI202">
        <f t="shared" ref="BI202:BS211" si="66">IF(OR($V202=BI$1,$Y202=BI$1),BI$1,0)</f>
        <v>0</v>
      </c>
      <c r="BJ202">
        <f t="shared" si="66"/>
        <v>0</v>
      </c>
      <c r="BK202">
        <f t="shared" si="66"/>
        <v>0</v>
      </c>
      <c r="BL202">
        <f t="shared" si="66"/>
        <v>0</v>
      </c>
      <c r="BM202">
        <f t="shared" si="66"/>
        <v>0</v>
      </c>
      <c r="BN202">
        <f t="shared" si="66"/>
        <v>0</v>
      </c>
      <c r="BO202">
        <f t="shared" si="66"/>
        <v>0</v>
      </c>
      <c r="BP202">
        <f t="shared" si="66"/>
        <v>0</v>
      </c>
      <c r="BQ202">
        <f t="shared" si="66"/>
        <v>0</v>
      </c>
      <c r="BR202">
        <f t="shared" si="66"/>
        <v>0</v>
      </c>
      <c r="BS202">
        <f t="shared" si="66"/>
        <v>0</v>
      </c>
    </row>
    <row r="203" spans="2:71" ht="15" customHeight="1" x14ac:dyDescent="0.2">
      <c r="B203" t="s">
        <v>245</v>
      </c>
      <c r="D203">
        <v>4</v>
      </c>
      <c r="E203" t="s">
        <v>246</v>
      </c>
      <c r="F203" t="s">
        <v>214</v>
      </c>
      <c r="G203" s="5">
        <v>42573</v>
      </c>
      <c r="H203" t="s">
        <v>97</v>
      </c>
      <c r="I203" t="s">
        <v>215</v>
      </c>
      <c r="J203" t="s">
        <v>216</v>
      </c>
      <c r="K203">
        <v>6</v>
      </c>
      <c r="L203" t="s">
        <v>247</v>
      </c>
      <c r="M203" t="s">
        <v>217</v>
      </c>
      <c r="N203" t="s">
        <v>78</v>
      </c>
      <c r="O203">
        <v>70.599999999999994</v>
      </c>
      <c r="P203">
        <v>130</v>
      </c>
      <c r="Q203">
        <v>6111</v>
      </c>
      <c r="R203" t="s">
        <v>248</v>
      </c>
      <c r="S203" t="s">
        <v>248</v>
      </c>
      <c r="T203" t="s">
        <v>83</v>
      </c>
      <c r="U203" t="s">
        <v>40</v>
      </c>
      <c r="V203" t="s">
        <v>54</v>
      </c>
      <c r="W203" t="s">
        <v>109</v>
      </c>
      <c r="AA203">
        <v>0.5</v>
      </c>
      <c r="AB203" t="s">
        <v>33</v>
      </c>
      <c r="AC203" t="s">
        <v>249</v>
      </c>
      <c r="AE203" t="str">
        <f t="shared" si="63"/>
        <v>Fogan</v>
      </c>
      <c r="AF203">
        <v>0</v>
      </c>
      <c r="AG203">
        <v>0</v>
      </c>
      <c r="AH203">
        <v>1</v>
      </c>
      <c r="AI203">
        <v>0</v>
      </c>
      <c r="AJ203">
        <v>0</v>
      </c>
      <c r="AO203">
        <f t="shared" si="64"/>
        <v>0</v>
      </c>
      <c r="AP203">
        <f t="shared" si="64"/>
        <v>0</v>
      </c>
      <c r="AQ203">
        <f t="shared" si="64"/>
        <v>0</v>
      </c>
      <c r="AR203">
        <f t="shared" si="64"/>
        <v>0</v>
      </c>
      <c r="AS203">
        <f t="shared" si="64"/>
        <v>0</v>
      </c>
      <c r="AT203">
        <f t="shared" si="64"/>
        <v>0</v>
      </c>
      <c r="AU203">
        <f t="shared" si="64"/>
        <v>0</v>
      </c>
      <c r="AV203">
        <f t="shared" si="64"/>
        <v>0</v>
      </c>
      <c r="AW203">
        <f t="shared" si="64"/>
        <v>0</v>
      </c>
      <c r="AX203">
        <f t="shared" si="64"/>
        <v>0</v>
      </c>
      <c r="AY203">
        <f t="shared" si="65"/>
        <v>0</v>
      </c>
      <c r="AZ203">
        <f t="shared" si="65"/>
        <v>0</v>
      </c>
      <c r="BA203">
        <f t="shared" si="65"/>
        <v>0</v>
      </c>
      <c r="BB203">
        <f t="shared" si="65"/>
        <v>0</v>
      </c>
      <c r="BC203" t="str">
        <f t="shared" si="65"/>
        <v>Fogan</v>
      </c>
      <c r="BD203">
        <f t="shared" si="65"/>
        <v>0</v>
      </c>
      <c r="BE203">
        <f t="shared" si="65"/>
        <v>0</v>
      </c>
      <c r="BF203">
        <f t="shared" si="65"/>
        <v>0</v>
      </c>
      <c r="BG203">
        <f t="shared" si="65"/>
        <v>0</v>
      </c>
      <c r="BH203">
        <f t="shared" si="65"/>
        <v>0</v>
      </c>
      <c r="BI203">
        <f t="shared" si="66"/>
        <v>0</v>
      </c>
      <c r="BJ203">
        <f t="shared" si="66"/>
        <v>0</v>
      </c>
      <c r="BK203">
        <f t="shared" si="66"/>
        <v>0</v>
      </c>
      <c r="BL203">
        <f t="shared" si="66"/>
        <v>0</v>
      </c>
      <c r="BM203">
        <f t="shared" si="66"/>
        <v>0</v>
      </c>
      <c r="BN203">
        <f t="shared" si="66"/>
        <v>0</v>
      </c>
      <c r="BO203">
        <f t="shared" si="66"/>
        <v>0</v>
      </c>
      <c r="BP203">
        <f t="shared" si="66"/>
        <v>0</v>
      </c>
      <c r="BQ203">
        <f t="shared" si="66"/>
        <v>0</v>
      </c>
      <c r="BR203">
        <f t="shared" si="66"/>
        <v>0</v>
      </c>
      <c r="BS203">
        <f t="shared" si="66"/>
        <v>0</v>
      </c>
    </row>
    <row r="204" spans="2:71" ht="15" customHeight="1" x14ac:dyDescent="0.2">
      <c r="B204" t="s">
        <v>245</v>
      </c>
      <c r="D204">
        <v>4</v>
      </c>
      <c r="E204" t="s">
        <v>246</v>
      </c>
      <c r="F204" t="s">
        <v>214</v>
      </c>
      <c r="G204" s="5">
        <v>42573</v>
      </c>
      <c r="H204" t="s">
        <v>97</v>
      </c>
      <c r="I204" t="s">
        <v>215</v>
      </c>
      <c r="J204" t="s">
        <v>216</v>
      </c>
      <c r="K204">
        <v>6</v>
      </c>
      <c r="L204" t="s">
        <v>247</v>
      </c>
      <c r="M204" t="s">
        <v>217</v>
      </c>
      <c r="N204" t="s">
        <v>78</v>
      </c>
      <c r="O204">
        <v>70.599999999999994</v>
      </c>
      <c r="P204">
        <v>130</v>
      </c>
      <c r="Q204">
        <v>6111</v>
      </c>
      <c r="R204" t="s">
        <v>248</v>
      </c>
      <c r="S204" t="s">
        <v>248</v>
      </c>
      <c r="T204" t="s">
        <v>83</v>
      </c>
      <c r="U204" t="s">
        <v>40</v>
      </c>
      <c r="V204" t="s">
        <v>49</v>
      </c>
      <c r="W204" t="s">
        <v>109</v>
      </c>
      <c r="AA204">
        <v>0.5</v>
      </c>
      <c r="AB204" t="s">
        <v>33</v>
      </c>
      <c r="AC204" t="s">
        <v>249</v>
      </c>
      <c r="AE204" t="str">
        <f t="shared" si="63"/>
        <v>Shively</v>
      </c>
      <c r="AF204">
        <v>0</v>
      </c>
      <c r="AG204">
        <v>0</v>
      </c>
      <c r="AH204">
        <v>1</v>
      </c>
      <c r="AI204">
        <v>0</v>
      </c>
      <c r="AJ204">
        <v>0</v>
      </c>
      <c r="AO204">
        <f t="shared" si="64"/>
        <v>0</v>
      </c>
      <c r="AP204">
        <f t="shared" si="64"/>
        <v>0</v>
      </c>
      <c r="AQ204">
        <f t="shared" si="64"/>
        <v>0</v>
      </c>
      <c r="AR204">
        <f t="shared" si="64"/>
        <v>0</v>
      </c>
      <c r="AS204">
        <f t="shared" si="64"/>
        <v>0</v>
      </c>
      <c r="AT204">
        <f t="shared" si="64"/>
        <v>0</v>
      </c>
      <c r="AU204">
        <f t="shared" si="64"/>
        <v>0</v>
      </c>
      <c r="AV204">
        <f t="shared" si="64"/>
        <v>0</v>
      </c>
      <c r="AW204">
        <f t="shared" si="64"/>
        <v>0</v>
      </c>
      <c r="AX204" t="str">
        <f t="shared" si="64"/>
        <v>Shively</v>
      </c>
      <c r="AY204">
        <f t="shared" si="65"/>
        <v>0</v>
      </c>
      <c r="AZ204">
        <f t="shared" si="65"/>
        <v>0</v>
      </c>
      <c r="BA204">
        <f t="shared" si="65"/>
        <v>0</v>
      </c>
      <c r="BB204">
        <f t="shared" si="65"/>
        <v>0</v>
      </c>
      <c r="BC204">
        <f t="shared" si="65"/>
        <v>0</v>
      </c>
      <c r="BD204">
        <f t="shared" si="65"/>
        <v>0</v>
      </c>
      <c r="BE204">
        <f t="shared" si="65"/>
        <v>0</v>
      </c>
      <c r="BF204">
        <f t="shared" si="65"/>
        <v>0</v>
      </c>
      <c r="BG204">
        <f t="shared" si="65"/>
        <v>0</v>
      </c>
      <c r="BH204">
        <f t="shared" si="65"/>
        <v>0</v>
      </c>
      <c r="BI204">
        <f t="shared" si="66"/>
        <v>0</v>
      </c>
      <c r="BJ204">
        <f t="shared" si="66"/>
        <v>0</v>
      </c>
      <c r="BK204">
        <f t="shared" si="66"/>
        <v>0</v>
      </c>
      <c r="BL204">
        <f t="shared" si="66"/>
        <v>0</v>
      </c>
      <c r="BM204">
        <f t="shared" si="66"/>
        <v>0</v>
      </c>
      <c r="BN204">
        <f t="shared" si="66"/>
        <v>0</v>
      </c>
      <c r="BO204">
        <f t="shared" si="66"/>
        <v>0</v>
      </c>
      <c r="BP204">
        <f t="shared" si="66"/>
        <v>0</v>
      </c>
      <c r="BQ204">
        <f t="shared" si="66"/>
        <v>0</v>
      </c>
      <c r="BR204">
        <f t="shared" si="66"/>
        <v>0</v>
      </c>
      <c r="BS204">
        <f t="shared" si="66"/>
        <v>0</v>
      </c>
    </row>
    <row r="205" spans="2:71" ht="15" customHeight="1" x14ac:dyDescent="0.2">
      <c r="B205" t="s">
        <v>245</v>
      </c>
      <c r="D205">
        <v>4</v>
      </c>
      <c r="E205" t="s">
        <v>246</v>
      </c>
      <c r="F205" t="s">
        <v>214</v>
      </c>
      <c r="G205" s="5">
        <v>42573</v>
      </c>
      <c r="H205" t="s">
        <v>97</v>
      </c>
      <c r="I205" t="s">
        <v>215</v>
      </c>
      <c r="J205" t="s">
        <v>216</v>
      </c>
      <c r="K205">
        <v>6</v>
      </c>
      <c r="L205" t="s">
        <v>247</v>
      </c>
      <c r="M205" t="s">
        <v>217</v>
      </c>
      <c r="N205" t="s">
        <v>78</v>
      </c>
      <c r="O205">
        <v>70.599999999999994</v>
      </c>
      <c r="P205">
        <v>130</v>
      </c>
      <c r="Q205">
        <v>6111</v>
      </c>
      <c r="R205" t="s">
        <v>248</v>
      </c>
      <c r="S205" t="s">
        <v>248</v>
      </c>
      <c r="T205" t="s">
        <v>83</v>
      </c>
      <c r="U205" t="s">
        <v>40</v>
      </c>
      <c r="V205" t="s">
        <v>57</v>
      </c>
      <c r="W205" t="s">
        <v>109</v>
      </c>
      <c r="AA205">
        <v>0.5</v>
      </c>
      <c r="AB205" t="s">
        <v>33</v>
      </c>
      <c r="AC205" t="s">
        <v>249</v>
      </c>
      <c r="AE205" t="str">
        <f t="shared" si="63"/>
        <v>Buss</v>
      </c>
      <c r="AF205">
        <v>0</v>
      </c>
      <c r="AG205">
        <v>0</v>
      </c>
      <c r="AH205">
        <v>1</v>
      </c>
      <c r="AI205">
        <v>0</v>
      </c>
      <c r="AJ205">
        <v>0</v>
      </c>
      <c r="AO205">
        <f t="shared" si="64"/>
        <v>0</v>
      </c>
      <c r="AP205">
        <f t="shared" si="64"/>
        <v>0</v>
      </c>
      <c r="AQ205">
        <f t="shared" si="64"/>
        <v>0</v>
      </c>
      <c r="AR205">
        <f t="shared" si="64"/>
        <v>0</v>
      </c>
      <c r="AS205">
        <f t="shared" si="64"/>
        <v>0</v>
      </c>
      <c r="AT205">
        <f t="shared" si="64"/>
        <v>0</v>
      </c>
      <c r="AU205">
        <f t="shared" si="64"/>
        <v>0</v>
      </c>
      <c r="AV205">
        <f t="shared" si="64"/>
        <v>0</v>
      </c>
      <c r="AW205">
        <f t="shared" si="64"/>
        <v>0</v>
      </c>
      <c r="AX205">
        <f t="shared" si="64"/>
        <v>0</v>
      </c>
      <c r="AY205">
        <f t="shared" si="65"/>
        <v>0</v>
      </c>
      <c r="AZ205">
        <f t="shared" si="65"/>
        <v>0</v>
      </c>
      <c r="BA205">
        <f t="shared" si="65"/>
        <v>0</v>
      </c>
      <c r="BB205">
        <f t="shared" si="65"/>
        <v>0</v>
      </c>
      <c r="BC205">
        <f t="shared" si="65"/>
        <v>0</v>
      </c>
      <c r="BD205">
        <f t="shared" si="65"/>
        <v>0</v>
      </c>
      <c r="BE205">
        <f t="shared" si="65"/>
        <v>0</v>
      </c>
      <c r="BF205" t="str">
        <f t="shared" si="65"/>
        <v>Buss</v>
      </c>
      <c r="BG205">
        <f t="shared" si="65"/>
        <v>0</v>
      </c>
      <c r="BH205">
        <f t="shared" si="65"/>
        <v>0</v>
      </c>
      <c r="BI205">
        <f t="shared" si="66"/>
        <v>0</v>
      </c>
      <c r="BJ205">
        <f t="shared" si="66"/>
        <v>0</v>
      </c>
      <c r="BK205">
        <f t="shared" si="66"/>
        <v>0</v>
      </c>
      <c r="BL205">
        <f t="shared" si="66"/>
        <v>0</v>
      </c>
      <c r="BM205">
        <f t="shared" si="66"/>
        <v>0</v>
      </c>
      <c r="BN205">
        <f t="shared" si="66"/>
        <v>0</v>
      </c>
      <c r="BO205">
        <f t="shared" si="66"/>
        <v>0</v>
      </c>
      <c r="BP205">
        <f t="shared" si="66"/>
        <v>0</v>
      </c>
      <c r="BQ205">
        <f t="shared" si="66"/>
        <v>0</v>
      </c>
      <c r="BR205">
        <f t="shared" si="66"/>
        <v>0</v>
      </c>
      <c r="BS205">
        <f t="shared" si="66"/>
        <v>0</v>
      </c>
    </row>
    <row r="206" spans="2:71" ht="15" customHeight="1" x14ac:dyDescent="0.2">
      <c r="B206">
        <v>21</v>
      </c>
      <c r="C206">
        <v>1</v>
      </c>
      <c r="D206">
        <v>4</v>
      </c>
      <c r="E206" t="s">
        <v>250</v>
      </c>
      <c r="F206" t="s">
        <v>72</v>
      </c>
      <c r="G206" s="5">
        <v>42574</v>
      </c>
      <c r="H206" t="s">
        <v>73</v>
      </c>
      <c r="I206" t="s">
        <v>215</v>
      </c>
      <c r="J206" t="s">
        <v>216</v>
      </c>
      <c r="K206">
        <v>18</v>
      </c>
      <c r="L206" t="s">
        <v>107</v>
      </c>
      <c r="M206" t="s">
        <v>251</v>
      </c>
      <c r="N206" t="s">
        <v>251</v>
      </c>
      <c r="O206">
        <v>72.3</v>
      </c>
      <c r="P206">
        <v>132</v>
      </c>
      <c r="Q206">
        <v>6517</v>
      </c>
      <c r="R206" t="s">
        <v>110</v>
      </c>
      <c r="S206" t="s">
        <v>111</v>
      </c>
      <c r="T206" t="s">
        <v>81</v>
      </c>
      <c r="U206" t="s">
        <v>46</v>
      </c>
      <c r="V206" t="s">
        <v>58</v>
      </c>
      <c r="W206" t="s">
        <v>78</v>
      </c>
      <c r="AA206">
        <v>2</v>
      </c>
      <c r="AB206" t="s">
        <v>32</v>
      </c>
      <c r="AC206" t="s">
        <v>174</v>
      </c>
      <c r="AD206" t="s">
        <v>45</v>
      </c>
      <c r="AE206" t="str">
        <f t="shared" si="63"/>
        <v>Gray</v>
      </c>
      <c r="AF206">
        <v>2</v>
      </c>
      <c r="AG206">
        <v>1</v>
      </c>
      <c r="AH206">
        <v>0</v>
      </c>
      <c r="AI206">
        <v>0</v>
      </c>
      <c r="AJ206">
        <v>1</v>
      </c>
      <c r="AK206" t="s">
        <v>45</v>
      </c>
      <c r="AL206">
        <v>0.59375</v>
      </c>
      <c r="AO206">
        <f t="shared" si="64"/>
        <v>0</v>
      </c>
      <c r="AP206">
        <f t="shared" si="64"/>
        <v>0</v>
      </c>
      <c r="AQ206">
        <f t="shared" si="64"/>
        <v>0</v>
      </c>
      <c r="AR206">
        <f t="shared" si="64"/>
        <v>0</v>
      </c>
      <c r="AS206">
        <f t="shared" si="64"/>
        <v>0</v>
      </c>
      <c r="AT206">
        <f t="shared" si="64"/>
        <v>0</v>
      </c>
      <c r="AU206">
        <f t="shared" si="64"/>
        <v>0</v>
      </c>
      <c r="AV206">
        <f t="shared" si="64"/>
        <v>0</v>
      </c>
      <c r="AW206">
        <f t="shared" si="64"/>
        <v>0</v>
      </c>
      <c r="AX206">
        <f t="shared" si="64"/>
        <v>0</v>
      </c>
      <c r="AY206">
        <f t="shared" si="65"/>
        <v>0</v>
      </c>
      <c r="AZ206">
        <f t="shared" si="65"/>
        <v>0</v>
      </c>
      <c r="BA206">
        <f t="shared" si="65"/>
        <v>0</v>
      </c>
      <c r="BB206">
        <f t="shared" si="65"/>
        <v>0</v>
      </c>
      <c r="BC206">
        <f t="shared" si="65"/>
        <v>0</v>
      </c>
      <c r="BD206">
        <f t="shared" si="65"/>
        <v>0</v>
      </c>
      <c r="BE206">
        <f t="shared" si="65"/>
        <v>0</v>
      </c>
      <c r="BF206">
        <f t="shared" si="65"/>
        <v>0</v>
      </c>
      <c r="BG206" t="str">
        <f t="shared" si="65"/>
        <v>Gray</v>
      </c>
      <c r="BH206">
        <f t="shared" si="65"/>
        <v>0</v>
      </c>
      <c r="BI206">
        <f t="shared" si="66"/>
        <v>0</v>
      </c>
      <c r="BJ206">
        <f t="shared" si="66"/>
        <v>0</v>
      </c>
      <c r="BK206">
        <f t="shared" si="66"/>
        <v>0</v>
      </c>
      <c r="BL206">
        <f t="shared" si="66"/>
        <v>0</v>
      </c>
      <c r="BM206">
        <f t="shared" si="66"/>
        <v>0</v>
      </c>
      <c r="BN206">
        <f t="shared" si="66"/>
        <v>0</v>
      </c>
      <c r="BO206">
        <f t="shared" si="66"/>
        <v>0</v>
      </c>
      <c r="BP206">
        <f t="shared" si="66"/>
        <v>0</v>
      </c>
      <c r="BQ206">
        <f t="shared" si="66"/>
        <v>0</v>
      </c>
      <c r="BR206">
        <f t="shared" si="66"/>
        <v>0</v>
      </c>
      <c r="BS206">
        <f t="shared" si="66"/>
        <v>0</v>
      </c>
    </row>
    <row r="207" spans="2:71" ht="15" customHeight="1" x14ac:dyDescent="0.2">
      <c r="B207">
        <v>21</v>
      </c>
      <c r="C207">
        <v>2</v>
      </c>
      <c r="D207">
        <v>4</v>
      </c>
      <c r="E207" t="s">
        <v>252</v>
      </c>
      <c r="F207" t="s">
        <v>72</v>
      </c>
      <c r="G207" s="5">
        <v>42574</v>
      </c>
      <c r="H207" t="s">
        <v>73</v>
      </c>
      <c r="I207" t="s">
        <v>215</v>
      </c>
      <c r="J207" t="s">
        <v>216</v>
      </c>
      <c r="K207">
        <v>18</v>
      </c>
      <c r="L207" t="s">
        <v>107</v>
      </c>
      <c r="M207" t="s">
        <v>251</v>
      </c>
      <c r="N207" t="s">
        <v>251</v>
      </c>
      <c r="O207">
        <v>72.3</v>
      </c>
      <c r="P207">
        <v>132</v>
      </c>
      <c r="Q207">
        <v>6517</v>
      </c>
      <c r="R207" t="s">
        <v>110</v>
      </c>
      <c r="S207" t="s">
        <v>111</v>
      </c>
      <c r="T207" t="s">
        <v>81</v>
      </c>
      <c r="U207" t="s">
        <v>46</v>
      </c>
      <c r="V207" t="s">
        <v>44</v>
      </c>
      <c r="W207" t="s">
        <v>78</v>
      </c>
      <c r="AA207">
        <v>2</v>
      </c>
      <c r="AB207" t="s">
        <v>32</v>
      </c>
      <c r="AC207" t="s">
        <v>174</v>
      </c>
      <c r="AD207" t="s">
        <v>62</v>
      </c>
      <c r="AE207" t="str">
        <f t="shared" si="63"/>
        <v>Flanders</v>
      </c>
      <c r="AF207">
        <v>2</v>
      </c>
      <c r="AG207">
        <v>1</v>
      </c>
      <c r="AH207">
        <v>0</v>
      </c>
      <c r="AI207">
        <v>0</v>
      </c>
      <c r="AJ207">
        <v>1</v>
      </c>
      <c r="AK207" t="s">
        <v>62</v>
      </c>
      <c r="AL207">
        <v>0.51041666666666696</v>
      </c>
      <c r="AO207">
        <f t="shared" si="64"/>
        <v>0</v>
      </c>
      <c r="AP207">
        <f t="shared" si="64"/>
        <v>0</v>
      </c>
      <c r="AQ207">
        <f t="shared" si="64"/>
        <v>0</v>
      </c>
      <c r="AR207">
        <f t="shared" si="64"/>
        <v>0</v>
      </c>
      <c r="AS207" t="str">
        <f t="shared" si="64"/>
        <v>Flanders</v>
      </c>
      <c r="AT207">
        <f t="shared" si="64"/>
        <v>0</v>
      </c>
      <c r="AU207">
        <f t="shared" si="64"/>
        <v>0</v>
      </c>
      <c r="AV207">
        <f t="shared" si="64"/>
        <v>0</v>
      </c>
      <c r="AW207">
        <f t="shared" si="64"/>
        <v>0</v>
      </c>
      <c r="AX207">
        <f t="shared" si="64"/>
        <v>0</v>
      </c>
      <c r="AY207">
        <f t="shared" si="65"/>
        <v>0</v>
      </c>
      <c r="AZ207">
        <f t="shared" si="65"/>
        <v>0</v>
      </c>
      <c r="BA207">
        <f t="shared" si="65"/>
        <v>0</v>
      </c>
      <c r="BB207">
        <f t="shared" si="65"/>
        <v>0</v>
      </c>
      <c r="BC207">
        <f t="shared" si="65"/>
        <v>0</v>
      </c>
      <c r="BD207">
        <f t="shared" si="65"/>
        <v>0</v>
      </c>
      <c r="BE207">
        <f t="shared" si="65"/>
        <v>0</v>
      </c>
      <c r="BF207">
        <f t="shared" si="65"/>
        <v>0</v>
      </c>
      <c r="BG207">
        <f t="shared" si="65"/>
        <v>0</v>
      </c>
      <c r="BH207">
        <f t="shared" si="65"/>
        <v>0</v>
      </c>
      <c r="BI207">
        <f t="shared" si="66"/>
        <v>0</v>
      </c>
      <c r="BJ207">
        <f t="shared" si="66"/>
        <v>0</v>
      </c>
      <c r="BK207">
        <f t="shared" si="66"/>
        <v>0</v>
      </c>
      <c r="BL207">
        <f t="shared" si="66"/>
        <v>0</v>
      </c>
      <c r="BM207">
        <f t="shared" si="66"/>
        <v>0</v>
      </c>
      <c r="BN207">
        <f t="shared" si="66"/>
        <v>0</v>
      </c>
      <c r="BO207">
        <f t="shared" si="66"/>
        <v>0</v>
      </c>
      <c r="BP207">
        <f t="shared" si="66"/>
        <v>0</v>
      </c>
      <c r="BQ207">
        <f t="shared" si="66"/>
        <v>0</v>
      </c>
      <c r="BR207">
        <f t="shared" si="66"/>
        <v>0</v>
      </c>
      <c r="BS207">
        <f t="shared" si="66"/>
        <v>0</v>
      </c>
    </row>
    <row r="208" spans="2:71" ht="15" customHeight="1" x14ac:dyDescent="0.2">
      <c r="B208">
        <v>22</v>
      </c>
      <c r="C208">
        <v>3</v>
      </c>
      <c r="D208">
        <v>4</v>
      </c>
      <c r="E208" t="s">
        <v>253</v>
      </c>
      <c r="F208" t="s">
        <v>72</v>
      </c>
      <c r="G208" s="5">
        <v>42574</v>
      </c>
      <c r="H208" t="s">
        <v>73</v>
      </c>
      <c r="I208" t="s">
        <v>215</v>
      </c>
      <c r="J208" t="s">
        <v>216</v>
      </c>
      <c r="K208">
        <v>18</v>
      </c>
      <c r="L208" t="s">
        <v>107</v>
      </c>
      <c r="M208" t="s">
        <v>251</v>
      </c>
      <c r="N208" t="s">
        <v>251</v>
      </c>
      <c r="O208">
        <v>72.3</v>
      </c>
      <c r="P208">
        <v>132</v>
      </c>
      <c r="Q208">
        <v>6517</v>
      </c>
      <c r="R208" t="s">
        <v>110</v>
      </c>
      <c r="S208" t="s">
        <v>111</v>
      </c>
      <c r="T208" t="s">
        <v>81</v>
      </c>
      <c r="U208" t="s">
        <v>46</v>
      </c>
      <c r="V208" t="s">
        <v>56</v>
      </c>
      <c r="W208" t="s">
        <v>78</v>
      </c>
      <c r="AA208">
        <v>2</v>
      </c>
      <c r="AB208" t="s">
        <v>33</v>
      </c>
      <c r="AC208" t="s">
        <v>254</v>
      </c>
      <c r="AD208" t="s">
        <v>40</v>
      </c>
      <c r="AE208" t="str">
        <f t="shared" si="63"/>
        <v>Weisberger</v>
      </c>
      <c r="AF208">
        <v>0</v>
      </c>
      <c r="AG208">
        <v>0</v>
      </c>
      <c r="AH208">
        <v>1</v>
      </c>
      <c r="AI208">
        <v>0</v>
      </c>
      <c r="AJ208">
        <v>0</v>
      </c>
      <c r="AK208" t="s">
        <v>40</v>
      </c>
      <c r="AL208">
        <v>0.546875</v>
      </c>
      <c r="AO208">
        <f t="shared" si="64"/>
        <v>0</v>
      </c>
      <c r="AP208">
        <f t="shared" si="64"/>
        <v>0</v>
      </c>
      <c r="AQ208">
        <f t="shared" si="64"/>
        <v>0</v>
      </c>
      <c r="AR208">
        <f t="shared" si="64"/>
        <v>0</v>
      </c>
      <c r="AS208">
        <f t="shared" si="64"/>
        <v>0</v>
      </c>
      <c r="AT208">
        <f t="shared" si="64"/>
        <v>0</v>
      </c>
      <c r="AU208">
        <f t="shared" si="64"/>
        <v>0</v>
      </c>
      <c r="AV208">
        <f t="shared" si="64"/>
        <v>0</v>
      </c>
      <c r="AW208">
        <f t="shared" si="64"/>
        <v>0</v>
      </c>
      <c r="AX208">
        <f t="shared" si="64"/>
        <v>0</v>
      </c>
      <c r="AY208">
        <f t="shared" si="65"/>
        <v>0</v>
      </c>
      <c r="AZ208">
        <f t="shared" si="65"/>
        <v>0</v>
      </c>
      <c r="BA208">
        <f t="shared" si="65"/>
        <v>0</v>
      </c>
      <c r="BB208">
        <f t="shared" si="65"/>
        <v>0</v>
      </c>
      <c r="BC208">
        <f t="shared" si="65"/>
        <v>0</v>
      </c>
      <c r="BD208">
        <f t="shared" si="65"/>
        <v>0</v>
      </c>
      <c r="BE208" t="str">
        <f t="shared" si="65"/>
        <v>Weisberger</v>
      </c>
      <c r="BF208">
        <f t="shared" si="65"/>
        <v>0</v>
      </c>
      <c r="BG208">
        <f t="shared" si="65"/>
        <v>0</v>
      </c>
      <c r="BH208">
        <f t="shared" si="65"/>
        <v>0</v>
      </c>
      <c r="BI208">
        <f t="shared" si="66"/>
        <v>0</v>
      </c>
      <c r="BJ208">
        <f t="shared" si="66"/>
        <v>0</v>
      </c>
      <c r="BK208">
        <f t="shared" si="66"/>
        <v>0</v>
      </c>
      <c r="BL208">
        <f t="shared" si="66"/>
        <v>0</v>
      </c>
      <c r="BM208">
        <f t="shared" si="66"/>
        <v>0</v>
      </c>
      <c r="BN208">
        <f t="shared" si="66"/>
        <v>0</v>
      </c>
      <c r="BO208">
        <f t="shared" si="66"/>
        <v>0</v>
      </c>
      <c r="BP208">
        <f t="shared" si="66"/>
        <v>0</v>
      </c>
      <c r="BQ208">
        <f t="shared" si="66"/>
        <v>0</v>
      </c>
      <c r="BR208">
        <f t="shared" si="66"/>
        <v>0</v>
      </c>
      <c r="BS208">
        <f t="shared" si="66"/>
        <v>0</v>
      </c>
    </row>
    <row r="209" spans="2:71" ht="15" customHeight="1" x14ac:dyDescent="0.2">
      <c r="B209">
        <v>22</v>
      </c>
      <c r="C209">
        <v>4</v>
      </c>
      <c r="D209">
        <v>4</v>
      </c>
      <c r="E209" t="s">
        <v>255</v>
      </c>
      <c r="F209" t="s">
        <v>72</v>
      </c>
      <c r="G209" s="5">
        <v>42574</v>
      </c>
      <c r="H209" t="s">
        <v>73</v>
      </c>
      <c r="I209" t="s">
        <v>215</v>
      </c>
      <c r="J209" t="s">
        <v>216</v>
      </c>
      <c r="K209">
        <v>18</v>
      </c>
      <c r="L209" t="s">
        <v>107</v>
      </c>
      <c r="M209" t="s">
        <v>251</v>
      </c>
      <c r="N209" t="s">
        <v>251</v>
      </c>
      <c r="O209">
        <v>72.3</v>
      </c>
      <c r="P209">
        <v>132</v>
      </c>
      <c r="Q209">
        <v>6517</v>
      </c>
      <c r="R209" t="s">
        <v>110</v>
      </c>
      <c r="S209" t="s">
        <v>111</v>
      </c>
      <c r="T209" t="s">
        <v>81</v>
      </c>
      <c r="U209" t="s">
        <v>46</v>
      </c>
      <c r="V209" t="s">
        <v>55</v>
      </c>
      <c r="W209" t="s">
        <v>78</v>
      </c>
      <c r="AA209">
        <v>2</v>
      </c>
      <c r="AB209" t="s">
        <v>33</v>
      </c>
      <c r="AC209" t="s">
        <v>233</v>
      </c>
      <c r="AD209" t="s">
        <v>48</v>
      </c>
      <c r="AE209" t="str">
        <f t="shared" si="63"/>
        <v>Cole</v>
      </c>
      <c r="AF209">
        <v>0</v>
      </c>
      <c r="AG209">
        <v>0</v>
      </c>
      <c r="AH209">
        <v>1</v>
      </c>
      <c r="AI209">
        <v>0</v>
      </c>
      <c r="AJ209">
        <v>0</v>
      </c>
      <c r="AK209" t="s">
        <v>48</v>
      </c>
      <c r="AL209">
        <v>0.5546875</v>
      </c>
      <c r="AO209">
        <f t="shared" si="64"/>
        <v>0</v>
      </c>
      <c r="AP209">
        <f t="shared" si="64"/>
        <v>0</v>
      </c>
      <c r="AQ209">
        <f t="shared" si="64"/>
        <v>0</v>
      </c>
      <c r="AR209">
        <f t="shared" si="64"/>
        <v>0</v>
      </c>
      <c r="AS209">
        <f t="shared" si="64"/>
        <v>0</v>
      </c>
      <c r="AT209">
        <f t="shared" si="64"/>
        <v>0</v>
      </c>
      <c r="AU209">
        <f t="shared" si="64"/>
        <v>0</v>
      </c>
      <c r="AV209">
        <f t="shared" si="64"/>
        <v>0</v>
      </c>
      <c r="AW209">
        <f t="shared" si="64"/>
        <v>0</v>
      </c>
      <c r="AX209">
        <f t="shared" si="64"/>
        <v>0</v>
      </c>
      <c r="AY209">
        <f t="shared" si="65"/>
        <v>0</v>
      </c>
      <c r="AZ209">
        <f t="shared" si="65"/>
        <v>0</v>
      </c>
      <c r="BA209">
        <f t="shared" si="65"/>
        <v>0</v>
      </c>
      <c r="BB209">
        <f t="shared" si="65"/>
        <v>0</v>
      </c>
      <c r="BC209">
        <f t="shared" si="65"/>
        <v>0</v>
      </c>
      <c r="BD209" t="str">
        <f t="shared" si="65"/>
        <v>Cole</v>
      </c>
      <c r="BE209">
        <f t="shared" si="65"/>
        <v>0</v>
      </c>
      <c r="BF209">
        <f t="shared" si="65"/>
        <v>0</v>
      </c>
      <c r="BG209">
        <f t="shared" si="65"/>
        <v>0</v>
      </c>
      <c r="BH209">
        <f t="shared" si="65"/>
        <v>0</v>
      </c>
      <c r="BI209">
        <f t="shared" si="66"/>
        <v>0</v>
      </c>
      <c r="BJ209">
        <f t="shared" si="66"/>
        <v>0</v>
      </c>
      <c r="BK209">
        <f t="shared" si="66"/>
        <v>0</v>
      </c>
      <c r="BL209">
        <f t="shared" si="66"/>
        <v>0</v>
      </c>
      <c r="BM209">
        <f t="shared" si="66"/>
        <v>0</v>
      </c>
      <c r="BN209">
        <f t="shared" si="66"/>
        <v>0</v>
      </c>
      <c r="BO209">
        <f t="shared" si="66"/>
        <v>0</v>
      </c>
      <c r="BP209">
        <f t="shared" si="66"/>
        <v>0</v>
      </c>
      <c r="BQ209">
        <f t="shared" si="66"/>
        <v>0</v>
      </c>
      <c r="BR209">
        <f t="shared" si="66"/>
        <v>0</v>
      </c>
      <c r="BS209">
        <f t="shared" si="66"/>
        <v>0</v>
      </c>
    </row>
    <row r="210" spans="2:71" ht="15" customHeight="1" x14ac:dyDescent="0.2">
      <c r="B210">
        <v>23</v>
      </c>
      <c r="C210">
        <v>5</v>
      </c>
      <c r="D210">
        <v>4</v>
      </c>
      <c r="E210" t="s">
        <v>256</v>
      </c>
      <c r="F210" t="s">
        <v>72</v>
      </c>
      <c r="G210" s="5">
        <v>42574</v>
      </c>
      <c r="H210" t="s">
        <v>73</v>
      </c>
      <c r="I210" t="s">
        <v>215</v>
      </c>
      <c r="J210" t="s">
        <v>216</v>
      </c>
      <c r="K210">
        <v>18</v>
      </c>
      <c r="L210" t="s">
        <v>107</v>
      </c>
      <c r="M210" t="s">
        <v>251</v>
      </c>
      <c r="N210" t="s">
        <v>251</v>
      </c>
      <c r="O210">
        <v>72.3</v>
      </c>
      <c r="P210">
        <v>132</v>
      </c>
      <c r="Q210">
        <v>6517</v>
      </c>
      <c r="R210" t="s">
        <v>110</v>
      </c>
      <c r="S210" t="s">
        <v>111</v>
      </c>
      <c r="T210" t="s">
        <v>81</v>
      </c>
      <c r="U210" t="s">
        <v>46</v>
      </c>
      <c r="V210" t="s">
        <v>50</v>
      </c>
      <c r="W210" t="s">
        <v>78</v>
      </c>
      <c r="AA210">
        <v>2</v>
      </c>
      <c r="AB210" t="s">
        <v>33</v>
      </c>
      <c r="AC210" t="s">
        <v>184</v>
      </c>
      <c r="AD210" t="s">
        <v>61</v>
      </c>
      <c r="AE210" t="str">
        <f t="shared" si="63"/>
        <v>Ferrin</v>
      </c>
      <c r="AF210">
        <v>0</v>
      </c>
      <c r="AG210">
        <v>0</v>
      </c>
      <c r="AH210">
        <v>1</v>
      </c>
      <c r="AI210">
        <v>0</v>
      </c>
      <c r="AJ210">
        <v>0</v>
      </c>
      <c r="AK210" t="s">
        <v>61</v>
      </c>
      <c r="AL210">
        <v>0.5</v>
      </c>
      <c r="AO210">
        <f t="shared" si="64"/>
        <v>0</v>
      </c>
      <c r="AP210">
        <f t="shared" si="64"/>
        <v>0</v>
      </c>
      <c r="AQ210">
        <f t="shared" si="64"/>
        <v>0</v>
      </c>
      <c r="AR210">
        <f t="shared" si="64"/>
        <v>0</v>
      </c>
      <c r="AS210">
        <f t="shared" si="64"/>
        <v>0</v>
      </c>
      <c r="AT210">
        <f t="shared" si="64"/>
        <v>0</v>
      </c>
      <c r="AU210">
        <f t="shared" si="64"/>
        <v>0</v>
      </c>
      <c r="AV210">
        <f t="shared" si="64"/>
        <v>0</v>
      </c>
      <c r="AW210">
        <f t="shared" si="64"/>
        <v>0</v>
      </c>
      <c r="AX210">
        <f t="shared" si="64"/>
        <v>0</v>
      </c>
      <c r="AY210" t="str">
        <f t="shared" si="65"/>
        <v>Ferrin</v>
      </c>
      <c r="AZ210">
        <f t="shared" si="65"/>
        <v>0</v>
      </c>
      <c r="BA210">
        <f t="shared" si="65"/>
        <v>0</v>
      </c>
      <c r="BB210">
        <f t="shared" si="65"/>
        <v>0</v>
      </c>
      <c r="BC210">
        <f t="shared" si="65"/>
        <v>0</v>
      </c>
      <c r="BD210">
        <f t="shared" si="65"/>
        <v>0</v>
      </c>
      <c r="BE210">
        <f t="shared" si="65"/>
        <v>0</v>
      </c>
      <c r="BF210">
        <f t="shared" si="65"/>
        <v>0</v>
      </c>
      <c r="BG210">
        <f t="shared" si="65"/>
        <v>0</v>
      </c>
      <c r="BH210">
        <f t="shared" si="65"/>
        <v>0</v>
      </c>
      <c r="BI210">
        <f t="shared" si="66"/>
        <v>0</v>
      </c>
      <c r="BJ210">
        <f t="shared" si="66"/>
        <v>0</v>
      </c>
      <c r="BK210">
        <f t="shared" si="66"/>
        <v>0</v>
      </c>
      <c r="BL210">
        <f t="shared" si="66"/>
        <v>0</v>
      </c>
      <c r="BM210">
        <f t="shared" si="66"/>
        <v>0</v>
      </c>
      <c r="BN210">
        <f t="shared" si="66"/>
        <v>0</v>
      </c>
      <c r="BO210">
        <f t="shared" si="66"/>
        <v>0</v>
      </c>
      <c r="BP210">
        <f t="shared" si="66"/>
        <v>0</v>
      </c>
      <c r="BQ210">
        <f t="shared" si="66"/>
        <v>0</v>
      </c>
      <c r="BR210">
        <f t="shared" si="66"/>
        <v>0</v>
      </c>
      <c r="BS210">
        <f t="shared" si="66"/>
        <v>0</v>
      </c>
    </row>
    <row r="211" spans="2:71" ht="15" customHeight="1" x14ac:dyDescent="0.2">
      <c r="B211">
        <v>23</v>
      </c>
      <c r="C211">
        <v>6</v>
      </c>
      <c r="D211">
        <v>4</v>
      </c>
      <c r="E211" t="s">
        <v>257</v>
      </c>
      <c r="F211" t="s">
        <v>72</v>
      </c>
      <c r="G211" s="5">
        <v>42574</v>
      </c>
      <c r="H211" t="s">
        <v>73</v>
      </c>
      <c r="I211" t="s">
        <v>215</v>
      </c>
      <c r="J211" t="s">
        <v>216</v>
      </c>
      <c r="K211">
        <v>18</v>
      </c>
      <c r="L211" t="s">
        <v>107</v>
      </c>
      <c r="M211" t="s">
        <v>251</v>
      </c>
      <c r="N211" t="s">
        <v>251</v>
      </c>
      <c r="O211">
        <v>72.3</v>
      </c>
      <c r="P211">
        <v>132</v>
      </c>
      <c r="Q211">
        <v>6517</v>
      </c>
      <c r="R211" t="s">
        <v>110</v>
      </c>
      <c r="S211" t="s">
        <v>111</v>
      </c>
      <c r="T211" t="s">
        <v>81</v>
      </c>
      <c r="U211" t="s">
        <v>46</v>
      </c>
      <c r="V211" t="s">
        <v>46</v>
      </c>
      <c r="W211" t="s">
        <v>78</v>
      </c>
      <c r="AA211">
        <v>2</v>
      </c>
      <c r="AB211" t="s">
        <v>33</v>
      </c>
      <c r="AC211" t="s">
        <v>258</v>
      </c>
      <c r="AD211" t="s">
        <v>60</v>
      </c>
      <c r="AE211" t="str">
        <f t="shared" si="63"/>
        <v>Mangold</v>
      </c>
      <c r="AF211">
        <v>0</v>
      </c>
      <c r="AG211">
        <v>0</v>
      </c>
      <c r="AH211">
        <v>1</v>
      </c>
      <c r="AI211">
        <v>0</v>
      </c>
      <c r="AJ211">
        <v>0</v>
      </c>
      <c r="AK211" t="s">
        <v>60</v>
      </c>
      <c r="AL211">
        <v>0.5</v>
      </c>
      <c r="AO211">
        <f t="shared" si="64"/>
        <v>0</v>
      </c>
      <c r="AP211">
        <f t="shared" si="64"/>
        <v>0</v>
      </c>
      <c r="AQ211">
        <f t="shared" si="64"/>
        <v>0</v>
      </c>
      <c r="AR211">
        <f t="shared" si="64"/>
        <v>0</v>
      </c>
      <c r="AS211">
        <f t="shared" si="64"/>
        <v>0</v>
      </c>
      <c r="AT211">
        <f t="shared" si="64"/>
        <v>0</v>
      </c>
      <c r="AU211" t="str">
        <f t="shared" si="64"/>
        <v>Mangold</v>
      </c>
      <c r="AV211">
        <f t="shared" si="64"/>
        <v>0</v>
      </c>
      <c r="AW211">
        <f t="shared" si="64"/>
        <v>0</v>
      </c>
      <c r="AX211">
        <f t="shared" si="64"/>
        <v>0</v>
      </c>
      <c r="AY211">
        <f t="shared" si="65"/>
        <v>0</v>
      </c>
      <c r="AZ211">
        <f t="shared" si="65"/>
        <v>0</v>
      </c>
      <c r="BA211">
        <f t="shared" si="65"/>
        <v>0</v>
      </c>
      <c r="BB211">
        <f t="shared" si="65"/>
        <v>0</v>
      </c>
      <c r="BC211">
        <f t="shared" si="65"/>
        <v>0</v>
      </c>
      <c r="BD211">
        <f t="shared" si="65"/>
        <v>0</v>
      </c>
      <c r="BE211">
        <f t="shared" si="65"/>
        <v>0</v>
      </c>
      <c r="BF211">
        <f t="shared" si="65"/>
        <v>0</v>
      </c>
      <c r="BG211">
        <f t="shared" si="65"/>
        <v>0</v>
      </c>
      <c r="BH211">
        <f t="shared" si="65"/>
        <v>0</v>
      </c>
      <c r="BI211">
        <f t="shared" si="66"/>
        <v>0</v>
      </c>
      <c r="BJ211">
        <f t="shared" si="66"/>
        <v>0</v>
      </c>
      <c r="BK211">
        <f t="shared" si="66"/>
        <v>0</v>
      </c>
      <c r="BL211">
        <f t="shared" si="66"/>
        <v>0</v>
      </c>
      <c r="BM211">
        <f t="shared" si="66"/>
        <v>0</v>
      </c>
      <c r="BN211">
        <f t="shared" si="66"/>
        <v>0</v>
      </c>
      <c r="BO211">
        <f t="shared" si="66"/>
        <v>0</v>
      </c>
      <c r="BP211">
        <f t="shared" si="66"/>
        <v>0</v>
      </c>
      <c r="BQ211">
        <f t="shared" si="66"/>
        <v>0</v>
      </c>
      <c r="BR211">
        <f t="shared" si="66"/>
        <v>0</v>
      </c>
      <c r="BS211">
        <f t="shared" si="66"/>
        <v>0</v>
      </c>
    </row>
    <row r="212" spans="2:71" ht="15" customHeight="1" x14ac:dyDescent="0.2">
      <c r="B212">
        <v>24</v>
      </c>
      <c r="C212">
        <v>7</v>
      </c>
      <c r="D212">
        <v>4</v>
      </c>
      <c r="E212" t="s">
        <v>259</v>
      </c>
      <c r="F212" t="s">
        <v>72</v>
      </c>
      <c r="G212" s="5">
        <v>42574</v>
      </c>
      <c r="H212" t="s">
        <v>73</v>
      </c>
      <c r="I212" t="s">
        <v>215</v>
      </c>
      <c r="J212" t="s">
        <v>216</v>
      </c>
      <c r="K212">
        <v>18</v>
      </c>
      <c r="L212" t="s">
        <v>107</v>
      </c>
      <c r="M212" t="s">
        <v>251</v>
      </c>
      <c r="N212" t="s">
        <v>251</v>
      </c>
      <c r="O212">
        <v>72.3</v>
      </c>
      <c r="P212">
        <v>132</v>
      </c>
      <c r="Q212">
        <v>6517</v>
      </c>
      <c r="R212" t="s">
        <v>110</v>
      </c>
      <c r="S212" t="s">
        <v>111</v>
      </c>
      <c r="T212" t="s">
        <v>81</v>
      </c>
      <c r="U212" t="s">
        <v>46</v>
      </c>
      <c r="V212" t="s">
        <v>53</v>
      </c>
      <c r="W212" t="s">
        <v>78</v>
      </c>
      <c r="AA212">
        <v>2</v>
      </c>
      <c r="AB212" t="s">
        <v>32</v>
      </c>
      <c r="AC212" t="s">
        <v>258</v>
      </c>
      <c r="AD212" t="s">
        <v>49</v>
      </c>
      <c r="AE212" t="str">
        <f t="shared" si="63"/>
        <v>Forster</v>
      </c>
      <c r="AF212">
        <v>2</v>
      </c>
      <c r="AG212">
        <v>1</v>
      </c>
      <c r="AH212">
        <v>0</v>
      </c>
      <c r="AI212">
        <v>0</v>
      </c>
      <c r="AJ212">
        <v>1</v>
      </c>
      <c r="AK212" t="s">
        <v>49</v>
      </c>
      <c r="AO212">
        <f t="shared" ref="AO212:AX221" si="67">IF(OR($V212=AO$1,$Y212=AO$1),AO$1,0)</f>
        <v>0</v>
      </c>
      <c r="AP212">
        <f t="shared" si="67"/>
        <v>0</v>
      </c>
      <c r="AQ212">
        <f t="shared" si="67"/>
        <v>0</v>
      </c>
      <c r="AR212">
        <f t="shared" si="67"/>
        <v>0</v>
      </c>
      <c r="AS212">
        <f t="shared" si="67"/>
        <v>0</v>
      </c>
      <c r="AT212">
        <f t="shared" si="67"/>
        <v>0</v>
      </c>
      <c r="AU212">
        <f t="shared" si="67"/>
        <v>0</v>
      </c>
      <c r="AV212">
        <f t="shared" si="67"/>
        <v>0</v>
      </c>
      <c r="AW212">
        <f t="shared" si="67"/>
        <v>0</v>
      </c>
      <c r="AX212">
        <f t="shared" si="67"/>
        <v>0</v>
      </c>
      <c r="AY212">
        <f t="shared" ref="AY212:BH221" si="68">IF(OR($V212=AY$1,$Y212=AY$1),AY$1,0)</f>
        <v>0</v>
      </c>
      <c r="AZ212">
        <f t="shared" si="68"/>
        <v>0</v>
      </c>
      <c r="BA212">
        <f t="shared" si="68"/>
        <v>0</v>
      </c>
      <c r="BB212" t="str">
        <f t="shared" si="68"/>
        <v>Forster</v>
      </c>
      <c r="BC212">
        <f t="shared" si="68"/>
        <v>0</v>
      </c>
      <c r="BD212">
        <f t="shared" si="68"/>
        <v>0</v>
      </c>
      <c r="BE212">
        <f t="shared" si="68"/>
        <v>0</v>
      </c>
      <c r="BF212">
        <f t="shared" si="68"/>
        <v>0</v>
      </c>
      <c r="BG212">
        <f t="shared" si="68"/>
        <v>0</v>
      </c>
      <c r="BH212">
        <f t="shared" si="68"/>
        <v>0</v>
      </c>
      <c r="BI212">
        <f t="shared" ref="BI212:BS221" si="69">IF(OR($V212=BI$1,$Y212=BI$1),BI$1,0)</f>
        <v>0</v>
      </c>
      <c r="BJ212">
        <f t="shared" si="69"/>
        <v>0</v>
      </c>
      <c r="BK212">
        <f t="shared" si="69"/>
        <v>0</v>
      </c>
      <c r="BL212">
        <f t="shared" si="69"/>
        <v>0</v>
      </c>
      <c r="BM212">
        <f t="shared" si="69"/>
        <v>0</v>
      </c>
      <c r="BN212">
        <f t="shared" si="69"/>
        <v>0</v>
      </c>
      <c r="BO212">
        <f t="shared" si="69"/>
        <v>0</v>
      </c>
      <c r="BP212">
        <f t="shared" si="69"/>
        <v>0</v>
      </c>
      <c r="BQ212">
        <f t="shared" si="69"/>
        <v>0</v>
      </c>
      <c r="BR212">
        <f t="shared" si="69"/>
        <v>0</v>
      </c>
      <c r="BS212">
        <f t="shared" si="69"/>
        <v>0</v>
      </c>
    </row>
    <row r="213" spans="2:71" ht="15" customHeight="1" x14ac:dyDescent="0.2">
      <c r="B213">
        <v>24</v>
      </c>
      <c r="C213">
        <v>8</v>
      </c>
      <c r="D213">
        <v>4</v>
      </c>
      <c r="E213" t="s">
        <v>260</v>
      </c>
      <c r="F213" t="s">
        <v>72</v>
      </c>
      <c r="G213" s="5">
        <v>42574</v>
      </c>
      <c r="H213" t="s">
        <v>73</v>
      </c>
      <c r="I213" t="s">
        <v>215</v>
      </c>
      <c r="J213" t="s">
        <v>216</v>
      </c>
      <c r="K213">
        <v>18</v>
      </c>
      <c r="L213" t="s">
        <v>107</v>
      </c>
      <c r="M213" t="s">
        <v>251</v>
      </c>
      <c r="N213" t="s">
        <v>251</v>
      </c>
      <c r="O213">
        <v>72.3</v>
      </c>
      <c r="P213">
        <v>132</v>
      </c>
      <c r="Q213">
        <v>6517</v>
      </c>
      <c r="R213" t="s">
        <v>110</v>
      </c>
      <c r="S213" t="s">
        <v>111</v>
      </c>
      <c r="T213" t="s">
        <v>81</v>
      </c>
      <c r="U213" t="s">
        <v>46</v>
      </c>
      <c r="V213" t="s">
        <v>42</v>
      </c>
      <c r="W213" t="s">
        <v>78</v>
      </c>
      <c r="AA213">
        <v>2</v>
      </c>
      <c r="AB213" t="s">
        <v>33</v>
      </c>
      <c r="AC213" t="s">
        <v>184</v>
      </c>
      <c r="AD213" t="s">
        <v>57</v>
      </c>
      <c r="AE213" t="str">
        <f t="shared" si="63"/>
        <v>Jackson</v>
      </c>
      <c r="AF213">
        <v>0</v>
      </c>
      <c r="AG213">
        <v>0</v>
      </c>
      <c r="AH213">
        <v>1</v>
      </c>
      <c r="AI213">
        <v>0</v>
      </c>
      <c r="AJ213">
        <v>0</v>
      </c>
      <c r="AK213" t="s">
        <v>57</v>
      </c>
      <c r="AL213">
        <v>0.44827586206896602</v>
      </c>
      <c r="AO213">
        <f t="shared" si="67"/>
        <v>0</v>
      </c>
      <c r="AP213">
        <f t="shared" si="67"/>
        <v>0</v>
      </c>
      <c r="AQ213" t="str">
        <f t="shared" si="67"/>
        <v>Jackson</v>
      </c>
      <c r="AR213">
        <f t="shared" si="67"/>
        <v>0</v>
      </c>
      <c r="AS213">
        <f t="shared" si="67"/>
        <v>0</v>
      </c>
      <c r="AT213">
        <f t="shared" si="67"/>
        <v>0</v>
      </c>
      <c r="AU213">
        <f t="shared" si="67"/>
        <v>0</v>
      </c>
      <c r="AV213">
        <f t="shared" si="67"/>
        <v>0</v>
      </c>
      <c r="AW213">
        <f t="shared" si="67"/>
        <v>0</v>
      </c>
      <c r="AX213">
        <f t="shared" si="67"/>
        <v>0</v>
      </c>
      <c r="AY213">
        <f t="shared" si="68"/>
        <v>0</v>
      </c>
      <c r="AZ213">
        <f t="shared" si="68"/>
        <v>0</v>
      </c>
      <c r="BA213">
        <f t="shared" si="68"/>
        <v>0</v>
      </c>
      <c r="BB213">
        <f t="shared" si="68"/>
        <v>0</v>
      </c>
      <c r="BC213">
        <f t="shared" si="68"/>
        <v>0</v>
      </c>
      <c r="BD213">
        <f t="shared" si="68"/>
        <v>0</v>
      </c>
      <c r="BE213">
        <f t="shared" si="68"/>
        <v>0</v>
      </c>
      <c r="BF213">
        <f t="shared" si="68"/>
        <v>0</v>
      </c>
      <c r="BG213">
        <f t="shared" si="68"/>
        <v>0</v>
      </c>
      <c r="BH213">
        <f t="shared" si="68"/>
        <v>0</v>
      </c>
      <c r="BI213">
        <f t="shared" si="69"/>
        <v>0</v>
      </c>
      <c r="BJ213">
        <f t="shared" si="69"/>
        <v>0</v>
      </c>
      <c r="BK213">
        <f t="shared" si="69"/>
        <v>0</v>
      </c>
      <c r="BL213">
        <f t="shared" si="69"/>
        <v>0</v>
      </c>
      <c r="BM213">
        <f t="shared" si="69"/>
        <v>0</v>
      </c>
      <c r="BN213">
        <f t="shared" si="69"/>
        <v>0</v>
      </c>
      <c r="BO213">
        <f t="shared" si="69"/>
        <v>0</v>
      </c>
      <c r="BP213">
        <f t="shared" si="69"/>
        <v>0</v>
      </c>
      <c r="BQ213">
        <f t="shared" si="69"/>
        <v>0</v>
      </c>
      <c r="BR213">
        <f t="shared" si="69"/>
        <v>0</v>
      </c>
      <c r="BS213">
        <f t="shared" si="69"/>
        <v>0</v>
      </c>
    </row>
    <row r="214" spans="2:71" ht="15" customHeight="1" x14ac:dyDescent="0.2">
      <c r="B214">
        <v>25</v>
      </c>
      <c r="C214">
        <v>9</v>
      </c>
      <c r="D214">
        <v>4</v>
      </c>
      <c r="E214" t="s">
        <v>261</v>
      </c>
      <c r="F214" t="s">
        <v>72</v>
      </c>
      <c r="G214" s="5">
        <v>42574</v>
      </c>
      <c r="H214" t="s">
        <v>73</v>
      </c>
      <c r="I214" t="s">
        <v>215</v>
      </c>
      <c r="J214" t="s">
        <v>216</v>
      </c>
      <c r="K214">
        <v>18</v>
      </c>
      <c r="L214" t="s">
        <v>107</v>
      </c>
      <c r="M214" t="s">
        <v>251</v>
      </c>
      <c r="N214" t="s">
        <v>251</v>
      </c>
      <c r="O214">
        <v>72.3</v>
      </c>
      <c r="P214">
        <v>132</v>
      </c>
      <c r="Q214">
        <v>6517</v>
      </c>
      <c r="R214" t="s">
        <v>110</v>
      </c>
      <c r="S214" t="s">
        <v>111</v>
      </c>
      <c r="T214" t="s">
        <v>81</v>
      </c>
      <c r="U214" t="s">
        <v>46</v>
      </c>
      <c r="V214" t="s">
        <v>52</v>
      </c>
      <c r="W214" t="s">
        <v>78</v>
      </c>
      <c r="AA214">
        <v>2</v>
      </c>
      <c r="AB214" t="s">
        <v>32</v>
      </c>
      <c r="AC214" t="s">
        <v>258</v>
      </c>
      <c r="AD214" t="s">
        <v>47</v>
      </c>
      <c r="AE214" t="str">
        <f t="shared" si="63"/>
        <v>Connors</v>
      </c>
      <c r="AF214">
        <v>2</v>
      </c>
      <c r="AG214">
        <v>1</v>
      </c>
      <c r="AH214">
        <v>0</v>
      </c>
      <c r="AI214">
        <v>0</v>
      </c>
      <c r="AJ214">
        <v>1</v>
      </c>
      <c r="AK214" t="s">
        <v>47</v>
      </c>
      <c r="AL214">
        <v>0.35714285714285698</v>
      </c>
      <c r="AO214">
        <f t="shared" si="67"/>
        <v>0</v>
      </c>
      <c r="AP214">
        <f t="shared" si="67"/>
        <v>0</v>
      </c>
      <c r="AQ214">
        <f t="shared" si="67"/>
        <v>0</v>
      </c>
      <c r="AR214">
        <f t="shared" si="67"/>
        <v>0</v>
      </c>
      <c r="AS214">
        <f t="shared" si="67"/>
        <v>0</v>
      </c>
      <c r="AT214">
        <f t="shared" si="67"/>
        <v>0</v>
      </c>
      <c r="AU214">
        <f t="shared" si="67"/>
        <v>0</v>
      </c>
      <c r="AV214">
        <f t="shared" si="67"/>
        <v>0</v>
      </c>
      <c r="AW214">
        <f t="shared" si="67"/>
        <v>0</v>
      </c>
      <c r="AX214">
        <f t="shared" si="67"/>
        <v>0</v>
      </c>
      <c r="AY214">
        <f t="shared" si="68"/>
        <v>0</v>
      </c>
      <c r="AZ214">
        <f t="shared" si="68"/>
        <v>0</v>
      </c>
      <c r="BA214" t="str">
        <f t="shared" si="68"/>
        <v>Connors</v>
      </c>
      <c r="BB214">
        <f t="shared" si="68"/>
        <v>0</v>
      </c>
      <c r="BC214">
        <f t="shared" si="68"/>
        <v>0</v>
      </c>
      <c r="BD214">
        <f t="shared" si="68"/>
        <v>0</v>
      </c>
      <c r="BE214">
        <f t="shared" si="68"/>
        <v>0</v>
      </c>
      <c r="BF214">
        <f t="shared" si="68"/>
        <v>0</v>
      </c>
      <c r="BG214">
        <f t="shared" si="68"/>
        <v>0</v>
      </c>
      <c r="BH214">
        <f t="shared" si="68"/>
        <v>0</v>
      </c>
      <c r="BI214">
        <f t="shared" si="69"/>
        <v>0</v>
      </c>
      <c r="BJ214">
        <f t="shared" si="69"/>
        <v>0</v>
      </c>
      <c r="BK214">
        <f t="shared" si="69"/>
        <v>0</v>
      </c>
      <c r="BL214">
        <f t="shared" si="69"/>
        <v>0</v>
      </c>
      <c r="BM214">
        <f t="shared" si="69"/>
        <v>0</v>
      </c>
      <c r="BN214">
        <f t="shared" si="69"/>
        <v>0</v>
      </c>
      <c r="BO214">
        <f t="shared" si="69"/>
        <v>0</v>
      </c>
      <c r="BP214">
        <f t="shared" si="69"/>
        <v>0</v>
      </c>
      <c r="BQ214">
        <f t="shared" si="69"/>
        <v>0</v>
      </c>
      <c r="BR214">
        <f t="shared" si="69"/>
        <v>0</v>
      </c>
      <c r="BS214">
        <f t="shared" si="69"/>
        <v>0</v>
      </c>
    </row>
    <row r="215" spans="2:71" ht="15" customHeight="1" x14ac:dyDescent="0.2">
      <c r="B215">
        <v>25</v>
      </c>
      <c r="C215">
        <v>10</v>
      </c>
      <c r="D215">
        <v>4</v>
      </c>
      <c r="E215" t="s">
        <v>262</v>
      </c>
      <c r="F215" t="s">
        <v>72</v>
      </c>
      <c r="G215" s="5">
        <v>42574</v>
      </c>
      <c r="H215" t="s">
        <v>73</v>
      </c>
      <c r="I215" t="s">
        <v>215</v>
      </c>
      <c r="J215" t="s">
        <v>216</v>
      </c>
      <c r="K215">
        <v>18</v>
      </c>
      <c r="L215" t="s">
        <v>107</v>
      </c>
      <c r="M215" t="s">
        <v>251</v>
      </c>
      <c r="N215" t="s">
        <v>251</v>
      </c>
      <c r="O215">
        <v>72.3</v>
      </c>
      <c r="P215">
        <v>132</v>
      </c>
      <c r="Q215">
        <v>6517</v>
      </c>
      <c r="R215" t="s">
        <v>110</v>
      </c>
      <c r="S215" t="s">
        <v>111</v>
      </c>
      <c r="T215" t="s">
        <v>81</v>
      </c>
      <c r="U215" t="s">
        <v>46</v>
      </c>
      <c r="V215" t="s">
        <v>59</v>
      </c>
      <c r="W215" t="s">
        <v>78</v>
      </c>
      <c r="AA215">
        <v>2</v>
      </c>
      <c r="AB215" t="s">
        <v>33</v>
      </c>
      <c r="AC215" t="s">
        <v>209</v>
      </c>
      <c r="AD215" t="s">
        <v>54</v>
      </c>
      <c r="AE215" t="str">
        <f t="shared" si="63"/>
        <v>Norat</v>
      </c>
      <c r="AF215">
        <v>0</v>
      </c>
      <c r="AG215">
        <v>0</v>
      </c>
      <c r="AH215">
        <v>1</v>
      </c>
      <c r="AI215">
        <v>0</v>
      </c>
      <c r="AJ215">
        <v>0</v>
      </c>
      <c r="AK215" t="s">
        <v>54</v>
      </c>
      <c r="AL215">
        <v>0.37288135593220301</v>
      </c>
      <c r="AO215">
        <f t="shared" si="67"/>
        <v>0</v>
      </c>
      <c r="AP215">
        <f t="shared" si="67"/>
        <v>0</v>
      </c>
      <c r="AQ215">
        <f t="shared" si="67"/>
        <v>0</v>
      </c>
      <c r="AR215">
        <f t="shared" si="67"/>
        <v>0</v>
      </c>
      <c r="AS215">
        <f t="shared" si="67"/>
        <v>0</v>
      </c>
      <c r="AT215">
        <f t="shared" si="67"/>
        <v>0</v>
      </c>
      <c r="AU215">
        <f t="shared" si="67"/>
        <v>0</v>
      </c>
      <c r="AV215">
        <f t="shared" si="67"/>
        <v>0</v>
      </c>
      <c r="AW215">
        <f t="shared" si="67"/>
        <v>0</v>
      </c>
      <c r="AX215">
        <f t="shared" si="67"/>
        <v>0</v>
      </c>
      <c r="AY215">
        <f t="shared" si="68"/>
        <v>0</v>
      </c>
      <c r="AZ215">
        <f t="shared" si="68"/>
        <v>0</v>
      </c>
      <c r="BA215">
        <f t="shared" si="68"/>
        <v>0</v>
      </c>
      <c r="BB215">
        <f t="shared" si="68"/>
        <v>0</v>
      </c>
      <c r="BC215">
        <f t="shared" si="68"/>
        <v>0</v>
      </c>
      <c r="BD215">
        <f t="shared" si="68"/>
        <v>0</v>
      </c>
      <c r="BE215">
        <f t="shared" si="68"/>
        <v>0</v>
      </c>
      <c r="BF215">
        <f t="shared" si="68"/>
        <v>0</v>
      </c>
      <c r="BG215">
        <f t="shared" si="68"/>
        <v>0</v>
      </c>
      <c r="BH215" t="str">
        <f t="shared" si="68"/>
        <v>Norat</v>
      </c>
      <c r="BI215">
        <f t="shared" si="69"/>
        <v>0</v>
      </c>
      <c r="BJ215">
        <f t="shared" si="69"/>
        <v>0</v>
      </c>
      <c r="BK215">
        <f t="shared" si="69"/>
        <v>0</v>
      </c>
      <c r="BL215">
        <f t="shared" si="69"/>
        <v>0</v>
      </c>
      <c r="BM215">
        <f t="shared" si="69"/>
        <v>0</v>
      </c>
      <c r="BN215">
        <f t="shared" si="69"/>
        <v>0</v>
      </c>
      <c r="BO215">
        <f t="shared" si="69"/>
        <v>0</v>
      </c>
      <c r="BP215">
        <f t="shared" si="69"/>
        <v>0</v>
      </c>
      <c r="BQ215">
        <f t="shared" si="69"/>
        <v>0</v>
      </c>
      <c r="BR215">
        <f t="shared" si="69"/>
        <v>0</v>
      </c>
      <c r="BS215">
        <f t="shared" si="69"/>
        <v>0</v>
      </c>
    </row>
    <row r="216" spans="2:71" ht="15" customHeight="1" x14ac:dyDescent="0.2">
      <c r="B216">
        <v>26</v>
      </c>
      <c r="C216">
        <v>1</v>
      </c>
      <c r="D216">
        <v>4</v>
      </c>
      <c r="E216" t="s">
        <v>250</v>
      </c>
      <c r="F216" t="s">
        <v>72</v>
      </c>
      <c r="G216" s="5">
        <v>42574</v>
      </c>
      <c r="H216" t="s">
        <v>73</v>
      </c>
      <c r="I216" t="s">
        <v>215</v>
      </c>
      <c r="J216" t="s">
        <v>216</v>
      </c>
      <c r="K216">
        <v>18</v>
      </c>
      <c r="L216" t="s">
        <v>107</v>
      </c>
      <c r="M216" t="s">
        <v>251</v>
      </c>
      <c r="N216" t="s">
        <v>251</v>
      </c>
      <c r="O216">
        <v>72.3</v>
      </c>
      <c r="P216">
        <v>132</v>
      </c>
      <c r="Q216">
        <v>6517</v>
      </c>
      <c r="R216" t="s">
        <v>110</v>
      </c>
      <c r="S216" t="s">
        <v>111</v>
      </c>
      <c r="T216" t="s">
        <v>83</v>
      </c>
      <c r="U216" t="s">
        <v>40</v>
      </c>
      <c r="V216" t="s">
        <v>45</v>
      </c>
      <c r="W216" t="s">
        <v>109</v>
      </c>
      <c r="AA216">
        <v>2</v>
      </c>
      <c r="AB216" t="s">
        <v>33</v>
      </c>
      <c r="AC216" t="s">
        <v>174</v>
      </c>
      <c r="AD216" t="s">
        <v>58</v>
      </c>
      <c r="AE216" t="str">
        <f t="shared" si="63"/>
        <v>Connolly</v>
      </c>
      <c r="AF216">
        <v>0</v>
      </c>
      <c r="AG216">
        <v>0</v>
      </c>
      <c r="AH216">
        <v>1</v>
      </c>
      <c r="AI216">
        <v>0</v>
      </c>
      <c r="AJ216">
        <v>0</v>
      </c>
      <c r="AK216" t="s">
        <v>58</v>
      </c>
      <c r="AL216">
        <v>0.65476190476190499</v>
      </c>
      <c r="AO216">
        <f t="shared" si="67"/>
        <v>0</v>
      </c>
      <c r="AP216">
        <f t="shared" si="67"/>
        <v>0</v>
      </c>
      <c r="AQ216">
        <f t="shared" si="67"/>
        <v>0</v>
      </c>
      <c r="AR216">
        <f t="shared" si="67"/>
        <v>0</v>
      </c>
      <c r="AS216">
        <f t="shared" si="67"/>
        <v>0</v>
      </c>
      <c r="AT216" t="str">
        <f t="shared" si="67"/>
        <v>Connolly</v>
      </c>
      <c r="AU216">
        <f t="shared" si="67"/>
        <v>0</v>
      </c>
      <c r="AV216">
        <f t="shared" si="67"/>
        <v>0</v>
      </c>
      <c r="AW216">
        <f t="shared" si="67"/>
        <v>0</v>
      </c>
      <c r="AX216">
        <f t="shared" si="67"/>
        <v>0</v>
      </c>
      <c r="AY216">
        <f t="shared" si="68"/>
        <v>0</v>
      </c>
      <c r="AZ216">
        <f t="shared" si="68"/>
        <v>0</v>
      </c>
      <c r="BA216">
        <f t="shared" si="68"/>
        <v>0</v>
      </c>
      <c r="BB216">
        <f t="shared" si="68"/>
        <v>0</v>
      </c>
      <c r="BC216">
        <f t="shared" si="68"/>
        <v>0</v>
      </c>
      <c r="BD216">
        <f t="shared" si="68"/>
        <v>0</v>
      </c>
      <c r="BE216">
        <f t="shared" si="68"/>
        <v>0</v>
      </c>
      <c r="BF216">
        <f t="shared" si="68"/>
        <v>0</v>
      </c>
      <c r="BG216">
        <f t="shared" si="68"/>
        <v>0</v>
      </c>
      <c r="BH216">
        <f t="shared" si="68"/>
        <v>0</v>
      </c>
      <c r="BI216">
        <f t="shared" si="69"/>
        <v>0</v>
      </c>
      <c r="BJ216">
        <f t="shared" si="69"/>
        <v>0</v>
      </c>
      <c r="BK216">
        <f t="shared" si="69"/>
        <v>0</v>
      </c>
      <c r="BL216">
        <f t="shared" si="69"/>
        <v>0</v>
      </c>
      <c r="BM216">
        <f t="shared" si="69"/>
        <v>0</v>
      </c>
      <c r="BN216">
        <f t="shared" si="69"/>
        <v>0</v>
      </c>
      <c r="BO216">
        <f t="shared" si="69"/>
        <v>0</v>
      </c>
      <c r="BP216">
        <f t="shared" si="69"/>
        <v>0</v>
      </c>
      <c r="BQ216">
        <f t="shared" si="69"/>
        <v>0</v>
      </c>
      <c r="BR216">
        <f t="shared" si="69"/>
        <v>0</v>
      </c>
      <c r="BS216">
        <f t="shared" si="69"/>
        <v>0</v>
      </c>
    </row>
    <row r="217" spans="2:71" ht="15" customHeight="1" x14ac:dyDescent="0.2">
      <c r="B217">
        <v>26</v>
      </c>
      <c r="C217">
        <v>2</v>
      </c>
      <c r="D217">
        <v>4</v>
      </c>
      <c r="E217" t="s">
        <v>252</v>
      </c>
      <c r="F217" t="s">
        <v>72</v>
      </c>
      <c r="G217" s="5">
        <v>42574</v>
      </c>
      <c r="H217" t="s">
        <v>73</v>
      </c>
      <c r="I217" t="s">
        <v>215</v>
      </c>
      <c r="J217" t="s">
        <v>216</v>
      </c>
      <c r="K217">
        <v>18</v>
      </c>
      <c r="L217" t="s">
        <v>107</v>
      </c>
      <c r="M217" t="s">
        <v>251</v>
      </c>
      <c r="N217" t="s">
        <v>251</v>
      </c>
      <c r="O217">
        <v>72.3</v>
      </c>
      <c r="P217">
        <v>132</v>
      </c>
      <c r="Q217">
        <v>6517</v>
      </c>
      <c r="R217" t="s">
        <v>110</v>
      </c>
      <c r="S217" t="s">
        <v>111</v>
      </c>
      <c r="T217" t="s">
        <v>83</v>
      </c>
      <c r="U217" t="s">
        <v>40</v>
      </c>
      <c r="V217" t="s">
        <v>62</v>
      </c>
      <c r="W217" t="s">
        <v>109</v>
      </c>
      <c r="AA217">
        <v>2</v>
      </c>
      <c r="AB217" t="s">
        <v>33</v>
      </c>
      <c r="AC217" t="s">
        <v>174</v>
      </c>
      <c r="AD217" t="s">
        <v>44</v>
      </c>
      <c r="AE217" t="str">
        <f t="shared" si="63"/>
        <v>Welker</v>
      </c>
      <c r="AF217">
        <v>0</v>
      </c>
      <c r="AG217">
        <v>0</v>
      </c>
      <c r="AH217">
        <v>1</v>
      </c>
      <c r="AI217">
        <v>0</v>
      </c>
      <c r="AJ217">
        <v>0</v>
      </c>
      <c r="AK217" t="s">
        <v>44</v>
      </c>
      <c r="AL217">
        <v>0.4296875</v>
      </c>
      <c r="AO217">
        <f t="shared" si="67"/>
        <v>0</v>
      </c>
      <c r="AP217">
        <f t="shared" si="67"/>
        <v>0</v>
      </c>
      <c r="AQ217">
        <f t="shared" si="67"/>
        <v>0</v>
      </c>
      <c r="AR217">
        <f t="shared" si="67"/>
        <v>0</v>
      </c>
      <c r="AS217">
        <f t="shared" si="67"/>
        <v>0</v>
      </c>
      <c r="AT217">
        <f t="shared" si="67"/>
        <v>0</v>
      </c>
      <c r="AU217">
        <f t="shared" si="67"/>
        <v>0</v>
      </c>
      <c r="AV217">
        <f t="shared" si="67"/>
        <v>0</v>
      </c>
      <c r="AW217">
        <f t="shared" si="67"/>
        <v>0</v>
      </c>
      <c r="AX217">
        <f t="shared" si="67"/>
        <v>0</v>
      </c>
      <c r="AY217">
        <f t="shared" si="68"/>
        <v>0</v>
      </c>
      <c r="AZ217">
        <f t="shared" si="68"/>
        <v>0</v>
      </c>
      <c r="BA217">
        <f t="shared" si="68"/>
        <v>0</v>
      </c>
      <c r="BB217">
        <f t="shared" si="68"/>
        <v>0</v>
      </c>
      <c r="BC217">
        <f t="shared" si="68"/>
        <v>0</v>
      </c>
      <c r="BD217">
        <f t="shared" si="68"/>
        <v>0</v>
      </c>
      <c r="BE217">
        <f t="shared" si="68"/>
        <v>0</v>
      </c>
      <c r="BF217">
        <f t="shared" si="68"/>
        <v>0</v>
      </c>
      <c r="BG217">
        <f t="shared" si="68"/>
        <v>0</v>
      </c>
      <c r="BH217">
        <f t="shared" si="68"/>
        <v>0</v>
      </c>
      <c r="BI217">
        <f t="shared" si="69"/>
        <v>0</v>
      </c>
      <c r="BJ217">
        <f t="shared" si="69"/>
        <v>0</v>
      </c>
      <c r="BK217" t="str">
        <f t="shared" si="69"/>
        <v>Welker</v>
      </c>
      <c r="BL217">
        <f t="shared" si="69"/>
        <v>0</v>
      </c>
      <c r="BM217">
        <f t="shared" si="69"/>
        <v>0</v>
      </c>
      <c r="BN217">
        <f t="shared" si="69"/>
        <v>0</v>
      </c>
      <c r="BO217">
        <f t="shared" si="69"/>
        <v>0</v>
      </c>
      <c r="BP217">
        <f t="shared" si="69"/>
        <v>0</v>
      </c>
      <c r="BQ217">
        <f t="shared" si="69"/>
        <v>0</v>
      </c>
      <c r="BR217">
        <f t="shared" si="69"/>
        <v>0</v>
      </c>
      <c r="BS217">
        <f t="shared" si="69"/>
        <v>0</v>
      </c>
    </row>
    <row r="218" spans="2:71" ht="15" customHeight="1" x14ac:dyDescent="0.2">
      <c r="B218">
        <v>27</v>
      </c>
      <c r="C218">
        <v>3</v>
      </c>
      <c r="D218">
        <v>4</v>
      </c>
      <c r="E218" t="s">
        <v>253</v>
      </c>
      <c r="F218" t="s">
        <v>72</v>
      </c>
      <c r="G218" s="5">
        <v>42574</v>
      </c>
      <c r="H218" t="s">
        <v>73</v>
      </c>
      <c r="I218" t="s">
        <v>215</v>
      </c>
      <c r="J218" t="s">
        <v>216</v>
      </c>
      <c r="K218">
        <v>18</v>
      </c>
      <c r="L218" t="s">
        <v>107</v>
      </c>
      <c r="M218" t="s">
        <v>251</v>
      </c>
      <c r="N218" t="s">
        <v>251</v>
      </c>
      <c r="O218">
        <v>72.3</v>
      </c>
      <c r="P218">
        <v>132</v>
      </c>
      <c r="Q218">
        <v>6517</v>
      </c>
      <c r="R218" t="s">
        <v>110</v>
      </c>
      <c r="S218" t="s">
        <v>111</v>
      </c>
      <c r="T218" t="s">
        <v>83</v>
      </c>
      <c r="U218" t="s">
        <v>40</v>
      </c>
      <c r="V218" t="s">
        <v>40</v>
      </c>
      <c r="W218" t="s">
        <v>109</v>
      </c>
      <c r="AA218">
        <v>2</v>
      </c>
      <c r="AB218" t="s">
        <v>32</v>
      </c>
      <c r="AC218" t="s">
        <v>254</v>
      </c>
      <c r="AD218" t="s">
        <v>56</v>
      </c>
      <c r="AE218" t="str">
        <f t="shared" si="63"/>
        <v>Grise</v>
      </c>
      <c r="AF218">
        <v>2</v>
      </c>
      <c r="AG218">
        <v>1</v>
      </c>
      <c r="AH218">
        <v>0</v>
      </c>
      <c r="AI218">
        <v>0</v>
      </c>
      <c r="AJ218">
        <v>1</v>
      </c>
      <c r="AK218" t="s">
        <v>56</v>
      </c>
      <c r="AL218">
        <v>0.5</v>
      </c>
      <c r="AO218" t="str">
        <f t="shared" si="67"/>
        <v>Grise</v>
      </c>
      <c r="AP218">
        <f t="shared" si="67"/>
        <v>0</v>
      </c>
      <c r="AQ218">
        <f t="shared" si="67"/>
        <v>0</v>
      </c>
      <c r="AR218">
        <f t="shared" si="67"/>
        <v>0</v>
      </c>
      <c r="AS218">
        <f t="shared" si="67"/>
        <v>0</v>
      </c>
      <c r="AT218">
        <f t="shared" si="67"/>
        <v>0</v>
      </c>
      <c r="AU218">
        <f t="shared" si="67"/>
        <v>0</v>
      </c>
      <c r="AV218">
        <f t="shared" si="67"/>
        <v>0</v>
      </c>
      <c r="AW218">
        <f t="shared" si="67"/>
        <v>0</v>
      </c>
      <c r="AX218">
        <f t="shared" si="67"/>
        <v>0</v>
      </c>
      <c r="AY218">
        <f t="shared" si="68"/>
        <v>0</v>
      </c>
      <c r="AZ218">
        <f t="shared" si="68"/>
        <v>0</v>
      </c>
      <c r="BA218">
        <f t="shared" si="68"/>
        <v>0</v>
      </c>
      <c r="BB218">
        <f t="shared" si="68"/>
        <v>0</v>
      </c>
      <c r="BC218">
        <f t="shared" si="68"/>
        <v>0</v>
      </c>
      <c r="BD218">
        <f t="shared" si="68"/>
        <v>0</v>
      </c>
      <c r="BE218">
        <f t="shared" si="68"/>
        <v>0</v>
      </c>
      <c r="BF218">
        <f t="shared" si="68"/>
        <v>0</v>
      </c>
      <c r="BG218">
        <f t="shared" si="68"/>
        <v>0</v>
      </c>
      <c r="BH218">
        <f t="shared" si="68"/>
        <v>0</v>
      </c>
      <c r="BI218">
        <f t="shared" si="69"/>
        <v>0</v>
      </c>
      <c r="BJ218">
        <f t="shared" si="69"/>
        <v>0</v>
      </c>
      <c r="BK218">
        <f t="shared" si="69"/>
        <v>0</v>
      </c>
      <c r="BL218">
        <f t="shared" si="69"/>
        <v>0</v>
      </c>
      <c r="BM218">
        <f t="shared" si="69"/>
        <v>0</v>
      </c>
      <c r="BN218">
        <f t="shared" si="69"/>
        <v>0</v>
      </c>
      <c r="BO218">
        <f t="shared" si="69"/>
        <v>0</v>
      </c>
      <c r="BP218">
        <f t="shared" si="69"/>
        <v>0</v>
      </c>
      <c r="BQ218">
        <f t="shared" si="69"/>
        <v>0</v>
      </c>
      <c r="BR218">
        <f t="shared" si="69"/>
        <v>0</v>
      </c>
      <c r="BS218">
        <f t="shared" si="69"/>
        <v>0</v>
      </c>
    </row>
    <row r="219" spans="2:71" ht="15" customHeight="1" x14ac:dyDescent="0.2">
      <c r="B219">
        <v>27</v>
      </c>
      <c r="C219">
        <v>4</v>
      </c>
      <c r="D219">
        <v>4</v>
      </c>
      <c r="E219" t="s">
        <v>255</v>
      </c>
      <c r="F219" t="s">
        <v>72</v>
      </c>
      <c r="G219" s="5">
        <v>42574</v>
      </c>
      <c r="H219" t="s">
        <v>73</v>
      </c>
      <c r="I219" t="s">
        <v>215</v>
      </c>
      <c r="J219" t="s">
        <v>216</v>
      </c>
      <c r="K219">
        <v>18</v>
      </c>
      <c r="L219" t="s">
        <v>107</v>
      </c>
      <c r="M219" t="s">
        <v>251</v>
      </c>
      <c r="N219" t="s">
        <v>251</v>
      </c>
      <c r="O219">
        <v>72.3</v>
      </c>
      <c r="P219">
        <v>132</v>
      </c>
      <c r="Q219">
        <v>6517</v>
      </c>
      <c r="R219" t="s">
        <v>110</v>
      </c>
      <c r="S219" t="s">
        <v>111</v>
      </c>
      <c r="T219" t="s">
        <v>83</v>
      </c>
      <c r="U219" t="s">
        <v>40</v>
      </c>
      <c r="V219" t="s">
        <v>48</v>
      </c>
      <c r="W219" t="s">
        <v>109</v>
      </c>
      <c r="AA219">
        <v>2</v>
      </c>
      <c r="AB219" t="s">
        <v>32</v>
      </c>
      <c r="AC219" t="s">
        <v>233</v>
      </c>
      <c r="AD219" t="s">
        <v>55</v>
      </c>
      <c r="AE219" t="str">
        <f t="shared" si="63"/>
        <v>Lynch</v>
      </c>
      <c r="AF219">
        <v>2</v>
      </c>
      <c r="AG219">
        <v>1</v>
      </c>
      <c r="AH219">
        <v>0</v>
      </c>
      <c r="AI219">
        <v>0</v>
      </c>
      <c r="AJ219">
        <v>1</v>
      </c>
      <c r="AK219" t="s">
        <v>55</v>
      </c>
      <c r="AL219">
        <v>0.44067796610169502</v>
      </c>
      <c r="AO219">
        <f t="shared" si="67"/>
        <v>0</v>
      </c>
      <c r="AP219">
        <f t="shared" si="67"/>
        <v>0</v>
      </c>
      <c r="AQ219">
        <f t="shared" si="67"/>
        <v>0</v>
      </c>
      <c r="AR219">
        <f t="shared" si="67"/>
        <v>0</v>
      </c>
      <c r="AS219">
        <f t="shared" si="67"/>
        <v>0</v>
      </c>
      <c r="AT219">
        <f t="shared" si="67"/>
        <v>0</v>
      </c>
      <c r="AU219">
        <f t="shared" si="67"/>
        <v>0</v>
      </c>
      <c r="AV219">
        <f t="shared" si="67"/>
        <v>0</v>
      </c>
      <c r="AW219" t="str">
        <f t="shared" si="67"/>
        <v>Lynch</v>
      </c>
      <c r="AX219">
        <f t="shared" si="67"/>
        <v>0</v>
      </c>
      <c r="AY219">
        <f t="shared" si="68"/>
        <v>0</v>
      </c>
      <c r="AZ219">
        <f t="shared" si="68"/>
        <v>0</v>
      </c>
      <c r="BA219">
        <f t="shared" si="68"/>
        <v>0</v>
      </c>
      <c r="BB219">
        <f t="shared" si="68"/>
        <v>0</v>
      </c>
      <c r="BC219">
        <f t="shared" si="68"/>
        <v>0</v>
      </c>
      <c r="BD219">
        <f t="shared" si="68"/>
        <v>0</v>
      </c>
      <c r="BE219">
        <f t="shared" si="68"/>
        <v>0</v>
      </c>
      <c r="BF219">
        <f t="shared" si="68"/>
        <v>0</v>
      </c>
      <c r="BG219">
        <f t="shared" si="68"/>
        <v>0</v>
      </c>
      <c r="BH219">
        <f t="shared" si="68"/>
        <v>0</v>
      </c>
      <c r="BI219">
        <f t="shared" si="69"/>
        <v>0</v>
      </c>
      <c r="BJ219">
        <f t="shared" si="69"/>
        <v>0</v>
      </c>
      <c r="BK219">
        <f t="shared" si="69"/>
        <v>0</v>
      </c>
      <c r="BL219">
        <f t="shared" si="69"/>
        <v>0</v>
      </c>
      <c r="BM219">
        <f t="shared" si="69"/>
        <v>0</v>
      </c>
      <c r="BN219">
        <f t="shared" si="69"/>
        <v>0</v>
      </c>
      <c r="BO219">
        <f t="shared" si="69"/>
        <v>0</v>
      </c>
      <c r="BP219">
        <f t="shared" si="69"/>
        <v>0</v>
      </c>
      <c r="BQ219">
        <f t="shared" si="69"/>
        <v>0</v>
      </c>
      <c r="BR219">
        <f t="shared" si="69"/>
        <v>0</v>
      </c>
      <c r="BS219">
        <f t="shared" si="69"/>
        <v>0</v>
      </c>
    </row>
    <row r="220" spans="2:71" ht="15" customHeight="1" x14ac:dyDescent="0.2">
      <c r="B220">
        <v>28</v>
      </c>
      <c r="C220">
        <v>5</v>
      </c>
      <c r="D220">
        <v>4</v>
      </c>
      <c r="E220" t="s">
        <v>256</v>
      </c>
      <c r="F220" t="s">
        <v>72</v>
      </c>
      <c r="G220" s="5">
        <v>42574</v>
      </c>
      <c r="H220" t="s">
        <v>73</v>
      </c>
      <c r="I220" t="s">
        <v>215</v>
      </c>
      <c r="J220" t="s">
        <v>216</v>
      </c>
      <c r="K220">
        <v>18</v>
      </c>
      <c r="L220" t="s">
        <v>107</v>
      </c>
      <c r="M220" t="s">
        <v>251</v>
      </c>
      <c r="N220" t="s">
        <v>251</v>
      </c>
      <c r="O220">
        <v>72.3</v>
      </c>
      <c r="P220">
        <v>132</v>
      </c>
      <c r="Q220">
        <v>6517</v>
      </c>
      <c r="R220" t="s">
        <v>110</v>
      </c>
      <c r="S220" t="s">
        <v>111</v>
      </c>
      <c r="T220" t="s">
        <v>83</v>
      </c>
      <c r="U220" t="s">
        <v>40</v>
      </c>
      <c r="V220" t="s">
        <v>61</v>
      </c>
      <c r="W220" t="s">
        <v>109</v>
      </c>
      <c r="AA220">
        <v>2</v>
      </c>
      <c r="AB220" t="s">
        <v>32</v>
      </c>
      <c r="AC220" t="s">
        <v>184</v>
      </c>
      <c r="AD220" t="s">
        <v>50</v>
      </c>
      <c r="AE220" t="str">
        <f t="shared" si="63"/>
        <v>McInerney</v>
      </c>
      <c r="AF220">
        <v>2</v>
      </c>
      <c r="AG220">
        <v>1</v>
      </c>
      <c r="AH220">
        <v>0</v>
      </c>
      <c r="AI220">
        <v>0</v>
      </c>
      <c r="AJ220">
        <v>1</v>
      </c>
      <c r="AK220" t="s">
        <v>50</v>
      </c>
      <c r="AL220">
        <v>0.59523809523809501</v>
      </c>
      <c r="AO220">
        <f t="shared" si="67"/>
        <v>0</v>
      </c>
      <c r="AP220">
        <f t="shared" si="67"/>
        <v>0</v>
      </c>
      <c r="AQ220">
        <f t="shared" si="67"/>
        <v>0</v>
      </c>
      <c r="AR220">
        <f t="shared" si="67"/>
        <v>0</v>
      </c>
      <c r="AS220">
        <f t="shared" si="67"/>
        <v>0</v>
      </c>
      <c r="AT220">
        <f t="shared" si="67"/>
        <v>0</v>
      </c>
      <c r="AU220">
        <f t="shared" si="67"/>
        <v>0</v>
      </c>
      <c r="AV220">
        <f t="shared" si="67"/>
        <v>0</v>
      </c>
      <c r="AW220">
        <f t="shared" si="67"/>
        <v>0</v>
      </c>
      <c r="AX220">
        <f t="shared" si="67"/>
        <v>0</v>
      </c>
      <c r="AY220">
        <f t="shared" si="68"/>
        <v>0</v>
      </c>
      <c r="AZ220">
        <f t="shared" si="68"/>
        <v>0</v>
      </c>
      <c r="BA220">
        <f t="shared" si="68"/>
        <v>0</v>
      </c>
      <c r="BB220">
        <f t="shared" si="68"/>
        <v>0</v>
      </c>
      <c r="BC220">
        <f t="shared" si="68"/>
        <v>0</v>
      </c>
      <c r="BD220">
        <f t="shared" si="68"/>
        <v>0</v>
      </c>
      <c r="BE220">
        <f t="shared" si="68"/>
        <v>0</v>
      </c>
      <c r="BF220">
        <f t="shared" si="68"/>
        <v>0</v>
      </c>
      <c r="BG220">
        <f t="shared" si="68"/>
        <v>0</v>
      </c>
      <c r="BH220">
        <f t="shared" si="68"/>
        <v>0</v>
      </c>
      <c r="BI220">
        <f t="shared" si="69"/>
        <v>0</v>
      </c>
      <c r="BJ220" t="str">
        <f t="shared" si="69"/>
        <v>McInerney</v>
      </c>
      <c r="BK220">
        <f t="shared" si="69"/>
        <v>0</v>
      </c>
      <c r="BL220">
        <f t="shared" si="69"/>
        <v>0</v>
      </c>
      <c r="BM220">
        <f t="shared" si="69"/>
        <v>0</v>
      </c>
      <c r="BN220">
        <f t="shared" si="69"/>
        <v>0</v>
      </c>
      <c r="BO220">
        <f t="shared" si="69"/>
        <v>0</v>
      </c>
      <c r="BP220">
        <f t="shared" si="69"/>
        <v>0</v>
      </c>
      <c r="BQ220">
        <f t="shared" si="69"/>
        <v>0</v>
      </c>
      <c r="BR220">
        <f t="shared" si="69"/>
        <v>0</v>
      </c>
      <c r="BS220">
        <f t="shared" si="69"/>
        <v>0</v>
      </c>
    </row>
    <row r="221" spans="2:71" ht="15" customHeight="1" x14ac:dyDescent="0.2">
      <c r="B221">
        <v>28</v>
      </c>
      <c r="C221">
        <v>6</v>
      </c>
      <c r="D221">
        <v>4</v>
      </c>
      <c r="E221" t="s">
        <v>257</v>
      </c>
      <c r="F221" t="s">
        <v>72</v>
      </c>
      <c r="G221" s="5">
        <v>42574</v>
      </c>
      <c r="H221" t="s">
        <v>73</v>
      </c>
      <c r="I221" t="s">
        <v>215</v>
      </c>
      <c r="J221" t="s">
        <v>216</v>
      </c>
      <c r="K221">
        <v>18</v>
      </c>
      <c r="L221" t="s">
        <v>107</v>
      </c>
      <c r="M221" t="s">
        <v>251</v>
      </c>
      <c r="N221" t="s">
        <v>251</v>
      </c>
      <c r="O221">
        <v>72.3</v>
      </c>
      <c r="P221">
        <v>132</v>
      </c>
      <c r="Q221">
        <v>6517</v>
      </c>
      <c r="R221" t="s">
        <v>110</v>
      </c>
      <c r="S221" t="s">
        <v>111</v>
      </c>
      <c r="T221" t="s">
        <v>83</v>
      </c>
      <c r="U221" t="s">
        <v>40</v>
      </c>
      <c r="V221" t="s">
        <v>60</v>
      </c>
      <c r="W221" t="s">
        <v>109</v>
      </c>
      <c r="AA221">
        <v>2</v>
      </c>
      <c r="AB221" t="s">
        <v>32</v>
      </c>
      <c r="AC221" t="s">
        <v>258</v>
      </c>
      <c r="AD221" t="s">
        <v>46</v>
      </c>
      <c r="AE221" t="str">
        <f t="shared" si="63"/>
        <v>Zimmer</v>
      </c>
      <c r="AF221">
        <v>2</v>
      </c>
      <c r="AG221">
        <v>1</v>
      </c>
      <c r="AH221">
        <v>0</v>
      </c>
      <c r="AI221">
        <v>0</v>
      </c>
      <c r="AJ221">
        <v>1</v>
      </c>
      <c r="AK221" t="s">
        <v>46</v>
      </c>
      <c r="AL221">
        <v>0.38392857142857201</v>
      </c>
      <c r="AO221">
        <f t="shared" si="67"/>
        <v>0</v>
      </c>
      <c r="AP221">
        <f t="shared" si="67"/>
        <v>0</v>
      </c>
      <c r="AQ221">
        <f t="shared" si="67"/>
        <v>0</v>
      </c>
      <c r="AR221">
        <f t="shared" si="67"/>
        <v>0</v>
      </c>
      <c r="AS221">
        <f t="shared" si="67"/>
        <v>0</v>
      </c>
      <c r="AT221">
        <f t="shared" si="67"/>
        <v>0</v>
      </c>
      <c r="AU221">
        <f t="shared" si="67"/>
        <v>0</v>
      </c>
      <c r="AV221">
        <f t="shared" si="67"/>
        <v>0</v>
      </c>
      <c r="AW221">
        <f t="shared" si="67"/>
        <v>0</v>
      </c>
      <c r="AX221">
        <f t="shared" si="67"/>
        <v>0</v>
      </c>
      <c r="AY221">
        <f t="shared" si="68"/>
        <v>0</v>
      </c>
      <c r="AZ221">
        <f t="shared" si="68"/>
        <v>0</v>
      </c>
      <c r="BA221">
        <f t="shared" si="68"/>
        <v>0</v>
      </c>
      <c r="BB221">
        <f t="shared" si="68"/>
        <v>0</v>
      </c>
      <c r="BC221">
        <f t="shared" si="68"/>
        <v>0</v>
      </c>
      <c r="BD221">
        <f t="shared" si="68"/>
        <v>0</v>
      </c>
      <c r="BE221">
        <f t="shared" si="68"/>
        <v>0</v>
      </c>
      <c r="BF221">
        <f t="shared" si="68"/>
        <v>0</v>
      </c>
      <c r="BG221">
        <f t="shared" si="68"/>
        <v>0</v>
      </c>
      <c r="BH221">
        <f t="shared" si="68"/>
        <v>0</v>
      </c>
      <c r="BI221" t="str">
        <f t="shared" si="69"/>
        <v>Zimmer</v>
      </c>
      <c r="BJ221">
        <f t="shared" si="69"/>
        <v>0</v>
      </c>
      <c r="BK221">
        <f t="shared" si="69"/>
        <v>0</v>
      </c>
      <c r="BL221">
        <f t="shared" si="69"/>
        <v>0</v>
      </c>
      <c r="BM221">
        <f t="shared" si="69"/>
        <v>0</v>
      </c>
      <c r="BN221">
        <f t="shared" si="69"/>
        <v>0</v>
      </c>
      <c r="BO221">
        <f t="shared" si="69"/>
        <v>0</v>
      </c>
      <c r="BP221">
        <f t="shared" si="69"/>
        <v>0</v>
      </c>
      <c r="BQ221">
        <f t="shared" si="69"/>
        <v>0</v>
      </c>
      <c r="BR221">
        <f t="shared" si="69"/>
        <v>0</v>
      </c>
      <c r="BS221">
        <f t="shared" si="69"/>
        <v>0</v>
      </c>
    </row>
    <row r="222" spans="2:71" ht="15" customHeight="1" x14ac:dyDescent="0.2">
      <c r="B222">
        <v>29</v>
      </c>
      <c r="C222">
        <v>7</v>
      </c>
      <c r="D222">
        <v>4</v>
      </c>
      <c r="E222" t="s">
        <v>259</v>
      </c>
      <c r="F222" t="s">
        <v>72</v>
      </c>
      <c r="G222" s="5">
        <v>42574</v>
      </c>
      <c r="H222" t="s">
        <v>73</v>
      </c>
      <c r="I222" t="s">
        <v>215</v>
      </c>
      <c r="J222" t="s">
        <v>216</v>
      </c>
      <c r="K222">
        <v>18</v>
      </c>
      <c r="L222" t="s">
        <v>107</v>
      </c>
      <c r="M222" t="s">
        <v>251</v>
      </c>
      <c r="N222" t="s">
        <v>251</v>
      </c>
      <c r="O222">
        <v>72.3</v>
      </c>
      <c r="P222">
        <v>132</v>
      </c>
      <c r="Q222">
        <v>6517</v>
      </c>
      <c r="R222" t="s">
        <v>110</v>
      </c>
      <c r="S222" t="s">
        <v>111</v>
      </c>
      <c r="T222" t="s">
        <v>83</v>
      </c>
      <c r="U222" t="s">
        <v>40</v>
      </c>
      <c r="V222" t="s">
        <v>49</v>
      </c>
      <c r="W222" t="s">
        <v>109</v>
      </c>
      <c r="AA222">
        <v>2</v>
      </c>
      <c r="AB222" t="s">
        <v>33</v>
      </c>
      <c r="AC222" t="s">
        <v>258</v>
      </c>
      <c r="AD222" t="s">
        <v>53</v>
      </c>
      <c r="AE222" t="str">
        <f t="shared" si="63"/>
        <v>Shively</v>
      </c>
      <c r="AF222">
        <v>0</v>
      </c>
      <c r="AG222">
        <v>0</v>
      </c>
      <c r="AH222">
        <v>1</v>
      </c>
      <c r="AI222">
        <v>0</v>
      </c>
      <c r="AJ222">
        <v>0</v>
      </c>
      <c r="AK222" t="s">
        <v>53</v>
      </c>
      <c r="AL222">
        <v>0.59649122807017496</v>
      </c>
      <c r="AO222">
        <f t="shared" ref="AO222:AX231" si="70">IF(OR($V222=AO$1,$Y222=AO$1),AO$1,0)</f>
        <v>0</v>
      </c>
      <c r="AP222">
        <f t="shared" si="70"/>
        <v>0</v>
      </c>
      <c r="AQ222">
        <f t="shared" si="70"/>
        <v>0</v>
      </c>
      <c r="AR222">
        <f t="shared" si="70"/>
        <v>0</v>
      </c>
      <c r="AS222">
        <f t="shared" si="70"/>
        <v>0</v>
      </c>
      <c r="AT222">
        <f t="shared" si="70"/>
        <v>0</v>
      </c>
      <c r="AU222">
        <f t="shared" si="70"/>
        <v>0</v>
      </c>
      <c r="AV222">
        <f t="shared" si="70"/>
        <v>0</v>
      </c>
      <c r="AW222">
        <f t="shared" si="70"/>
        <v>0</v>
      </c>
      <c r="AX222" t="str">
        <f t="shared" si="70"/>
        <v>Shively</v>
      </c>
      <c r="AY222">
        <f t="shared" ref="AY222:BH231" si="71">IF(OR($V222=AY$1,$Y222=AY$1),AY$1,0)</f>
        <v>0</v>
      </c>
      <c r="AZ222">
        <f t="shared" si="71"/>
        <v>0</v>
      </c>
      <c r="BA222">
        <f t="shared" si="71"/>
        <v>0</v>
      </c>
      <c r="BB222">
        <f t="shared" si="71"/>
        <v>0</v>
      </c>
      <c r="BC222">
        <f t="shared" si="71"/>
        <v>0</v>
      </c>
      <c r="BD222">
        <f t="shared" si="71"/>
        <v>0</v>
      </c>
      <c r="BE222">
        <f t="shared" si="71"/>
        <v>0</v>
      </c>
      <c r="BF222">
        <f t="shared" si="71"/>
        <v>0</v>
      </c>
      <c r="BG222">
        <f t="shared" si="71"/>
        <v>0</v>
      </c>
      <c r="BH222">
        <f t="shared" si="71"/>
        <v>0</v>
      </c>
      <c r="BI222">
        <f t="shared" ref="BI222:BS231" si="72">IF(OR($V222=BI$1,$Y222=BI$1),BI$1,0)</f>
        <v>0</v>
      </c>
      <c r="BJ222">
        <f t="shared" si="72"/>
        <v>0</v>
      </c>
      <c r="BK222">
        <f t="shared" si="72"/>
        <v>0</v>
      </c>
      <c r="BL222">
        <f t="shared" si="72"/>
        <v>0</v>
      </c>
      <c r="BM222">
        <f t="shared" si="72"/>
        <v>0</v>
      </c>
      <c r="BN222">
        <f t="shared" si="72"/>
        <v>0</v>
      </c>
      <c r="BO222">
        <f t="shared" si="72"/>
        <v>0</v>
      </c>
      <c r="BP222">
        <f t="shared" si="72"/>
        <v>0</v>
      </c>
      <c r="BQ222">
        <f t="shared" si="72"/>
        <v>0</v>
      </c>
      <c r="BR222">
        <f t="shared" si="72"/>
        <v>0</v>
      </c>
      <c r="BS222">
        <f t="shared" si="72"/>
        <v>0</v>
      </c>
    </row>
    <row r="223" spans="2:71" ht="15" customHeight="1" x14ac:dyDescent="0.2">
      <c r="B223">
        <v>29</v>
      </c>
      <c r="C223">
        <v>8</v>
      </c>
      <c r="D223">
        <v>4</v>
      </c>
      <c r="E223" t="s">
        <v>260</v>
      </c>
      <c r="F223" t="s">
        <v>72</v>
      </c>
      <c r="G223" s="5">
        <v>42574</v>
      </c>
      <c r="H223" t="s">
        <v>73</v>
      </c>
      <c r="I223" t="s">
        <v>215</v>
      </c>
      <c r="J223" t="s">
        <v>216</v>
      </c>
      <c r="K223">
        <v>18</v>
      </c>
      <c r="L223" t="s">
        <v>107</v>
      </c>
      <c r="M223" t="s">
        <v>251</v>
      </c>
      <c r="N223" t="s">
        <v>251</v>
      </c>
      <c r="O223">
        <v>72.3</v>
      </c>
      <c r="P223">
        <v>132</v>
      </c>
      <c r="Q223">
        <v>6517</v>
      </c>
      <c r="R223" t="s">
        <v>110</v>
      </c>
      <c r="S223" t="s">
        <v>111</v>
      </c>
      <c r="T223" t="s">
        <v>83</v>
      </c>
      <c r="U223" t="s">
        <v>40</v>
      </c>
      <c r="V223" t="s">
        <v>57</v>
      </c>
      <c r="W223" t="s">
        <v>109</v>
      </c>
      <c r="AA223">
        <v>2</v>
      </c>
      <c r="AB223" t="s">
        <v>32</v>
      </c>
      <c r="AC223" t="s">
        <v>184</v>
      </c>
      <c r="AD223" t="s">
        <v>42</v>
      </c>
      <c r="AE223" t="str">
        <f t="shared" si="63"/>
        <v>Buss</v>
      </c>
      <c r="AF223">
        <v>2</v>
      </c>
      <c r="AG223">
        <v>1</v>
      </c>
      <c r="AH223">
        <v>0</v>
      </c>
      <c r="AI223">
        <v>0</v>
      </c>
      <c r="AJ223">
        <v>1</v>
      </c>
      <c r="AK223" t="s">
        <v>42</v>
      </c>
      <c r="AL223">
        <v>0.6171875</v>
      </c>
      <c r="AO223">
        <f t="shared" si="70"/>
        <v>0</v>
      </c>
      <c r="AP223">
        <f t="shared" si="70"/>
        <v>0</v>
      </c>
      <c r="AQ223">
        <f t="shared" si="70"/>
        <v>0</v>
      </c>
      <c r="AR223">
        <f t="shared" si="70"/>
        <v>0</v>
      </c>
      <c r="AS223">
        <f t="shared" si="70"/>
        <v>0</v>
      </c>
      <c r="AT223">
        <f t="shared" si="70"/>
        <v>0</v>
      </c>
      <c r="AU223">
        <f t="shared" si="70"/>
        <v>0</v>
      </c>
      <c r="AV223">
        <f t="shared" si="70"/>
        <v>0</v>
      </c>
      <c r="AW223">
        <f t="shared" si="70"/>
        <v>0</v>
      </c>
      <c r="AX223">
        <f t="shared" si="70"/>
        <v>0</v>
      </c>
      <c r="AY223">
        <f t="shared" si="71"/>
        <v>0</v>
      </c>
      <c r="AZ223">
        <f t="shared" si="71"/>
        <v>0</v>
      </c>
      <c r="BA223">
        <f t="shared" si="71"/>
        <v>0</v>
      </c>
      <c r="BB223">
        <f t="shared" si="71"/>
        <v>0</v>
      </c>
      <c r="BC223">
        <f t="shared" si="71"/>
        <v>0</v>
      </c>
      <c r="BD223">
        <f t="shared" si="71"/>
        <v>0</v>
      </c>
      <c r="BE223">
        <f t="shared" si="71"/>
        <v>0</v>
      </c>
      <c r="BF223" t="str">
        <f t="shared" si="71"/>
        <v>Buss</v>
      </c>
      <c r="BG223">
        <f t="shared" si="71"/>
        <v>0</v>
      </c>
      <c r="BH223">
        <f t="shared" si="71"/>
        <v>0</v>
      </c>
      <c r="BI223">
        <f t="shared" si="72"/>
        <v>0</v>
      </c>
      <c r="BJ223">
        <f t="shared" si="72"/>
        <v>0</v>
      </c>
      <c r="BK223">
        <f t="shared" si="72"/>
        <v>0</v>
      </c>
      <c r="BL223">
        <f t="shared" si="72"/>
        <v>0</v>
      </c>
      <c r="BM223">
        <f t="shared" si="72"/>
        <v>0</v>
      </c>
      <c r="BN223">
        <f t="shared" si="72"/>
        <v>0</v>
      </c>
      <c r="BO223">
        <f t="shared" si="72"/>
        <v>0</v>
      </c>
      <c r="BP223">
        <f t="shared" si="72"/>
        <v>0</v>
      </c>
      <c r="BQ223">
        <f t="shared" si="72"/>
        <v>0</v>
      </c>
      <c r="BR223">
        <f t="shared" si="72"/>
        <v>0</v>
      </c>
      <c r="BS223">
        <f t="shared" si="72"/>
        <v>0</v>
      </c>
    </row>
    <row r="224" spans="2:71" ht="15" customHeight="1" x14ac:dyDescent="0.2">
      <c r="B224">
        <v>30</v>
      </c>
      <c r="C224">
        <v>9</v>
      </c>
      <c r="D224">
        <v>4</v>
      </c>
      <c r="E224" t="s">
        <v>261</v>
      </c>
      <c r="F224" t="s">
        <v>72</v>
      </c>
      <c r="G224" s="5">
        <v>42574</v>
      </c>
      <c r="H224" t="s">
        <v>73</v>
      </c>
      <c r="I224" t="s">
        <v>215</v>
      </c>
      <c r="J224" t="s">
        <v>216</v>
      </c>
      <c r="K224">
        <v>18</v>
      </c>
      <c r="L224" t="s">
        <v>107</v>
      </c>
      <c r="M224" t="s">
        <v>251</v>
      </c>
      <c r="N224" t="s">
        <v>251</v>
      </c>
      <c r="O224">
        <v>72.3</v>
      </c>
      <c r="P224">
        <v>132</v>
      </c>
      <c r="Q224">
        <v>6517</v>
      </c>
      <c r="R224" t="s">
        <v>110</v>
      </c>
      <c r="S224" t="s">
        <v>111</v>
      </c>
      <c r="T224" t="s">
        <v>83</v>
      </c>
      <c r="U224" t="s">
        <v>40</v>
      </c>
      <c r="V224" t="s">
        <v>47</v>
      </c>
      <c r="W224" t="s">
        <v>109</v>
      </c>
      <c r="AA224">
        <v>2</v>
      </c>
      <c r="AB224" t="s">
        <v>33</v>
      </c>
      <c r="AC224" t="s">
        <v>258</v>
      </c>
      <c r="AD224" t="s">
        <v>52</v>
      </c>
      <c r="AE224" t="str">
        <f t="shared" si="63"/>
        <v>Hickerson</v>
      </c>
      <c r="AF224">
        <v>0</v>
      </c>
      <c r="AG224">
        <v>0</v>
      </c>
      <c r="AH224">
        <v>1</v>
      </c>
      <c r="AI224">
        <v>0</v>
      </c>
      <c r="AJ224">
        <v>0</v>
      </c>
      <c r="AK224" t="s">
        <v>52</v>
      </c>
      <c r="AL224">
        <v>0.34745762711864397</v>
      </c>
      <c r="AO224">
        <f t="shared" si="70"/>
        <v>0</v>
      </c>
      <c r="AP224">
        <f t="shared" si="70"/>
        <v>0</v>
      </c>
      <c r="AQ224">
        <f t="shared" si="70"/>
        <v>0</v>
      </c>
      <c r="AR224">
        <f t="shared" si="70"/>
        <v>0</v>
      </c>
      <c r="AS224">
        <f t="shared" si="70"/>
        <v>0</v>
      </c>
      <c r="AT224">
        <f t="shared" si="70"/>
        <v>0</v>
      </c>
      <c r="AU224">
        <f t="shared" si="70"/>
        <v>0</v>
      </c>
      <c r="AV224" t="str">
        <f t="shared" si="70"/>
        <v>Hickerson</v>
      </c>
      <c r="AW224">
        <f t="shared" si="70"/>
        <v>0</v>
      </c>
      <c r="AX224">
        <f t="shared" si="70"/>
        <v>0</v>
      </c>
      <c r="AY224">
        <f t="shared" si="71"/>
        <v>0</v>
      </c>
      <c r="AZ224">
        <f t="shared" si="71"/>
        <v>0</v>
      </c>
      <c r="BA224">
        <f t="shared" si="71"/>
        <v>0</v>
      </c>
      <c r="BB224">
        <f t="shared" si="71"/>
        <v>0</v>
      </c>
      <c r="BC224">
        <f t="shared" si="71"/>
        <v>0</v>
      </c>
      <c r="BD224">
        <f t="shared" si="71"/>
        <v>0</v>
      </c>
      <c r="BE224">
        <f t="shared" si="71"/>
        <v>0</v>
      </c>
      <c r="BF224">
        <f t="shared" si="71"/>
        <v>0</v>
      </c>
      <c r="BG224">
        <f t="shared" si="71"/>
        <v>0</v>
      </c>
      <c r="BH224">
        <f t="shared" si="71"/>
        <v>0</v>
      </c>
      <c r="BI224">
        <f t="shared" si="72"/>
        <v>0</v>
      </c>
      <c r="BJ224">
        <f t="shared" si="72"/>
        <v>0</v>
      </c>
      <c r="BK224">
        <f t="shared" si="72"/>
        <v>0</v>
      </c>
      <c r="BL224">
        <f t="shared" si="72"/>
        <v>0</v>
      </c>
      <c r="BM224">
        <f t="shared" si="72"/>
        <v>0</v>
      </c>
      <c r="BN224">
        <f t="shared" si="72"/>
        <v>0</v>
      </c>
      <c r="BO224">
        <f t="shared" si="72"/>
        <v>0</v>
      </c>
      <c r="BP224">
        <f t="shared" si="72"/>
        <v>0</v>
      </c>
      <c r="BQ224">
        <f t="shared" si="72"/>
        <v>0</v>
      </c>
      <c r="BR224">
        <f t="shared" si="72"/>
        <v>0</v>
      </c>
      <c r="BS224">
        <f t="shared" si="72"/>
        <v>0</v>
      </c>
    </row>
    <row r="225" spans="2:71" ht="15" customHeight="1" x14ac:dyDescent="0.2">
      <c r="B225">
        <v>30</v>
      </c>
      <c r="C225">
        <v>10</v>
      </c>
      <c r="D225">
        <v>4</v>
      </c>
      <c r="E225" t="s">
        <v>262</v>
      </c>
      <c r="F225" t="s">
        <v>72</v>
      </c>
      <c r="G225" s="5">
        <v>42574</v>
      </c>
      <c r="H225" t="s">
        <v>73</v>
      </c>
      <c r="I225" t="s">
        <v>215</v>
      </c>
      <c r="J225" t="s">
        <v>216</v>
      </c>
      <c r="K225">
        <v>18</v>
      </c>
      <c r="L225" t="s">
        <v>107</v>
      </c>
      <c r="M225" t="s">
        <v>251</v>
      </c>
      <c r="N225" t="s">
        <v>251</v>
      </c>
      <c r="O225">
        <v>72.3</v>
      </c>
      <c r="P225">
        <v>132</v>
      </c>
      <c r="Q225">
        <v>6517</v>
      </c>
      <c r="R225" t="s">
        <v>110</v>
      </c>
      <c r="S225" t="s">
        <v>111</v>
      </c>
      <c r="T225" t="s">
        <v>83</v>
      </c>
      <c r="U225" t="s">
        <v>40</v>
      </c>
      <c r="V225" t="s">
        <v>54</v>
      </c>
      <c r="W225" t="s">
        <v>109</v>
      </c>
      <c r="AA225">
        <v>2</v>
      </c>
      <c r="AB225" t="s">
        <v>32</v>
      </c>
      <c r="AC225" t="s">
        <v>209</v>
      </c>
      <c r="AD225" t="s">
        <v>59</v>
      </c>
      <c r="AE225" t="str">
        <f t="shared" si="63"/>
        <v>Fogan</v>
      </c>
      <c r="AF225">
        <v>2</v>
      </c>
      <c r="AG225">
        <v>1</v>
      </c>
      <c r="AH225">
        <v>0</v>
      </c>
      <c r="AI225">
        <v>0</v>
      </c>
      <c r="AJ225">
        <v>1</v>
      </c>
      <c r="AK225" t="s">
        <v>59</v>
      </c>
      <c r="AL225">
        <v>0.52777777777777801</v>
      </c>
      <c r="AO225">
        <f t="shared" si="70"/>
        <v>0</v>
      </c>
      <c r="AP225">
        <f t="shared" si="70"/>
        <v>0</v>
      </c>
      <c r="AQ225">
        <f t="shared" si="70"/>
        <v>0</v>
      </c>
      <c r="AR225">
        <f t="shared" si="70"/>
        <v>0</v>
      </c>
      <c r="AS225">
        <f t="shared" si="70"/>
        <v>0</v>
      </c>
      <c r="AT225">
        <f t="shared" si="70"/>
        <v>0</v>
      </c>
      <c r="AU225">
        <f t="shared" si="70"/>
        <v>0</v>
      </c>
      <c r="AV225">
        <f t="shared" si="70"/>
        <v>0</v>
      </c>
      <c r="AW225">
        <f t="shared" si="70"/>
        <v>0</v>
      </c>
      <c r="AX225">
        <f t="shared" si="70"/>
        <v>0</v>
      </c>
      <c r="AY225">
        <f t="shared" si="71"/>
        <v>0</v>
      </c>
      <c r="AZ225">
        <f t="shared" si="71"/>
        <v>0</v>
      </c>
      <c r="BA225">
        <f t="shared" si="71"/>
        <v>0</v>
      </c>
      <c r="BB225">
        <f t="shared" si="71"/>
        <v>0</v>
      </c>
      <c r="BC225" t="str">
        <f t="shared" si="71"/>
        <v>Fogan</v>
      </c>
      <c r="BD225">
        <f t="shared" si="71"/>
        <v>0</v>
      </c>
      <c r="BE225">
        <f t="shared" si="71"/>
        <v>0</v>
      </c>
      <c r="BF225">
        <f t="shared" si="71"/>
        <v>0</v>
      </c>
      <c r="BG225">
        <f t="shared" si="71"/>
        <v>0</v>
      </c>
      <c r="BH225">
        <f t="shared" si="71"/>
        <v>0</v>
      </c>
      <c r="BI225">
        <f t="shared" si="72"/>
        <v>0</v>
      </c>
      <c r="BJ225">
        <f t="shared" si="72"/>
        <v>0</v>
      </c>
      <c r="BK225">
        <f t="shared" si="72"/>
        <v>0</v>
      </c>
      <c r="BL225">
        <f t="shared" si="72"/>
        <v>0</v>
      </c>
      <c r="BM225">
        <f t="shared" si="72"/>
        <v>0</v>
      </c>
      <c r="BN225">
        <f t="shared" si="72"/>
        <v>0</v>
      </c>
      <c r="BO225">
        <f t="shared" si="72"/>
        <v>0</v>
      </c>
      <c r="BP225">
        <f t="shared" si="72"/>
        <v>0</v>
      </c>
      <c r="BQ225">
        <f t="shared" si="72"/>
        <v>0</v>
      </c>
      <c r="BR225">
        <f t="shared" si="72"/>
        <v>0</v>
      </c>
      <c r="BS225">
        <f t="shared" si="72"/>
        <v>0</v>
      </c>
    </row>
    <row r="226" spans="2:71" ht="15" customHeight="1" x14ac:dyDescent="0.2">
      <c r="B226">
        <v>1</v>
      </c>
      <c r="C226">
        <v>1</v>
      </c>
      <c r="D226">
        <v>5</v>
      </c>
      <c r="E226" t="s">
        <v>263</v>
      </c>
      <c r="F226" t="s">
        <v>214</v>
      </c>
      <c r="G226" s="5">
        <v>42937</v>
      </c>
      <c r="H226" t="s">
        <v>73</v>
      </c>
      <c r="I226" t="s">
        <v>264</v>
      </c>
      <c r="J226" t="s">
        <v>168</v>
      </c>
      <c r="K226">
        <v>9</v>
      </c>
      <c r="L226" t="s">
        <v>76</v>
      </c>
      <c r="M226" t="s">
        <v>265</v>
      </c>
      <c r="N226" t="s">
        <v>266</v>
      </c>
      <c r="O226">
        <v>71.400000000000006</v>
      </c>
      <c r="P226">
        <v>136</v>
      </c>
      <c r="Q226">
        <v>6251</v>
      </c>
      <c r="R226" t="s">
        <v>79</v>
      </c>
      <c r="S226" t="s">
        <v>80</v>
      </c>
      <c r="T226" t="s">
        <v>81</v>
      </c>
      <c r="U226" t="s">
        <v>43</v>
      </c>
      <c r="V226" t="s">
        <v>58</v>
      </c>
      <c r="W226" t="s">
        <v>78</v>
      </c>
      <c r="Y226" t="s">
        <v>43</v>
      </c>
      <c r="AA226">
        <v>1</v>
      </c>
      <c r="AB226" t="s">
        <v>33</v>
      </c>
      <c r="AC226" t="s">
        <v>249</v>
      </c>
      <c r="AE226" t="str">
        <f t="shared" si="63"/>
        <v>GrayPoirier</v>
      </c>
      <c r="AF226">
        <v>0</v>
      </c>
      <c r="AG226">
        <v>0</v>
      </c>
      <c r="AH226">
        <v>1</v>
      </c>
      <c r="AI226">
        <v>0</v>
      </c>
      <c r="AJ226">
        <v>0</v>
      </c>
      <c r="AK226" t="s">
        <v>63</v>
      </c>
      <c r="AL226">
        <v>0.46551724137931</v>
      </c>
      <c r="AM226" t="s">
        <v>46</v>
      </c>
      <c r="AN226">
        <v>0.38392857142857201</v>
      </c>
      <c r="AO226">
        <f t="shared" si="70"/>
        <v>0</v>
      </c>
      <c r="AP226">
        <f t="shared" si="70"/>
        <v>0</v>
      </c>
      <c r="AQ226">
        <f t="shared" si="70"/>
        <v>0</v>
      </c>
      <c r="AR226" t="str">
        <f t="shared" si="70"/>
        <v>Poirier</v>
      </c>
      <c r="AS226">
        <f t="shared" si="70"/>
        <v>0</v>
      </c>
      <c r="AT226">
        <f t="shared" si="70"/>
        <v>0</v>
      </c>
      <c r="AU226">
        <f t="shared" si="70"/>
        <v>0</v>
      </c>
      <c r="AV226">
        <f t="shared" si="70"/>
        <v>0</v>
      </c>
      <c r="AW226">
        <f t="shared" si="70"/>
        <v>0</v>
      </c>
      <c r="AX226">
        <f t="shared" si="70"/>
        <v>0</v>
      </c>
      <c r="AY226">
        <f t="shared" si="71"/>
        <v>0</v>
      </c>
      <c r="AZ226">
        <f t="shared" si="71"/>
        <v>0</v>
      </c>
      <c r="BA226">
        <f t="shared" si="71"/>
        <v>0</v>
      </c>
      <c r="BB226">
        <f t="shared" si="71"/>
        <v>0</v>
      </c>
      <c r="BC226">
        <f t="shared" si="71"/>
        <v>0</v>
      </c>
      <c r="BD226">
        <f t="shared" si="71"/>
        <v>0</v>
      </c>
      <c r="BE226">
        <f t="shared" si="71"/>
        <v>0</v>
      </c>
      <c r="BF226">
        <f t="shared" si="71"/>
        <v>0</v>
      </c>
      <c r="BG226" t="str">
        <f t="shared" si="71"/>
        <v>Gray</v>
      </c>
      <c r="BH226">
        <f t="shared" si="71"/>
        <v>0</v>
      </c>
      <c r="BI226">
        <f t="shared" si="72"/>
        <v>0</v>
      </c>
      <c r="BJ226">
        <f t="shared" si="72"/>
        <v>0</v>
      </c>
      <c r="BK226">
        <f t="shared" si="72"/>
        <v>0</v>
      </c>
      <c r="BL226">
        <f t="shared" si="72"/>
        <v>0</v>
      </c>
      <c r="BM226">
        <f t="shared" si="72"/>
        <v>0</v>
      </c>
      <c r="BN226">
        <f t="shared" si="72"/>
        <v>0</v>
      </c>
      <c r="BO226">
        <f t="shared" si="72"/>
        <v>0</v>
      </c>
      <c r="BP226">
        <f t="shared" si="72"/>
        <v>0</v>
      </c>
      <c r="BQ226">
        <f t="shared" si="72"/>
        <v>0</v>
      </c>
      <c r="BR226">
        <f t="shared" si="72"/>
        <v>0</v>
      </c>
      <c r="BS226">
        <f t="shared" si="72"/>
        <v>0</v>
      </c>
    </row>
    <row r="227" spans="2:71" ht="15" customHeight="1" x14ac:dyDescent="0.2">
      <c r="B227">
        <v>1</v>
      </c>
      <c r="C227">
        <v>1</v>
      </c>
      <c r="D227">
        <v>5</v>
      </c>
      <c r="E227" t="s">
        <v>263</v>
      </c>
      <c r="F227" t="s">
        <v>214</v>
      </c>
      <c r="G227" s="5">
        <v>42937</v>
      </c>
      <c r="H227" t="s">
        <v>73</v>
      </c>
      <c r="I227" t="s">
        <v>264</v>
      </c>
      <c r="J227" t="s">
        <v>168</v>
      </c>
      <c r="K227">
        <v>9</v>
      </c>
      <c r="L227" t="s">
        <v>76</v>
      </c>
      <c r="M227" t="s">
        <v>265</v>
      </c>
      <c r="N227" t="s">
        <v>266</v>
      </c>
      <c r="O227">
        <v>71.400000000000006</v>
      </c>
      <c r="P227">
        <v>136</v>
      </c>
      <c r="Q227">
        <v>6251</v>
      </c>
      <c r="R227" t="s">
        <v>79</v>
      </c>
      <c r="S227" t="s">
        <v>80</v>
      </c>
      <c r="T227" t="s">
        <v>83</v>
      </c>
      <c r="U227" t="s">
        <v>53</v>
      </c>
      <c r="V227" t="s">
        <v>63</v>
      </c>
      <c r="W227" t="s">
        <v>109</v>
      </c>
      <c r="Y227" t="s">
        <v>46</v>
      </c>
      <c r="AA227">
        <v>1</v>
      </c>
      <c r="AB227" t="s">
        <v>32</v>
      </c>
      <c r="AC227" t="s">
        <v>249</v>
      </c>
      <c r="AE227" t="str">
        <f t="shared" si="63"/>
        <v>DelaneyMangold</v>
      </c>
      <c r="AF227">
        <v>1</v>
      </c>
      <c r="AG227">
        <v>1</v>
      </c>
      <c r="AH227">
        <v>0</v>
      </c>
      <c r="AI227">
        <v>0</v>
      </c>
      <c r="AJ227">
        <v>1</v>
      </c>
      <c r="AK227" t="s">
        <v>58</v>
      </c>
      <c r="AL227">
        <v>0.65476190476190499</v>
      </c>
      <c r="AM227" t="s">
        <v>43</v>
      </c>
      <c r="AN227">
        <v>0.48611111111111099</v>
      </c>
      <c r="AO227">
        <f t="shared" si="70"/>
        <v>0</v>
      </c>
      <c r="AP227">
        <f t="shared" si="70"/>
        <v>0</v>
      </c>
      <c r="AQ227">
        <f t="shared" si="70"/>
        <v>0</v>
      </c>
      <c r="AR227">
        <f t="shared" si="70"/>
        <v>0</v>
      </c>
      <c r="AS227">
        <f t="shared" si="70"/>
        <v>0</v>
      </c>
      <c r="AT227">
        <f t="shared" si="70"/>
        <v>0</v>
      </c>
      <c r="AU227" t="str">
        <f t="shared" si="70"/>
        <v>Mangold</v>
      </c>
      <c r="AV227">
        <f t="shared" si="70"/>
        <v>0</v>
      </c>
      <c r="AW227">
        <f t="shared" si="70"/>
        <v>0</v>
      </c>
      <c r="AX227">
        <f t="shared" si="70"/>
        <v>0</v>
      </c>
      <c r="AY227">
        <f t="shared" si="71"/>
        <v>0</v>
      </c>
      <c r="AZ227">
        <f t="shared" si="71"/>
        <v>0</v>
      </c>
      <c r="BA227">
        <f t="shared" si="71"/>
        <v>0</v>
      </c>
      <c r="BB227">
        <f t="shared" si="71"/>
        <v>0</v>
      </c>
      <c r="BC227">
        <f t="shared" si="71"/>
        <v>0</v>
      </c>
      <c r="BD227">
        <f t="shared" si="71"/>
        <v>0</v>
      </c>
      <c r="BE227">
        <f t="shared" si="71"/>
        <v>0</v>
      </c>
      <c r="BF227">
        <f t="shared" si="71"/>
        <v>0</v>
      </c>
      <c r="BG227">
        <f t="shared" si="71"/>
        <v>0</v>
      </c>
      <c r="BH227">
        <f t="shared" si="71"/>
        <v>0</v>
      </c>
      <c r="BI227">
        <f t="shared" si="72"/>
        <v>0</v>
      </c>
      <c r="BJ227">
        <f t="shared" si="72"/>
        <v>0</v>
      </c>
      <c r="BK227">
        <f t="shared" si="72"/>
        <v>0</v>
      </c>
      <c r="BL227" t="str">
        <f t="shared" si="72"/>
        <v>Delaney</v>
      </c>
      <c r="BM227">
        <f t="shared" si="72"/>
        <v>0</v>
      </c>
      <c r="BN227">
        <f t="shared" si="72"/>
        <v>0</v>
      </c>
      <c r="BO227">
        <f t="shared" si="72"/>
        <v>0</v>
      </c>
      <c r="BP227">
        <f t="shared" si="72"/>
        <v>0</v>
      </c>
      <c r="BQ227">
        <f t="shared" si="72"/>
        <v>0</v>
      </c>
      <c r="BR227">
        <f t="shared" si="72"/>
        <v>0</v>
      </c>
      <c r="BS227">
        <f t="shared" si="72"/>
        <v>0</v>
      </c>
    </row>
    <row r="228" spans="2:71" ht="15" customHeight="1" x14ac:dyDescent="0.2">
      <c r="B228">
        <v>2</v>
      </c>
      <c r="C228">
        <v>2</v>
      </c>
      <c r="D228">
        <v>5</v>
      </c>
      <c r="E228" t="s">
        <v>267</v>
      </c>
      <c r="F228" t="s">
        <v>214</v>
      </c>
      <c r="G228" s="5">
        <v>42937</v>
      </c>
      <c r="H228" t="s">
        <v>73</v>
      </c>
      <c r="I228" t="s">
        <v>264</v>
      </c>
      <c r="J228" t="s">
        <v>168</v>
      </c>
      <c r="K228">
        <v>9</v>
      </c>
      <c r="L228" t="s">
        <v>76</v>
      </c>
      <c r="M228" t="s">
        <v>265</v>
      </c>
      <c r="N228" t="s">
        <v>266</v>
      </c>
      <c r="O228">
        <v>71.400000000000006</v>
      </c>
      <c r="P228">
        <v>136</v>
      </c>
      <c r="Q228">
        <v>6251</v>
      </c>
      <c r="R228" t="s">
        <v>79</v>
      </c>
      <c r="S228" t="s">
        <v>80</v>
      </c>
      <c r="T228" t="s">
        <v>83</v>
      </c>
      <c r="U228" t="s">
        <v>53</v>
      </c>
      <c r="V228" t="s">
        <v>40</v>
      </c>
      <c r="W228" t="s">
        <v>109</v>
      </c>
      <c r="Y228" t="s">
        <v>48</v>
      </c>
      <c r="AA228">
        <v>1</v>
      </c>
      <c r="AB228" t="s">
        <v>33</v>
      </c>
      <c r="AC228" t="s">
        <v>174</v>
      </c>
      <c r="AE228" t="str">
        <f t="shared" si="63"/>
        <v>GriseLynch</v>
      </c>
      <c r="AF228">
        <v>0</v>
      </c>
      <c r="AG228">
        <v>0</v>
      </c>
      <c r="AH228">
        <v>1</v>
      </c>
      <c r="AI228">
        <v>0</v>
      </c>
      <c r="AJ228">
        <v>0</v>
      </c>
      <c r="AK228" t="s">
        <v>55</v>
      </c>
      <c r="AL228">
        <v>0.44067796610169502</v>
      </c>
      <c r="AM228" t="s">
        <v>42</v>
      </c>
      <c r="AN228">
        <v>0.6171875</v>
      </c>
      <c r="AO228" t="str">
        <f t="shared" si="70"/>
        <v>Grise</v>
      </c>
      <c r="AP228">
        <f t="shared" si="70"/>
        <v>0</v>
      </c>
      <c r="AQ228">
        <f t="shared" si="70"/>
        <v>0</v>
      </c>
      <c r="AR228">
        <f t="shared" si="70"/>
        <v>0</v>
      </c>
      <c r="AS228">
        <f t="shared" si="70"/>
        <v>0</v>
      </c>
      <c r="AT228">
        <f t="shared" si="70"/>
        <v>0</v>
      </c>
      <c r="AU228">
        <f t="shared" si="70"/>
        <v>0</v>
      </c>
      <c r="AV228">
        <f t="shared" si="70"/>
        <v>0</v>
      </c>
      <c r="AW228" t="str">
        <f t="shared" si="70"/>
        <v>Lynch</v>
      </c>
      <c r="AX228">
        <f t="shared" si="70"/>
        <v>0</v>
      </c>
      <c r="AY228">
        <f t="shared" si="71"/>
        <v>0</v>
      </c>
      <c r="AZ228">
        <f t="shared" si="71"/>
        <v>0</v>
      </c>
      <c r="BA228">
        <f t="shared" si="71"/>
        <v>0</v>
      </c>
      <c r="BB228">
        <f t="shared" si="71"/>
        <v>0</v>
      </c>
      <c r="BC228">
        <f t="shared" si="71"/>
        <v>0</v>
      </c>
      <c r="BD228">
        <f t="shared" si="71"/>
        <v>0</v>
      </c>
      <c r="BE228">
        <f t="shared" si="71"/>
        <v>0</v>
      </c>
      <c r="BF228">
        <f t="shared" si="71"/>
        <v>0</v>
      </c>
      <c r="BG228">
        <f t="shared" si="71"/>
        <v>0</v>
      </c>
      <c r="BH228">
        <f t="shared" si="71"/>
        <v>0</v>
      </c>
      <c r="BI228">
        <f t="shared" si="72"/>
        <v>0</v>
      </c>
      <c r="BJ228">
        <f t="shared" si="72"/>
        <v>0</v>
      </c>
      <c r="BK228">
        <f t="shared" si="72"/>
        <v>0</v>
      </c>
      <c r="BL228">
        <f t="shared" si="72"/>
        <v>0</v>
      </c>
      <c r="BM228">
        <f t="shared" si="72"/>
        <v>0</v>
      </c>
      <c r="BN228">
        <f t="shared" si="72"/>
        <v>0</v>
      </c>
      <c r="BO228">
        <f t="shared" si="72"/>
        <v>0</v>
      </c>
      <c r="BP228">
        <f t="shared" si="72"/>
        <v>0</v>
      </c>
      <c r="BQ228">
        <f t="shared" si="72"/>
        <v>0</v>
      </c>
      <c r="BR228">
        <f t="shared" si="72"/>
        <v>0</v>
      </c>
      <c r="BS228">
        <f t="shared" si="72"/>
        <v>0</v>
      </c>
    </row>
    <row r="229" spans="2:71" ht="15" customHeight="1" x14ac:dyDescent="0.2">
      <c r="B229">
        <v>2</v>
      </c>
      <c r="C229">
        <v>2</v>
      </c>
      <c r="D229">
        <v>5</v>
      </c>
      <c r="E229" t="s">
        <v>267</v>
      </c>
      <c r="F229" t="s">
        <v>214</v>
      </c>
      <c r="G229" s="5">
        <v>42937</v>
      </c>
      <c r="H229" t="s">
        <v>73</v>
      </c>
      <c r="I229" t="s">
        <v>264</v>
      </c>
      <c r="J229" t="s">
        <v>168</v>
      </c>
      <c r="K229">
        <v>9</v>
      </c>
      <c r="L229" t="s">
        <v>76</v>
      </c>
      <c r="M229" t="s">
        <v>265</v>
      </c>
      <c r="N229" t="s">
        <v>266</v>
      </c>
      <c r="O229">
        <v>71.400000000000006</v>
      </c>
      <c r="P229">
        <v>136</v>
      </c>
      <c r="Q229">
        <v>6251</v>
      </c>
      <c r="R229" t="s">
        <v>79</v>
      </c>
      <c r="S229" t="s">
        <v>80</v>
      </c>
      <c r="T229" t="s">
        <v>81</v>
      </c>
      <c r="U229" t="s">
        <v>43</v>
      </c>
      <c r="V229" t="s">
        <v>55</v>
      </c>
      <c r="W229" t="s">
        <v>78</v>
      </c>
      <c r="Y229" t="s">
        <v>42</v>
      </c>
      <c r="AA229">
        <v>1</v>
      </c>
      <c r="AB229" t="s">
        <v>32</v>
      </c>
      <c r="AC229" t="s">
        <v>174</v>
      </c>
      <c r="AE229" t="str">
        <f t="shared" si="63"/>
        <v>ColeJackson</v>
      </c>
      <c r="AF229">
        <v>1</v>
      </c>
      <c r="AG229">
        <v>1</v>
      </c>
      <c r="AH229">
        <v>0</v>
      </c>
      <c r="AI229">
        <v>0</v>
      </c>
      <c r="AJ229">
        <v>1</v>
      </c>
      <c r="AK229" t="s">
        <v>40</v>
      </c>
      <c r="AL229">
        <v>0.546875</v>
      </c>
      <c r="AM229" t="s">
        <v>48</v>
      </c>
      <c r="AN229">
        <v>0.5546875</v>
      </c>
      <c r="AO229">
        <f t="shared" si="70"/>
        <v>0</v>
      </c>
      <c r="AP229">
        <f t="shared" si="70"/>
        <v>0</v>
      </c>
      <c r="AQ229" t="str">
        <f t="shared" si="70"/>
        <v>Jackson</v>
      </c>
      <c r="AR229">
        <f t="shared" si="70"/>
        <v>0</v>
      </c>
      <c r="AS229">
        <f t="shared" si="70"/>
        <v>0</v>
      </c>
      <c r="AT229">
        <f t="shared" si="70"/>
        <v>0</v>
      </c>
      <c r="AU229">
        <f t="shared" si="70"/>
        <v>0</v>
      </c>
      <c r="AV229">
        <f t="shared" si="70"/>
        <v>0</v>
      </c>
      <c r="AW229">
        <f t="shared" si="70"/>
        <v>0</v>
      </c>
      <c r="AX229">
        <f t="shared" si="70"/>
        <v>0</v>
      </c>
      <c r="AY229">
        <f t="shared" si="71"/>
        <v>0</v>
      </c>
      <c r="AZ229">
        <f t="shared" si="71"/>
        <v>0</v>
      </c>
      <c r="BA229">
        <f t="shared" si="71"/>
        <v>0</v>
      </c>
      <c r="BB229">
        <f t="shared" si="71"/>
        <v>0</v>
      </c>
      <c r="BC229">
        <f t="shared" si="71"/>
        <v>0</v>
      </c>
      <c r="BD229" t="str">
        <f t="shared" si="71"/>
        <v>Cole</v>
      </c>
      <c r="BE229">
        <f t="shared" si="71"/>
        <v>0</v>
      </c>
      <c r="BF229">
        <f t="shared" si="71"/>
        <v>0</v>
      </c>
      <c r="BG229">
        <f t="shared" si="71"/>
        <v>0</v>
      </c>
      <c r="BH229">
        <f t="shared" si="71"/>
        <v>0</v>
      </c>
      <c r="BI229">
        <f t="shared" si="72"/>
        <v>0</v>
      </c>
      <c r="BJ229">
        <f t="shared" si="72"/>
        <v>0</v>
      </c>
      <c r="BK229">
        <f t="shared" si="72"/>
        <v>0</v>
      </c>
      <c r="BL229">
        <f t="shared" si="72"/>
        <v>0</v>
      </c>
      <c r="BM229">
        <f t="shared" si="72"/>
        <v>0</v>
      </c>
      <c r="BN229">
        <f t="shared" si="72"/>
        <v>0</v>
      </c>
      <c r="BO229">
        <f t="shared" si="72"/>
        <v>0</v>
      </c>
      <c r="BP229">
        <f t="shared" si="72"/>
        <v>0</v>
      </c>
      <c r="BQ229">
        <f t="shared" si="72"/>
        <v>0</v>
      </c>
      <c r="BR229">
        <f t="shared" si="72"/>
        <v>0</v>
      </c>
      <c r="BS229">
        <f t="shared" si="72"/>
        <v>0</v>
      </c>
    </row>
    <row r="230" spans="2:71" ht="15" customHeight="1" x14ac:dyDescent="0.2">
      <c r="B230">
        <v>3</v>
      </c>
      <c r="C230">
        <v>3</v>
      </c>
      <c r="D230">
        <v>5</v>
      </c>
      <c r="E230" t="s">
        <v>268</v>
      </c>
      <c r="F230" t="s">
        <v>214</v>
      </c>
      <c r="G230" s="5">
        <v>42937</v>
      </c>
      <c r="H230" t="s">
        <v>73</v>
      </c>
      <c r="I230" t="s">
        <v>264</v>
      </c>
      <c r="J230" t="s">
        <v>168</v>
      </c>
      <c r="K230">
        <v>9</v>
      </c>
      <c r="L230" t="s">
        <v>76</v>
      </c>
      <c r="M230" t="s">
        <v>265</v>
      </c>
      <c r="N230" t="s">
        <v>266</v>
      </c>
      <c r="O230">
        <v>71.400000000000006</v>
      </c>
      <c r="P230">
        <v>136</v>
      </c>
      <c r="Q230">
        <v>6251</v>
      </c>
      <c r="R230" t="s">
        <v>79</v>
      </c>
      <c r="S230" t="s">
        <v>80</v>
      </c>
      <c r="T230" t="s">
        <v>81</v>
      </c>
      <c r="U230" t="s">
        <v>43</v>
      </c>
      <c r="V230" t="s">
        <v>50</v>
      </c>
      <c r="W230" t="s">
        <v>78</v>
      </c>
      <c r="Y230" t="s">
        <v>44</v>
      </c>
      <c r="AA230">
        <v>1</v>
      </c>
      <c r="AB230" t="s">
        <v>32</v>
      </c>
      <c r="AC230" t="s">
        <v>209</v>
      </c>
      <c r="AE230" t="str">
        <f t="shared" si="63"/>
        <v>FerrinFlanders</v>
      </c>
      <c r="AF230">
        <v>1</v>
      </c>
      <c r="AG230">
        <v>1</v>
      </c>
      <c r="AH230">
        <v>0</v>
      </c>
      <c r="AI230">
        <v>0</v>
      </c>
      <c r="AJ230">
        <v>1</v>
      </c>
      <c r="AK230" t="s">
        <v>45</v>
      </c>
      <c r="AL230">
        <v>0.59375</v>
      </c>
      <c r="AM230" t="s">
        <v>49</v>
      </c>
      <c r="AO230">
        <f t="shared" si="70"/>
        <v>0</v>
      </c>
      <c r="AP230">
        <f t="shared" si="70"/>
        <v>0</v>
      </c>
      <c r="AQ230">
        <f t="shared" si="70"/>
        <v>0</v>
      </c>
      <c r="AR230">
        <f t="shared" si="70"/>
        <v>0</v>
      </c>
      <c r="AS230" t="str">
        <f t="shared" si="70"/>
        <v>Flanders</v>
      </c>
      <c r="AT230">
        <f t="shared" si="70"/>
        <v>0</v>
      </c>
      <c r="AU230">
        <f t="shared" si="70"/>
        <v>0</v>
      </c>
      <c r="AV230">
        <f t="shared" si="70"/>
        <v>0</v>
      </c>
      <c r="AW230">
        <f t="shared" si="70"/>
        <v>0</v>
      </c>
      <c r="AX230">
        <f t="shared" si="70"/>
        <v>0</v>
      </c>
      <c r="AY230" t="str">
        <f t="shared" si="71"/>
        <v>Ferrin</v>
      </c>
      <c r="AZ230">
        <f t="shared" si="71"/>
        <v>0</v>
      </c>
      <c r="BA230">
        <f t="shared" si="71"/>
        <v>0</v>
      </c>
      <c r="BB230">
        <f t="shared" si="71"/>
        <v>0</v>
      </c>
      <c r="BC230">
        <f t="shared" si="71"/>
        <v>0</v>
      </c>
      <c r="BD230">
        <f t="shared" si="71"/>
        <v>0</v>
      </c>
      <c r="BE230">
        <f t="shared" si="71"/>
        <v>0</v>
      </c>
      <c r="BF230">
        <f t="shared" si="71"/>
        <v>0</v>
      </c>
      <c r="BG230">
        <f t="shared" si="71"/>
        <v>0</v>
      </c>
      <c r="BH230">
        <f t="shared" si="71"/>
        <v>0</v>
      </c>
      <c r="BI230">
        <f t="shared" si="72"/>
        <v>0</v>
      </c>
      <c r="BJ230">
        <f t="shared" si="72"/>
        <v>0</v>
      </c>
      <c r="BK230">
        <f t="shared" si="72"/>
        <v>0</v>
      </c>
      <c r="BL230">
        <f t="shared" si="72"/>
        <v>0</v>
      </c>
      <c r="BM230">
        <f t="shared" si="72"/>
        <v>0</v>
      </c>
      <c r="BN230">
        <f t="shared" si="72"/>
        <v>0</v>
      </c>
      <c r="BO230">
        <f t="shared" si="72"/>
        <v>0</v>
      </c>
      <c r="BP230">
        <f t="shared" si="72"/>
        <v>0</v>
      </c>
      <c r="BQ230">
        <f t="shared" si="72"/>
        <v>0</v>
      </c>
      <c r="BR230">
        <f t="shared" si="72"/>
        <v>0</v>
      </c>
      <c r="BS230">
        <f t="shared" si="72"/>
        <v>0</v>
      </c>
    </row>
    <row r="231" spans="2:71" ht="15" customHeight="1" x14ac:dyDescent="0.2">
      <c r="B231">
        <v>3</v>
      </c>
      <c r="C231">
        <v>3</v>
      </c>
      <c r="D231">
        <v>5</v>
      </c>
      <c r="E231" t="s">
        <v>268</v>
      </c>
      <c r="F231" t="s">
        <v>214</v>
      </c>
      <c r="G231" s="5">
        <v>42937</v>
      </c>
      <c r="H231" t="s">
        <v>73</v>
      </c>
      <c r="I231" t="s">
        <v>264</v>
      </c>
      <c r="J231" t="s">
        <v>168</v>
      </c>
      <c r="K231">
        <v>9</v>
      </c>
      <c r="L231" t="s">
        <v>76</v>
      </c>
      <c r="M231" t="s">
        <v>265</v>
      </c>
      <c r="N231" t="s">
        <v>266</v>
      </c>
      <c r="O231">
        <v>71.400000000000006</v>
      </c>
      <c r="P231">
        <v>136</v>
      </c>
      <c r="Q231">
        <v>6251</v>
      </c>
      <c r="R231" t="s">
        <v>79</v>
      </c>
      <c r="S231" t="s">
        <v>80</v>
      </c>
      <c r="T231" t="s">
        <v>83</v>
      </c>
      <c r="U231" t="s">
        <v>53</v>
      </c>
      <c r="V231" t="s">
        <v>45</v>
      </c>
      <c r="W231" t="s">
        <v>109</v>
      </c>
      <c r="Y231" t="s">
        <v>49</v>
      </c>
      <c r="AA231">
        <v>1</v>
      </c>
      <c r="AB231" t="s">
        <v>33</v>
      </c>
      <c r="AC231" t="s">
        <v>209</v>
      </c>
      <c r="AE231" t="str">
        <f t="shared" si="63"/>
        <v>ConnollyShively</v>
      </c>
      <c r="AF231">
        <v>0</v>
      </c>
      <c r="AG231">
        <v>0</v>
      </c>
      <c r="AH231">
        <v>1</v>
      </c>
      <c r="AI231">
        <v>0</v>
      </c>
      <c r="AJ231">
        <v>0</v>
      </c>
      <c r="AK231" t="s">
        <v>50</v>
      </c>
      <c r="AL231">
        <v>0.59523809523809501</v>
      </c>
      <c r="AM231" t="s">
        <v>44</v>
      </c>
      <c r="AN231">
        <v>0.4296875</v>
      </c>
      <c r="AO231">
        <f t="shared" si="70"/>
        <v>0</v>
      </c>
      <c r="AP231">
        <f t="shared" si="70"/>
        <v>0</v>
      </c>
      <c r="AQ231">
        <f t="shared" si="70"/>
        <v>0</v>
      </c>
      <c r="AR231">
        <f t="shared" si="70"/>
        <v>0</v>
      </c>
      <c r="AS231">
        <f t="shared" si="70"/>
        <v>0</v>
      </c>
      <c r="AT231" t="str">
        <f t="shared" si="70"/>
        <v>Connolly</v>
      </c>
      <c r="AU231">
        <f t="shared" si="70"/>
        <v>0</v>
      </c>
      <c r="AV231">
        <f t="shared" si="70"/>
        <v>0</v>
      </c>
      <c r="AW231">
        <f t="shared" si="70"/>
        <v>0</v>
      </c>
      <c r="AX231" t="str">
        <f t="shared" si="70"/>
        <v>Shively</v>
      </c>
      <c r="AY231">
        <f t="shared" si="71"/>
        <v>0</v>
      </c>
      <c r="AZ231">
        <f t="shared" si="71"/>
        <v>0</v>
      </c>
      <c r="BA231">
        <f t="shared" si="71"/>
        <v>0</v>
      </c>
      <c r="BB231">
        <f t="shared" si="71"/>
        <v>0</v>
      </c>
      <c r="BC231">
        <f t="shared" si="71"/>
        <v>0</v>
      </c>
      <c r="BD231">
        <f t="shared" si="71"/>
        <v>0</v>
      </c>
      <c r="BE231">
        <f t="shared" si="71"/>
        <v>0</v>
      </c>
      <c r="BF231">
        <f t="shared" si="71"/>
        <v>0</v>
      </c>
      <c r="BG231">
        <f t="shared" si="71"/>
        <v>0</v>
      </c>
      <c r="BH231">
        <f t="shared" si="71"/>
        <v>0</v>
      </c>
      <c r="BI231">
        <f t="shared" si="72"/>
        <v>0</v>
      </c>
      <c r="BJ231">
        <f t="shared" si="72"/>
        <v>0</v>
      </c>
      <c r="BK231">
        <f t="shared" si="72"/>
        <v>0</v>
      </c>
      <c r="BL231">
        <f t="shared" si="72"/>
        <v>0</v>
      </c>
      <c r="BM231">
        <f t="shared" si="72"/>
        <v>0</v>
      </c>
      <c r="BN231">
        <f t="shared" si="72"/>
        <v>0</v>
      </c>
      <c r="BO231">
        <f t="shared" si="72"/>
        <v>0</v>
      </c>
      <c r="BP231">
        <f t="shared" si="72"/>
        <v>0</v>
      </c>
      <c r="BQ231">
        <f t="shared" si="72"/>
        <v>0</v>
      </c>
      <c r="BR231">
        <f t="shared" si="72"/>
        <v>0</v>
      </c>
      <c r="BS231">
        <f t="shared" si="72"/>
        <v>0</v>
      </c>
    </row>
    <row r="232" spans="2:71" ht="15" customHeight="1" x14ac:dyDescent="0.2">
      <c r="B232">
        <v>4</v>
      </c>
      <c r="C232">
        <v>4</v>
      </c>
      <c r="D232">
        <v>5</v>
      </c>
      <c r="E232" t="s">
        <v>269</v>
      </c>
      <c r="F232" t="s">
        <v>214</v>
      </c>
      <c r="G232" s="5">
        <v>42937</v>
      </c>
      <c r="H232" t="s">
        <v>73</v>
      </c>
      <c r="I232" t="s">
        <v>264</v>
      </c>
      <c r="J232" t="s">
        <v>168</v>
      </c>
      <c r="K232">
        <v>9</v>
      </c>
      <c r="L232" t="s">
        <v>76</v>
      </c>
      <c r="M232" t="s">
        <v>265</v>
      </c>
      <c r="N232" t="s">
        <v>266</v>
      </c>
      <c r="O232">
        <v>71.400000000000006</v>
      </c>
      <c r="P232">
        <v>136</v>
      </c>
      <c r="Q232">
        <v>6251</v>
      </c>
      <c r="R232" t="s">
        <v>79</v>
      </c>
      <c r="S232" t="s">
        <v>80</v>
      </c>
      <c r="T232" t="s">
        <v>83</v>
      </c>
      <c r="U232" t="s">
        <v>53</v>
      </c>
      <c r="V232" t="s">
        <v>53</v>
      </c>
      <c r="W232" t="s">
        <v>109</v>
      </c>
      <c r="Y232" t="s">
        <v>61</v>
      </c>
      <c r="AA232">
        <v>1</v>
      </c>
      <c r="AB232" t="s">
        <v>33</v>
      </c>
      <c r="AC232" t="s">
        <v>184</v>
      </c>
      <c r="AE232" t="str">
        <f t="shared" si="63"/>
        <v>ForsterMcInerney</v>
      </c>
      <c r="AF232">
        <v>0</v>
      </c>
      <c r="AG232">
        <v>0</v>
      </c>
      <c r="AH232">
        <v>1</v>
      </c>
      <c r="AI232">
        <v>0</v>
      </c>
      <c r="AJ232">
        <v>0</v>
      </c>
      <c r="AK232" t="s">
        <v>54</v>
      </c>
      <c r="AL232">
        <v>0.37288135593220301</v>
      </c>
      <c r="AM232" t="s">
        <v>41</v>
      </c>
      <c r="AN232">
        <v>0.47321428571428598</v>
      </c>
      <c r="AO232">
        <f t="shared" ref="AO232:AX241" si="73">IF(OR($V232=AO$1,$Y232=AO$1),AO$1,0)</f>
        <v>0</v>
      </c>
      <c r="AP232">
        <f t="shared" si="73"/>
        <v>0</v>
      </c>
      <c r="AQ232">
        <f t="shared" si="73"/>
        <v>0</v>
      </c>
      <c r="AR232">
        <f t="shared" si="73"/>
        <v>0</v>
      </c>
      <c r="AS232">
        <f t="shared" si="73"/>
        <v>0</v>
      </c>
      <c r="AT232">
        <f t="shared" si="73"/>
        <v>0</v>
      </c>
      <c r="AU232">
        <f t="shared" si="73"/>
        <v>0</v>
      </c>
      <c r="AV232">
        <f t="shared" si="73"/>
        <v>0</v>
      </c>
      <c r="AW232">
        <f t="shared" si="73"/>
        <v>0</v>
      </c>
      <c r="AX232">
        <f t="shared" si="73"/>
        <v>0</v>
      </c>
      <c r="AY232">
        <f t="shared" ref="AY232:BH241" si="74">IF(OR($V232=AY$1,$Y232=AY$1),AY$1,0)</f>
        <v>0</v>
      </c>
      <c r="AZ232">
        <f t="shared" si="74"/>
        <v>0</v>
      </c>
      <c r="BA232">
        <f t="shared" si="74"/>
        <v>0</v>
      </c>
      <c r="BB232" t="str">
        <f t="shared" si="74"/>
        <v>Forster</v>
      </c>
      <c r="BC232">
        <f t="shared" si="74"/>
        <v>0</v>
      </c>
      <c r="BD232">
        <f t="shared" si="74"/>
        <v>0</v>
      </c>
      <c r="BE232">
        <f t="shared" si="74"/>
        <v>0</v>
      </c>
      <c r="BF232">
        <f t="shared" si="74"/>
        <v>0</v>
      </c>
      <c r="BG232">
        <f t="shared" si="74"/>
        <v>0</v>
      </c>
      <c r="BH232">
        <f t="shared" si="74"/>
        <v>0</v>
      </c>
      <c r="BI232">
        <f t="shared" ref="BI232:BS241" si="75">IF(OR($V232=BI$1,$Y232=BI$1),BI$1,0)</f>
        <v>0</v>
      </c>
      <c r="BJ232" t="str">
        <f t="shared" si="75"/>
        <v>McInerney</v>
      </c>
      <c r="BK232">
        <f t="shared" si="75"/>
        <v>0</v>
      </c>
      <c r="BL232">
        <f t="shared" si="75"/>
        <v>0</v>
      </c>
      <c r="BM232">
        <f t="shared" si="75"/>
        <v>0</v>
      </c>
      <c r="BN232">
        <f t="shared" si="75"/>
        <v>0</v>
      </c>
      <c r="BO232">
        <f t="shared" si="75"/>
        <v>0</v>
      </c>
      <c r="BP232">
        <f t="shared" si="75"/>
        <v>0</v>
      </c>
      <c r="BQ232">
        <f t="shared" si="75"/>
        <v>0</v>
      </c>
      <c r="BR232">
        <f t="shared" si="75"/>
        <v>0</v>
      </c>
      <c r="BS232">
        <f t="shared" si="75"/>
        <v>0</v>
      </c>
    </row>
    <row r="233" spans="2:71" ht="15" customHeight="1" x14ac:dyDescent="0.2">
      <c r="B233">
        <v>4</v>
      </c>
      <c r="C233">
        <v>4</v>
      </c>
      <c r="D233">
        <v>5</v>
      </c>
      <c r="E233" t="s">
        <v>269</v>
      </c>
      <c r="F233" t="s">
        <v>214</v>
      </c>
      <c r="G233" s="5">
        <v>42937</v>
      </c>
      <c r="H233" t="s">
        <v>73</v>
      </c>
      <c r="I233" t="s">
        <v>264</v>
      </c>
      <c r="J233" t="s">
        <v>168</v>
      </c>
      <c r="K233">
        <v>9</v>
      </c>
      <c r="L233" t="s">
        <v>76</v>
      </c>
      <c r="M233" t="s">
        <v>265</v>
      </c>
      <c r="N233" t="s">
        <v>266</v>
      </c>
      <c r="O233">
        <v>71.400000000000006</v>
      </c>
      <c r="P233">
        <v>136</v>
      </c>
      <c r="Q233">
        <v>6251</v>
      </c>
      <c r="R233" t="s">
        <v>79</v>
      </c>
      <c r="S233" t="s">
        <v>80</v>
      </c>
      <c r="T233" t="s">
        <v>81</v>
      </c>
      <c r="U233" t="s">
        <v>43</v>
      </c>
      <c r="V233" t="s">
        <v>54</v>
      </c>
      <c r="W233" t="s">
        <v>78</v>
      </c>
      <c r="Y233" t="s">
        <v>41</v>
      </c>
      <c r="AA233">
        <v>1</v>
      </c>
      <c r="AB233" t="s">
        <v>32</v>
      </c>
      <c r="AC233" t="s">
        <v>184</v>
      </c>
      <c r="AE233" t="str">
        <f t="shared" si="63"/>
        <v>FoganHilts</v>
      </c>
      <c r="AF233">
        <v>1</v>
      </c>
      <c r="AG233">
        <v>1</v>
      </c>
      <c r="AH233">
        <v>0</v>
      </c>
      <c r="AI233">
        <v>0</v>
      </c>
      <c r="AJ233">
        <v>1</v>
      </c>
      <c r="AK233" t="s">
        <v>53</v>
      </c>
      <c r="AL233">
        <v>0.59649122807017496</v>
      </c>
      <c r="AM233" t="s">
        <v>61</v>
      </c>
      <c r="AN233">
        <v>0.5</v>
      </c>
      <c r="AO233">
        <f t="shared" si="73"/>
        <v>0</v>
      </c>
      <c r="AP233" t="str">
        <f t="shared" si="73"/>
        <v>Hilts</v>
      </c>
      <c r="AQ233">
        <f t="shared" si="73"/>
        <v>0</v>
      </c>
      <c r="AR233">
        <f t="shared" si="73"/>
        <v>0</v>
      </c>
      <c r="AS233">
        <f t="shared" si="73"/>
        <v>0</v>
      </c>
      <c r="AT233">
        <f t="shared" si="73"/>
        <v>0</v>
      </c>
      <c r="AU233">
        <f t="shared" si="73"/>
        <v>0</v>
      </c>
      <c r="AV233">
        <f t="shared" si="73"/>
        <v>0</v>
      </c>
      <c r="AW233">
        <f t="shared" si="73"/>
        <v>0</v>
      </c>
      <c r="AX233">
        <f t="shared" si="73"/>
        <v>0</v>
      </c>
      <c r="AY233">
        <f t="shared" si="74"/>
        <v>0</v>
      </c>
      <c r="AZ233">
        <f t="shared" si="74"/>
        <v>0</v>
      </c>
      <c r="BA233">
        <f t="shared" si="74"/>
        <v>0</v>
      </c>
      <c r="BB233">
        <f t="shared" si="74"/>
        <v>0</v>
      </c>
      <c r="BC233" t="str">
        <f t="shared" si="74"/>
        <v>Fogan</v>
      </c>
      <c r="BD233">
        <f t="shared" si="74"/>
        <v>0</v>
      </c>
      <c r="BE233">
        <f t="shared" si="74"/>
        <v>0</v>
      </c>
      <c r="BF233">
        <f t="shared" si="74"/>
        <v>0</v>
      </c>
      <c r="BG233">
        <f t="shared" si="74"/>
        <v>0</v>
      </c>
      <c r="BH233">
        <f t="shared" si="74"/>
        <v>0</v>
      </c>
      <c r="BI233">
        <f t="shared" si="75"/>
        <v>0</v>
      </c>
      <c r="BJ233">
        <f t="shared" si="75"/>
        <v>0</v>
      </c>
      <c r="BK233">
        <f t="shared" si="75"/>
        <v>0</v>
      </c>
      <c r="BL233">
        <f t="shared" si="75"/>
        <v>0</v>
      </c>
      <c r="BM233">
        <f t="shared" si="75"/>
        <v>0</v>
      </c>
      <c r="BN233">
        <f t="shared" si="75"/>
        <v>0</v>
      </c>
      <c r="BO233">
        <f t="shared" si="75"/>
        <v>0</v>
      </c>
      <c r="BP233">
        <f t="shared" si="75"/>
        <v>0</v>
      </c>
      <c r="BQ233">
        <f t="shared" si="75"/>
        <v>0</v>
      </c>
      <c r="BR233">
        <f t="shared" si="75"/>
        <v>0</v>
      </c>
      <c r="BS233">
        <f t="shared" si="75"/>
        <v>0</v>
      </c>
    </row>
    <row r="234" spans="2:71" ht="15" customHeight="1" x14ac:dyDescent="0.2">
      <c r="B234">
        <v>5</v>
      </c>
      <c r="C234">
        <v>5</v>
      </c>
      <c r="D234">
        <v>5</v>
      </c>
      <c r="E234" t="s">
        <v>270</v>
      </c>
      <c r="F234" t="s">
        <v>214</v>
      </c>
      <c r="G234" s="5">
        <v>42937</v>
      </c>
      <c r="H234" t="s">
        <v>73</v>
      </c>
      <c r="I234" t="s">
        <v>264</v>
      </c>
      <c r="J234" t="s">
        <v>168</v>
      </c>
      <c r="K234">
        <v>9</v>
      </c>
      <c r="L234" t="s">
        <v>76</v>
      </c>
      <c r="M234" t="s">
        <v>265</v>
      </c>
      <c r="N234" t="s">
        <v>266</v>
      </c>
      <c r="O234">
        <v>71.400000000000006</v>
      </c>
      <c r="P234">
        <v>136</v>
      </c>
      <c r="Q234">
        <v>6251</v>
      </c>
      <c r="R234" t="s">
        <v>79</v>
      </c>
      <c r="S234" t="s">
        <v>80</v>
      </c>
      <c r="T234" t="s">
        <v>81</v>
      </c>
      <c r="U234" t="s">
        <v>43</v>
      </c>
      <c r="V234" t="s">
        <v>52</v>
      </c>
      <c r="W234" t="s">
        <v>78</v>
      </c>
      <c r="Y234" t="s">
        <v>62</v>
      </c>
      <c r="AA234">
        <v>1</v>
      </c>
      <c r="AB234" t="s">
        <v>32</v>
      </c>
      <c r="AC234" t="s">
        <v>174</v>
      </c>
      <c r="AE234" t="str">
        <f t="shared" si="63"/>
        <v>ConnorsWelker</v>
      </c>
      <c r="AF234">
        <v>1</v>
      </c>
      <c r="AG234">
        <v>1</v>
      </c>
      <c r="AH234">
        <v>0</v>
      </c>
      <c r="AI234">
        <v>0</v>
      </c>
      <c r="AJ234">
        <v>1</v>
      </c>
      <c r="AK234" t="s">
        <v>59</v>
      </c>
      <c r="AL234">
        <v>0.52777777777777801</v>
      </c>
      <c r="AM234" t="s">
        <v>60</v>
      </c>
      <c r="AN234">
        <v>0.5</v>
      </c>
      <c r="AO234">
        <f t="shared" si="73"/>
        <v>0</v>
      </c>
      <c r="AP234">
        <f t="shared" si="73"/>
        <v>0</v>
      </c>
      <c r="AQ234">
        <f t="shared" si="73"/>
        <v>0</v>
      </c>
      <c r="AR234">
        <f t="shared" si="73"/>
        <v>0</v>
      </c>
      <c r="AS234">
        <f t="shared" si="73"/>
        <v>0</v>
      </c>
      <c r="AT234">
        <f t="shared" si="73"/>
        <v>0</v>
      </c>
      <c r="AU234">
        <f t="shared" si="73"/>
        <v>0</v>
      </c>
      <c r="AV234">
        <f t="shared" si="73"/>
        <v>0</v>
      </c>
      <c r="AW234">
        <f t="shared" si="73"/>
        <v>0</v>
      </c>
      <c r="AX234">
        <f t="shared" si="73"/>
        <v>0</v>
      </c>
      <c r="AY234">
        <f t="shared" si="74"/>
        <v>0</v>
      </c>
      <c r="AZ234">
        <f t="shared" si="74"/>
        <v>0</v>
      </c>
      <c r="BA234" t="str">
        <f t="shared" si="74"/>
        <v>Connors</v>
      </c>
      <c r="BB234">
        <f t="shared" si="74"/>
        <v>0</v>
      </c>
      <c r="BC234">
        <f t="shared" si="74"/>
        <v>0</v>
      </c>
      <c r="BD234">
        <f t="shared" si="74"/>
        <v>0</v>
      </c>
      <c r="BE234">
        <f t="shared" si="74"/>
        <v>0</v>
      </c>
      <c r="BF234">
        <f t="shared" si="74"/>
        <v>0</v>
      </c>
      <c r="BG234">
        <f t="shared" si="74"/>
        <v>0</v>
      </c>
      <c r="BH234">
        <f t="shared" si="74"/>
        <v>0</v>
      </c>
      <c r="BI234">
        <f t="shared" si="75"/>
        <v>0</v>
      </c>
      <c r="BJ234">
        <f t="shared" si="75"/>
        <v>0</v>
      </c>
      <c r="BK234" t="str">
        <f t="shared" si="75"/>
        <v>Welker</v>
      </c>
      <c r="BL234">
        <f t="shared" si="75"/>
        <v>0</v>
      </c>
      <c r="BM234">
        <f t="shared" si="75"/>
        <v>0</v>
      </c>
      <c r="BN234">
        <f t="shared" si="75"/>
        <v>0</v>
      </c>
      <c r="BO234">
        <f t="shared" si="75"/>
        <v>0</v>
      </c>
      <c r="BP234">
        <f t="shared" si="75"/>
        <v>0</v>
      </c>
      <c r="BQ234">
        <f t="shared" si="75"/>
        <v>0</v>
      </c>
      <c r="BR234">
        <f t="shared" si="75"/>
        <v>0</v>
      </c>
      <c r="BS234">
        <f t="shared" si="75"/>
        <v>0</v>
      </c>
    </row>
    <row r="235" spans="2:71" ht="15" customHeight="1" x14ac:dyDescent="0.2">
      <c r="B235">
        <v>5</v>
      </c>
      <c r="C235">
        <v>5</v>
      </c>
      <c r="D235">
        <v>5</v>
      </c>
      <c r="E235" t="s">
        <v>270</v>
      </c>
      <c r="F235" t="s">
        <v>214</v>
      </c>
      <c r="G235" s="5">
        <v>42937</v>
      </c>
      <c r="H235" t="s">
        <v>73</v>
      </c>
      <c r="I235" t="s">
        <v>264</v>
      </c>
      <c r="J235" t="s">
        <v>168</v>
      </c>
      <c r="K235">
        <v>9</v>
      </c>
      <c r="L235" t="s">
        <v>76</v>
      </c>
      <c r="M235" t="s">
        <v>265</v>
      </c>
      <c r="N235" t="s">
        <v>266</v>
      </c>
      <c r="O235">
        <v>71.400000000000006</v>
      </c>
      <c r="P235">
        <v>136</v>
      </c>
      <c r="Q235">
        <v>6251</v>
      </c>
      <c r="R235" t="s">
        <v>79</v>
      </c>
      <c r="S235" t="s">
        <v>80</v>
      </c>
      <c r="T235" t="s">
        <v>83</v>
      </c>
      <c r="U235" t="s">
        <v>53</v>
      </c>
      <c r="V235" t="s">
        <v>59</v>
      </c>
      <c r="W235" t="s">
        <v>109</v>
      </c>
      <c r="Y235" t="s">
        <v>60</v>
      </c>
      <c r="AA235">
        <v>1</v>
      </c>
      <c r="AB235" t="s">
        <v>33</v>
      </c>
      <c r="AC235" t="s">
        <v>174</v>
      </c>
      <c r="AE235" t="str">
        <f t="shared" si="63"/>
        <v>NoratZimmer</v>
      </c>
      <c r="AF235">
        <v>0</v>
      </c>
      <c r="AG235">
        <v>0</v>
      </c>
      <c r="AH235">
        <v>1</v>
      </c>
      <c r="AI235">
        <v>0</v>
      </c>
      <c r="AJ235">
        <v>0</v>
      </c>
      <c r="AK235" t="s">
        <v>52</v>
      </c>
      <c r="AL235">
        <v>0.34745762711864397</v>
      </c>
      <c r="AM235" t="s">
        <v>62</v>
      </c>
      <c r="AN235">
        <v>0.51041666666666696</v>
      </c>
      <c r="AO235">
        <f t="shared" si="73"/>
        <v>0</v>
      </c>
      <c r="AP235">
        <f t="shared" si="73"/>
        <v>0</v>
      </c>
      <c r="AQ235">
        <f t="shared" si="73"/>
        <v>0</v>
      </c>
      <c r="AR235">
        <f t="shared" si="73"/>
        <v>0</v>
      </c>
      <c r="AS235">
        <f t="shared" si="73"/>
        <v>0</v>
      </c>
      <c r="AT235">
        <f t="shared" si="73"/>
        <v>0</v>
      </c>
      <c r="AU235">
        <f t="shared" si="73"/>
        <v>0</v>
      </c>
      <c r="AV235">
        <f t="shared" si="73"/>
        <v>0</v>
      </c>
      <c r="AW235">
        <f t="shared" si="73"/>
        <v>0</v>
      </c>
      <c r="AX235">
        <f t="shared" si="73"/>
        <v>0</v>
      </c>
      <c r="AY235">
        <f t="shared" si="74"/>
        <v>0</v>
      </c>
      <c r="AZ235">
        <f t="shared" si="74"/>
        <v>0</v>
      </c>
      <c r="BA235">
        <f t="shared" si="74"/>
        <v>0</v>
      </c>
      <c r="BB235">
        <f t="shared" si="74"/>
        <v>0</v>
      </c>
      <c r="BC235">
        <f t="shared" si="74"/>
        <v>0</v>
      </c>
      <c r="BD235">
        <f t="shared" si="74"/>
        <v>0</v>
      </c>
      <c r="BE235">
        <f t="shared" si="74"/>
        <v>0</v>
      </c>
      <c r="BF235">
        <f t="shared" si="74"/>
        <v>0</v>
      </c>
      <c r="BG235">
        <f t="shared" si="74"/>
        <v>0</v>
      </c>
      <c r="BH235" t="str">
        <f t="shared" si="74"/>
        <v>Norat</v>
      </c>
      <c r="BI235" t="str">
        <f t="shared" si="75"/>
        <v>Zimmer</v>
      </c>
      <c r="BJ235">
        <f t="shared" si="75"/>
        <v>0</v>
      </c>
      <c r="BK235">
        <f t="shared" si="75"/>
        <v>0</v>
      </c>
      <c r="BL235">
        <f t="shared" si="75"/>
        <v>0</v>
      </c>
      <c r="BM235">
        <f t="shared" si="75"/>
        <v>0</v>
      </c>
      <c r="BN235">
        <f t="shared" si="75"/>
        <v>0</v>
      </c>
      <c r="BO235">
        <f t="shared" si="75"/>
        <v>0</v>
      </c>
      <c r="BP235">
        <f t="shared" si="75"/>
        <v>0</v>
      </c>
      <c r="BQ235">
        <f t="shared" si="75"/>
        <v>0</v>
      </c>
      <c r="BR235">
        <f t="shared" si="75"/>
        <v>0</v>
      </c>
      <c r="BS235">
        <f t="shared" si="75"/>
        <v>0</v>
      </c>
    </row>
    <row r="236" spans="2:71" ht="15" customHeight="1" x14ac:dyDescent="0.2">
      <c r="B236">
        <v>6</v>
      </c>
      <c r="C236">
        <v>1</v>
      </c>
      <c r="D236">
        <v>5</v>
      </c>
      <c r="E236" t="s">
        <v>271</v>
      </c>
      <c r="F236" t="s">
        <v>214</v>
      </c>
      <c r="G236" s="5">
        <v>42937</v>
      </c>
      <c r="H236" t="s">
        <v>73</v>
      </c>
      <c r="I236" t="s">
        <v>264</v>
      </c>
      <c r="J236" t="s">
        <v>168</v>
      </c>
      <c r="K236">
        <v>9</v>
      </c>
      <c r="L236" t="s">
        <v>90</v>
      </c>
      <c r="M236" t="s">
        <v>265</v>
      </c>
      <c r="N236" t="s">
        <v>266</v>
      </c>
      <c r="O236">
        <v>71.400000000000006</v>
      </c>
      <c r="P236">
        <v>136</v>
      </c>
      <c r="Q236">
        <v>6251</v>
      </c>
      <c r="R236" t="s">
        <v>137</v>
      </c>
      <c r="S236" t="s">
        <v>80</v>
      </c>
      <c r="T236" t="s">
        <v>81</v>
      </c>
      <c r="U236" t="s">
        <v>43</v>
      </c>
      <c r="V236" t="s">
        <v>58</v>
      </c>
      <c r="W236" t="s">
        <v>78</v>
      </c>
      <c r="Y236" t="s">
        <v>43</v>
      </c>
      <c r="AA236">
        <v>1</v>
      </c>
      <c r="AB236" t="s">
        <v>34</v>
      </c>
      <c r="AC236" t="s">
        <v>92</v>
      </c>
      <c r="AE236" t="str">
        <f t="shared" si="63"/>
        <v>GrayPoirier</v>
      </c>
      <c r="AF236">
        <v>0.5</v>
      </c>
      <c r="AG236">
        <v>0</v>
      </c>
      <c r="AH236">
        <v>0</v>
      </c>
      <c r="AI236">
        <v>1</v>
      </c>
      <c r="AJ236">
        <v>0.5</v>
      </c>
      <c r="AK236" t="s">
        <v>63</v>
      </c>
      <c r="AL236">
        <v>0.46551724137931</v>
      </c>
      <c r="AM236" t="s">
        <v>46</v>
      </c>
      <c r="AN236">
        <v>0.38392857142857201</v>
      </c>
      <c r="AO236">
        <f t="shared" si="73"/>
        <v>0</v>
      </c>
      <c r="AP236">
        <f t="shared" si="73"/>
        <v>0</v>
      </c>
      <c r="AQ236">
        <f t="shared" si="73"/>
        <v>0</v>
      </c>
      <c r="AR236" t="str">
        <f t="shared" si="73"/>
        <v>Poirier</v>
      </c>
      <c r="AS236">
        <f t="shared" si="73"/>
        <v>0</v>
      </c>
      <c r="AT236">
        <f t="shared" si="73"/>
        <v>0</v>
      </c>
      <c r="AU236">
        <f t="shared" si="73"/>
        <v>0</v>
      </c>
      <c r="AV236">
        <f t="shared" si="73"/>
        <v>0</v>
      </c>
      <c r="AW236">
        <f t="shared" si="73"/>
        <v>0</v>
      </c>
      <c r="AX236">
        <f t="shared" si="73"/>
        <v>0</v>
      </c>
      <c r="AY236">
        <f t="shared" si="74"/>
        <v>0</v>
      </c>
      <c r="AZ236">
        <f t="shared" si="74"/>
        <v>0</v>
      </c>
      <c r="BA236">
        <f t="shared" si="74"/>
        <v>0</v>
      </c>
      <c r="BB236">
        <f t="shared" si="74"/>
        <v>0</v>
      </c>
      <c r="BC236">
        <f t="shared" si="74"/>
        <v>0</v>
      </c>
      <c r="BD236">
        <f t="shared" si="74"/>
        <v>0</v>
      </c>
      <c r="BE236">
        <f t="shared" si="74"/>
        <v>0</v>
      </c>
      <c r="BF236">
        <f t="shared" si="74"/>
        <v>0</v>
      </c>
      <c r="BG236" t="str">
        <f t="shared" si="74"/>
        <v>Gray</v>
      </c>
      <c r="BH236">
        <f t="shared" si="74"/>
        <v>0</v>
      </c>
      <c r="BI236">
        <f t="shared" si="75"/>
        <v>0</v>
      </c>
      <c r="BJ236">
        <f t="shared" si="75"/>
        <v>0</v>
      </c>
      <c r="BK236">
        <f t="shared" si="75"/>
        <v>0</v>
      </c>
      <c r="BL236">
        <f t="shared" si="75"/>
        <v>0</v>
      </c>
      <c r="BM236">
        <f t="shared" si="75"/>
        <v>0</v>
      </c>
      <c r="BN236">
        <f t="shared" si="75"/>
        <v>0</v>
      </c>
      <c r="BO236">
        <f t="shared" si="75"/>
        <v>0</v>
      </c>
      <c r="BP236">
        <f t="shared" si="75"/>
        <v>0</v>
      </c>
      <c r="BQ236">
        <f t="shared" si="75"/>
        <v>0</v>
      </c>
      <c r="BR236">
        <f t="shared" si="75"/>
        <v>0</v>
      </c>
      <c r="BS236">
        <f t="shared" si="75"/>
        <v>0</v>
      </c>
    </row>
    <row r="237" spans="2:71" ht="15" customHeight="1" x14ac:dyDescent="0.2">
      <c r="B237">
        <v>6</v>
      </c>
      <c r="C237">
        <v>1</v>
      </c>
      <c r="D237">
        <v>5</v>
      </c>
      <c r="E237" t="s">
        <v>271</v>
      </c>
      <c r="F237" t="s">
        <v>214</v>
      </c>
      <c r="G237" s="5">
        <v>42937</v>
      </c>
      <c r="H237" t="s">
        <v>73</v>
      </c>
      <c r="I237" t="s">
        <v>264</v>
      </c>
      <c r="J237" t="s">
        <v>168</v>
      </c>
      <c r="K237">
        <v>9</v>
      </c>
      <c r="L237" t="s">
        <v>90</v>
      </c>
      <c r="M237" t="s">
        <v>265</v>
      </c>
      <c r="N237" t="s">
        <v>266</v>
      </c>
      <c r="O237">
        <v>71.400000000000006</v>
      </c>
      <c r="P237">
        <v>136</v>
      </c>
      <c r="Q237">
        <v>6251</v>
      </c>
      <c r="R237" t="s">
        <v>137</v>
      </c>
      <c r="S237" t="s">
        <v>80</v>
      </c>
      <c r="T237" t="s">
        <v>83</v>
      </c>
      <c r="U237" t="s">
        <v>53</v>
      </c>
      <c r="V237" t="s">
        <v>63</v>
      </c>
      <c r="W237" t="s">
        <v>109</v>
      </c>
      <c r="Y237" t="s">
        <v>46</v>
      </c>
      <c r="AA237">
        <v>1</v>
      </c>
      <c r="AB237" t="s">
        <v>34</v>
      </c>
      <c r="AC237" t="s">
        <v>92</v>
      </c>
      <c r="AE237" t="str">
        <f t="shared" si="63"/>
        <v>DelaneyMangold</v>
      </c>
      <c r="AF237">
        <v>0.5</v>
      </c>
      <c r="AG237">
        <v>0</v>
      </c>
      <c r="AH237">
        <v>0</v>
      </c>
      <c r="AI237">
        <v>1</v>
      </c>
      <c r="AJ237">
        <v>0.5</v>
      </c>
      <c r="AK237" t="s">
        <v>58</v>
      </c>
      <c r="AL237">
        <v>0.65476190476190499</v>
      </c>
      <c r="AM237" t="s">
        <v>43</v>
      </c>
      <c r="AN237">
        <v>0.48611111111111099</v>
      </c>
      <c r="AO237">
        <f t="shared" si="73"/>
        <v>0</v>
      </c>
      <c r="AP237">
        <f t="shared" si="73"/>
        <v>0</v>
      </c>
      <c r="AQ237">
        <f t="shared" si="73"/>
        <v>0</v>
      </c>
      <c r="AR237">
        <f t="shared" si="73"/>
        <v>0</v>
      </c>
      <c r="AS237">
        <f t="shared" si="73"/>
        <v>0</v>
      </c>
      <c r="AT237">
        <f t="shared" si="73"/>
        <v>0</v>
      </c>
      <c r="AU237" t="str">
        <f t="shared" si="73"/>
        <v>Mangold</v>
      </c>
      <c r="AV237">
        <f t="shared" si="73"/>
        <v>0</v>
      </c>
      <c r="AW237">
        <f t="shared" si="73"/>
        <v>0</v>
      </c>
      <c r="AX237">
        <f t="shared" si="73"/>
        <v>0</v>
      </c>
      <c r="AY237">
        <f t="shared" si="74"/>
        <v>0</v>
      </c>
      <c r="AZ237">
        <f t="shared" si="74"/>
        <v>0</v>
      </c>
      <c r="BA237">
        <f t="shared" si="74"/>
        <v>0</v>
      </c>
      <c r="BB237">
        <f t="shared" si="74"/>
        <v>0</v>
      </c>
      <c r="BC237">
        <f t="shared" si="74"/>
        <v>0</v>
      </c>
      <c r="BD237">
        <f t="shared" si="74"/>
        <v>0</v>
      </c>
      <c r="BE237">
        <f t="shared" si="74"/>
        <v>0</v>
      </c>
      <c r="BF237">
        <f t="shared" si="74"/>
        <v>0</v>
      </c>
      <c r="BG237">
        <f t="shared" si="74"/>
        <v>0</v>
      </c>
      <c r="BH237">
        <f t="shared" si="74"/>
        <v>0</v>
      </c>
      <c r="BI237">
        <f t="shared" si="75"/>
        <v>0</v>
      </c>
      <c r="BJ237">
        <f t="shared" si="75"/>
        <v>0</v>
      </c>
      <c r="BK237">
        <f t="shared" si="75"/>
        <v>0</v>
      </c>
      <c r="BL237" t="str">
        <f t="shared" si="75"/>
        <v>Delaney</v>
      </c>
      <c r="BM237">
        <f t="shared" si="75"/>
        <v>0</v>
      </c>
      <c r="BN237">
        <f t="shared" si="75"/>
        <v>0</v>
      </c>
      <c r="BO237">
        <f t="shared" si="75"/>
        <v>0</v>
      </c>
      <c r="BP237">
        <f t="shared" si="75"/>
        <v>0</v>
      </c>
      <c r="BQ237">
        <f t="shared" si="75"/>
        <v>0</v>
      </c>
      <c r="BR237">
        <f t="shared" si="75"/>
        <v>0</v>
      </c>
      <c r="BS237">
        <f t="shared" si="75"/>
        <v>0</v>
      </c>
    </row>
    <row r="238" spans="2:71" ht="15" customHeight="1" x14ac:dyDescent="0.2">
      <c r="B238">
        <v>7</v>
      </c>
      <c r="C238">
        <v>2</v>
      </c>
      <c r="D238">
        <v>5</v>
      </c>
      <c r="E238" t="s">
        <v>272</v>
      </c>
      <c r="F238" t="s">
        <v>214</v>
      </c>
      <c r="G238" s="5">
        <v>42937</v>
      </c>
      <c r="H238" t="s">
        <v>73</v>
      </c>
      <c r="I238" t="s">
        <v>264</v>
      </c>
      <c r="J238" t="s">
        <v>168</v>
      </c>
      <c r="K238">
        <v>9</v>
      </c>
      <c r="L238" t="s">
        <v>90</v>
      </c>
      <c r="M238" t="s">
        <v>265</v>
      </c>
      <c r="N238" t="s">
        <v>266</v>
      </c>
      <c r="O238">
        <v>71.400000000000006</v>
      </c>
      <c r="P238">
        <v>136</v>
      </c>
      <c r="Q238">
        <v>6251</v>
      </c>
      <c r="R238" t="s">
        <v>137</v>
      </c>
      <c r="S238" t="s">
        <v>80</v>
      </c>
      <c r="T238" t="s">
        <v>83</v>
      </c>
      <c r="U238" t="s">
        <v>53</v>
      </c>
      <c r="V238" t="s">
        <v>40</v>
      </c>
      <c r="W238" t="s">
        <v>109</v>
      </c>
      <c r="Y238" t="s">
        <v>48</v>
      </c>
      <c r="AA238">
        <v>1</v>
      </c>
      <c r="AB238" t="s">
        <v>32</v>
      </c>
      <c r="AC238" t="s">
        <v>233</v>
      </c>
      <c r="AE238" t="str">
        <f t="shared" si="63"/>
        <v>GriseLynch</v>
      </c>
      <c r="AF238">
        <v>1</v>
      </c>
      <c r="AG238">
        <v>1</v>
      </c>
      <c r="AH238">
        <v>0</v>
      </c>
      <c r="AI238">
        <v>0</v>
      </c>
      <c r="AJ238">
        <v>1</v>
      </c>
      <c r="AK238" t="s">
        <v>55</v>
      </c>
      <c r="AL238">
        <v>0.44067796610169502</v>
      </c>
      <c r="AM238" t="s">
        <v>42</v>
      </c>
      <c r="AN238">
        <v>0.6171875</v>
      </c>
      <c r="AO238" t="str">
        <f t="shared" si="73"/>
        <v>Grise</v>
      </c>
      <c r="AP238">
        <f t="shared" si="73"/>
        <v>0</v>
      </c>
      <c r="AQ238">
        <f t="shared" si="73"/>
        <v>0</v>
      </c>
      <c r="AR238">
        <f t="shared" si="73"/>
        <v>0</v>
      </c>
      <c r="AS238">
        <f t="shared" si="73"/>
        <v>0</v>
      </c>
      <c r="AT238">
        <f t="shared" si="73"/>
        <v>0</v>
      </c>
      <c r="AU238">
        <f t="shared" si="73"/>
        <v>0</v>
      </c>
      <c r="AV238">
        <f t="shared" si="73"/>
        <v>0</v>
      </c>
      <c r="AW238" t="str">
        <f t="shared" si="73"/>
        <v>Lynch</v>
      </c>
      <c r="AX238">
        <f t="shared" si="73"/>
        <v>0</v>
      </c>
      <c r="AY238">
        <f t="shared" si="74"/>
        <v>0</v>
      </c>
      <c r="AZ238">
        <f t="shared" si="74"/>
        <v>0</v>
      </c>
      <c r="BA238">
        <f t="shared" si="74"/>
        <v>0</v>
      </c>
      <c r="BB238">
        <f t="shared" si="74"/>
        <v>0</v>
      </c>
      <c r="BC238">
        <f t="shared" si="74"/>
        <v>0</v>
      </c>
      <c r="BD238">
        <f t="shared" si="74"/>
        <v>0</v>
      </c>
      <c r="BE238">
        <f t="shared" si="74"/>
        <v>0</v>
      </c>
      <c r="BF238">
        <f t="shared" si="74"/>
        <v>0</v>
      </c>
      <c r="BG238">
        <f t="shared" si="74"/>
        <v>0</v>
      </c>
      <c r="BH238">
        <f t="shared" si="74"/>
        <v>0</v>
      </c>
      <c r="BI238">
        <f t="shared" si="75"/>
        <v>0</v>
      </c>
      <c r="BJ238">
        <f t="shared" si="75"/>
        <v>0</v>
      </c>
      <c r="BK238">
        <f t="shared" si="75"/>
        <v>0</v>
      </c>
      <c r="BL238">
        <f t="shared" si="75"/>
        <v>0</v>
      </c>
      <c r="BM238">
        <f t="shared" si="75"/>
        <v>0</v>
      </c>
      <c r="BN238">
        <f t="shared" si="75"/>
        <v>0</v>
      </c>
      <c r="BO238">
        <f t="shared" si="75"/>
        <v>0</v>
      </c>
      <c r="BP238">
        <f t="shared" si="75"/>
        <v>0</v>
      </c>
      <c r="BQ238">
        <f t="shared" si="75"/>
        <v>0</v>
      </c>
      <c r="BR238">
        <f t="shared" si="75"/>
        <v>0</v>
      </c>
      <c r="BS238">
        <f t="shared" si="75"/>
        <v>0</v>
      </c>
    </row>
    <row r="239" spans="2:71" ht="15" customHeight="1" x14ac:dyDescent="0.2">
      <c r="B239">
        <v>7</v>
      </c>
      <c r="C239">
        <v>2</v>
      </c>
      <c r="D239">
        <v>5</v>
      </c>
      <c r="E239" t="s">
        <v>272</v>
      </c>
      <c r="F239" t="s">
        <v>214</v>
      </c>
      <c r="G239" s="5">
        <v>42937</v>
      </c>
      <c r="H239" t="s">
        <v>73</v>
      </c>
      <c r="I239" t="s">
        <v>264</v>
      </c>
      <c r="J239" t="s">
        <v>168</v>
      </c>
      <c r="K239">
        <v>9</v>
      </c>
      <c r="L239" t="s">
        <v>90</v>
      </c>
      <c r="M239" t="s">
        <v>265</v>
      </c>
      <c r="N239" t="s">
        <v>266</v>
      </c>
      <c r="O239">
        <v>71.400000000000006</v>
      </c>
      <c r="P239">
        <v>136</v>
      </c>
      <c r="Q239">
        <v>6251</v>
      </c>
      <c r="R239" t="s">
        <v>137</v>
      </c>
      <c r="S239" t="s">
        <v>80</v>
      </c>
      <c r="T239" t="s">
        <v>81</v>
      </c>
      <c r="U239" t="s">
        <v>43</v>
      </c>
      <c r="V239" t="s">
        <v>55</v>
      </c>
      <c r="W239" t="s">
        <v>78</v>
      </c>
      <c r="Y239" t="s">
        <v>42</v>
      </c>
      <c r="AA239">
        <v>1</v>
      </c>
      <c r="AB239" t="s">
        <v>33</v>
      </c>
      <c r="AC239" t="s">
        <v>233</v>
      </c>
      <c r="AE239" t="str">
        <f t="shared" si="63"/>
        <v>ColeJackson</v>
      </c>
      <c r="AF239">
        <v>0</v>
      </c>
      <c r="AG239">
        <v>0</v>
      </c>
      <c r="AH239">
        <v>1</v>
      </c>
      <c r="AI239">
        <v>0</v>
      </c>
      <c r="AJ239">
        <v>0</v>
      </c>
      <c r="AK239" t="s">
        <v>40</v>
      </c>
      <c r="AL239">
        <v>0.546875</v>
      </c>
      <c r="AM239" t="s">
        <v>48</v>
      </c>
      <c r="AN239">
        <v>0.5546875</v>
      </c>
      <c r="AO239">
        <f t="shared" si="73"/>
        <v>0</v>
      </c>
      <c r="AP239">
        <f t="shared" si="73"/>
        <v>0</v>
      </c>
      <c r="AQ239" t="str">
        <f t="shared" si="73"/>
        <v>Jackson</v>
      </c>
      <c r="AR239">
        <f t="shared" si="73"/>
        <v>0</v>
      </c>
      <c r="AS239">
        <f t="shared" si="73"/>
        <v>0</v>
      </c>
      <c r="AT239">
        <f t="shared" si="73"/>
        <v>0</v>
      </c>
      <c r="AU239">
        <f t="shared" si="73"/>
        <v>0</v>
      </c>
      <c r="AV239">
        <f t="shared" si="73"/>
        <v>0</v>
      </c>
      <c r="AW239">
        <f t="shared" si="73"/>
        <v>0</v>
      </c>
      <c r="AX239">
        <f t="shared" si="73"/>
        <v>0</v>
      </c>
      <c r="AY239">
        <f t="shared" si="74"/>
        <v>0</v>
      </c>
      <c r="AZ239">
        <f t="shared" si="74"/>
        <v>0</v>
      </c>
      <c r="BA239">
        <f t="shared" si="74"/>
        <v>0</v>
      </c>
      <c r="BB239">
        <f t="shared" si="74"/>
        <v>0</v>
      </c>
      <c r="BC239">
        <f t="shared" si="74"/>
        <v>0</v>
      </c>
      <c r="BD239" t="str">
        <f t="shared" si="74"/>
        <v>Cole</v>
      </c>
      <c r="BE239">
        <f t="shared" si="74"/>
        <v>0</v>
      </c>
      <c r="BF239">
        <f t="shared" si="74"/>
        <v>0</v>
      </c>
      <c r="BG239">
        <f t="shared" si="74"/>
        <v>0</v>
      </c>
      <c r="BH239">
        <f t="shared" si="74"/>
        <v>0</v>
      </c>
      <c r="BI239">
        <f t="shared" si="75"/>
        <v>0</v>
      </c>
      <c r="BJ239">
        <f t="shared" si="75"/>
        <v>0</v>
      </c>
      <c r="BK239">
        <f t="shared" si="75"/>
        <v>0</v>
      </c>
      <c r="BL239">
        <f t="shared" si="75"/>
        <v>0</v>
      </c>
      <c r="BM239">
        <f t="shared" si="75"/>
        <v>0</v>
      </c>
      <c r="BN239">
        <f t="shared" si="75"/>
        <v>0</v>
      </c>
      <c r="BO239">
        <f t="shared" si="75"/>
        <v>0</v>
      </c>
      <c r="BP239">
        <f t="shared" si="75"/>
        <v>0</v>
      </c>
      <c r="BQ239">
        <f t="shared" si="75"/>
        <v>0</v>
      </c>
      <c r="BR239">
        <f t="shared" si="75"/>
        <v>0</v>
      </c>
      <c r="BS239">
        <f t="shared" si="75"/>
        <v>0</v>
      </c>
    </row>
    <row r="240" spans="2:71" ht="15" customHeight="1" x14ac:dyDescent="0.2">
      <c r="B240">
        <v>8</v>
      </c>
      <c r="C240">
        <v>3</v>
      </c>
      <c r="D240">
        <v>5</v>
      </c>
      <c r="E240" t="s">
        <v>273</v>
      </c>
      <c r="F240" t="s">
        <v>214</v>
      </c>
      <c r="G240" s="5">
        <v>42937</v>
      </c>
      <c r="H240" t="s">
        <v>73</v>
      </c>
      <c r="I240" t="s">
        <v>264</v>
      </c>
      <c r="J240" t="s">
        <v>168</v>
      </c>
      <c r="K240">
        <v>9</v>
      </c>
      <c r="L240" t="s">
        <v>90</v>
      </c>
      <c r="M240" t="s">
        <v>265</v>
      </c>
      <c r="N240" t="s">
        <v>266</v>
      </c>
      <c r="O240">
        <v>71.400000000000006</v>
      </c>
      <c r="P240">
        <v>136</v>
      </c>
      <c r="Q240">
        <v>6251</v>
      </c>
      <c r="R240" t="s">
        <v>137</v>
      </c>
      <c r="S240" t="s">
        <v>80</v>
      </c>
      <c r="T240" t="s">
        <v>81</v>
      </c>
      <c r="U240" t="s">
        <v>43</v>
      </c>
      <c r="V240" t="s">
        <v>50</v>
      </c>
      <c r="W240" t="s">
        <v>78</v>
      </c>
      <c r="Y240" t="s">
        <v>44</v>
      </c>
      <c r="AA240">
        <v>1</v>
      </c>
      <c r="AB240" t="s">
        <v>32</v>
      </c>
      <c r="AC240" t="s">
        <v>274</v>
      </c>
      <c r="AE240" t="str">
        <f t="shared" si="63"/>
        <v>FerrinFlanders</v>
      </c>
      <c r="AF240">
        <v>1</v>
      </c>
      <c r="AG240">
        <v>1</v>
      </c>
      <c r="AH240">
        <v>0</v>
      </c>
      <c r="AI240">
        <v>0</v>
      </c>
      <c r="AJ240">
        <v>1</v>
      </c>
      <c r="AK240" t="s">
        <v>45</v>
      </c>
      <c r="AL240">
        <v>0.59375</v>
      </c>
      <c r="AM240" t="s">
        <v>49</v>
      </c>
      <c r="AO240">
        <f t="shared" si="73"/>
        <v>0</v>
      </c>
      <c r="AP240">
        <f t="shared" si="73"/>
        <v>0</v>
      </c>
      <c r="AQ240">
        <f t="shared" si="73"/>
        <v>0</v>
      </c>
      <c r="AR240">
        <f t="shared" si="73"/>
        <v>0</v>
      </c>
      <c r="AS240" t="str">
        <f t="shared" si="73"/>
        <v>Flanders</v>
      </c>
      <c r="AT240">
        <f t="shared" si="73"/>
        <v>0</v>
      </c>
      <c r="AU240">
        <f t="shared" si="73"/>
        <v>0</v>
      </c>
      <c r="AV240">
        <f t="shared" si="73"/>
        <v>0</v>
      </c>
      <c r="AW240">
        <f t="shared" si="73"/>
        <v>0</v>
      </c>
      <c r="AX240">
        <f t="shared" si="73"/>
        <v>0</v>
      </c>
      <c r="AY240" t="str">
        <f t="shared" si="74"/>
        <v>Ferrin</v>
      </c>
      <c r="AZ240">
        <f t="shared" si="74"/>
        <v>0</v>
      </c>
      <c r="BA240">
        <f t="shared" si="74"/>
        <v>0</v>
      </c>
      <c r="BB240">
        <f t="shared" si="74"/>
        <v>0</v>
      </c>
      <c r="BC240">
        <f t="shared" si="74"/>
        <v>0</v>
      </c>
      <c r="BD240">
        <f t="shared" si="74"/>
        <v>0</v>
      </c>
      <c r="BE240">
        <f t="shared" si="74"/>
        <v>0</v>
      </c>
      <c r="BF240">
        <f t="shared" si="74"/>
        <v>0</v>
      </c>
      <c r="BG240">
        <f t="shared" si="74"/>
        <v>0</v>
      </c>
      <c r="BH240">
        <f t="shared" si="74"/>
        <v>0</v>
      </c>
      <c r="BI240">
        <f t="shared" si="75"/>
        <v>0</v>
      </c>
      <c r="BJ240">
        <f t="shared" si="75"/>
        <v>0</v>
      </c>
      <c r="BK240">
        <f t="shared" si="75"/>
        <v>0</v>
      </c>
      <c r="BL240">
        <f t="shared" si="75"/>
        <v>0</v>
      </c>
      <c r="BM240">
        <f t="shared" si="75"/>
        <v>0</v>
      </c>
      <c r="BN240">
        <f t="shared" si="75"/>
        <v>0</v>
      </c>
      <c r="BO240">
        <f t="shared" si="75"/>
        <v>0</v>
      </c>
      <c r="BP240">
        <f t="shared" si="75"/>
        <v>0</v>
      </c>
      <c r="BQ240">
        <f t="shared" si="75"/>
        <v>0</v>
      </c>
      <c r="BR240">
        <f t="shared" si="75"/>
        <v>0</v>
      </c>
      <c r="BS240">
        <f t="shared" si="75"/>
        <v>0</v>
      </c>
    </row>
    <row r="241" spans="2:71" ht="15" customHeight="1" x14ac:dyDescent="0.2">
      <c r="B241">
        <v>8</v>
      </c>
      <c r="C241">
        <v>3</v>
      </c>
      <c r="D241">
        <v>5</v>
      </c>
      <c r="E241" t="s">
        <v>273</v>
      </c>
      <c r="F241" t="s">
        <v>214</v>
      </c>
      <c r="G241" s="5">
        <v>42937</v>
      </c>
      <c r="H241" t="s">
        <v>73</v>
      </c>
      <c r="I241" t="s">
        <v>264</v>
      </c>
      <c r="J241" t="s">
        <v>168</v>
      </c>
      <c r="K241">
        <v>9</v>
      </c>
      <c r="L241" t="s">
        <v>90</v>
      </c>
      <c r="M241" t="s">
        <v>265</v>
      </c>
      <c r="N241" t="s">
        <v>266</v>
      </c>
      <c r="O241">
        <v>71.400000000000006</v>
      </c>
      <c r="P241">
        <v>136</v>
      </c>
      <c r="Q241">
        <v>6251</v>
      </c>
      <c r="R241" t="s">
        <v>137</v>
      </c>
      <c r="S241" t="s">
        <v>80</v>
      </c>
      <c r="T241" t="s">
        <v>83</v>
      </c>
      <c r="U241" t="s">
        <v>53</v>
      </c>
      <c r="V241" t="s">
        <v>45</v>
      </c>
      <c r="W241" t="s">
        <v>109</v>
      </c>
      <c r="Y241" t="s">
        <v>49</v>
      </c>
      <c r="AA241">
        <v>1</v>
      </c>
      <c r="AB241" t="s">
        <v>33</v>
      </c>
      <c r="AC241" t="s">
        <v>274</v>
      </c>
      <c r="AE241" t="str">
        <f t="shared" si="63"/>
        <v>ConnollyShively</v>
      </c>
      <c r="AF241">
        <v>0</v>
      </c>
      <c r="AG241">
        <v>0</v>
      </c>
      <c r="AH241">
        <v>1</v>
      </c>
      <c r="AI241">
        <v>0</v>
      </c>
      <c r="AJ241">
        <v>0</v>
      </c>
      <c r="AK241" t="s">
        <v>50</v>
      </c>
      <c r="AL241">
        <v>0.59523809523809501</v>
      </c>
      <c r="AM241" t="s">
        <v>44</v>
      </c>
      <c r="AN241">
        <v>0.4296875</v>
      </c>
      <c r="AO241">
        <f t="shared" si="73"/>
        <v>0</v>
      </c>
      <c r="AP241">
        <f t="shared" si="73"/>
        <v>0</v>
      </c>
      <c r="AQ241">
        <f t="shared" si="73"/>
        <v>0</v>
      </c>
      <c r="AR241">
        <f t="shared" si="73"/>
        <v>0</v>
      </c>
      <c r="AS241">
        <f t="shared" si="73"/>
        <v>0</v>
      </c>
      <c r="AT241" t="str">
        <f t="shared" si="73"/>
        <v>Connolly</v>
      </c>
      <c r="AU241">
        <f t="shared" si="73"/>
        <v>0</v>
      </c>
      <c r="AV241">
        <f t="shared" si="73"/>
        <v>0</v>
      </c>
      <c r="AW241">
        <f t="shared" si="73"/>
        <v>0</v>
      </c>
      <c r="AX241" t="str">
        <f t="shared" si="73"/>
        <v>Shively</v>
      </c>
      <c r="AY241">
        <f t="shared" si="74"/>
        <v>0</v>
      </c>
      <c r="AZ241">
        <f t="shared" si="74"/>
        <v>0</v>
      </c>
      <c r="BA241">
        <f t="shared" si="74"/>
        <v>0</v>
      </c>
      <c r="BB241">
        <f t="shared" si="74"/>
        <v>0</v>
      </c>
      <c r="BC241">
        <f t="shared" si="74"/>
        <v>0</v>
      </c>
      <c r="BD241">
        <f t="shared" si="74"/>
        <v>0</v>
      </c>
      <c r="BE241">
        <f t="shared" si="74"/>
        <v>0</v>
      </c>
      <c r="BF241">
        <f t="shared" si="74"/>
        <v>0</v>
      </c>
      <c r="BG241">
        <f t="shared" si="74"/>
        <v>0</v>
      </c>
      <c r="BH241">
        <f t="shared" si="74"/>
        <v>0</v>
      </c>
      <c r="BI241">
        <f t="shared" si="75"/>
        <v>0</v>
      </c>
      <c r="BJ241">
        <f t="shared" si="75"/>
        <v>0</v>
      </c>
      <c r="BK241">
        <f t="shared" si="75"/>
        <v>0</v>
      </c>
      <c r="BL241">
        <f t="shared" si="75"/>
        <v>0</v>
      </c>
      <c r="BM241">
        <f t="shared" si="75"/>
        <v>0</v>
      </c>
      <c r="BN241">
        <f t="shared" si="75"/>
        <v>0</v>
      </c>
      <c r="BO241">
        <f t="shared" si="75"/>
        <v>0</v>
      </c>
      <c r="BP241">
        <f t="shared" si="75"/>
        <v>0</v>
      </c>
      <c r="BQ241">
        <f t="shared" si="75"/>
        <v>0</v>
      </c>
      <c r="BR241">
        <f t="shared" si="75"/>
        <v>0</v>
      </c>
      <c r="BS241">
        <f t="shared" si="75"/>
        <v>0</v>
      </c>
    </row>
    <row r="242" spans="2:71" ht="15" customHeight="1" x14ac:dyDescent="0.2">
      <c r="B242">
        <v>9</v>
      </c>
      <c r="C242">
        <v>4</v>
      </c>
      <c r="D242">
        <v>5</v>
      </c>
      <c r="E242" t="s">
        <v>275</v>
      </c>
      <c r="F242" t="s">
        <v>214</v>
      </c>
      <c r="G242" s="5">
        <v>42937</v>
      </c>
      <c r="H242" t="s">
        <v>73</v>
      </c>
      <c r="I242" t="s">
        <v>264</v>
      </c>
      <c r="J242" t="s">
        <v>168</v>
      </c>
      <c r="K242">
        <v>9</v>
      </c>
      <c r="L242" t="s">
        <v>90</v>
      </c>
      <c r="M242" t="s">
        <v>265</v>
      </c>
      <c r="N242" t="s">
        <v>266</v>
      </c>
      <c r="O242">
        <v>71.400000000000006</v>
      </c>
      <c r="P242">
        <v>136</v>
      </c>
      <c r="Q242">
        <v>6251</v>
      </c>
      <c r="R242" t="s">
        <v>137</v>
      </c>
      <c r="S242" t="s">
        <v>80</v>
      </c>
      <c r="T242" t="s">
        <v>83</v>
      </c>
      <c r="U242" t="s">
        <v>53</v>
      </c>
      <c r="V242" t="s">
        <v>53</v>
      </c>
      <c r="W242" t="s">
        <v>109</v>
      </c>
      <c r="Y242" t="s">
        <v>61</v>
      </c>
      <c r="AA242">
        <v>1</v>
      </c>
      <c r="AB242" t="s">
        <v>32</v>
      </c>
      <c r="AC242" t="s">
        <v>209</v>
      </c>
      <c r="AE242" t="str">
        <f t="shared" si="63"/>
        <v>ForsterMcInerney</v>
      </c>
      <c r="AF242">
        <v>1</v>
      </c>
      <c r="AG242">
        <v>1</v>
      </c>
      <c r="AH242">
        <v>0</v>
      </c>
      <c r="AI242">
        <v>0</v>
      </c>
      <c r="AJ242">
        <v>1</v>
      </c>
      <c r="AK242" t="s">
        <v>54</v>
      </c>
      <c r="AL242">
        <v>0.37288135593220301</v>
      </c>
      <c r="AM242" t="s">
        <v>41</v>
      </c>
      <c r="AN242">
        <v>0.47321428571428598</v>
      </c>
      <c r="AO242">
        <f t="shared" ref="AO242:AX251" si="76">IF(OR($V242=AO$1,$Y242=AO$1),AO$1,0)</f>
        <v>0</v>
      </c>
      <c r="AP242">
        <f t="shared" si="76"/>
        <v>0</v>
      </c>
      <c r="AQ242">
        <f t="shared" si="76"/>
        <v>0</v>
      </c>
      <c r="AR242">
        <f t="shared" si="76"/>
        <v>0</v>
      </c>
      <c r="AS242">
        <f t="shared" si="76"/>
        <v>0</v>
      </c>
      <c r="AT242">
        <f t="shared" si="76"/>
        <v>0</v>
      </c>
      <c r="AU242">
        <f t="shared" si="76"/>
        <v>0</v>
      </c>
      <c r="AV242">
        <f t="shared" si="76"/>
        <v>0</v>
      </c>
      <c r="AW242">
        <f t="shared" si="76"/>
        <v>0</v>
      </c>
      <c r="AX242">
        <f t="shared" si="76"/>
        <v>0</v>
      </c>
      <c r="AY242">
        <f t="shared" ref="AY242:BH251" si="77">IF(OR($V242=AY$1,$Y242=AY$1),AY$1,0)</f>
        <v>0</v>
      </c>
      <c r="AZ242">
        <f t="shared" si="77"/>
        <v>0</v>
      </c>
      <c r="BA242">
        <f t="shared" si="77"/>
        <v>0</v>
      </c>
      <c r="BB242" t="str">
        <f t="shared" si="77"/>
        <v>Forster</v>
      </c>
      <c r="BC242">
        <f t="shared" si="77"/>
        <v>0</v>
      </c>
      <c r="BD242">
        <f t="shared" si="77"/>
        <v>0</v>
      </c>
      <c r="BE242">
        <f t="shared" si="77"/>
        <v>0</v>
      </c>
      <c r="BF242">
        <f t="shared" si="77"/>
        <v>0</v>
      </c>
      <c r="BG242">
        <f t="shared" si="77"/>
        <v>0</v>
      </c>
      <c r="BH242">
        <f t="shared" si="77"/>
        <v>0</v>
      </c>
      <c r="BI242">
        <f t="shared" ref="BI242:BS251" si="78">IF(OR($V242=BI$1,$Y242=BI$1),BI$1,0)</f>
        <v>0</v>
      </c>
      <c r="BJ242" t="str">
        <f t="shared" si="78"/>
        <v>McInerney</v>
      </c>
      <c r="BK242">
        <f t="shared" si="78"/>
        <v>0</v>
      </c>
      <c r="BL242">
        <f t="shared" si="78"/>
        <v>0</v>
      </c>
      <c r="BM242">
        <f t="shared" si="78"/>
        <v>0</v>
      </c>
      <c r="BN242">
        <f t="shared" si="78"/>
        <v>0</v>
      </c>
      <c r="BO242">
        <f t="shared" si="78"/>
        <v>0</v>
      </c>
      <c r="BP242">
        <f t="shared" si="78"/>
        <v>0</v>
      </c>
      <c r="BQ242">
        <f t="shared" si="78"/>
        <v>0</v>
      </c>
      <c r="BR242">
        <f t="shared" si="78"/>
        <v>0</v>
      </c>
      <c r="BS242">
        <f t="shared" si="78"/>
        <v>0</v>
      </c>
    </row>
    <row r="243" spans="2:71" ht="15" customHeight="1" x14ac:dyDescent="0.2">
      <c r="B243">
        <v>9</v>
      </c>
      <c r="C243">
        <v>4</v>
      </c>
      <c r="D243">
        <v>5</v>
      </c>
      <c r="E243" t="s">
        <v>275</v>
      </c>
      <c r="F243" t="s">
        <v>214</v>
      </c>
      <c r="G243" s="5">
        <v>42937</v>
      </c>
      <c r="H243" t="s">
        <v>73</v>
      </c>
      <c r="I243" t="s">
        <v>264</v>
      </c>
      <c r="J243" t="s">
        <v>168</v>
      </c>
      <c r="K243">
        <v>9</v>
      </c>
      <c r="L243" t="s">
        <v>90</v>
      </c>
      <c r="M243" t="s">
        <v>265</v>
      </c>
      <c r="N243" t="s">
        <v>266</v>
      </c>
      <c r="O243">
        <v>71.400000000000006</v>
      </c>
      <c r="P243">
        <v>136</v>
      </c>
      <c r="Q243">
        <v>6251</v>
      </c>
      <c r="R243" t="s">
        <v>137</v>
      </c>
      <c r="S243" t="s">
        <v>80</v>
      </c>
      <c r="T243" t="s">
        <v>81</v>
      </c>
      <c r="U243" t="s">
        <v>43</v>
      </c>
      <c r="V243" t="s">
        <v>54</v>
      </c>
      <c r="W243" t="s">
        <v>78</v>
      </c>
      <c r="Y243" t="s">
        <v>41</v>
      </c>
      <c r="AA243">
        <v>1</v>
      </c>
      <c r="AB243" t="s">
        <v>33</v>
      </c>
      <c r="AC243" t="s">
        <v>209</v>
      </c>
      <c r="AE243" t="str">
        <f t="shared" si="63"/>
        <v>FoganHilts</v>
      </c>
      <c r="AF243">
        <v>0</v>
      </c>
      <c r="AG243">
        <v>0</v>
      </c>
      <c r="AH243">
        <v>1</v>
      </c>
      <c r="AI243">
        <v>0</v>
      </c>
      <c r="AJ243">
        <v>0</v>
      </c>
      <c r="AK243" t="s">
        <v>53</v>
      </c>
      <c r="AL243">
        <v>0.59649122807017496</v>
      </c>
      <c r="AM243" t="s">
        <v>61</v>
      </c>
      <c r="AN243">
        <v>0.5</v>
      </c>
      <c r="AO243">
        <f t="shared" si="76"/>
        <v>0</v>
      </c>
      <c r="AP243" t="str">
        <f t="shared" si="76"/>
        <v>Hilts</v>
      </c>
      <c r="AQ243">
        <f t="shared" si="76"/>
        <v>0</v>
      </c>
      <c r="AR243">
        <f t="shared" si="76"/>
        <v>0</v>
      </c>
      <c r="AS243">
        <f t="shared" si="76"/>
        <v>0</v>
      </c>
      <c r="AT243">
        <f t="shared" si="76"/>
        <v>0</v>
      </c>
      <c r="AU243">
        <f t="shared" si="76"/>
        <v>0</v>
      </c>
      <c r="AV243">
        <f t="shared" si="76"/>
        <v>0</v>
      </c>
      <c r="AW243">
        <f t="shared" si="76"/>
        <v>0</v>
      </c>
      <c r="AX243">
        <f t="shared" si="76"/>
        <v>0</v>
      </c>
      <c r="AY243">
        <f t="shared" si="77"/>
        <v>0</v>
      </c>
      <c r="AZ243">
        <f t="shared" si="77"/>
        <v>0</v>
      </c>
      <c r="BA243">
        <f t="shared" si="77"/>
        <v>0</v>
      </c>
      <c r="BB243">
        <f t="shared" si="77"/>
        <v>0</v>
      </c>
      <c r="BC243" t="str">
        <f t="shared" si="77"/>
        <v>Fogan</v>
      </c>
      <c r="BD243">
        <f t="shared" si="77"/>
        <v>0</v>
      </c>
      <c r="BE243">
        <f t="shared" si="77"/>
        <v>0</v>
      </c>
      <c r="BF243">
        <f t="shared" si="77"/>
        <v>0</v>
      </c>
      <c r="BG243">
        <f t="shared" si="77"/>
        <v>0</v>
      </c>
      <c r="BH243">
        <f t="shared" si="77"/>
        <v>0</v>
      </c>
      <c r="BI243">
        <f t="shared" si="78"/>
        <v>0</v>
      </c>
      <c r="BJ243">
        <f t="shared" si="78"/>
        <v>0</v>
      </c>
      <c r="BK243">
        <f t="shared" si="78"/>
        <v>0</v>
      </c>
      <c r="BL243">
        <f t="shared" si="78"/>
        <v>0</v>
      </c>
      <c r="BM243">
        <f t="shared" si="78"/>
        <v>0</v>
      </c>
      <c r="BN243">
        <f t="shared" si="78"/>
        <v>0</v>
      </c>
      <c r="BO243">
        <f t="shared" si="78"/>
        <v>0</v>
      </c>
      <c r="BP243">
        <f t="shared" si="78"/>
        <v>0</v>
      </c>
      <c r="BQ243">
        <f t="shared" si="78"/>
        <v>0</v>
      </c>
      <c r="BR243">
        <f t="shared" si="78"/>
        <v>0</v>
      </c>
      <c r="BS243">
        <f t="shared" si="78"/>
        <v>0</v>
      </c>
    </row>
    <row r="244" spans="2:71" ht="15" customHeight="1" x14ac:dyDescent="0.2">
      <c r="B244">
        <v>10</v>
      </c>
      <c r="C244">
        <v>5</v>
      </c>
      <c r="D244">
        <v>5</v>
      </c>
      <c r="E244" t="s">
        <v>276</v>
      </c>
      <c r="F244" t="s">
        <v>214</v>
      </c>
      <c r="G244" s="5">
        <v>42937</v>
      </c>
      <c r="H244" t="s">
        <v>73</v>
      </c>
      <c r="I244" t="s">
        <v>264</v>
      </c>
      <c r="J244" t="s">
        <v>168</v>
      </c>
      <c r="K244">
        <v>9</v>
      </c>
      <c r="L244" t="s">
        <v>90</v>
      </c>
      <c r="M244" t="s">
        <v>265</v>
      </c>
      <c r="N244" t="s">
        <v>266</v>
      </c>
      <c r="O244">
        <v>71.400000000000006</v>
      </c>
      <c r="P244">
        <v>136</v>
      </c>
      <c r="Q244">
        <v>6251</v>
      </c>
      <c r="R244" t="s">
        <v>137</v>
      </c>
      <c r="S244" t="s">
        <v>80</v>
      </c>
      <c r="T244" t="s">
        <v>81</v>
      </c>
      <c r="U244" t="s">
        <v>43</v>
      </c>
      <c r="V244" t="s">
        <v>52</v>
      </c>
      <c r="W244" t="s">
        <v>78</v>
      </c>
      <c r="Y244" t="s">
        <v>62</v>
      </c>
      <c r="AA244">
        <v>1</v>
      </c>
      <c r="AB244" t="s">
        <v>33</v>
      </c>
      <c r="AC244" t="s">
        <v>233</v>
      </c>
      <c r="AE244" t="str">
        <f t="shared" si="63"/>
        <v>ConnorsWelker</v>
      </c>
      <c r="AF244">
        <v>0</v>
      </c>
      <c r="AG244">
        <v>0</v>
      </c>
      <c r="AH244">
        <v>1</v>
      </c>
      <c r="AI244">
        <v>0</v>
      </c>
      <c r="AJ244">
        <v>0</v>
      </c>
      <c r="AK244" t="s">
        <v>59</v>
      </c>
      <c r="AL244">
        <v>0.52777777777777801</v>
      </c>
      <c r="AM244" t="s">
        <v>60</v>
      </c>
      <c r="AN244">
        <v>0.5</v>
      </c>
      <c r="AO244">
        <f t="shared" si="76"/>
        <v>0</v>
      </c>
      <c r="AP244">
        <f t="shared" si="76"/>
        <v>0</v>
      </c>
      <c r="AQ244">
        <f t="shared" si="76"/>
        <v>0</v>
      </c>
      <c r="AR244">
        <f t="shared" si="76"/>
        <v>0</v>
      </c>
      <c r="AS244">
        <f t="shared" si="76"/>
        <v>0</v>
      </c>
      <c r="AT244">
        <f t="shared" si="76"/>
        <v>0</v>
      </c>
      <c r="AU244">
        <f t="shared" si="76"/>
        <v>0</v>
      </c>
      <c r="AV244">
        <f t="shared" si="76"/>
        <v>0</v>
      </c>
      <c r="AW244">
        <f t="shared" si="76"/>
        <v>0</v>
      </c>
      <c r="AX244">
        <f t="shared" si="76"/>
        <v>0</v>
      </c>
      <c r="AY244">
        <f t="shared" si="77"/>
        <v>0</v>
      </c>
      <c r="AZ244">
        <f t="shared" si="77"/>
        <v>0</v>
      </c>
      <c r="BA244" t="str">
        <f t="shared" si="77"/>
        <v>Connors</v>
      </c>
      <c r="BB244">
        <f t="shared" si="77"/>
        <v>0</v>
      </c>
      <c r="BC244">
        <f t="shared" si="77"/>
        <v>0</v>
      </c>
      <c r="BD244">
        <f t="shared" si="77"/>
        <v>0</v>
      </c>
      <c r="BE244">
        <f t="shared" si="77"/>
        <v>0</v>
      </c>
      <c r="BF244">
        <f t="shared" si="77"/>
        <v>0</v>
      </c>
      <c r="BG244">
        <f t="shared" si="77"/>
        <v>0</v>
      </c>
      <c r="BH244">
        <f t="shared" si="77"/>
        <v>0</v>
      </c>
      <c r="BI244">
        <f t="shared" si="78"/>
        <v>0</v>
      </c>
      <c r="BJ244">
        <f t="shared" si="78"/>
        <v>0</v>
      </c>
      <c r="BK244" t="str">
        <f t="shared" si="78"/>
        <v>Welker</v>
      </c>
      <c r="BL244">
        <f t="shared" si="78"/>
        <v>0</v>
      </c>
      <c r="BM244">
        <f t="shared" si="78"/>
        <v>0</v>
      </c>
      <c r="BN244">
        <f t="shared" si="78"/>
        <v>0</v>
      </c>
      <c r="BO244">
        <f t="shared" si="78"/>
        <v>0</v>
      </c>
      <c r="BP244">
        <f t="shared" si="78"/>
        <v>0</v>
      </c>
      <c r="BQ244">
        <f t="shared" si="78"/>
        <v>0</v>
      </c>
      <c r="BR244">
        <f t="shared" si="78"/>
        <v>0</v>
      </c>
      <c r="BS244">
        <f t="shared" si="78"/>
        <v>0</v>
      </c>
    </row>
    <row r="245" spans="2:71" ht="15" customHeight="1" x14ac:dyDescent="0.2">
      <c r="B245">
        <v>10</v>
      </c>
      <c r="C245">
        <v>5</v>
      </c>
      <c r="D245">
        <v>5</v>
      </c>
      <c r="E245" t="s">
        <v>276</v>
      </c>
      <c r="F245" t="s">
        <v>214</v>
      </c>
      <c r="G245" s="5">
        <v>42937</v>
      </c>
      <c r="H245" t="s">
        <v>73</v>
      </c>
      <c r="I245" t="s">
        <v>264</v>
      </c>
      <c r="J245" t="s">
        <v>168</v>
      </c>
      <c r="K245">
        <v>9</v>
      </c>
      <c r="L245" t="s">
        <v>90</v>
      </c>
      <c r="M245" t="s">
        <v>265</v>
      </c>
      <c r="N245" t="s">
        <v>266</v>
      </c>
      <c r="O245">
        <v>71.400000000000006</v>
      </c>
      <c r="P245">
        <v>136</v>
      </c>
      <c r="Q245">
        <v>6251</v>
      </c>
      <c r="R245" t="s">
        <v>137</v>
      </c>
      <c r="S245" t="s">
        <v>80</v>
      </c>
      <c r="T245" t="s">
        <v>83</v>
      </c>
      <c r="U245" t="s">
        <v>53</v>
      </c>
      <c r="V245" t="s">
        <v>59</v>
      </c>
      <c r="W245" t="s">
        <v>109</v>
      </c>
      <c r="Y245" t="s">
        <v>60</v>
      </c>
      <c r="AA245">
        <v>1</v>
      </c>
      <c r="AB245" t="s">
        <v>32</v>
      </c>
      <c r="AC245" t="s">
        <v>233</v>
      </c>
      <c r="AE245" t="str">
        <f t="shared" si="63"/>
        <v>NoratZimmer</v>
      </c>
      <c r="AF245">
        <v>1</v>
      </c>
      <c r="AG245">
        <v>1</v>
      </c>
      <c r="AH245">
        <v>0</v>
      </c>
      <c r="AI245">
        <v>0</v>
      </c>
      <c r="AJ245">
        <v>1</v>
      </c>
      <c r="AK245" t="s">
        <v>52</v>
      </c>
      <c r="AL245">
        <v>0.34745762711864397</v>
      </c>
      <c r="AM245" t="s">
        <v>62</v>
      </c>
      <c r="AN245">
        <v>0.51041666666666696</v>
      </c>
      <c r="AO245">
        <f t="shared" si="76"/>
        <v>0</v>
      </c>
      <c r="AP245">
        <f t="shared" si="76"/>
        <v>0</v>
      </c>
      <c r="AQ245">
        <f t="shared" si="76"/>
        <v>0</v>
      </c>
      <c r="AR245">
        <f t="shared" si="76"/>
        <v>0</v>
      </c>
      <c r="AS245">
        <f t="shared" si="76"/>
        <v>0</v>
      </c>
      <c r="AT245">
        <f t="shared" si="76"/>
        <v>0</v>
      </c>
      <c r="AU245">
        <f t="shared" si="76"/>
        <v>0</v>
      </c>
      <c r="AV245">
        <f t="shared" si="76"/>
        <v>0</v>
      </c>
      <c r="AW245">
        <f t="shared" si="76"/>
        <v>0</v>
      </c>
      <c r="AX245">
        <f t="shared" si="76"/>
        <v>0</v>
      </c>
      <c r="AY245">
        <f t="shared" si="77"/>
        <v>0</v>
      </c>
      <c r="AZ245">
        <f t="shared" si="77"/>
        <v>0</v>
      </c>
      <c r="BA245">
        <f t="shared" si="77"/>
        <v>0</v>
      </c>
      <c r="BB245">
        <f t="shared" si="77"/>
        <v>0</v>
      </c>
      <c r="BC245">
        <f t="shared" si="77"/>
        <v>0</v>
      </c>
      <c r="BD245">
        <f t="shared" si="77"/>
        <v>0</v>
      </c>
      <c r="BE245">
        <f t="shared" si="77"/>
        <v>0</v>
      </c>
      <c r="BF245">
        <f t="shared" si="77"/>
        <v>0</v>
      </c>
      <c r="BG245">
        <f t="shared" si="77"/>
        <v>0</v>
      </c>
      <c r="BH245" t="str">
        <f t="shared" si="77"/>
        <v>Norat</v>
      </c>
      <c r="BI245" t="str">
        <f t="shared" si="78"/>
        <v>Zimmer</v>
      </c>
      <c r="BJ245">
        <f t="shared" si="78"/>
        <v>0</v>
      </c>
      <c r="BK245">
        <f t="shared" si="78"/>
        <v>0</v>
      </c>
      <c r="BL245">
        <f t="shared" si="78"/>
        <v>0</v>
      </c>
      <c r="BM245">
        <f t="shared" si="78"/>
        <v>0</v>
      </c>
      <c r="BN245">
        <f t="shared" si="78"/>
        <v>0</v>
      </c>
      <c r="BO245">
        <f t="shared" si="78"/>
        <v>0</v>
      </c>
      <c r="BP245">
        <f t="shared" si="78"/>
        <v>0</v>
      </c>
      <c r="BQ245">
        <f t="shared" si="78"/>
        <v>0</v>
      </c>
      <c r="BR245">
        <f t="shared" si="78"/>
        <v>0</v>
      </c>
      <c r="BS245">
        <f t="shared" si="78"/>
        <v>0</v>
      </c>
    </row>
    <row r="246" spans="2:71" ht="15" customHeight="1" x14ac:dyDescent="0.2">
      <c r="B246">
        <v>11</v>
      </c>
      <c r="C246">
        <v>1</v>
      </c>
      <c r="D246">
        <v>5</v>
      </c>
      <c r="E246" t="s">
        <v>277</v>
      </c>
      <c r="F246" t="s">
        <v>214</v>
      </c>
      <c r="G246" s="5">
        <v>42937</v>
      </c>
      <c r="H246" t="s">
        <v>97</v>
      </c>
      <c r="I246" t="s">
        <v>264</v>
      </c>
      <c r="J246" t="s">
        <v>168</v>
      </c>
      <c r="K246">
        <v>9</v>
      </c>
      <c r="L246" t="s">
        <v>76</v>
      </c>
      <c r="M246" t="s">
        <v>265</v>
      </c>
      <c r="N246" t="s">
        <v>266</v>
      </c>
      <c r="O246">
        <v>71.400000000000006</v>
      </c>
      <c r="P246">
        <v>136</v>
      </c>
      <c r="Q246">
        <v>6251</v>
      </c>
      <c r="R246" t="s">
        <v>98</v>
      </c>
      <c r="S246" t="s">
        <v>80</v>
      </c>
      <c r="T246" t="s">
        <v>81</v>
      </c>
      <c r="U246" t="s">
        <v>43</v>
      </c>
      <c r="V246" t="s">
        <v>44</v>
      </c>
      <c r="W246" t="s">
        <v>78</v>
      </c>
      <c r="Y246" t="s">
        <v>43</v>
      </c>
      <c r="AA246">
        <v>1</v>
      </c>
      <c r="AB246" t="s">
        <v>32</v>
      </c>
      <c r="AC246" t="s">
        <v>209</v>
      </c>
      <c r="AE246" t="str">
        <f t="shared" si="63"/>
        <v>FlandersPoirier</v>
      </c>
      <c r="AF246">
        <v>1</v>
      </c>
      <c r="AG246">
        <v>1</v>
      </c>
      <c r="AH246">
        <v>0</v>
      </c>
      <c r="AI246">
        <v>0</v>
      </c>
      <c r="AJ246">
        <v>1</v>
      </c>
      <c r="AK246" t="s">
        <v>40</v>
      </c>
      <c r="AL246">
        <v>0.546875</v>
      </c>
      <c r="AM246" t="s">
        <v>46</v>
      </c>
      <c r="AN246">
        <v>0.38392857142857201</v>
      </c>
      <c r="AO246">
        <f t="shared" si="76"/>
        <v>0</v>
      </c>
      <c r="AP246">
        <f t="shared" si="76"/>
        <v>0</v>
      </c>
      <c r="AQ246">
        <f t="shared" si="76"/>
        <v>0</v>
      </c>
      <c r="AR246" t="str">
        <f t="shared" si="76"/>
        <v>Poirier</v>
      </c>
      <c r="AS246" t="str">
        <f t="shared" si="76"/>
        <v>Flanders</v>
      </c>
      <c r="AT246">
        <f t="shared" si="76"/>
        <v>0</v>
      </c>
      <c r="AU246">
        <f t="shared" si="76"/>
        <v>0</v>
      </c>
      <c r="AV246">
        <f t="shared" si="76"/>
        <v>0</v>
      </c>
      <c r="AW246">
        <f t="shared" si="76"/>
        <v>0</v>
      </c>
      <c r="AX246">
        <f t="shared" si="76"/>
        <v>0</v>
      </c>
      <c r="AY246">
        <f t="shared" si="77"/>
        <v>0</v>
      </c>
      <c r="AZ246">
        <f t="shared" si="77"/>
        <v>0</v>
      </c>
      <c r="BA246">
        <f t="shared" si="77"/>
        <v>0</v>
      </c>
      <c r="BB246">
        <f t="shared" si="77"/>
        <v>0</v>
      </c>
      <c r="BC246">
        <f t="shared" si="77"/>
        <v>0</v>
      </c>
      <c r="BD246">
        <f t="shared" si="77"/>
        <v>0</v>
      </c>
      <c r="BE246">
        <f t="shared" si="77"/>
        <v>0</v>
      </c>
      <c r="BF246">
        <f t="shared" si="77"/>
        <v>0</v>
      </c>
      <c r="BG246">
        <f t="shared" si="77"/>
        <v>0</v>
      </c>
      <c r="BH246">
        <f t="shared" si="77"/>
        <v>0</v>
      </c>
      <c r="BI246">
        <f t="shared" si="78"/>
        <v>0</v>
      </c>
      <c r="BJ246">
        <f t="shared" si="78"/>
        <v>0</v>
      </c>
      <c r="BK246">
        <f t="shared" si="78"/>
        <v>0</v>
      </c>
      <c r="BL246">
        <f t="shared" si="78"/>
        <v>0</v>
      </c>
      <c r="BM246">
        <f t="shared" si="78"/>
        <v>0</v>
      </c>
      <c r="BN246">
        <f t="shared" si="78"/>
        <v>0</v>
      </c>
      <c r="BO246">
        <f t="shared" si="78"/>
        <v>0</v>
      </c>
      <c r="BP246">
        <f t="shared" si="78"/>
        <v>0</v>
      </c>
      <c r="BQ246">
        <f t="shared" si="78"/>
        <v>0</v>
      </c>
      <c r="BR246">
        <f t="shared" si="78"/>
        <v>0</v>
      </c>
      <c r="BS246">
        <f t="shared" si="78"/>
        <v>0</v>
      </c>
    </row>
    <row r="247" spans="2:71" ht="15" customHeight="1" x14ac:dyDescent="0.2">
      <c r="B247">
        <v>11</v>
      </c>
      <c r="C247">
        <v>1</v>
      </c>
      <c r="D247">
        <v>5</v>
      </c>
      <c r="E247" t="s">
        <v>277</v>
      </c>
      <c r="F247" t="s">
        <v>214</v>
      </c>
      <c r="G247" s="5">
        <v>42937</v>
      </c>
      <c r="H247" t="s">
        <v>97</v>
      </c>
      <c r="I247" t="s">
        <v>264</v>
      </c>
      <c r="J247" t="s">
        <v>168</v>
      </c>
      <c r="K247">
        <v>9</v>
      </c>
      <c r="L247" t="s">
        <v>76</v>
      </c>
      <c r="M247" t="s">
        <v>265</v>
      </c>
      <c r="N247" t="s">
        <v>266</v>
      </c>
      <c r="O247">
        <v>71.400000000000006</v>
      </c>
      <c r="P247">
        <v>136</v>
      </c>
      <c r="Q247">
        <v>6251</v>
      </c>
      <c r="R247" t="s">
        <v>98</v>
      </c>
      <c r="S247" t="s">
        <v>80</v>
      </c>
      <c r="T247" t="s">
        <v>83</v>
      </c>
      <c r="U247" t="s">
        <v>53</v>
      </c>
      <c r="V247" t="s">
        <v>40</v>
      </c>
      <c r="W247" t="s">
        <v>109</v>
      </c>
      <c r="Y247" t="s">
        <v>46</v>
      </c>
      <c r="AA247">
        <v>1</v>
      </c>
      <c r="AB247" t="s">
        <v>33</v>
      </c>
      <c r="AC247" t="s">
        <v>209</v>
      </c>
      <c r="AE247" t="str">
        <f t="shared" si="63"/>
        <v>GriseMangold</v>
      </c>
      <c r="AF247">
        <v>0</v>
      </c>
      <c r="AG247">
        <v>0</v>
      </c>
      <c r="AH247">
        <v>1</v>
      </c>
      <c r="AI247">
        <v>0</v>
      </c>
      <c r="AJ247">
        <v>0</v>
      </c>
      <c r="AK247" t="s">
        <v>44</v>
      </c>
      <c r="AL247">
        <v>0.4296875</v>
      </c>
      <c r="AM247" t="s">
        <v>43</v>
      </c>
      <c r="AN247">
        <v>0.48611111111111099</v>
      </c>
      <c r="AO247" t="str">
        <f t="shared" si="76"/>
        <v>Grise</v>
      </c>
      <c r="AP247">
        <f t="shared" si="76"/>
        <v>0</v>
      </c>
      <c r="AQ247">
        <f t="shared" si="76"/>
        <v>0</v>
      </c>
      <c r="AR247">
        <f t="shared" si="76"/>
        <v>0</v>
      </c>
      <c r="AS247">
        <f t="shared" si="76"/>
        <v>0</v>
      </c>
      <c r="AT247">
        <f t="shared" si="76"/>
        <v>0</v>
      </c>
      <c r="AU247" t="str">
        <f t="shared" si="76"/>
        <v>Mangold</v>
      </c>
      <c r="AV247">
        <f t="shared" si="76"/>
        <v>0</v>
      </c>
      <c r="AW247">
        <f t="shared" si="76"/>
        <v>0</v>
      </c>
      <c r="AX247">
        <f t="shared" si="76"/>
        <v>0</v>
      </c>
      <c r="AY247">
        <f t="shared" si="77"/>
        <v>0</v>
      </c>
      <c r="AZ247">
        <f t="shared" si="77"/>
        <v>0</v>
      </c>
      <c r="BA247">
        <f t="shared" si="77"/>
        <v>0</v>
      </c>
      <c r="BB247">
        <f t="shared" si="77"/>
        <v>0</v>
      </c>
      <c r="BC247">
        <f t="shared" si="77"/>
        <v>0</v>
      </c>
      <c r="BD247">
        <f t="shared" si="77"/>
        <v>0</v>
      </c>
      <c r="BE247">
        <f t="shared" si="77"/>
        <v>0</v>
      </c>
      <c r="BF247">
        <f t="shared" si="77"/>
        <v>0</v>
      </c>
      <c r="BG247">
        <f t="shared" si="77"/>
        <v>0</v>
      </c>
      <c r="BH247">
        <f t="shared" si="77"/>
        <v>0</v>
      </c>
      <c r="BI247">
        <f t="shared" si="78"/>
        <v>0</v>
      </c>
      <c r="BJ247">
        <f t="shared" si="78"/>
        <v>0</v>
      </c>
      <c r="BK247">
        <f t="shared" si="78"/>
        <v>0</v>
      </c>
      <c r="BL247">
        <f t="shared" si="78"/>
        <v>0</v>
      </c>
      <c r="BM247">
        <f t="shared" si="78"/>
        <v>0</v>
      </c>
      <c r="BN247">
        <f t="shared" si="78"/>
        <v>0</v>
      </c>
      <c r="BO247">
        <f t="shared" si="78"/>
        <v>0</v>
      </c>
      <c r="BP247">
        <f t="shared" si="78"/>
        <v>0</v>
      </c>
      <c r="BQ247">
        <f t="shared" si="78"/>
        <v>0</v>
      </c>
      <c r="BR247">
        <f t="shared" si="78"/>
        <v>0</v>
      </c>
      <c r="BS247">
        <f t="shared" si="78"/>
        <v>0</v>
      </c>
    </row>
    <row r="248" spans="2:71" ht="15" customHeight="1" x14ac:dyDescent="0.2">
      <c r="B248">
        <v>12</v>
      </c>
      <c r="C248">
        <v>2</v>
      </c>
      <c r="D248">
        <v>5</v>
      </c>
      <c r="E248" t="s">
        <v>278</v>
      </c>
      <c r="F248" t="s">
        <v>214</v>
      </c>
      <c r="G248" s="5">
        <v>42937</v>
      </c>
      <c r="H248" t="s">
        <v>97</v>
      </c>
      <c r="I248" t="s">
        <v>264</v>
      </c>
      <c r="J248" t="s">
        <v>168</v>
      </c>
      <c r="K248">
        <v>9</v>
      </c>
      <c r="L248" t="s">
        <v>76</v>
      </c>
      <c r="M248" t="s">
        <v>265</v>
      </c>
      <c r="N248" t="s">
        <v>266</v>
      </c>
      <c r="O248">
        <v>71.400000000000006</v>
      </c>
      <c r="P248">
        <v>136</v>
      </c>
      <c r="Q248">
        <v>6251</v>
      </c>
      <c r="R248" t="s">
        <v>98</v>
      </c>
      <c r="S248" t="s">
        <v>80</v>
      </c>
      <c r="T248" t="s">
        <v>83</v>
      </c>
      <c r="U248" t="s">
        <v>53</v>
      </c>
      <c r="V248" t="s">
        <v>45</v>
      </c>
      <c r="W248" t="s">
        <v>109</v>
      </c>
      <c r="Y248" t="s">
        <v>53</v>
      </c>
      <c r="AA248">
        <v>1</v>
      </c>
      <c r="AB248" t="s">
        <v>32</v>
      </c>
      <c r="AC248" t="s">
        <v>202</v>
      </c>
      <c r="AE248" t="str">
        <f t="shared" si="63"/>
        <v>ConnollyForster</v>
      </c>
      <c r="AF248">
        <v>1</v>
      </c>
      <c r="AG248">
        <v>1</v>
      </c>
      <c r="AH248">
        <v>0</v>
      </c>
      <c r="AI248">
        <v>0</v>
      </c>
      <c r="AJ248">
        <v>1</v>
      </c>
      <c r="AK248" t="s">
        <v>50</v>
      </c>
      <c r="AL248">
        <v>0.59523809523809501</v>
      </c>
      <c r="AM248" t="s">
        <v>42</v>
      </c>
      <c r="AN248">
        <v>0.6171875</v>
      </c>
      <c r="AO248">
        <f t="shared" si="76"/>
        <v>0</v>
      </c>
      <c r="AP248">
        <f t="shared" si="76"/>
        <v>0</v>
      </c>
      <c r="AQ248">
        <f t="shared" si="76"/>
        <v>0</v>
      </c>
      <c r="AR248">
        <f t="shared" si="76"/>
        <v>0</v>
      </c>
      <c r="AS248">
        <f t="shared" si="76"/>
        <v>0</v>
      </c>
      <c r="AT248" t="str">
        <f t="shared" si="76"/>
        <v>Connolly</v>
      </c>
      <c r="AU248">
        <f t="shared" si="76"/>
        <v>0</v>
      </c>
      <c r="AV248">
        <f t="shared" si="76"/>
        <v>0</v>
      </c>
      <c r="AW248">
        <f t="shared" si="76"/>
        <v>0</v>
      </c>
      <c r="AX248">
        <f t="shared" si="76"/>
        <v>0</v>
      </c>
      <c r="AY248">
        <f t="shared" si="77"/>
        <v>0</v>
      </c>
      <c r="AZ248">
        <f t="shared" si="77"/>
        <v>0</v>
      </c>
      <c r="BA248">
        <f t="shared" si="77"/>
        <v>0</v>
      </c>
      <c r="BB248" t="str">
        <f t="shared" si="77"/>
        <v>Forster</v>
      </c>
      <c r="BC248">
        <f t="shared" si="77"/>
        <v>0</v>
      </c>
      <c r="BD248">
        <f t="shared" si="77"/>
        <v>0</v>
      </c>
      <c r="BE248">
        <f t="shared" si="77"/>
        <v>0</v>
      </c>
      <c r="BF248">
        <f t="shared" si="77"/>
        <v>0</v>
      </c>
      <c r="BG248">
        <f t="shared" si="77"/>
        <v>0</v>
      </c>
      <c r="BH248">
        <f t="shared" si="77"/>
        <v>0</v>
      </c>
      <c r="BI248">
        <f t="shared" si="78"/>
        <v>0</v>
      </c>
      <c r="BJ248">
        <f t="shared" si="78"/>
        <v>0</v>
      </c>
      <c r="BK248">
        <f t="shared" si="78"/>
        <v>0</v>
      </c>
      <c r="BL248">
        <f t="shared" si="78"/>
        <v>0</v>
      </c>
      <c r="BM248">
        <f t="shared" si="78"/>
        <v>0</v>
      </c>
      <c r="BN248">
        <f t="shared" si="78"/>
        <v>0</v>
      </c>
      <c r="BO248">
        <f t="shared" si="78"/>
        <v>0</v>
      </c>
      <c r="BP248">
        <f t="shared" si="78"/>
        <v>0</v>
      </c>
      <c r="BQ248">
        <f t="shared" si="78"/>
        <v>0</v>
      </c>
      <c r="BR248">
        <f t="shared" si="78"/>
        <v>0</v>
      </c>
      <c r="BS248">
        <f t="shared" si="78"/>
        <v>0</v>
      </c>
    </row>
    <row r="249" spans="2:71" ht="15" customHeight="1" x14ac:dyDescent="0.2">
      <c r="B249">
        <v>12</v>
      </c>
      <c r="C249">
        <v>2</v>
      </c>
      <c r="D249">
        <v>5</v>
      </c>
      <c r="E249" t="s">
        <v>278</v>
      </c>
      <c r="F249" t="s">
        <v>214</v>
      </c>
      <c r="G249" s="5">
        <v>42937</v>
      </c>
      <c r="H249" t="s">
        <v>97</v>
      </c>
      <c r="I249" t="s">
        <v>264</v>
      </c>
      <c r="J249" t="s">
        <v>168</v>
      </c>
      <c r="K249">
        <v>9</v>
      </c>
      <c r="L249" t="s">
        <v>76</v>
      </c>
      <c r="M249" t="s">
        <v>265</v>
      </c>
      <c r="N249" t="s">
        <v>266</v>
      </c>
      <c r="O249">
        <v>71.400000000000006</v>
      </c>
      <c r="P249">
        <v>136</v>
      </c>
      <c r="Q249">
        <v>6251</v>
      </c>
      <c r="R249" t="s">
        <v>98</v>
      </c>
      <c r="S249" t="s">
        <v>80</v>
      </c>
      <c r="T249" t="s">
        <v>81</v>
      </c>
      <c r="U249" t="s">
        <v>43</v>
      </c>
      <c r="V249" t="s">
        <v>50</v>
      </c>
      <c r="W249" t="s">
        <v>78</v>
      </c>
      <c r="Y249" t="s">
        <v>42</v>
      </c>
      <c r="AA249">
        <v>1</v>
      </c>
      <c r="AB249" t="s">
        <v>33</v>
      </c>
      <c r="AC249" t="s">
        <v>202</v>
      </c>
      <c r="AE249" t="str">
        <f t="shared" si="63"/>
        <v>FerrinJackson</v>
      </c>
      <c r="AF249">
        <v>0</v>
      </c>
      <c r="AG249">
        <v>0</v>
      </c>
      <c r="AH249">
        <v>1</v>
      </c>
      <c r="AI249">
        <v>0</v>
      </c>
      <c r="AJ249">
        <v>0</v>
      </c>
      <c r="AK249" t="s">
        <v>45</v>
      </c>
      <c r="AL249">
        <v>0.59375</v>
      </c>
      <c r="AM249" t="s">
        <v>53</v>
      </c>
      <c r="AN249">
        <v>0.59649122807017496</v>
      </c>
      <c r="AO249">
        <f t="shared" si="76"/>
        <v>0</v>
      </c>
      <c r="AP249">
        <f t="shared" si="76"/>
        <v>0</v>
      </c>
      <c r="AQ249" t="str">
        <f t="shared" si="76"/>
        <v>Jackson</v>
      </c>
      <c r="AR249">
        <f t="shared" si="76"/>
        <v>0</v>
      </c>
      <c r="AS249">
        <f t="shared" si="76"/>
        <v>0</v>
      </c>
      <c r="AT249">
        <f t="shared" si="76"/>
        <v>0</v>
      </c>
      <c r="AU249">
        <f t="shared" si="76"/>
        <v>0</v>
      </c>
      <c r="AV249">
        <f t="shared" si="76"/>
        <v>0</v>
      </c>
      <c r="AW249">
        <f t="shared" si="76"/>
        <v>0</v>
      </c>
      <c r="AX249">
        <f t="shared" si="76"/>
        <v>0</v>
      </c>
      <c r="AY249" t="str">
        <f t="shared" si="77"/>
        <v>Ferrin</v>
      </c>
      <c r="AZ249">
        <f t="shared" si="77"/>
        <v>0</v>
      </c>
      <c r="BA249">
        <f t="shared" si="77"/>
        <v>0</v>
      </c>
      <c r="BB249">
        <f t="shared" si="77"/>
        <v>0</v>
      </c>
      <c r="BC249">
        <f t="shared" si="77"/>
        <v>0</v>
      </c>
      <c r="BD249">
        <f t="shared" si="77"/>
        <v>0</v>
      </c>
      <c r="BE249">
        <f t="shared" si="77"/>
        <v>0</v>
      </c>
      <c r="BF249">
        <f t="shared" si="77"/>
        <v>0</v>
      </c>
      <c r="BG249">
        <f t="shared" si="77"/>
        <v>0</v>
      </c>
      <c r="BH249">
        <f t="shared" si="77"/>
        <v>0</v>
      </c>
      <c r="BI249">
        <f t="shared" si="78"/>
        <v>0</v>
      </c>
      <c r="BJ249">
        <f t="shared" si="78"/>
        <v>0</v>
      </c>
      <c r="BK249">
        <f t="shared" si="78"/>
        <v>0</v>
      </c>
      <c r="BL249">
        <f t="shared" si="78"/>
        <v>0</v>
      </c>
      <c r="BM249">
        <f t="shared" si="78"/>
        <v>0</v>
      </c>
      <c r="BN249">
        <f t="shared" si="78"/>
        <v>0</v>
      </c>
      <c r="BO249">
        <f t="shared" si="78"/>
        <v>0</v>
      </c>
      <c r="BP249">
        <f t="shared" si="78"/>
        <v>0</v>
      </c>
      <c r="BQ249">
        <f t="shared" si="78"/>
        <v>0</v>
      </c>
      <c r="BR249">
        <f t="shared" si="78"/>
        <v>0</v>
      </c>
      <c r="BS249">
        <f t="shared" si="78"/>
        <v>0</v>
      </c>
    </row>
    <row r="250" spans="2:71" ht="15" customHeight="1" x14ac:dyDescent="0.2">
      <c r="B250">
        <v>13</v>
      </c>
      <c r="C250">
        <v>3</v>
      </c>
      <c r="D250">
        <v>5</v>
      </c>
      <c r="E250" t="s">
        <v>279</v>
      </c>
      <c r="F250" t="s">
        <v>214</v>
      </c>
      <c r="G250" s="5">
        <v>42937</v>
      </c>
      <c r="H250" t="s">
        <v>97</v>
      </c>
      <c r="I250" t="s">
        <v>264</v>
      </c>
      <c r="J250" t="s">
        <v>168</v>
      </c>
      <c r="K250">
        <v>9</v>
      </c>
      <c r="L250" t="s">
        <v>76</v>
      </c>
      <c r="M250" t="s">
        <v>265</v>
      </c>
      <c r="N250" t="s">
        <v>266</v>
      </c>
      <c r="O250">
        <v>71.400000000000006</v>
      </c>
      <c r="P250">
        <v>136</v>
      </c>
      <c r="Q250">
        <v>6251</v>
      </c>
      <c r="R250" t="s">
        <v>98</v>
      </c>
      <c r="S250" t="s">
        <v>80</v>
      </c>
      <c r="T250" t="s">
        <v>81</v>
      </c>
      <c r="U250" t="s">
        <v>43</v>
      </c>
      <c r="V250" t="s">
        <v>58</v>
      </c>
      <c r="W250" t="s">
        <v>78</v>
      </c>
      <c r="Y250" t="s">
        <v>62</v>
      </c>
      <c r="AA250">
        <v>1</v>
      </c>
      <c r="AB250" t="s">
        <v>32</v>
      </c>
      <c r="AC250" t="s">
        <v>209</v>
      </c>
      <c r="AE250" t="str">
        <f t="shared" si="63"/>
        <v>GrayWelker</v>
      </c>
      <c r="AF250">
        <v>1</v>
      </c>
      <c r="AG250">
        <v>1</v>
      </c>
      <c r="AH250">
        <v>0</v>
      </c>
      <c r="AI250">
        <v>0</v>
      </c>
      <c r="AJ250">
        <v>1</v>
      </c>
      <c r="AK250" t="s">
        <v>61</v>
      </c>
      <c r="AL250">
        <v>0.5</v>
      </c>
      <c r="AM250" t="s">
        <v>49</v>
      </c>
      <c r="AO250">
        <f t="shared" si="76"/>
        <v>0</v>
      </c>
      <c r="AP250">
        <f t="shared" si="76"/>
        <v>0</v>
      </c>
      <c r="AQ250">
        <f t="shared" si="76"/>
        <v>0</v>
      </c>
      <c r="AR250">
        <f t="shared" si="76"/>
        <v>0</v>
      </c>
      <c r="AS250">
        <f t="shared" si="76"/>
        <v>0</v>
      </c>
      <c r="AT250">
        <f t="shared" si="76"/>
        <v>0</v>
      </c>
      <c r="AU250">
        <f t="shared" si="76"/>
        <v>0</v>
      </c>
      <c r="AV250">
        <f t="shared" si="76"/>
        <v>0</v>
      </c>
      <c r="AW250">
        <f t="shared" si="76"/>
        <v>0</v>
      </c>
      <c r="AX250">
        <f t="shared" si="76"/>
        <v>0</v>
      </c>
      <c r="AY250">
        <f t="shared" si="77"/>
        <v>0</v>
      </c>
      <c r="AZ250">
        <f t="shared" si="77"/>
        <v>0</v>
      </c>
      <c r="BA250">
        <f t="shared" si="77"/>
        <v>0</v>
      </c>
      <c r="BB250">
        <f t="shared" si="77"/>
        <v>0</v>
      </c>
      <c r="BC250">
        <f t="shared" si="77"/>
        <v>0</v>
      </c>
      <c r="BD250">
        <f t="shared" si="77"/>
        <v>0</v>
      </c>
      <c r="BE250">
        <f t="shared" si="77"/>
        <v>0</v>
      </c>
      <c r="BF250">
        <f t="shared" si="77"/>
        <v>0</v>
      </c>
      <c r="BG250" t="str">
        <f t="shared" si="77"/>
        <v>Gray</v>
      </c>
      <c r="BH250">
        <f t="shared" si="77"/>
        <v>0</v>
      </c>
      <c r="BI250">
        <f t="shared" si="78"/>
        <v>0</v>
      </c>
      <c r="BJ250">
        <f t="shared" si="78"/>
        <v>0</v>
      </c>
      <c r="BK250" t="str">
        <f t="shared" si="78"/>
        <v>Welker</v>
      </c>
      <c r="BL250">
        <f t="shared" si="78"/>
        <v>0</v>
      </c>
      <c r="BM250">
        <f t="shared" si="78"/>
        <v>0</v>
      </c>
      <c r="BN250">
        <f t="shared" si="78"/>
        <v>0</v>
      </c>
      <c r="BO250">
        <f t="shared" si="78"/>
        <v>0</v>
      </c>
      <c r="BP250">
        <f t="shared" si="78"/>
        <v>0</v>
      </c>
      <c r="BQ250">
        <f t="shared" si="78"/>
        <v>0</v>
      </c>
      <c r="BR250">
        <f t="shared" si="78"/>
        <v>0</v>
      </c>
      <c r="BS250">
        <f t="shared" si="78"/>
        <v>0</v>
      </c>
    </row>
    <row r="251" spans="2:71" ht="15" customHeight="1" x14ac:dyDescent="0.2">
      <c r="B251">
        <v>13</v>
      </c>
      <c r="C251">
        <v>3</v>
      </c>
      <c r="D251">
        <v>5</v>
      </c>
      <c r="E251" t="s">
        <v>279</v>
      </c>
      <c r="F251" t="s">
        <v>214</v>
      </c>
      <c r="G251" s="5">
        <v>42937</v>
      </c>
      <c r="H251" t="s">
        <v>97</v>
      </c>
      <c r="I251" t="s">
        <v>264</v>
      </c>
      <c r="J251" t="s">
        <v>168</v>
      </c>
      <c r="K251">
        <v>9</v>
      </c>
      <c r="L251" t="s">
        <v>76</v>
      </c>
      <c r="M251" t="s">
        <v>265</v>
      </c>
      <c r="N251" t="s">
        <v>266</v>
      </c>
      <c r="O251">
        <v>71.400000000000006</v>
      </c>
      <c r="P251">
        <v>136</v>
      </c>
      <c r="Q251">
        <v>6251</v>
      </c>
      <c r="R251" t="s">
        <v>98</v>
      </c>
      <c r="S251" t="s">
        <v>80</v>
      </c>
      <c r="T251" t="s">
        <v>83</v>
      </c>
      <c r="U251" t="s">
        <v>53</v>
      </c>
      <c r="V251" t="s">
        <v>61</v>
      </c>
      <c r="W251" t="s">
        <v>109</v>
      </c>
      <c r="Y251" t="s">
        <v>49</v>
      </c>
      <c r="AA251">
        <v>1</v>
      </c>
      <c r="AB251" t="s">
        <v>33</v>
      </c>
      <c r="AC251" t="s">
        <v>209</v>
      </c>
      <c r="AE251" t="str">
        <f t="shared" si="63"/>
        <v>McInerneyShively</v>
      </c>
      <c r="AF251">
        <v>0</v>
      </c>
      <c r="AG251">
        <v>0</v>
      </c>
      <c r="AH251">
        <v>1</v>
      </c>
      <c r="AI251">
        <v>0</v>
      </c>
      <c r="AJ251">
        <v>0</v>
      </c>
      <c r="AK251" t="s">
        <v>58</v>
      </c>
      <c r="AL251">
        <v>0.65476190476190499</v>
      </c>
      <c r="AM251" t="s">
        <v>62</v>
      </c>
      <c r="AN251">
        <v>0.51041666666666696</v>
      </c>
      <c r="AO251">
        <f t="shared" si="76"/>
        <v>0</v>
      </c>
      <c r="AP251">
        <f t="shared" si="76"/>
        <v>0</v>
      </c>
      <c r="AQ251">
        <f t="shared" si="76"/>
        <v>0</v>
      </c>
      <c r="AR251">
        <f t="shared" si="76"/>
        <v>0</v>
      </c>
      <c r="AS251">
        <f t="shared" si="76"/>
        <v>0</v>
      </c>
      <c r="AT251">
        <f t="shared" si="76"/>
        <v>0</v>
      </c>
      <c r="AU251">
        <f t="shared" si="76"/>
        <v>0</v>
      </c>
      <c r="AV251">
        <f t="shared" si="76"/>
        <v>0</v>
      </c>
      <c r="AW251">
        <f t="shared" si="76"/>
        <v>0</v>
      </c>
      <c r="AX251" t="str">
        <f t="shared" si="76"/>
        <v>Shively</v>
      </c>
      <c r="AY251">
        <f t="shared" si="77"/>
        <v>0</v>
      </c>
      <c r="AZ251">
        <f t="shared" si="77"/>
        <v>0</v>
      </c>
      <c r="BA251">
        <f t="shared" si="77"/>
        <v>0</v>
      </c>
      <c r="BB251">
        <f t="shared" si="77"/>
        <v>0</v>
      </c>
      <c r="BC251">
        <f t="shared" si="77"/>
        <v>0</v>
      </c>
      <c r="BD251">
        <f t="shared" si="77"/>
        <v>0</v>
      </c>
      <c r="BE251">
        <f t="shared" si="77"/>
        <v>0</v>
      </c>
      <c r="BF251">
        <f t="shared" si="77"/>
        <v>0</v>
      </c>
      <c r="BG251">
        <f t="shared" si="77"/>
        <v>0</v>
      </c>
      <c r="BH251">
        <f t="shared" si="77"/>
        <v>0</v>
      </c>
      <c r="BI251">
        <f t="shared" si="78"/>
        <v>0</v>
      </c>
      <c r="BJ251" t="str">
        <f t="shared" si="78"/>
        <v>McInerney</v>
      </c>
      <c r="BK251">
        <f t="shared" si="78"/>
        <v>0</v>
      </c>
      <c r="BL251">
        <f t="shared" si="78"/>
        <v>0</v>
      </c>
      <c r="BM251">
        <f t="shared" si="78"/>
        <v>0</v>
      </c>
      <c r="BN251">
        <f t="shared" si="78"/>
        <v>0</v>
      </c>
      <c r="BO251">
        <f t="shared" si="78"/>
        <v>0</v>
      </c>
      <c r="BP251">
        <f t="shared" si="78"/>
        <v>0</v>
      </c>
      <c r="BQ251">
        <f t="shared" si="78"/>
        <v>0</v>
      </c>
      <c r="BR251">
        <f t="shared" si="78"/>
        <v>0</v>
      </c>
      <c r="BS251">
        <f t="shared" si="78"/>
        <v>0</v>
      </c>
    </row>
    <row r="252" spans="2:71" ht="15" customHeight="1" x14ac:dyDescent="0.2">
      <c r="B252">
        <v>14</v>
      </c>
      <c r="C252">
        <v>4</v>
      </c>
      <c r="D252">
        <v>5</v>
      </c>
      <c r="E252" t="s">
        <v>280</v>
      </c>
      <c r="F252" t="s">
        <v>214</v>
      </c>
      <c r="G252" s="5">
        <v>42937</v>
      </c>
      <c r="H252" t="s">
        <v>97</v>
      </c>
      <c r="I252" t="s">
        <v>264</v>
      </c>
      <c r="J252" t="s">
        <v>168</v>
      </c>
      <c r="K252">
        <v>9</v>
      </c>
      <c r="L252" t="s">
        <v>76</v>
      </c>
      <c r="M252" t="s">
        <v>265</v>
      </c>
      <c r="N252" t="s">
        <v>266</v>
      </c>
      <c r="O252">
        <v>71.400000000000006</v>
      </c>
      <c r="P252">
        <v>136</v>
      </c>
      <c r="Q252">
        <v>6251</v>
      </c>
      <c r="R252" t="s">
        <v>98</v>
      </c>
      <c r="S252" t="s">
        <v>80</v>
      </c>
      <c r="T252" t="s">
        <v>83</v>
      </c>
      <c r="U252" t="s">
        <v>53</v>
      </c>
      <c r="V252" t="s">
        <v>63</v>
      </c>
      <c r="W252" t="s">
        <v>109</v>
      </c>
      <c r="Y252" t="s">
        <v>48</v>
      </c>
      <c r="AA252">
        <v>1</v>
      </c>
      <c r="AB252" t="s">
        <v>32</v>
      </c>
      <c r="AC252" t="s">
        <v>233</v>
      </c>
      <c r="AE252" t="str">
        <f t="shared" si="63"/>
        <v>DelaneyLynch</v>
      </c>
      <c r="AF252">
        <v>1</v>
      </c>
      <c r="AG252">
        <v>1</v>
      </c>
      <c r="AH252">
        <v>0</v>
      </c>
      <c r="AI252">
        <v>0</v>
      </c>
      <c r="AJ252">
        <v>1</v>
      </c>
      <c r="AK252" t="s">
        <v>54</v>
      </c>
      <c r="AL252">
        <v>0.37288135593220301</v>
      </c>
      <c r="AM252" t="s">
        <v>41</v>
      </c>
      <c r="AN252">
        <v>0.47321428571428598</v>
      </c>
      <c r="AO252">
        <f t="shared" ref="AO252:AX261" si="79">IF(OR($V252=AO$1,$Y252=AO$1),AO$1,0)</f>
        <v>0</v>
      </c>
      <c r="AP252">
        <f t="shared" si="79"/>
        <v>0</v>
      </c>
      <c r="AQ252">
        <f t="shared" si="79"/>
        <v>0</v>
      </c>
      <c r="AR252">
        <f t="shared" si="79"/>
        <v>0</v>
      </c>
      <c r="AS252">
        <f t="shared" si="79"/>
        <v>0</v>
      </c>
      <c r="AT252">
        <f t="shared" si="79"/>
        <v>0</v>
      </c>
      <c r="AU252">
        <f t="shared" si="79"/>
        <v>0</v>
      </c>
      <c r="AV252">
        <f t="shared" si="79"/>
        <v>0</v>
      </c>
      <c r="AW252" t="str">
        <f t="shared" si="79"/>
        <v>Lynch</v>
      </c>
      <c r="AX252">
        <f t="shared" si="79"/>
        <v>0</v>
      </c>
      <c r="AY252">
        <f t="shared" ref="AY252:BH261" si="80">IF(OR($V252=AY$1,$Y252=AY$1),AY$1,0)</f>
        <v>0</v>
      </c>
      <c r="AZ252">
        <f t="shared" si="80"/>
        <v>0</v>
      </c>
      <c r="BA252">
        <f t="shared" si="80"/>
        <v>0</v>
      </c>
      <c r="BB252">
        <f t="shared" si="80"/>
        <v>0</v>
      </c>
      <c r="BC252">
        <f t="shared" si="80"/>
        <v>0</v>
      </c>
      <c r="BD252">
        <f t="shared" si="80"/>
        <v>0</v>
      </c>
      <c r="BE252">
        <f t="shared" si="80"/>
        <v>0</v>
      </c>
      <c r="BF252">
        <f t="shared" si="80"/>
        <v>0</v>
      </c>
      <c r="BG252">
        <f t="shared" si="80"/>
        <v>0</v>
      </c>
      <c r="BH252">
        <f t="shared" si="80"/>
        <v>0</v>
      </c>
      <c r="BI252">
        <f t="shared" ref="BI252:BS261" si="81">IF(OR($V252=BI$1,$Y252=BI$1),BI$1,0)</f>
        <v>0</v>
      </c>
      <c r="BJ252">
        <f t="shared" si="81"/>
        <v>0</v>
      </c>
      <c r="BK252">
        <f t="shared" si="81"/>
        <v>0</v>
      </c>
      <c r="BL252" t="str">
        <f t="shared" si="81"/>
        <v>Delaney</v>
      </c>
      <c r="BM252">
        <f t="shared" si="81"/>
        <v>0</v>
      </c>
      <c r="BN252">
        <f t="shared" si="81"/>
        <v>0</v>
      </c>
      <c r="BO252">
        <f t="shared" si="81"/>
        <v>0</v>
      </c>
      <c r="BP252">
        <f t="shared" si="81"/>
        <v>0</v>
      </c>
      <c r="BQ252">
        <f t="shared" si="81"/>
        <v>0</v>
      </c>
      <c r="BR252">
        <f t="shared" si="81"/>
        <v>0</v>
      </c>
      <c r="BS252">
        <f t="shared" si="81"/>
        <v>0</v>
      </c>
    </row>
    <row r="253" spans="2:71" ht="15" customHeight="1" x14ac:dyDescent="0.2">
      <c r="B253">
        <v>14</v>
      </c>
      <c r="C253">
        <v>4</v>
      </c>
      <c r="D253">
        <v>5</v>
      </c>
      <c r="E253" t="s">
        <v>280</v>
      </c>
      <c r="F253" t="s">
        <v>214</v>
      </c>
      <c r="G253" s="5">
        <v>42937</v>
      </c>
      <c r="H253" t="s">
        <v>97</v>
      </c>
      <c r="I253" t="s">
        <v>264</v>
      </c>
      <c r="J253" t="s">
        <v>168</v>
      </c>
      <c r="K253">
        <v>9</v>
      </c>
      <c r="L253" t="s">
        <v>76</v>
      </c>
      <c r="M253" t="s">
        <v>265</v>
      </c>
      <c r="N253" t="s">
        <v>266</v>
      </c>
      <c r="O253">
        <v>71.400000000000006</v>
      </c>
      <c r="P253">
        <v>136</v>
      </c>
      <c r="Q253">
        <v>6251</v>
      </c>
      <c r="R253" t="s">
        <v>98</v>
      </c>
      <c r="S253" t="s">
        <v>80</v>
      </c>
      <c r="T253" t="s">
        <v>81</v>
      </c>
      <c r="U253" t="s">
        <v>43</v>
      </c>
      <c r="V253" t="s">
        <v>54</v>
      </c>
      <c r="W253" t="s">
        <v>78</v>
      </c>
      <c r="Y253" t="s">
        <v>41</v>
      </c>
      <c r="AA253">
        <v>1</v>
      </c>
      <c r="AB253" t="s">
        <v>33</v>
      </c>
      <c r="AC253" t="s">
        <v>233</v>
      </c>
      <c r="AE253" t="str">
        <f t="shared" si="63"/>
        <v>FoganHilts</v>
      </c>
      <c r="AF253">
        <v>0</v>
      </c>
      <c r="AG253">
        <v>0</v>
      </c>
      <c r="AH253">
        <v>1</v>
      </c>
      <c r="AI253">
        <v>0</v>
      </c>
      <c r="AJ253">
        <v>0</v>
      </c>
      <c r="AK253" t="s">
        <v>63</v>
      </c>
      <c r="AL253">
        <v>0.46551724137931</v>
      </c>
      <c r="AM253" t="s">
        <v>48</v>
      </c>
      <c r="AN253">
        <v>0.5546875</v>
      </c>
      <c r="AO253">
        <f t="shared" si="79"/>
        <v>0</v>
      </c>
      <c r="AP253" t="str">
        <f t="shared" si="79"/>
        <v>Hilts</v>
      </c>
      <c r="AQ253">
        <f t="shared" si="79"/>
        <v>0</v>
      </c>
      <c r="AR253">
        <f t="shared" si="79"/>
        <v>0</v>
      </c>
      <c r="AS253">
        <f t="shared" si="79"/>
        <v>0</v>
      </c>
      <c r="AT253">
        <f t="shared" si="79"/>
        <v>0</v>
      </c>
      <c r="AU253">
        <f t="shared" si="79"/>
        <v>0</v>
      </c>
      <c r="AV253">
        <f t="shared" si="79"/>
        <v>0</v>
      </c>
      <c r="AW253">
        <f t="shared" si="79"/>
        <v>0</v>
      </c>
      <c r="AX253">
        <f t="shared" si="79"/>
        <v>0</v>
      </c>
      <c r="AY253">
        <f t="shared" si="80"/>
        <v>0</v>
      </c>
      <c r="AZ253">
        <f t="shared" si="80"/>
        <v>0</v>
      </c>
      <c r="BA253">
        <f t="shared" si="80"/>
        <v>0</v>
      </c>
      <c r="BB253">
        <f t="shared" si="80"/>
        <v>0</v>
      </c>
      <c r="BC253" t="str">
        <f t="shared" si="80"/>
        <v>Fogan</v>
      </c>
      <c r="BD253">
        <f t="shared" si="80"/>
        <v>0</v>
      </c>
      <c r="BE253">
        <f t="shared" si="80"/>
        <v>0</v>
      </c>
      <c r="BF253">
        <f t="shared" si="80"/>
        <v>0</v>
      </c>
      <c r="BG253">
        <f t="shared" si="80"/>
        <v>0</v>
      </c>
      <c r="BH253">
        <f t="shared" si="80"/>
        <v>0</v>
      </c>
      <c r="BI253">
        <f t="shared" si="81"/>
        <v>0</v>
      </c>
      <c r="BJ253">
        <f t="shared" si="81"/>
        <v>0</v>
      </c>
      <c r="BK253">
        <f t="shared" si="81"/>
        <v>0</v>
      </c>
      <c r="BL253">
        <f t="shared" si="81"/>
        <v>0</v>
      </c>
      <c r="BM253">
        <f t="shared" si="81"/>
        <v>0</v>
      </c>
      <c r="BN253">
        <f t="shared" si="81"/>
        <v>0</v>
      </c>
      <c r="BO253">
        <f t="shared" si="81"/>
        <v>0</v>
      </c>
      <c r="BP253">
        <f t="shared" si="81"/>
        <v>0</v>
      </c>
      <c r="BQ253">
        <f t="shared" si="81"/>
        <v>0</v>
      </c>
      <c r="BR253">
        <f t="shared" si="81"/>
        <v>0</v>
      </c>
      <c r="BS253">
        <f t="shared" si="81"/>
        <v>0</v>
      </c>
    </row>
    <row r="254" spans="2:71" ht="15" customHeight="1" x14ac:dyDescent="0.2">
      <c r="B254">
        <v>15</v>
      </c>
      <c r="C254">
        <v>5</v>
      </c>
      <c r="D254">
        <v>5</v>
      </c>
      <c r="E254" t="s">
        <v>281</v>
      </c>
      <c r="F254" t="s">
        <v>214</v>
      </c>
      <c r="G254" s="5">
        <v>42937</v>
      </c>
      <c r="H254" t="s">
        <v>97</v>
      </c>
      <c r="I254" t="s">
        <v>264</v>
      </c>
      <c r="J254" t="s">
        <v>168</v>
      </c>
      <c r="K254">
        <v>9</v>
      </c>
      <c r="L254" t="s">
        <v>76</v>
      </c>
      <c r="M254" t="s">
        <v>265</v>
      </c>
      <c r="N254" t="s">
        <v>266</v>
      </c>
      <c r="O254">
        <v>71.400000000000006</v>
      </c>
      <c r="P254">
        <v>136</v>
      </c>
      <c r="Q254">
        <v>6251</v>
      </c>
      <c r="R254" t="s">
        <v>98</v>
      </c>
      <c r="S254" t="s">
        <v>80</v>
      </c>
      <c r="T254" t="s">
        <v>81</v>
      </c>
      <c r="U254" t="s">
        <v>43</v>
      </c>
      <c r="V254" t="s">
        <v>59</v>
      </c>
      <c r="W254" t="s">
        <v>109</v>
      </c>
      <c r="Y254" t="s">
        <v>60</v>
      </c>
      <c r="AA254">
        <v>1</v>
      </c>
      <c r="AB254" t="s">
        <v>32</v>
      </c>
      <c r="AC254" t="s">
        <v>202</v>
      </c>
      <c r="AE254" t="str">
        <f t="shared" si="63"/>
        <v>NoratZimmer</v>
      </c>
      <c r="AF254">
        <v>1</v>
      </c>
      <c r="AG254">
        <v>1</v>
      </c>
      <c r="AH254">
        <v>0</v>
      </c>
      <c r="AI254">
        <v>0</v>
      </c>
      <c r="AJ254">
        <v>1</v>
      </c>
      <c r="AK254" t="s">
        <v>55</v>
      </c>
      <c r="AL254">
        <v>0.44067796610169502</v>
      </c>
      <c r="AM254" t="s">
        <v>52</v>
      </c>
      <c r="AN254">
        <v>0.34745762711864397</v>
      </c>
      <c r="AO254">
        <f t="shared" si="79"/>
        <v>0</v>
      </c>
      <c r="AP254">
        <f t="shared" si="79"/>
        <v>0</v>
      </c>
      <c r="AQ254">
        <f t="shared" si="79"/>
        <v>0</v>
      </c>
      <c r="AR254">
        <f t="shared" si="79"/>
        <v>0</v>
      </c>
      <c r="AS254">
        <f t="shared" si="79"/>
        <v>0</v>
      </c>
      <c r="AT254">
        <f t="shared" si="79"/>
        <v>0</v>
      </c>
      <c r="AU254">
        <f t="shared" si="79"/>
        <v>0</v>
      </c>
      <c r="AV254">
        <f t="shared" si="79"/>
        <v>0</v>
      </c>
      <c r="AW254">
        <f t="shared" si="79"/>
        <v>0</v>
      </c>
      <c r="AX254">
        <f t="shared" si="79"/>
        <v>0</v>
      </c>
      <c r="AY254">
        <f t="shared" si="80"/>
        <v>0</v>
      </c>
      <c r="AZ254">
        <f t="shared" si="80"/>
        <v>0</v>
      </c>
      <c r="BA254">
        <f t="shared" si="80"/>
        <v>0</v>
      </c>
      <c r="BB254">
        <f t="shared" si="80"/>
        <v>0</v>
      </c>
      <c r="BC254">
        <f t="shared" si="80"/>
        <v>0</v>
      </c>
      <c r="BD254">
        <f t="shared" si="80"/>
        <v>0</v>
      </c>
      <c r="BE254">
        <f t="shared" si="80"/>
        <v>0</v>
      </c>
      <c r="BF254">
        <f t="shared" si="80"/>
        <v>0</v>
      </c>
      <c r="BG254">
        <f t="shared" si="80"/>
        <v>0</v>
      </c>
      <c r="BH254" t="str">
        <f t="shared" si="80"/>
        <v>Norat</v>
      </c>
      <c r="BI254" t="str">
        <f t="shared" si="81"/>
        <v>Zimmer</v>
      </c>
      <c r="BJ254">
        <f t="shared" si="81"/>
        <v>0</v>
      </c>
      <c r="BK254">
        <f t="shared" si="81"/>
        <v>0</v>
      </c>
      <c r="BL254">
        <f t="shared" si="81"/>
        <v>0</v>
      </c>
      <c r="BM254">
        <f t="shared" si="81"/>
        <v>0</v>
      </c>
      <c r="BN254">
        <f t="shared" si="81"/>
        <v>0</v>
      </c>
      <c r="BO254">
        <f t="shared" si="81"/>
        <v>0</v>
      </c>
      <c r="BP254">
        <f t="shared" si="81"/>
        <v>0</v>
      </c>
      <c r="BQ254">
        <f t="shared" si="81"/>
        <v>0</v>
      </c>
      <c r="BR254">
        <f t="shared" si="81"/>
        <v>0</v>
      </c>
      <c r="BS254">
        <f t="shared" si="81"/>
        <v>0</v>
      </c>
    </row>
    <row r="255" spans="2:71" ht="15" customHeight="1" x14ac:dyDescent="0.2">
      <c r="B255">
        <v>15</v>
      </c>
      <c r="C255">
        <v>5</v>
      </c>
      <c r="D255">
        <v>5</v>
      </c>
      <c r="E255" t="s">
        <v>281</v>
      </c>
      <c r="F255" t="s">
        <v>214</v>
      </c>
      <c r="G255" s="5">
        <v>42937</v>
      </c>
      <c r="H255" t="s">
        <v>97</v>
      </c>
      <c r="I255" t="s">
        <v>264</v>
      </c>
      <c r="J255" t="s">
        <v>168</v>
      </c>
      <c r="K255">
        <v>9</v>
      </c>
      <c r="L255" t="s">
        <v>76</v>
      </c>
      <c r="M255" t="s">
        <v>265</v>
      </c>
      <c r="N255" t="s">
        <v>266</v>
      </c>
      <c r="O255">
        <v>71.400000000000006</v>
      </c>
      <c r="P255">
        <v>136</v>
      </c>
      <c r="Q255">
        <v>6251</v>
      </c>
      <c r="R255" t="s">
        <v>98</v>
      </c>
      <c r="S255" t="s">
        <v>80</v>
      </c>
      <c r="T255" t="s">
        <v>83</v>
      </c>
      <c r="U255" t="s">
        <v>53</v>
      </c>
      <c r="V255" t="s">
        <v>55</v>
      </c>
      <c r="W255" t="s">
        <v>78</v>
      </c>
      <c r="Y255" t="s">
        <v>52</v>
      </c>
      <c r="AA255">
        <v>1</v>
      </c>
      <c r="AB255" t="s">
        <v>33</v>
      </c>
      <c r="AC255" t="s">
        <v>202</v>
      </c>
      <c r="AE255" t="str">
        <f t="shared" si="63"/>
        <v>ColeConnors</v>
      </c>
      <c r="AF255">
        <v>0</v>
      </c>
      <c r="AG255">
        <v>0</v>
      </c>
      <c r="AH255">
        <v>1</v>
      </c>
      <c r="AI255">
        <v>0</v>
      </c>
      <c r="AJ255">
        <v>0</v>
      </c>
      <c r="AK255" t="s">
        <v>59</v>
      </c>
      <c r="AL255">
        <v>0.52777777777777801</v>
      </c>
      <c r="AM255" t="s">
        <v>60</v>
      </c>
      <c r="AN255">
        <v>0.5</v>
      </c>
      <c r="AO255">
        <f t="shared" si="79"/>
        <v>0</v>
      </c>
      <c r="AP255">
        <f t="shared" si="79"/>
        <v>0</v>
      </c>
      <c r="AQ255">
        <f t="shared" si="79"/>
        <v>0</v>
      </c>
      <c r="AR255">
        <f t="shared" si="79"/>
        <v>0</v>
      </c>
      <c r="AS255">
        <f t="shared" si="79"/>
        <v>0</v>
      </c>
      <c r="AT255">
        <f t="shared" si="79"/>
        <v>0</v>
      </c>
      <c r="AU255">
        <f t="shared" si="79"/>
        <v>0</v>
      </c>
      <c r="AV255">
        <f t="shared" si="79"/>
        <v>0</v>
      </c>
      <c r="AW255">
        <f t="shared" si="79"/>
        <v>0</v>
      </c>
      <c r="AX255">
        <f t="shared" si="79"/>
        <v>0</v>
      </c>
      <c r="AY255">
        <f t="shared" si="80"/>
        <v>0</v>
      </c>
      <c r="AZ255">
        <f t="shared" si="80"/>
        <v>0</v>
      </c>
      <c r="BA255" t="str">
        <f t="shared" si="80"/>
        <v>Connors</v>
      </c>
      <c r="BB255">
        <f t="shared" si="80"/>
        <v>0</v>
      </c>
      <c r="BC255">
        <f t="shared" si="80"/>
        <v>0</v>
      </c>
      <c r="BD255" t="str">
        <f t="shared" si="80"/>
        <v>Cole</v>
      </c>
      <c r="BE255">
        <f t="shared" si="80"/>
        <v>0</v>
      </c>
      <c r="BF255">
        <f t="shared" si="80"/>
        <v>0</v>
      </c>
      <c r="BG255">
        <f t="shared" si="80"/>
        <v>0</v>
      </c>
      <c r="BH255">
        <f t="shared" si="80"/>
        <v>0</v>
      </c>
      <c r="BI255">
        <f t="shared" si="81"/>
        <v>0</v>
      </c>
      <c r="BJ255">
        <f t="shared" si="81"/>
        <v>0</v>
      </c>
      <c r="BK255">
        <f t="shared" si="81"/>
        <v>0</v>
      </c>
      <c r="BL255">
        <f t="shared" si="81"/>
        <v>0</v>
      </c>
      <c r="BM255">
        <f t="shared" si="81"/>
        <v>0</v>
      </c>
      <c r="BN255">
        <f t="shared" si="81"/>
        <v>0</v>
      </c>
      <c r="BO255">
        <f t="shared" si="81"/>
        <v>0</v>
      </c>
      <c r="BP255">
        <f t="shared" si="81"/>
        <v>0</v>
      </c>
      <c r="BQ255">
        <f t="shared" si="81"/>
        <v>0</v>
      </c>
      <c r="BR255">
        <f t="shared" si="81"/>
        <v>0</v>
      </c>
      <c r="BS255">
        <f t="shared" si="81"/>
        <v>0</v>
      </c>
    </row>
    <row r="256" spans="2:71" ht="15" customHeight="1" x14ac:dyDescent="0.2">
      <c r="B256">
        <v>16</v>
      </c>
      <c r="C256">
        <v>1</v>
      </c>
      <c r="D256">
        <v>5</v>
      </c>
      <c r="E256" t="s">
        <v>282</v>
      </c>
      <c r="F256" t="s">
        <v>214</v>
      </c>
      <c r="G256" s="5">
        <v>42937</v>
      </c>
      <c r="H256" t="s">
        <v>97</v>
      </c>
      <c r="I256" t="s">
        <v>264</v>
      </c>
      <c r="J256" t="s">
        <v>168</v>
      </c>
      <c r="K256">
        <v>9</v>
      </c>
      <c r="L256" t="s">
        <v>90</v>
      </c>
      <c r="M256" t="s">
        <v>265</v>
      </c>
      <c r="N256" t="s">
        <v>266</v>
      </c>
      <c r="O256">
        <v>71.400000000000006</v>
      </c>
      <c r="P256">
        <v>136</v>
      </c>
      <c r="Q256">
        <v>6251</v>
      </c>
      <c r="R256" t="s">
        <v>145</v>
      </c>
      <c r="S256" t="s">
        <v>80</v>
      </c>
      <c r="T256" t="s">
        <v>81</v>
      </c>
      <c r="U256" t="s">
        <v>43</v>
      </c>
      <c r="V256" t="s">
        <v>44</v>
      </c>
      <c r="W256" t="s">
        <v>78</v>
      </c>
      <c r="Y256" t="s">
        <v>43</v>
      </c>
      <c r="AA256">
        <v>1</v>
      </c>
      <c r="AB256" t="s">
        <v>33</v>
      </c>
      <c r="AC256" t="s">
        <v>283</v>
      </c>
      <c r="AE256" t="str">
        <f t="shared" si="63"/>
        <v>FlandersPoirier</v>
      </c>
      <c r="AF256">
        <v>0</v>
      </c>
      <c r="AG256">
        <v>0</v>
      </c>
      <c r="AH256">
        <v>1</v>
      </c>
      <c r="AI256">
        <v>0</v>
      </c>
      <c r="AJ256">
        <v>0</v>
      </c>
      <c r="AK256" t="s">
        <v>40</v>
      </c>
      <c r="AL256">
        <v>0.546875</v>
      </c>
      <c r="AM256" t="s">
        <v>46</v>
      </c>
      <c r="AN256">
        <v>0.38392857142857201</v>
      </c>
      <c r="AO256">
        <f t="shared" si="79"/>
        <v>0</v>
      </c>
      <c r="AP256">
        <f t="shared" si="79"/>
        <v>0</v>
      </c>
      <c r="AQ256">
        <f t="shared" si="79"/>
        <v>0</v>
      </c>
      <c r="AR256" t="str">
        <f t="shared" si="79"/>
        <v>Poirier</v>
      </c>
      <c r="AS256" t="str">
        <f t="shared" si="79"/>
        <v>Flanders</v>
      </c>
      <c r="AT256">
        <f t="shared" si="79"/>
        <v>0</v>
      </c>
      <c r="AU256">
        <f t="shared" si="79"/>
        <v>0</v>
      </c>
      <c r="AV256">
        <f t="shared" si="79"/>
        <v>0</v>
      </c>
      <c r="AW256">
        <f t="shared" si="79"/>
        <v>0</v>
      </c>
      <c r="AX256">
        <f t="shared" si="79"/>
        <v>0</v>
      </c>
      <c r="AY256">
        <f t="shared" si="80"/>
        <v>0</v>
      </c>
      <c r="AZ256">
        <f t="shared" si="80"/>
        <v>0</v>
      </c>
      <c r="BA256">
        <f t="shared" si="80"/>
        <v>0</v>
      </c>
      <c r="BB256">
        <f t="shared" si="80"/>
        <v>0</v>
      </c>
      <c r="BC256">
        <f t="shared" si="80"/>
        <v>0</v>
      </c>
      <c r="BD256">
        <f t="shared" si="80"/>
        <v>0</v>
      </c>
      <c r="BE256">
        <f t="shared" si="80"/>
        <v>0</v>
      </c>
      <c r="BF256">
        <f t="shared" si="80"/>
        <v>0</v>
      </c>
      <c r="BG256">
        <f t="shared" si="80"/>
        <v>0</v>
      </c>
      <c r="BH256">
        <f t="shared" si="80"/>
        <v>0</v>
      </c>
      <c r="BI256">
        <f t="shared" si="81"/>
        <v>0</v>
      </c>
      <c r="BJ256">
        <f t="shared" si="81"/>
        <v>0</v>
      </c>
      <c r="BK256">
        <f t="shared" si="81"/>
        <v>0</v>
      </c>
      <c r="BL256">
        <f t="shared" si="81"/>
        <v>0</v>
      </c>
      <c r="BM256">
        <f t="shared" si="81"/>
        <v>0</v>
      </c>
      <c r="BN256">
        <f t="shared" si="81"/>
        <v>0</v>
      </c>
      <c r="BO256">
        <f t="shared" si="81"/>
        <v>0</v>
      </c>
      <c r="BP256">
        <f t="shared" si="81"/>
        <v>0</v>
      </c>
      <c r="BQ256">
        <f t="shared" si="81"/>
        <v>0</v>
      </c>
      <c r="BR256">
        <f t="shared" si="81"/>
        <v>0</v>
      </c>
      <c r="BS256">
        <f t="shared" si="81"/>
        <v>0</v>
      </c>
    </row>
    <row r="257" spans="2:71" ht="15" customHeight="1" x14ac:dyDescent="0.2">
      <c r="B257">
        <v>16</v>
      </c>
      <c r="C257">
        <v>1</v>
      </c>
      <c r="D257">
        <v>5</v>
      </c>
      <c r="E257" t="s">
        <v>282</v>
      </c>
      <c r="F257" t="s">
        <v>214</v>
      </c>
      <c r="G257" s="5">
        <v>42937</v>
      </c>
      <c r="H257" t="s">
        <v>97</v>
      </c>
      <c r="I257" t="s">
        <v>264</v>
      </c>
      <c r="J257" t="s">
        <v>168</v>
      </c>
      <c r="K257">
        <v>9</v>
      </c>
      <c r="L257" t="s">
        <v>90</v>
      </c>
      <c r="M257" t="s">
        <v>265</v>
      </c>
      <c r="N257" t="s">
        <v>266</v>
      </c>
      <c r="O257">
        <v>71.400000000000006</v>
      </c>
      <c r="P257">
        <v>136</v>
      </c>
      <c r="Q257">
        <v>6251</v>
      </c>
      <c r="R257" t="s">
        <v>145</v>
      </c>
      <c r="S257" t="s">
        <v>80</v>
      </c>
      <c r="T257" t="s">
        <v>83</v>
      </c>
      <c r="U257" t="s">
        <v>53</v>
      </c>
      <c r="V257" t="s">
        <v>40</v>
      </c>
      <c r="W257" t="s">
        <v>109</v>
      </c>
      <c r="Y257" t="s">
        <v>46</v>
      </c>
      <c r="AA257">
        <v>1</v>
      </c>
      <c r="AB257" t="s">
        <v>32</v>
      </c>
      <c r="AC257" t="s">
        <v>283</v>
      </c>
      <c r="AE257" t="str">
        <f t="shared" si="63"/>
        <v>GriseMangold</v>
      </c>
      <c r="AF257">
        <v>1</v>
      </c>
      <c r="AG257">
        <v>1</v>
      </c>
      <c r="AH257">
        <v>0</v>
      </c>
      <c r="AI257">
        <v>0</v>
      </c>
      <c r="AJ257">
        <v>1</v>
      </c>
      <c r="AK257" t="s">
        <v>44</v>
      </c>
      <c r="AL257">
        <v>0.4296875</v>
      </c>
      <c r="AM257" t="s">
        <v>43</v>
      </c>
      <c r="AN257">
        <v>0.48611111111111099</v>
      </c>
      <c r="AO257" t="str">
        <f t="shared" si="79"/>
        <v>Grise</v>
      </c>
      <c r="AP257">
        <f t="shared" si="79"/>
        <v>0</v>
      </c>
      <c r="AQ257">
        <f t="shared" si="79"/>
        <v>0</v>
      </c>
      <c r="AR257">
        <f t="shared" si="79"/>
        <v>0</v>
      </c>
      <c r="AS257">
        <f t="shared" si="79"/>
        <v>0</v>
      </c>
      <c r="AT257">
        <f t="shared" si="79"/>
        <v>0</v>
      </c>
      <c r="AU257" t="str">
        <f t="shared" si="79"/>
        <v>Mangold</v>
      </c>
      <c r="AV257">
        <f t="shared" si="79"/>
        <v>0</v>
      </c>
      <c r="AW257">
        <f t="shared" si="79"/>
        <v>0</v>
      </c>
      <c r="AX257">
        <f t="shared" si="79"/>
        <v>0</v>
      </c>
      <c r="AY257">
        <f t="shared" si="80"/>
        <v>0</v>
      </c>
      <c r="AZ257">
        <f t="shared" si="80"/>
        <v>0</v>
      </c>
      <c r="BA257">
        <f t="shared" si="80"/>
        <v>0</v>
      </c>
      <c r="BB257">
        <f t="shared" si="80"/>
        <v>0</v>
      </c>
      <c r="BC257">
        <f t="shared" si="80"/>
        <v>0</v>
      </c>
      <c r="BD257">
        <f t="shared" si="80"/>
        <v>0</v>
      </c>
      <c r="BE257">
        <f t="shared" si="80"/>
        <v>0</v>
      </c>
      <c r="BF257">
        <f t="shared" si="80"/>
        <v>0</v>
      </c>
      <c r="BG257">
        <f t="shared" si="80"/>
        <v>0</v>
      </c>
      <c r="BH257">
        <f t="shared" si="80"/>
        <v>0</v>
      </c>
      <c r="BI257">
        <f t="shared" si="81"/>
        <v>0</v>
      </c>
      <c r="BJ257">
        <f t="shared" si="81"/>
        <v>0</v>
      </c>
      <c r="BK257">
        <f t="shared" si="81"/>
        <v>0</v>
      </c>
      <c r="BL257">
        <f t="shared" si="81"/>
        <v>0</v>
      </c>
      <c r="BM257">
        <f t="shared" si="81"/>
        <v>0</v>
      </c>
      <c r="BN257">
        <f t="shared" si="81"/>
        <v>0</v>
      </c>
      <c r="BO257">
        <f t="shared" si="81"/>
        <v>0</v>
      </c>
      <c r="BP257">
        <f t="shared" si="81"/>
        <v>0</v>
      </c>
      <c r="BQ257">
        <f t="shared" si="81"/>
        <v>0</v>
      </c>
      <c r="BR257">
        <f t="shared" si="81"/>
        <v>0</v>
      </c>
      <c r="BS257">
        <f t="shared" si="81"/>
        <v>0</v>
      </c>
    </row>
    <row r="258" spans="2:71" ht="15" customHeight="1" x14ac:dyDescent="0.2">
      <c r="B258">
        <v>17</v>
      </c>
      <c r="C258">
        <v>2</v>
      </c>
      <c r="D258">
        <v>5</v>
      </c>
      <c r="E258" t="s">
        <v>284</v>
      </c>
      <c r="F258" t="s">
        <v>214</v>
      </c>
      <c r="G258" s="5">
        <v>42937</v>
      </c>
      <c r="H258" t="s">
        <v>97</v>
      </c>
      <c r="I258" t="s">
        <v>264</v>
      </c>
      <c r="J258" t="s">
        <v>168</v>
      </c>
      <c r="K258">
        <v>9</v>
      </c>
      <c r="L258" t="s">
        <v>90</v>
      </c>
      <c r="M258" t="s">
        <v>265</v>
      </c>
      <c r="N258" t="s">
        <v>266</v>
      </c>
      <c r="O258">
        <v>71.400000000000006</v>
      </c>
      <c r="P258">
        <v>136</v>
      </c>
      <c r="Q258">
        <v>6251</v>
      </c>
      <c r="R258" t="s">
        <v>145</v>
      </c>
      <c r="S258" t="s">
        <v>80</v>
      </c>
      <c r="T258" t="s">
        <v>83</v>
      </c>
      <c r="U258" t="s">
        <v>53</v>
      </c>
      <c r="V258" t="s">
        <v>45</v>
      </c>
      <c r="W258" t="s">
        <v>109</v>
      </c>
      <c r="Y258" t="s">
        <v>53</v>
      </c>
      <c r="AA258">
        <v>1</v>
      </c>
      <c r="AB258" t="s">
        <v>34</v>
      </c>
      <c r="AC258" t="s">
        <v>285</v>
      </c>
      <c r="AE258" t="str">
        <f t="shared" ref="AE258:AE321" si="82">$V258&amp;$Y258</f>
        <v>ConnollyForster</v>
      </c>
      <c r="AF258">
        <v>0.5</v>
      </c>
      <c r="AG258">
        <v>0</v>
      </c>
      <c r="AH258">
        <v>0</v>
      </c>
      <c r="AI258">
        <v>1</v>
      </c>
      <c r="AJ258">
        <v>0.5</v>
      </c>
      <c r="AK258" t="s">
        <v>50</v>
      </c>
      <c r="AL258">
        <v>0.59523809523809501</v>
      </c>
      <c r="AM258" t="s">
        <v>42</v>
      </c>
      <c r="AN258">
        <v>0.6171875</v>
      </c>
      <c r="AO258">
        <f t="shared" si="79"/>
        <v>0</v>
      </c>
      <c r="AP258">
        <f t="shared" si="79"/>
        <v>0</v>
      </c>
      <c r="AQ258">
        <f t="shared" si="79"/>
        <v>0</v>
      </c>
      <c r="AR258">
        <f t="shared" si="79"/>
        <v>0</v>
      </c>
      <c r="AS258">
        <f t="shared" si="79"/>
        <v>0</v>
      </c>
      <c r="AT258" t="str">
        <f t="shared" si="79"/>
        <v>Connolly</v>
      </c>
      <c r="AU258">
        <f t="shared" si="79"/>
        <v>0</v>
      </c>
      <c r="AV258">
        <f t="shared" si="79"/>
        <v>0</v>
      </c>
      <c r="AW258">
        <f t="shared" si="79"/>
        <v>0</v>
      </c>
      <c r="AX258">
        <f t="shared" si="79"/>
        <v>0</v>
      </c>
      <c r="AY258">
        <f t="shared" si="80"/>
        <v>0</v>
      </c>
      <c r="AZ258">
        <f t="shared" si="80"/>
        <v>0</v>
      </c>
      <c r="BA258">
        <f t="shared" si="80"/>
        <v>0</v>
      </c>
      <c r="BB258" t="str">
        <f t="shared" si="80"/>
        <v>Forster</v>
      </c>
      <c r="BC258">
        <f t="shared" si="80"/>
        <v>0</v>
      </c>
      <c r="BD258">
        <f t="shared" si="80"/>
        <v>0</v>
      </c>
      <c r="BE258">
        <f t="shared" si="80"/>
        <v>0</v>
      </c>
      <c r="BF258">
        <f t="shared" si="80"/>
        <v>0</v>
      </c>
      <c r="BG258">
        <f t="shared" si="80"/>
        <v>0</v>
      </c>
      <c r="BH258">
        <f t="shared" si="80"/>
        <v>0</v>
      </c>
      <c r="BI258">
        <f t="shared" si="81"/>
        <v>0</v>
      </c>
      <c r="BJ258">
        <f t="shared" si="81"/>
        <v>0</v>
      </c>
      <c r="BK258">
        <f t="shared" si="81"/>
        <v>0</v>
      </c>
      <c r="BL258">
        <f t="shared" si="81"/>
        <v>0</v>
      </c>
      <c r="BM258">
        <f t="shared" si="81"/>
        <v>0</v>
      </c>
      <c r="BN258">
        <f t="shared" si="81"/>
        <v>0</v>
      </c>
      <c r="BO258">
        <f t="shared" si="81"/>
        <v>0</v>
      </c>
      <c r="BP258">
        <f t="shared" si="81"/>
        <v>0</v>
      </c>
      <c r="BQ258">
        <f t="shared" si="81"/>
        <v>0</v>
      </c>
      <c r="BR258">
        <f t="shared" si="81"/>
        <v>0</v>
      </c>
      <c r="BS258">
        <f t="shared" si="81"/>
        <v>0</v>
      </c>
    </row>
    <row r="259" spans="2:71" ht="15" customHeight="1" x14ac:dyDescent="0.2">
      <c r="B259">
        <v>17</v>
      </c>
      <c r="C259">
        <v>2</v>
      </c>
      <c r="D259">
        <v>5</v>
      </c>
      <c r="E259" t="s">
        <v>284</v>
      </c>
      <c r="F259" t="s">
        <v>214</v>
      </c>
      <c r="G259" s="5">
        <v>42937</v>
      </c>
      <c r="H259" t="s">
        <v>97</v>
      </c>
      <c r="I259" t="s">
        <v>264</v>
      </c>
      <c r="J259" t="s">
        <v>168</v>
      </c>
      <c r="K259">
        <v>9</v>
      </c>
      <c r="L259" t="s">
        <v>90</v>
      </c>
      <c r="M259" t="s">
        <v>265</v>
      </c>
      <c r="N259" t="s">
        <v>266</v>
      </c>
      <c r="O259">
        <v>71.400000000000006</v>
      </c>
      <c r="P259">
        <v>136</v>
      </c>
      <c r="Q259">
        <v>6251</v>
      </c>
      <c r="R259" t="s">
        <v>145</v>
      </c>
      <c r="S259" t="s">
        <v>80</v>
      </c>
      <c r="T259" t="s">
        <v>81</v>
      </c>
      <c r="U259" t="s">
        <v>43</v>
      </c>
      <c r="V259" t="s">
        <v>50</v>
      </c>
      <c r="W259" t="s">
        <v>78</v>
      </c>
      <c r="Y259" t="s">
        <v>42</v>
      </c>
      <c r="AA259">
        <v>1</v>
      </c>
      <c r="AB259" t="s">
        <v>34</v>
      </c>
      <c r="AC259" t="s">
        <v>285</v>
      </c>
      <c r="AE259" t="str">
        <f t="shared" si="82"/>
        <v>FerrinJackson</v>
      </c>
      <c r="AF259">
        <v>0.5</v>
      </c>
      <c r="AG259">
        <v>0</v>
      </c>
      <c r="AH259">
        <v>0</v>
      </c>
      <c r="AI259">
        <v>1</v>
      </c>
      <c r="AJ259">
        <v>0.5</v>
      </c>
      <c r="AK259" t="s">
        <v>45</v>
      </c>
      <c r="AL259">
        <v>0.59375</v>
      </c>
      <c r="AM259" t="s">
        <v>53</v>
      </c>
      <c r="AN259">
        <v>0.59649122807017496</v>
      </c>
      <c r="AO259">
        <f t="shared" si="79"/>
        <v>0</v>
      </c>
      <c r="AP259">
        <f t="shared" si="79"/>
        <v>0</v>
      </c>
      <c r="AQ259" t="str">
        <f t="shared" si="79"/>
        <v>Jackson</v>
      </c>
      <c r="AR259">
        <f t="shared" si="79"/>
        <v>0</v>
      </c>
      <c r="AS259">
        <f t="shared" si="79"/>
        <v>0</v>
      </c>
      <c r="AT259">
        <f t="shared" si="79"/>
        <v>0</v>
      </c>
      <c r="AU259">
        <f t="shared" si="79"/>
        <v>0</v>
      </c>
      <c r="AV259">
        <f t="shared" si="79"/>
        <v>0</v>
      </c>
      <c r="AW259">
        <f t="shared" si="79"/>
        <v>0</v>
      </c>
      <c r="AX259">
        <f t="shared" si="79"/>
        <v>0</v>
      </c>
      <c r="AY259" t="str">
        <f t="shared" si="80"/>
        <v>Ferrin</v>
      </c>
      <c r="AZ259">
        <f t="shared" si="80"/>
        <v>0</v>
      </c>
      <c r="BA259">
        <f t="shared" si="80"/>
        <v>0</v>
      </c>
      <c r="BB259">
        <f t="shared" si="80"/>
        <v>0</v>
      </c>
      <c r="BC259">
        <f t="shared" si="80"/>
        <v>0</v>
      </c>
      <c r="BD259">
        <f t="shared" si="80"/>
        <v>0</v>
      </c>
      <c r="BE259">
        <f t="shared" si="80"/>
        <v>0</v>
      </c>
      <c r="BF259">
        <f t="shared" si="80"/>
        <v>0</v>
      </c>
      <c r="BG259">
        <f t="shared" si="80"/>
        <v>0</v>
      </c>
      <c r="BH259">
        <f t="shared" si="80"/>
        <v>0</v>
      </c>
      <c r="BI259">
        <f t="shared" si="81"/>
        <v>0</v>
      </c>
      <c r="BJ259">
        <f t="shared" si="81"/>
        <v>0</v>
      </c>
      <c r="BK259">
        <f t="shared" si="81"/>
        <v>0</v>
      </c>
      <c r="BL259">
        <f t="shared" si="81"/>
        <v>0</v>
      </c>
      <c r="BM259">
        <f t="shared" si="81"/>
        <v>0</v>
      </c>
      <c r="BN259">
        <f t="shared" si="81"/>
        <v>0</v>
      </c>
      <c r="BO259">
        <f t="shared" si="81"/>
        <v>0</v>
      </c>
      <c r="BP259">
        <f t="shared" si="81"/>
        <v>0</v>
      </c>
      <c r="BQ259">
        <f t="shared" si="81"/>
        <v>0</v>
      </c>
      <c r="BR259">
        <f t="shared" si="81"/>
        <v>0</v>
      </c>
      <c r="BS259">
        <f t="shared" si="81"/>
        <v>0</v>
      </c>
    </row>
    <row r="260" spans="2:71" ht="15" customHeight="1" x14ac:dyDescent="0.2">
      <c r="B260">
        <v>18</v>
      </c>
      <c r="C260">
        <v>3</v>
      </c>
      <c r="D260">
        <v>5</v>
      </c>
      <c r="E260" t="s">
        <v>286</v>
      </c>
      <c r="F260" t="s">
        <v>214</v>
      </c>
      <c r="G260" s="5">
        <v>42937</v>
      </c>
      <c r="H260" t="s">
        <v>97</v>
      </c>
      <c r="I260" t="s">
        <v>264</v>
      </c>
      <c r="J260" t="s">
        <v>168</v>
      </c>
      <c r="K260">
        <v>9</v>
      </c>
      <c r="L260" t="s">
        <v>90</v>
      </c>
      <c r="M260" t="s">
        <v>265</v>
      </c>
      <c r="N260" t="s">
        <v>266</v>
      </c>
      <c r="O260">
        <v>71.400000000000006</v>
      </c>
      <c r="P260">
        <v>136</v>
      </c>
      <c r="Q260">
        <v>6251</v>
      </c>
      <c r="R260" t="s">
        <v>145</v>
      </c>
      <c r="S260" t="s">
        <v>80</v>
      </c>
      <c r="T260" t="s">
        <v>81</v>
      </c>
      <c r="U260" t="s">
        <v>43</v>
      </c>
      <c r="V260" t="s">
        <v>58</v>
      </c>
      <c r="W260" t="s">
        <v>78</v>
      </c>
      <c r="Y260" t="s">
        <v>62</v>
      </c>
      <c r="AA260">
        <v>1</v>
      </c>
      <c r="AB260" t="s">
        <v>32</v>
      </c>
      <c r="AC260" t="s">
        <v>287</v>
      </c>
      <c r="AE260" t="str">
        <f t="shared" si="82"/>
        <v>GrayWelker</v>
      </c>
      <c r="AF260">
        <v>1</v>
      </c>
      <c r="AG260">
        <v>1</v>
      </c>
      <c r="AH260">
        <v>0</v>
      </c>
      <c r="AI260">
        <v>0</v>
      </c>
      <c r="AJ260">
        <v>1</v>
      </c>
      <c r="AK260" t="s">
        <v>61</v>
      </c>
      <c r="AL260">
        <v>0.5</v>
      </c>
      <c r="AM260" t="s">
        <v>49</v>
      </c>
      <c r="AO260">
        <f t="shared" si="79"/>
        <v>0</v>
      </c>
      <c r="AP260">
        <f t="shared" si="79"/>
        <v>0</v>
      </c>
      <c r="AQ260">
        <f t="shared" si="79"/>
        <v>0</v>
      </c>
      <c r="AR260">
        <f t="shared" si="79"/>
        <v>0</v>
      </c>
      <c r="AS260">
        <f t="shared" si="79"/>
        <v>0</v>
      </c>
      <c r="AT260">
        <f t="shared" si="79"/>
        <v>0</v>
      </c>
      <c r="AU260">
        <f t="shared" si="79"/>
        <v>0</v>
      </c>
      <c r="AV260">
        <f t="shared" si="79"/>
        <v>0</v>
      </c>
      <c r="AW260">
        <f t="shared" si="79"/>
        <v>0</v>
      </c>
      <c r="AX260">
        <f t="shared" si="79"/>
        <v>0</v>
      </c>
      <c r="AY260">
        <f t="shared" si="80"/>
        <v>0</v>
      </c>
      <c r="AZ260">
        <f t="shared" si="80"/>
        <v>0</v>
      </c>
      <c r="BA260">
        <f t="shared" si="80"/>
        <v>0</v>
      </c>
      <c r="BB260">
        <f t="shared" si="80"/>
        <v>0</v>
      </c>
      <c r="BC260">
        <f t="shared" si="80"/>
        <v>0</v>
      </c>
      <c r="BD260">
        <f t="shared" si="80"/>
        <v>0</v>
      </c>
      <c r="BE260">
        <f t="shared" si="80"/>
        <v>0</v>
      </c>
      <c r="BF260">
        <f t="shared" si="80"/>
        <v>0</v>
      </c>
      <c r="BG260" t="str">
        <f t="shared" si="80"/>
        <v>Gray</v>
      </c>
      <c r="BH260">
        <f t="shared" si="80"/>
        <v>0</v>
      </c>
      <c r="BI260">
        <f t="shared" si="81"/>
        <v>0</v>
      </c>
      <c r="BJ260">
        <f t="shared" si="81"/>
        <v>0</v>
      </c>
      <c r="BK260" t="str">
        <f t="shared" si="81"/>
        <v>Welker</v>
      </c>
      <c r="BL260">
        <f t="shared" si="81"/>
        <v>0</v>
      </c>
      <c r="BM260">
        <f t="shared" si="81"/>
        <v>0</v>
      </c>
      <c r="BN260">
        <f t="shared" si="81"/>
        <v>0</v>
      </c>
      <c r="BO260">
        <f t="shared" si="81"/>
        <v>0</v>
      </c>
      <c r="BP260">
        <f t="shared" si="81"/>
        <v>0</v>
      </c>
      <c r="BQ260">
        <f t="shared" si="81"/>
        <v>0</v>
      </c>
      <c r="BR260">
        <f t="shared" si="81"/>
        <v>0</v>
      </c>
      <c r="BS260">
        <f t="shared" si="81"/>
        <v>0</v>
      </c>
    </row>
    <row r="261" spans="2:71" ht="15" customHeight="1" x14ac:dyDescent="0.2">
      <c r="B261">
        <v>18</v>
      </c>
      <c r="C261">
        <v>3</v>
      </c>
      <c r="D261">
        <v>5</v>
      </c>
      <c r="E261" t="s">
        <v>286</v>
      </c>
      <c r="F261" t="s">
        <v>214</v>
      </c>
      <c r="G261" s="5">
        <v>42937</v>
      </c>
      <c r="H261" t="s">
        <v>97</v>
      </c>
      <c r="I261" t="s">
        <v>264</v>
      </c>
      <c r="J261" t="s">
        <v>168</v>
      </c>
      <c r="K261">
        <v>9</v>
      </c>
      <c r="L261" t="s">
        <v>90</v>
      </c>
      <c r="M261" t="s">
        <v>265</v>
      </c>
      <c r="N261" t="s">
        <v>266</v>
      </c>
      <c r="O261">
        <v>71.400000000000006</v>
      </c>
      <c r="P261">
        <v>136</v>
      </c>
      <c r="Q261">
        <v>6251</v>
      </c>
      <c r="R261" t="s">
        <v>145</v>
      </c>
      <c r="S261" t="s">
        <v>80</v>
      </c>
      <c r="T261" t="s">
        <v>83</v>
      </c>
      <c r="U261" t="s">
        <v>53</v>
      </c>
      <c r="V261" t="s">
        <v>61</v>
      </c>
      <c r="W261" t="s">
        <v>109</v>
      </c>
      <c r="Y261" t="s">
        <v>49</v>
      </c>
      <c r="AA261">
        <v>1</v>
      </c>
      <c r="AB261" t="s">
        <v>33</v>
      </c>
      <c r="AC261" t="s">
        <v>287</v>
      </c>
      <c r="AE261" t="str">
        <f t="shared" si="82"/>
        <v>McInerneyShively</v>
      </c>
      <c r="AF261">
        <v>0</v>
      </c>
      <c r="AG261">
        <v>0</v>
      </c>
      <c r="AH261">
        <v>1</v>
      </c>
      <c r="AI261">
        <v>0</v>
      </c>
      <c r="AJ261">
        <v>0</v>
      </c>
      <c r="AK261" t="s">
        <v>58</v>
      </c>
      <c r="AL261">
        <v>0.65476190476190499</v>
      </c>
      <c r="AM261" t="s">
        <v>62</v>
      </c>
      <c r="AN261">
        <v>0.51041666666666696</v>
      </c>
      <c r="AO261">
        <f t="shared" si="79"/>
        <v>0</v>
      </c>
      <c r="AP261">
        <f t="shared" si="79"/>
        <v>0</v>
      </c>
      <c r="AQ261">
        <f t="shared" si="79"/>
        <v>0</v>
      </c>
      <c r="AR261">
        <f t="shared" si="79"/>
        <v>0</v>
      </c>
      <c r="AS261">
        <f t="shared" si="79"/>
        <v>0</v>
      </c>
      <c r="AT261">
        <f t="shared" si="79"/>
        <v>0</v>
      </c>
      <c r="AU261">
        <f t="shared" si="79"/>
        <v>0</v>
      </c>
      <c r="AV261">
        <f t="shared" si="79"/>
        <v>0</v>
      </c>
      <c r="AW261">
        <f t="shared" si="79"/>
        <v>0</v>
      </c>
      <c r="AX261" t="str">
        <f t="shared" si="79"/>
        <v>Shively</v>
      </c>
      <c r="AY261">
        <f t="shared" si="80"/>
        <v>0</v>
      </c>
      <c r="AZ261">
        <f t="shared" si="80"/>
        <v>0</v>
      </c>
      <c r="BA261">
        <f t="shared" si="80"/>
        <v>0</v>
      </c>
      <c r="BB261">
        <f t="shared" si="80"/>
        <v>0</v>
      </c>
      <c r="BC261">
        <f t="shared" si="80"/>
        <v>0</v>
      </c>
      <c r="BD261">
        <f t="shared" si="80"/>
        <v>0</v>
      </c>
      <c r="BE261">
        <f t="shared" si="80"/>
        <v>0</v>
      </c>
      <c r="BF261">
        <f t="shared" si="80"/>
        <v>0</v>
      </c>
      <c r="BG261">
        <f t="shared" si="80"/>
        <v>0</v>
      </c>
      <c r="BH261">
        <f t="shared" si="80"/>
        <v>0</v>
      </c>
      <c r="BI261">
        <f t="shared" si="81"/>
        <v>0</v>
      </c>
      <c r="BJ261" t="str">
        <f t="shared" si="81"/>
        <v>McInerney</v>
      </c>
      <c r="BK261">
        <f t="shared" si="81"/>
        <v>0</v>
      </c>
      <c r="BL261">
        <f t="shared" si="81"/>
        <v>0</v>
      </c>
      <c r="BM261">
        <f t="shared" si="81"/>
        <v>0</v>
      </c>
      <c r="BN261">
        <f t="shared" si="81"/>
        <v>0</v>
      </c>
      <c r="BO261">
        <f t="shared" si="81"/>
        <v>0</v>
      </c>
      <c r="BP261">
        <f t="shared" si="81"/>
        <v>0</v>
      </c>
      <c r="BQ261">
        <f t="shared" si="81"/>
        <v>0</v>
      </c>
      <c r="BR261">
        <f t="shared" si="81"/>
        <v>0</v>
      </c>
      <c r="BS261">
        <f t="shared" si="81"/>
        <v>0</v>
      </c>
    </row>
    <row r="262" spans="2:71" ht="15" customHeight="1" x14ac:dyDescent="0.2">
      <c r="B262">
        <v>19</v>
      </c>
      <c r="C262">
        <v>4</v>
      </c>
      <c r="D262">
        <v>5</v>
      </c>
      <c r="E262" t="s">
        <v>288</v>
      </c>
      <c r="F262" t="s">
        <v>214</v>
      </c>
      <c r="G262" s="5">
        <v>42937</v>
      </c>
      <c r="H262" t="s">
        <v>97</v>
      </c>
      <c r="I262" t="s">
        <v>264</v>
      </c>
      <c r="J262" t="s">
        <v>168</v>
      </c>
      <c r="K262">
        <v>9</v>
      </c>
      <c r="L262" t="s">
        <v>90</v>
      </c>
      <c r="M262" t="s">
        <v>265</v>
      </c>
      <c r="N262" t="s">
        <v>266</v>
      </c>
      <c r="O262">
        <v>71.400000000000006</v>
      </c>
      <c r="P262">
        <v>136</v>
      </c>
      <c r="Q262">
        <v>6251</v>
      </c>
      <c r="R262" t="s">
        <v>145</v>
      </c>
      <c r="S262" t="s">
        <v>80</v>
      </c>
      <c r="T262" t="s">
        <v>83</v>
      </c>
      <c r="U262" t="s">
        <v>53</v>
      </c>
      <c r="V262" t="s">
        <v>63</v>
      </c>
      <c r="W262" t="s">
        <v>109</v>
      </c>
      <c r="Y262" t="s">
        <v>48</v>
      </c>
      <c r="AA262">
        <v>1</v>
      </c>
      <c r="AB262" t="s">
        <v>32</v>
      </c>
      <c r="AC262" t="s">
        <v>289</v>
      </c>
      <c r="AE262" t="str">
        <f t="shared" si="82"/>
        <v>DelaneyLynch</v>
      </c>
      <c r="AF262">
        <v>1</v>
      </c>
      <c r="AG262">
        <v>1</v>
      </c>
      <c r="AH262">
        <v>0</v>
      </c>
      <c r="AI262">
        <v>0</v>
      </c>
      <c r="AJ262">
        <v>1</v>
      </c>
      <c r="AK262" t="s">
        <v>54</v>
      </c>
      <c r="AL262">
        <v>0.37288135593220301</v>
      </c>
      <c r="AM262" t="s">
        <v>41</v>
      </c>
      <c r="AN262">
        <v>0.47321428571428598</v>
      </c>
      <c r="AO262">
        <f t="shared" ref="AO262:AX271" si="83">IF(OR($V262=AO$1,$Y262=AO$1),AO$1,0)</f>
        <v>0</v>
      </c>
      <c r="AP262">
        <f t="shared" si="83"/>
        <v>0</v>
      </c>
      <c r="AQ262">
        <f t="shared" si="83"/>
        <v>0</v>
      </c>
      <c r="AR262">
        <f t="shared" si="83"/>
        <v>0</v>
      </c>
      <c r="AS262">
        <f t="shared" si="83"/>
        <v>0</v>
      </c>
      <c r="AT262">
        <f t="shared" si="83"/>
        <v>0</v>
      </c>
      <c r="AU262">
        <f t="shared" si="83"/>
        <v>0</v>
      </c>
      <c r="AV262">
        <f t="shared" si="83"/>
        <v>0</v>
      </c>
      <c r="AW262" t="str">
        <f t="shared" si="83"/>
        <v>Lynch</v>
      </c>
      <c r="AX262">
        <f t="shared" si="83"/>
        <v>0</v>
      </c>
      <c r="AY262">
        <f t="shared" ref="AY262:BH271" si="84">IF(OR($V262=AY$1,$Y262=AY$1),AY$1,0)</f>
        <v>0</v>
      </c>
      <c r="AZ262">
        <f t="shared" si="84"/>
        <v>0</v>
      </c>
      <c r="BA262">
        <f t="shared" si="84"/>
        <v>0</v>
      </c>
      <c r="BB262">
        <f t="shared" si="84"/>
        <v>0</v>
      </c>
      <c r="BC262">
        <f t="shared" si="84"/>
        <v>0</v>
      </c>
      <c r="BD262">
        <f t="shared" si="84"/>
        <v>0</v>
      </c>
      <c r="BE262">
        <f t="shared" si="84"/>
        <v>0</v>
      </c>
      <c r="BF262">
        <f t="shared" si="84"/>
        <v>0</v>
      </c>
      <c r="BG262">
        <f t="shared" si="84"/>
        <v>0</v>
      </c>
      <c r="BH262">
        <f t="shared" si="84"/>
        <v>0</v>
      </c>
      <c r="BI262">
        <f t="shared" ref="BI262:BS271" si="85">IF(OR($V262=BI$1,$Y262=BI$1),BI$1,0)</f>
        <v>0</v>
      </c>
      <c r="BJ262">
        <f t="shared" si="85"/>
        <v>0</v>
      </c>
      <c r="BK262">
        <f t="shared" si="85"/>
        <v>0</v>
      </c>
      <c r="BL262" t="str">
        <f t="shared" si="85"/>
        <v>Delaney</v>
      </c>
      <c r="BM262">
        <f t="shared" si="85"/>
        <v>0</v>
      </c>
      <c r="BN262">
        <f t="shared" si="85"/>
        <v>0</v>
      </c>
      <c r="BO262">
        <f t="shared" si="85"/>
        <v>0</v>
      </c>
      <c r="BP262">
        <f t="shared" si="85"/>
        <v>0</v>
      </c>
      <c r="BQ262">
        <f t="shared" si="85"/>
        <v>0</v>
      </c>
      <c r="BR262">
        <f t="shared" si="85"/>
        <v>0</v>
      </c>
      <c r="BS262">
        <f t="shared" si="85"/>
        <v>0</v>
      </c>
    </row>
    <row r="263" spans="2:71" ht="15" customHeight="1" x14ac:dyDescent="0.2">
      <c r="B263">
        <v>19</v>
      </c>
      <c r="C263">
        <v>4</v>
      </c>
      <c r="D263">
        <v>5</v>
      </c>
      <c r="E263" t="s">
        <v>288</v>
      </c>
      <c r="F263" t="s">
        <v>214</v>
      </c>
      <c r="G263" s="5">
        <v>42937</v>
      </c>
      <c r="H263" t="s">
        <v>97</v>
      </c>
      <c r="I263" t="s">
        <v>264</v>
      </c>
      <c r="J263" t="s">
        <v>168</v>
      </c>
      <c r="K263">
        <v>9</v>
      </c>
      <c r="L263" t="s">
        <v>90</v>
      </c>
      <c r="M263" t="s">
        <v>265</v>
      </c>
      <c r="N263" t="s">
        <v>266</v>
      </c>
      <c r="O263">
        <v>71.400000000000006</v>
      </c>
      <c r="P263">
        <v>136</v>
      </c>
      <c r="Q263">
        <v>6251</v>
      </c>
      <c r="R263" t="s">
        <v>145</v>
      </c>
      <c r="S263" t="s">
        <v>80</v>
      </c>
      <c r="T263" t="s">
        <v>81</v>
      </c>
      <c r="U263" t="s">
        <v>43</v>
      </c>
      <c r="V263" t="s">
        <v>54</v>
      </c>
      <c r="W263" t="s">
        <v>78</v>
      </c>
      <c r="Y263" t="s">
        <v>41</v>
      </c>
      <c r="AA263">
        <v>1</v>
      </c>
      <c r="AB263" t="s">
        <v>33</v>
      </c>
      <c r="AC263" t="s">
        <v>289</v>
      </c>
      <c r="AE263" t="str">
        <f t="shared" si="82"/>
        <v>FoganHilts</v>
      </c>
      <c r="AF263">
        <v>0</v>
      </c>
      <c r="AG263">
        <v>0</v>
      </c>
      <c r="AH263">
        <v>1</v>
      </c>
      <c r="AI263">
        <v>0</v>
      </c>
      <c r="AJ263">
        <v>0</v>
      </c>
      <c r="AK263" t="s">
        <v>63</v>
      </c>
      <c r="AL263">
        <v>0.46551724137931</v>
      </c>
      <c r="AM263" t="s">
        <v>48</v>
      </c>
      <c r="AN263">
        <v>0.5546875</v>
      </c>
      <c r="AO263">
        <f t="shared" si="83"/>
        <v>0</v>
      </c>
      <c r="AP263" t="str">
        <f t="shared" si="83"/>
        <v>Hilts</v>
      </c>
      <c r="AQ263">
        <f t="shared" si="83"/>
        <v>0</v>
      </c>
      <c r="AR263">
        <f t="shared" si="83"/>
        <v>0</v>
      </c>
      <c r="AS263">
        <f t="shared" si="83"/>
        <v>0</v>
      </c>
      <c r="AT263">
        <f t="shared" si="83"/>
        <v>0</v>
      </c>
      <c r="AU263">
        <f t="shared" si="83"/>
        <v>0</v>
      </c>
      <c r="AV263">
        <f t="shared" si="83"/>
        <v>0</v>
      </c>
      <c r="AW263">
        <f t="shared" si="83"/>
        <v>0</v>
      </c>
      <c r="AX263">
        <f t="shared" si="83"/>
        <v>0</v>
      </c>
      <c r="AY263">
        <f t="shared" si="84"/>
        <v>0</v>
      </c>
      <c r="AZ263">
        <f t="shared" si="84"/>
        <v>0</v>
      </c>
      <c r="BA263">
        <f t="shared" si="84"/>
        <v>0</v>
      </c>
      <c r="BB263">
        <f t="shared" si="84"/>
        <v>0</v>
      </c>
      <c r="BC263" t="str">
        <f t="shared" si="84"/>
        <v>Fogan</v>
      </c>
      <c r="BD263">
        <f t="shared" si="84"/>
        <v>0</v>
      </c>
      <c r="BE263">
        <f t="shared" si="84"/>
        <v>0</v>
      </c>
      <c r="BF263">
        <f t="shared" si="84"/>
        <v>0</v>
      </c>
      <c r="BG263">
        <f t="shared" si="84"/>
        <v>0</v>
      </c>
      <c r="BH263">
        <f t="shared" si="84"/>
        <v>0</v>
      </c>
      <c r="BI263">
        <f t="shared" si="85"/>
        <v>0</v>
      </c>
      <c r="BJ263">
        <f t="shared" si="85"/>
        <v>0</v>
      </c>
      <c r="BK263">
        <f t="shared" si="85"/>
        <v>0</v>
      </c>
      <c r="BL263">
        <f t="shared" si="85"/>
        <v>0</v>
      </c>
      <c r="BM263">
        <f t="shared" si="85"/>
        <v>0</v>
      </c>
      <c r="BN263">
        <f t="shared" si="85"/>
        <v>0</v>
      </c>
      <c r="BO263">
        <f t="shared" si="85"/>
        <v>0</v>
      </c>
      <c r="BP263">
        <f t="shared" si="85"/>
        <v>0</v>
      </c>
      <c r="BQ263">
        <f t="shared" si="85"/>
        <v>0</v>
      </c>
      <c r="BR263">
        <f t="shared" si="85"/>
        <v>0</v>
      </c>
      <c r="BS263">
        <f t="shared" si="85"/>
        <v>0</v>
      </c>
    </row>
    <row r="264" spans="2:71" ht="15" customHeight="1" x14ac:dyDescent="0.2">
      <c r="B264">
        <v>20</v>
      </c>
      <c r="C264">
        <v>5</v>
      </c>
      <c r="D264">
        <v>5</v>
      </c>
      <c r="E264" t="s">
        <v>290</v>
      </c>
      <c r="F264" t="s">
        <v>214</v>
      </c>
      <c r="G264" s="5">
        <v>42937</v>
      </c>
      <c r="H264" t="s">
        <v>97</v>
      </c>
      <c r="I264" t="s">
        <v>264</v>
      </c>
      <c r="J264" t="s">
        <v>168</v>
      </c>
      <c r="K264">
        <v>9</v>
      </c>
      <c r="L264" t="s">
        <v>90</v>
      </c>
      <c r="M264" t="s">
        <v>265</v>
      </c>
      <c r="N264" t="s">
        <v>266</v>
      </c>
      <c r="O264">
        <v>71.400000000000006</v>
      </c>
      <c r="P264">
        <v>136</v>
      </c>
      <c r="Q264">
        <v>6251</v>
      </c>
      <c r="R264" t="s">
        <v>145</v>
      </c>
      <c r="S264" t="s">
        <v>80</v>
      </c>
      <c r="T264" t="s">
        <v>81</v>
      </c>
      <c r="U264" t="s">
        <v>43</v>
      </c>
      <c r="V264" t="s">
        <v>59</v>
      </c>
      <c r="W264" t="s">
        <v>109</v>
      </c>
      <c r="Y264" t="s">
        <v>60</v>
      </c>
      <c r="AA264">
        <v>1</v>
      </c>
      <c r="AB264" t="s">
        <v>32</v>
      </c>
      <c r="AC264" t="s">
        <v>291</v>
      </c>
      <c r="AE264" t="str">
        <f t="shared" si="82"/>
        <v>NoratZimmer</v>
      </c>
      <c r="AF264">
        <v>1</v>
      </c>
      <c r="AG264">
        <v>1</v>
      </c>
      <c r="AH264">
        <v>0</v>
      </c>
      <c r="AI264">
        <v>0</v>
      </c>
      <c r="AJ264">
        <v>1</v>
      </c>
      <c r="AK264" t="s">
        <v>55</v>
      </c>
      <c r="AL264">
        <v>0.44067796610169502</v>
      </c>
      <c r="AM264" t="s">
        <v>52</v>
      </c>
      <c r="AN264">
        <v>0.34745762711864397</v>
      </c>
      <c r="AO264">
        <f t="shared" si="83"/>
        <v>0</v>
      </c>
      <c r="AP264">
        <f t="shared" si="83"/>
        <v>0</v>
      </c>
      <c r="AQ264">
        <f t="shared" si="83"/>
        <v>0</v>
      </c>
      <c r="AR264">
        <f t="shared" si="83"/>
        <v>0</v>
      </c>
      <c r="AS264">
        <f t="shared" si="83"/>
        <v>0</v>
      </c>
      <c r="AT264">
        <f t="shared" si="83"/>
        <v>0</v>
      </c>
      <c r="AU264">
        <f t="shared" si="83"/>
        <v>0</v>
      </c>
      <c r="AV264">
        <f t="shared" si="83"/>
        <v>0</v>
      </c>
      <c r="AW264">
        <f t="shared" si="83"/>
        <v>0</v>
      </c>
      <c r="AX264">
        <f t="shared" si="83"/>
        <v>0</v>
      </c>
      <c r="AY264">
        <f t="shared" si="84"/>
        <v>0</v>
      </c>
      <c r="AZ264">
        <f t="shared" si="84"/>
        <v>0</v>
      </c>
      <c r="BA264">
        <f t="shared" si="84"/>
        <v>0</v>
      </c>
      <c r="BB264">
        <f t="shared" si="84"/>
        <v>0</v>
      </c>
      <c r="BC264">
        <f t="shared" si="84"/>
        <v>0</v>
      </c>
      <c r="BD264">
        <f t="shared" si="84"/>
        <v>0</v>
      </c>
      <c r="BE264">
        <f t="shared" si="84"/>
        <v>0</v>
      </c>
      <c r="BF264">
        <f t="shared" si="84"/>
        <v>0</v>
      </c>
      <c r="BG264">
        <f t="shared" si="84"/>
        <v>0</v>
      </c>
      <c r="BH264" t="str">
        <f t="shared" si="84"/>
        <v>Norat</v>
      </c>
      <c r="BI264" t="str">
        <f t="shared" si="85"/>
        <v>Zimmer</v>
      </c>
      <c r="BJ264">
        <f t="shared" si="85"/>
        <v>0</v>
      </c>
      <c r="BK264">
        <f t="shared" si="85"/>
        <v>0</v>
      </c>
      <c r="BL264">
        <f t="shared" si="85"/>
        <v>0</v>
      </c>
      <c r="BM264">
        <f t="shared" si="85"/>
        <v>0</v>
      </c>
      <c r="BN264">
        <f t="shared" si="85"/>
        <v>0</v>
      </c>
      <c r="BO264">
        <f t="shared" si="85"/>
        <v>0</v>
      </c>
      <c r="BP264">
        <f t="shared" si="85"/>
        <v>0</v>
      </c>
      <c r="BQ264">
        <f t="shared" si="85"/>
        <v>0</v>
      </c>
      <c r="BR264">
        <f t="shared" si="85"/>
        <v>0</v>
      </c>
      <c r="BS264">
        <f t="shared" si="85"/>
        <v>0</v>
      </c>
    </row>
    <row r="265" spans="2:71" ht="15" customHeight="1" x14ac:dyDescent="0.2">
      <c r="B265">
        <v>20</v>
      </c>
      <c r="C265">
        <v>5</v>
      </c>
      <c r="D265">
        <v>5</v>
      </c>
      <c r="E265" t="s">
        <v>290</v>
      </c>
      <c r="F265" t="s">
        <v>214</v>
      </c>
      <c r="G265" s="5">
        <v>42937</v>
      </c>
      <c r="H265" t="s">
        <v>97</v>
      </c>
      <c r="I265" t="s">
        <v>264</v>
      </c>
      <c r="J265" t="s">
        <v>168</v>
      </c>
      <c r="K265">
        <v>9</v>
      </c>
      <c r="L265" t="s">
        <v>90</v>
      </c>
      <c r="M265" t="s">
        <v>265</v>
      </c>
      <c r="N265" t="s">
        <v>266</v>
      </c>
      <c r="O265">
        <v>71.400000000000006</v>
      </c>
      <c r="P265">
        <v>136</v>
      </c>
      <c r="Q265">
        <v>6251</v>
      </c>
      <c r="R265" t="s">
        <v>145</v>
      </c>
      <c r="S265" t="s">
        <v>80</v>
      </c>
      <c r="T265" t="s">
        <v>83</v>
      </c>
      <c r="U265" t="s">
        <v>53</v>
      </c>
      <c r="V265" t="s">
        <v>55</v>
      </c>
      <c r="W265" t="s">
        <v>78</v>
      </c>
      <c r="Y265" t="s">
        <v>52</v>
      </c>
      <c r="AA265">
        <v>1</v>
      </c>
      <c r="AB265" t="s">
        <v>33</v>
      </c>
      <c r="AC265" t="s">
        <v>291</v>
      </c>
      <c r="AE265" t="str">
        <f t="shared" si="82"/>
        <v>ColeConnors</v>
      </c>
      <c r="AF265">
        <v>0</v>
      </c>
      <c r="AG265">
        <v>0</v>
      </c>
      <c r="AH265">
        <v>1</v>
      </c>
      <c r="AI265">
        <v>0</v>
      </c>
      <c r="AJ265">
        <v>0</v>
      </c>
      <c r="AK265" t="s">
        <v>59</v>
      </c>
      <c r="AL265">
        <v>0.52777777777777801</v>
      </c>
      <c r="AM265" t="s">
        <v>60</v>
      </c>
      <c r="AN265">
        <v>0.5</v>
      </c>
      <c r="AO265">
        <f t="shared" si="83"/>
        <v>0</v>
      </c>
      <c r="AP265">
        <f t="shared" si="83"/>
        <v>0</v>
      </c>
      <c r="AQ265">
        <f t="shared" si="83"/>
        <v>0</v>
      </c>
      <c r="AR265">
        <f t="shared" si="83"/>
        <v>0</v>
      </c>
      <c r="AS265">
        <f t="shared" si="83"/>
        <v>0</v>
      </c>
      <c r="AT265">
        <f t="shared" si="83"/>
        <v>0</v>
      </c>
      <c r="AU265">
        <f t="shared" si="83"/>
        <v>0</v>
      </c>
      <c r="AV265">
        <f t="shared" si="83"/>
        <v>0</v>
      </c>
      <c r="AW265">
        <f t="shared" si="83"/>
        <v>0</v>
      </c>
      <c r="AX265">
        <f t="shared" si="83"/>
        <v>0</v>
      </c>
      <c r="AY265">
        <f t="shared" si="84"/>
        <v>0</v>
      </c>
      <c r="AZ265">
        <f t="shared" si="84"/>
        <v>0</v>
      </c>
      <c r="BA265" t="str">
        <f t="shared" si="84"/>
        <v>Connors</v>
      </c>
      <c r="BB265">
        <f t="shared" si="84"/>
        <v>0</v>
      </c>
      <c r="BC265">
        <f t="shared" si="84"/>
        <v>0</v>
      </c>
      <c r="BD265" t="str">
        <f t="shared" si="84"/>
        <v>Cole</v>
      </c>
      <c r="BE265">
        <f t="shared" si="84"/>
        <v>0</v>
      </c>
      <c r="BF265">
        <f t="shared" si="84"/>
        <v>0</v>
      </c>
      <c r="BG265">
        <f t="shared" si="84"/>
        <v>0</v>
      </c>
      <c r="BH265">
        <f t="shared" si="84"/>
        <v>0</v>
      </c>
      <c r="BI265">
        <f t="shared" si="85"/>
        <v>0</v>
      </c>
      <c r="BJ265">
        <f t="shared" si="85"/>
        <v>0</v>
      </c>
      <c r="BK265">
        <f t="shared" si="85"/>
        <v>0</v>
      </c>
      <c r="BL265">
        <f t="shared" si="85"/>
        <v>0</v>
      </c>
      <c r="BM265">
        <f t="shared" si="85"/>
        <v>0</v>
      </c>
      <c r="BN265">
        <f t="shared" si="85"/>
        <v>0</v>
      </c>
      <c r="BO265">
        <f t="shared" si="85"/>
        <v>0</v>
      </c>
      <c r="BP265">
        <f t="shared" si="85"/>
        <v>0</v>
      </c>
      <c r="BQ265">
        <f t="shared" si="85"/>
        <v>0</v>
      </c>
      <c r="BR265">
        <f t="shared" si="85"/>
        <v>0</v>
      </c>
      <c r="BS265">
        <f t="shared" si="85"/>
        <v>0</v>
      </c>
    </row>
    <row r="266" spans="2:71" ht="15" customHeight="1" x14ac:dyDescent="0.2">
      <c r="B266" t="s">
        <v>245</v>
      </c>
      <c r="D266">
        <v>5</v>
      </c>
      <c r="E266" t="s">
        <v>292</v>
      </c>
      <c r="F266" t="s">
        <v>214</v>
      </c>
      <c r="G266" s="5">
        <v>42937</v>
      </c>
      <c r="H266" t="s">
        <v>97</v>
      </c>
      <c r="I266" t="s">
        <v>264</v>
      </c>
      <c r="J266" t="s">
        <v>168</v>
      </c>
      <c r="K266">
        <v>9</v>
      </c>
      <c r="L266" t="s">
        <v>76</v>
      </c>
      <c r="M266" t="s">
        <v>265</v>
      </c>
      <c r="N266" t="s">
        <v>266</v>
      </c>
      <c r="O266">
        <v>71.400000000000006</v>
      </c>
      <c r="P266">
        <v>136</v>
      </c>
      <c r="Q266">
        <v>6251</v>
      </c>
      <c r="R266" t="s">
        <v>248</v>
      </c>
      <c r="S266" t="s">
        <v>248</v>
      </c>
      <c r="T266" t="s">
        <v>81</v>
      </c>
      <c r="U266" t="s">
        <v>43</v>
      </c>
      <c r="V266" t="s">
        <v>43</v>
      </c>
      <c r="W266" t="s">
        <v>78</v>
      </c>
      <c r="AA266">
        <v>0.5</v>
      </c>
      <c r="AB266" t="s">
        <v>33</v>
      </c>
      <c r="AC266" t="s">
        <v>209</v>
      </c>
      <c r="AE266" t="str">
        <f t="shared" si="82"/>
        <v>Poirier</v>
      </c>
      <c r="AF266">
        <v>0</v>
      </c>
      <c r="AG266">
        <v>0</v>
      </c>
      <c r="AH266">
        <v>1</v>
      </c>
      <c r="AI266">
        <v>0</v>
      </c>
      <c r="AJ266">
        <v>0</v>
      </c>
      <c r="AO266">
        <f t="shared" si="83"/>
        <v>0</v>
      </c>
      <c r="AP266">
        <f t="shared" si="83"/>
        <v>0</v>
      </c>
      <c r="AQ266">
        <f t="shared" si="83"/>
        <v>0</v>
      </c>
      <c r="AR266" t="str">
        <f t="shared" si="83"/>
        <v>Poirier</v>
      </c>
      <c r="AS266">
        <f t="shared" si="83"/>
        <v>0</v>
      </c>
      <c r="AT266">
        <f t="shared" si="83"/>
        <v>0</v>
      </c>
      <c r="AU266">
        <f t="shared" si="83"/>
        <v>0</v>
      </c>
      <c r="AV266">
        <f t="shared" si="83"/>
        <v>0</v>
      </c>
      <c r="AW266">
        <f t="shared" si="83"/>
        <v>0</v>
      </c>
      <c r="AX266">
        <f t="shared" si="83"/>
        <v>0</v>
      </c>
      <c r="AY266">
        <f t="shared" si="84"/>
        <v>0</v>
      </c>
      <c r="AZ266">
        <f t="shared" si="84"/>
        <v>0</v>
      </c>
      <c r="BA266">
        <f t="shared" si="84"/>
        <v>0</v>
      </c>
      <c r="BB266">
        <f t="shared" si="84"/>
        <v>0</v>
      </c>
      <c r="BC266">
        <f t="shared" si="84"/>
        <v>0</v>
      </c>
      <c r="BD266">
        <f t="shared" si="84"/>
        <v>0</v>
      </c>
      <c r="BE266">
        <f t="shared" si="84"/>
        <v>0</v>
      </c>
      <c r="BF266">
        <f t="shared" si="84"/>
        <v>0</v>
      </c>
      <c r="BG266">
        <f t="shared" si="84"/>
        <v>0</v>
      </c>
      <c r="BH266">
        <f t="shared" si="84"/>
        <v>0</v>
      </c>
      <c r="BI266">
        <f t="shared" si="85"/>
        <v>0</v>
      </c>
      <c r="BJ266">
        <f t="shared" si="85"/>
        <v>0</v>
      </c>
      <c r="BK266">
        <f t="shared" si="85"/>
        <v>0</v>
      </c>
      <c r="BL266">
        <f t="shared" si="85"/>
        <v>0</v>
      </c>
      <c r="BM266">
        <f t="shared" si="85"/>
        <v>0</v>
      </c>
      <c r="BN266">
        <f t="shared" si="85"/>
        <v>0</v>
      </c>
      <c r="BO266">
        <f t="shared" si="85"/>
        <v>0</v>
      </c>
      <c r="BP266">
        <f t="shared" si="85"/>
        <v>0</v>
      </c>
      <c r="BQ266">
        <f t="shared" si="85"/>
        <v>0</v>
      </c>
      <c r="BR266">
        <f t="shared" si="85"/>
        <v>0</v>
      </c>
      <c r="BS266">
        <f t="shared" si="85"/>
        <v>0</v>
      </c>
    </row>
    <row r="267" spans="2:71" ht="15" customHeight="1" x14ac:dyDescent="0.2">
      <c r="B267" t="s">
        <v>245</v>
      </c>
      <c r="D267">
        <v>5</v>
      </c>
      <c r="E267" t="s">
        <v>292</v>
      </c>
      <c r="F267" t="s">
        <v>214</v>
      </c>
      <c r="G267" s="5">
        <v>42937</v>
      </c>
      <c r="H267" t="s">
        <v>97</v>
      </c>
      <c r="I267" t="s">
        <v>264</v>
      </c>
      <c r="J267" t="s">
        <v>168</v>
      </c>
      <c r="K267">
        <v>9</v>
      </c>
      <c r="L267" t="s">
        <v>76</v>
      </c>
      <c r="M267" t="s">
        <v>265</v>
      </c>
      <c r="N267" t="s">
        <v>266</v>
      </c>
      <c r="O267">
        <v>71.400000000000006</v>
      </c>
      <c r="P267">
        <v>136</v>
      </c>
      <c r="Q267">
        <v>6251</v>
      </c>
      <c r="R267" t="s">
        <v>248</v>
      </c>
      <c r="S267" t="s">
        <v>248</v>
      </c>
      <c r="T267" t="s">
        <v>81</v>
      </c>
      <c r="U267" t="s">
        <v>43</v>
      </c>
      <c r="V267" t="s">
        <v>58</v>
      </c>
      <c r="W267" t="s">
        <v>78</v>
      </c>
      <c r="AA267">
        <v>0.5</v>
      </c>
      <c r="AB267" t="s">
        <v>33</v>
      </c>
      <c r="AC267" t="s">
        <v>209</v>
      </c>
      <c r="AE267" t="str">
        <f t="shared" si="82"/>
        <v>Gray</v>
      </c>
      <c r="AF267">
        <v>0</v>
      </c>
      <c r="AG267">
        <v>0</v>
      </c>
      <c r="AH267">
        <v>1</v>
      </c>
      <c r="AI267">
        <v>0</v>
      </c>
      <c r="AJ267">
        <v>0</v>
      </c>
      <c r="AO267">
        <f t="shared" si="83"/>
        <v>0</v>
      </c>
      <c r="AP267">
        <f t="shared" si="83"/>
        <v>0</v>
      </c>
      <c r="AQ267">
        <f t="shared" si="83"/>
        <v>0</v>
      </c>
      <c r="AR267">
        <f t="shared" si="83"/>
        <v>0</v>
      </c>
      <c r="AS267">
        <f t="shared" si="83"/>
        <v>0</v>
      </c>
      <c r="AT267">
        <f t="shared" si="83"/>
        <v>0</v>
      </c>
      <c r="AU267">
        <f t="shared" si="83"/>
        <v>0</v>
      </c>
      <c r="AV267">
        <f t="shared" si="83"/>
        <v>0</v>
      </c>
      <c r="AW267">
        <f t="shared" si="83"/>
        <v>0</v>
      </c>
      <c r="AX267">
        <f t="shared" si="83"/>
        <v>0</v>
      </c>
      <c r="AY267">
        <f t="shared" si="84"/>
        <v>0</v>
      </c>
      <c r="AZ267">
        <f t="shared" si="84"/>
        <v>0</v>
      </c>
      <c r="BA267">
        <f t="shared" si="84"/>
        <v>0</v>
      </c>
      <c r="BB267">
        <f t="shared" si="84"/>
        <v>0</v>
      </c>
      <c r="BC267">
        <f t="shared" si="84"/>
        <v>0</v>
      </c>
      <c r="BD267">
        <f t="shared" si="84"/>
        <v>0</v>
      </c>
      <c r="BE267">
        <f t="shared" si="84"/>
        <v>0</v>
      </c>
      <c r="BF267">
        <f t="shared" si="84"/>
        <v>0</v>
      </c>
      <c r="BG267" t="str">
        <f t="shared" si="84"/>
        <v>Gray</v>
      </c>
      <c r="BH267">
        <f t="shared" si="84"/>
        <v>0</v>
      </c>
      <c r="BI267">
        <f t="shared" si="85"/>
        <v>0</v>
      </c>
      <c r="BJ267">
        <f t="shared" si="85"/>
        <v>0</v>
      </c>
      <c r="BK267">
        <f t="shared" si="85"/>
        <v>0</v>
      </c>
      <c r="BL267">
        <f t="shared" si="85"/>
        <v>0</v>
      </c>
      <c r="BM267">
        <f t="shared" si="85"/>
        <v>0</v>
      </c>
      <c r="BN267">
        <f t="shared" si="85"/>
        <v>0</v>
      </c>
      <c r="BO267">
        <f t="shared" si="85"/>
        <v>0</v>
      </c>
      <c r="BP267">
        <f t="shared" si="85"/>
        <v>0</v>
      </c>
      <c r="BQ267">
        <f t="shared" si="85"/>
        <v>0</v>
      </c>
      <c r="BR267">
        <f t="shared" si="85"/>
        <v>0</v>
      </c>
      <c r="BS267">
        <f t="shared" si="85"/>
        <v>0</v>
      </c>
    </row>
    <row r="268" spans="2:71" ht="15" customHeight="1" x14ac:dyDescent="0.2">
      <c r="B268" t="s">
        <v>245</v>
      </c>
      <c r="D268">
        <v>5</v>
      </c>
      <c r="E268" t="s">
        <v>292</v>
      </c>
      <c r="F268" t="s">
        <v>214</v>
      </c>
      <c r="G268" s="5">
        <v>42937</v>
      </c>
      <c r="H268" t="s">
        <v>97</v>
      </c>
      <c r="I268" t="s">
        <v>264</v>
      </c>
      <c r="J268" t="s">
        <v>168</v>
      </c>
      <c r="K268">
        <v>9</v>
      </c>
      <c r="L268" t="s">
        <v>76</v>
      </c>
      <c r="M268" t="s">
        <v>265</v>
      </c>
      <c r="N268" t="s">
        <v>266</v>
      </c>
      <c r="O268">
        <v>71.400000000000006</v>
      </c>
      <c r="P268">
        <v>136</v>
      </c>
      <c r="Q268">
        <v>6251</v>
      </c>
      <c r="R268" t="s">
        <v>248</v>
      </c>
      <c r="S268" t="s">
        <v>248</v>
      </c>
      <c r="T268" t="s">
        <v>81</v>
      </c>
      <c r="U268" t="s">
        <v>43</v>
      </c>
      <c r="V268" t="s">
        <v>44</v>
      </c>
      <c r="W268" t="s">
        <v>78</v>
      </c>
      <c r="AA268">
        <v>0.5</v>
      </c>
      <c r="AB268" t="s">
        <v>33</v>
      </c>
      <c r="AC268" t="s">
        <v>209</v>
      </c>
      <c r="AE268" t="str">
        <f t="shared" si="82"/>
        <v>Flanders</v>
      </c>
      <c r="AF268">
        <v>0</v>
      </c>
      <c r="AG268">
        <v>0</v>
      </c>
      <c r="AH268">
        <v>1</v>
      </c>
      <c r="AI268">
        <v>0</v>
      </c>
      <c r="AJ268">
        <v>0</v>
      </c>
      <c r="AO268">
        <f t="shared" si="83"/>
        <v>0</v>
      </c>
      <c r="AP268">
        <f t="shared" si="83"/>
        <v>0</v>
      </c>
      <c r="AQ268">
        <f t="shared" si="83"/>
        <v>0</v>
      </c>
      <c r="AR268">
        <f t="shared" si="83"/>
        <v>0</v>
      </c>
      <c r="AS268" t="str">
        <f t="shared" si="83"/>
        <v>Flanders</v>
      </c>
      <c r="AT268">
        <f t="shared" si="83"/>
        <v>0</v>
      </c>
      <c r="AU268">
        <f t="shared" si="83"/>
        <v>0</v>
      </c>
      <c r="AV268">
        <f t="shared" si="83"/>
        <v>0</v>
      </c>
      <c r="AW268">
        <f t="shared" si="83"/>
        <v>0</v>
      </c>
      <c r="AX268">
        <f t="shared" si="83"/>
        <v>0</v>
      </c>
      <c r="AY268">
        <f t="shared" si="84"/>
        <v>0</v>
      </c>
      <c r="AZ268">
        <f t="shared" si="84"/>
        <v>0</v>
      </c>
      <c r="BA268">
        <f t="shared" si="84"/>
        <v>0</v>
      </c>
      <c r="BB268">
        <f t="shared" si="84"/>
        <v>0</v>
      </c>
      <c r="BC268">
        <f t="shared" si="84"/>
        <v>0</v>
      </c>
      <c r="BD268">
        <f t="shared" si="84"/>
        <v>0</v>
      </c>
      <c r="BE268">
        <f t="shared" si="84"/>
        <v>0</v>
      </c>
      <c r="BF268">
        <f t="shared" si="84"/>
        <v>0</v>
      </c>
      <c r="BG268">
        <f t="shared" si="84"/>
        <v>0</v>
      </c>
      <c r="BH268">
        <f t="shared" si="84"/>
        <v>0</v>
      </c>
      <c r="BI268">
        <f t="shared" si="85"/>
        <v>0</v>
      </c>
      <c r="BJ268">
        <f t="shared" si="85"/>
        <v>0</v>
      </c>
      <c r="BK268">
        <f t="shared" si="85"/>
        <v>0</v>
      </c>
      <c r="BL268">
        <f t="shared" si="85"/>
        <v>0</v>
      </c>
      <c r="BM268">
        <f t="shared" si="85"/>
        <v>0</v>
      </c>
      <c r="BN268">
        <f t="shared" si="85"/>
        <v>0</v>
      </c>
      <c r="BO268">
        <f t="shared" si="85"/>
        <v>0</v>
      </c>
      <c r="BP268">
        <f t="shared" si="85"/>
        <v>0</v>
      </c>
      <c r="BQ268">
        <f t="shared" si="85"/>
        <v>0</v>
      </c>
      <c r="BR268">
        <f t="shared" si="85"/>
        <v>0</v>
      </c>
      <c r="BS268">
        <f t="shared" si="85"/>
        <v>0</v>
      </c>
    </row>
    <row r="269" spans="2:71" ht="15" customHeight="1" x14ac:dyDescent="0.2">
      <c r="B269" t="s">
        <v>245</v>
      </c>
      <c r="D269">
        <v>5</v>
      </c>
      <c r="E269" t="s">
        <v>292</v>
      </c>
      <c r="F269" t="s">
        <v>214</v>
      </c>
      <c r="G269" s="5">
        <v>42937</v>
      </c>
      <c r="H269" t="s">
        <v>97</v>
      </c>
      <c r="I269" t="s">
        <v>264</v>
      </c>
      <c r="J269" t="s">
        <v>168</v>
      </c>
      <c r="K269">
        <v>9</v>
      </c>
      <c r="L269" t="s">
        <v>76</v>
      </c>
      <c r="M269" t="s">
        <v>265</v>
      </c>
      <c r="N269" t="s">
        <v>266</v>
      </c>
      <c r="O269">
        <v>71.400000000000006</v>
      </c>
      <c r="P269">
        <v>136</v>
      </c>
      <c r="Q269">
        <v>6251</v>
      </c>
      <c r="R269" t="s">
        <v>248</v>
      </c>
      <c r="S269" t="s">
        <v>248</v>
      </c>
      <c r="T269" t="s">
        <v>81</v>
      </c>
      <c r="U269" t="s">
        <v>43</v>
      </c>
      <c r="V269" t="s">
        <v>42</v>
      </c>
      <c r="W269" t="s">
        <v>78</v>
      </c>
      <c r="AA269">
        <v>0.5</v>
      </c>
      <c r="AB269" t="s">
        <v>33</v>
      </c>
      <c r="AC269" t="s">
        <v>209</v>
      </c>
      <c r="AE269" t="str">
        <f t="shared" si="82"/>
        <v>Jackson</v>
      </c>
      <c r="AF269">
        <v>0</v>
      </c>
      <c r="AG269">
        <v>0</v>
      </c>
      <c r="AH269">
        <v>1</v>
      </c>
      <c r="AI269">
        <v>0</v>
      </c>
      <c r="AJ269">
        <v>0</v>
      </c>
      <c r="AO269">
        <f t="shared" si="83"/>
        <v>0</v>
      </c>
      <c r="AP269">
        <f t="shared" si="83"/>
        <v>0</v>
      </c>
      <c r="AQ269" t="str">
        <f t="shared" si="83"/>
        <v>Jackson</v>
      </c>
      <c r="AR269">
        <f t="shared" si="83"/>
        <v>0</v>
      </c>
      <c r="AS269">
        <f t="shared" si="83"/>
        <v>0</v>
      </c>
      <c r="AT269">
        <f t="shared" si="83"/>
        <v>0</v>
      </c>
      <c r="AU269">
        <f t="shared" si="83"/>
        <v>0</v>
      </c>
      <c r="AV269">
        <f t="shared" si="83"/>
        <v>0</v>
      </c>
      <c r="AW269">
        <f t="shared" si="83"/>
        <v>0</v>
      </c>
      <c r="AX269">
        <f t="shared" si="83"/>
        <v>0</v>
      </c>
      <c r="AY269">
        <f t="shared" si="84"/>
        <v>0</v>
      </c>
      <c r="AZ269">
        <f t="shared" si="84"/>
        <v>0</v>
      </c>
      <c r="BA269">
        <f t="shared" si="84"/>
        <v>0</v>
      </c>
      <c r="BB269">
        <f t="shared" si="84"/>
        <v>0</v>
      </c>
      <c r="BC269">
        <f t="shared" si="84"/>
        <v>0</v>
      </c>
      <c r="BD269">
        <f t="shared" si="84"/>
        <v>0</v>
      </c>
      <c r="BE269">
        <f t="shared" si="84"/>
        <v>0</v>
      </c>
      <c r="BF269">
        <f t="shared" si="84"/>
        <v>0</v>
      </c>
      <c r="BG269">
        <f t="shared" si="84"/>
        <v>0</v>
      </c>
      <c r="BH269">
        <f t="shared" si="84"/>
        <v>0</v>
      </c>
      <c r="BI269">
        <f t="shared" si="85"/>
        <v>0</v>
      </c>
      <c r="BJ269">
        <f t="shared" si="85"/>
        <v>0</v>
      </c>
      <c r="BK269">
        <f t="shared" si="85"/>
        <v>0</v>
      </c>
      <c r="BL269">
        <f t="shared" si="85"/>
        <v>0</v>
      </c>
      <c r="BM269">
        <f t="shared" si="85"/>
        <v>0</v>
      </c>
      <c r="BN269">
        <f t="shared" si="85"/>
        <v>0</v>
      </c>
      <c r="BO269">
        <f t="shared" si="85"/>
        <v>0</v>
      </c>
      <c r="BP269">
        <f t="shared" si="85"/>
        <v>0</v>
      </c>
      <c r="BQ269">
        <f t="shared" si="85"/>
        <v>0</v>
      </c>
      <c r="BR269">
        <f t="shared" si="85"/>
        <v>0</v>
      </c>
      <c r="BS269">
        <f t="shared" si="85"/>
        <v>0</v>
      </c>
    </row>
    <row r="270" spans="2:71" ht="15" customHeight="1" x14ac:dyDescent="0.2">
      <c r="B270" t="s">
        <v>245</v>
      </c>
      <c r="D270">
        <v>5</v>
      </c>
      <c r="E270" t="s">
        <v>292</v>
      </c>
      <c r="F270" t="s">
        <v>214</v>
      </c>
      <c r="G270" s="5">
        <v>42937</v>
      </c>
      <c r="H270" t="s">
        <v>97</v>
      </c>
      <c r="I270" t="s">
        <v>264</v>
      </c>
      <c r="J270" t="s">
        <v>168</v>
      </c>
      <c r="K270">
        <v>9</v>
      </c>
      <c r="L270" t="s">
        <v>76</v>
      </c>
      <c r="M270" t="s">
        <v>265</v>
      </c>
      <c r="N270" t="s">
        <v>266</v>
      </c>
      <c r="O270">
        <v>71.400000000000006</v>
      </c>
      <c r="P270">
        <v>136</v>
      </c>
      <c r="Q270">
        <v>6251</v>
      </c>
      <c r="R270" t="s">
        <v>248</v>
      </c>
      <c r="S270" t="s">
        <v>248</v>
      </c>
      <c r="T270" t="s">
        <v>81</v>
      </c>
      <c r="U270" t="s">
        <v>43</v>
      </c>
      <c r="V270" t="s">
        <v>50</v>
      </c>
      <c r="W270" t="s">
        <v>78</v>
      </c>
      <c r="AA270">
        <v>0.5</v>
      </c>
      <c r="AB270" t="s">
        <v>33</v>
      </c>
      <c r="AC270" t="s">
        <v>209</v>
      </c>
      <c r="AE270" t="str">
        <f t="shared" si="82"/>
        <v>Ferrin</v>
      </c>
      <c r="AF270">
        <v>0</v>
      </c>
      <c r="AG270">
        <v>0</v>
      </c>
      <c r="AH270">
        <v>1</v>
      </c>
      <c r="AI270">
        <v>0</v>
      </c>
      <c r="AJ270">
        <v>0</v>
      </c>
      <c r="AO270">
        <f t="shared" si="83"/>
        <v>0</v>
      </c>
      <c r="AP270">
        <f t="shared" si="83"/>
        <v>0</v>
      </c>
      <c r="AQ270">
        <f t="shared" si="83"/>
        <v>0</v>
      </c>
      <c r="AR270">
        <f t="shared" si="83"/>
        <v>0</v>
      </c>
      <c r="AS270">
        <f t="shared" si="83"/>
        <v>0</v>
      </c>
      <c r="AT270">
        <f t="shared" si="83"/>
        <v>0</v>
      </c>
      <c r="AU270">
        <f t="shared" si="83"/>
        <v>0</v>
      </c>
      <c r="AV270">
        <f t="shared" si="83"/>
        <v>0</v>
      </c>
      <c r="AW270">
        <f t="shared" si="83"/>
        <v>0</v>
      </c>
      <c r="AX270">
        <f t="shared" si="83"/>
        <v>0</v>
      </c>
      <c r="AY270" t="str">
        <f t="shared" si="84"/>
        <v>Ferrin</v>
      </c>
      <c r="AZ270">
        <f t="shared" si="84"/>
        <v>0</v>
      </c>
      <c r="BA270">
        <f t="shared" si="84"/>
        <v>0</v>
      </c>
      <c r="BB270">
        <f t="shared" si="84"/>
        <v>0</v>
      </c>
      <c r="BC270">
        <f t="shared" si="84"/>
        <v>0</v>
      </c>
      <c r="BD270">
        <f t="shared" si="84"/>
        <v>0</v>
      </c>
      <c r="BE270">
        <f t="shared" si="84"/>
        <v>0</v>
      </c>
      <c r="BF270">
        <f t="shared" si="84"/>
        <v>0</v>
      </c>
      <c r="BG270">
        <f t="shared" si="84"/>
        <v>0</v>
      </c>
      <c r="BH270">
        <f t="shared" si="84"/>
        <v>0</v>
      </c>
      <c r="BI270">
        <f t="shared" si="85"/>
        <v>0</v>
      </c>
      <c r="BJ270">
        <f t="shared" si="85"/>
        <v>0</v>
      </c>
      <c r="BK270">
        <f t="shared" si="85"/>
        <v>0</v>
      </c>
      <c r="BL270">
        <f t="shared" si="85"/>
        <v>0</v>
      </c>
      <c r="BM270">
        <f t="shared" si="85"/>
        <v>0</v>
      </c>
      <c r="BN270">
        <f t="shared" si="85"/>
        <v>0</v>
      </c>
      <c r="BO270">
        <f t="shared" si="85"/>
        <v>0</v>
      </c>
      <c r="BP270">
        <f t="shared" si="85"/>
        <v>0</v>
      </c>
      <c r="BQ270">
        <f t="shared" si="85"/>
        <v>0</v>
      </c>
      <c r="BR270">
        <f t="shared" si="85"/>
        <v>0</v>
      </c>
      <c r="BS270">
        <f t="shared" si="85"/>
        <v>0</v>
      </c>
    </row>
    <row r="271" spans="2:71" ht="15" customHeight="1" x14ac:dyDescent="0.2">
      <c r="B271" t="s">
        <v>245</v>
      </c>
      <c r="D271">
        <v>5</v>
      </c>
      <c r="E271" t="s">
        <v>292</v>
      </c>
      <c r="F271" t="s">
        <v>214</v>
      </c>
      <c r="G271" s="5">
        <v>42937</v>
      </c>
      <c r="H271" t="s">
        <v>97</v>
      </c>
      <c r="I271" t="s">
        <v>264</v>
      </c>
      <c r="J271" t="s">
        <v>168</v>
      </c>
      <c r="K271">
        <v>9</v>
      </c>
      <c r="L271" t="s">
        <v>76</v>
      </c>
      <c r="M271" t="s">
        <v>265</v>
      </c>
      <c r="N271" t="s">
        <v>266</v>
      </c>
      <c r="O271">
        <v>71.400000000000006</v>
      </c>
      <c r="P271">
        <v>136</v>
      </c>
      <c r="Q271">
        <v>6251</v>
      </c>
      <c r="R271" t="s">
        <v>248</v>
      </c>
      <c r="S271" t="s">
        <v>248</v>
      </c>
      <c r="T271" t="s">
        <v>81</v>
      </c>
      <c r="U271" t="s">
        <v>43</v>
      </c>
      <c r="V271" t="s">
        <v>62</v>
      </c>
      <c r="W271" t="s">
        <v>78</v>
      </c>
      <c r="AA271">
        <v>0.5</v>
      </c>
      <c r="AB271" t="s">
        <v>33</v>
      </c>
      <c r="AC271" t="s">
        <v>209</v>
      </c>
      <c r="AE271" t="str">
        <f t="shared" si="82"/>
        <v>Welker</v>
      </c>
      <c r="AF271">
        <v>0</v>
      </c>
      <c r="AG271">
        <v>0</v>
      </c>
      <c r="AH271">
        <v>1</v>
      </c>
      <c r="AI271">
        <v>0</v>
      </c>
      <c r="AJ271">
        <v>0</v>
      </c>
      <c r="AO271">
        <f t="shared" si="83"/>
        <v>0</v>
      </c>
      <c r="AP271">
        <f t="shared" si="83"/>
        <v>0</v>
      </c>
      <c r="AQ271">
        <f t="shared" si="83"/>
        <v>0</v>
      </c>
      <c r="AR271">
        <f t="shared" si="83"/>
        <v>0</v>
      </c>
      <c r="AS271">
        <f t="shared" si="83"/>
        <v>0</v>
      </c>
      <c r="AT271">
        <f t="shared" si="83"/>
        <v>0</v>
      </c>
      <c r="AU271">
        <f t="shared" si="83"/>
        <v>0</v>
      </c>
      <c r="AV271">
        <f t="shared" si="83"/>
        <v>0</v>
      </c>
      <c r="AW271">
        <f t="shared" si="83"/>
        <v>0</v>
      </c>
      <c r="AX271">
        <f t="shared" si="83"/>
        <v>0</v>
      </c>
      <c r="AY271">
        <f t="shared" si="84"/>
        <v>0</v>
      </c>
      <c r="AZ271">
        <f t="shared" si="84"/>
        <v>0</v>
      </c>
      <c r="BA271">
        <f t="shared" si="84"/>
        <v>0</v>
      </c>
      <c r="BB271">
        <f t="shared" si="84"/>
        <v>0</v>
      </c>
      <c r="BC271">
        <f t="shared" si="84"/>
        <v>0</v>
      </c>
      <c r="BD271">
        <f t="shared" si="84"/>
        <v>0</v>
      </c>
      <c r="BE271">
        <f t="shared" si="84"/>
        <v>0</v>
      </c>
      <c r="BF271">
        <f t="shared" si="84"/>
        <v>0</v>
      </c>
      <c r="BG271">
        <f t="shared" si="84"/>
        <v>0</v>
      </c>
      <c r="BH271">
        <f t="shared" si="84"/>
        <v>0</v>
      </c>
      <c r="BI271">
        <f t="shared" si="85"/>
        <v>0</v>
      </c>
      <c r="BJ271">
        <f t="shared" si="85"/>
        <v>0</v>
      </c>
      <c r="BK271" t="str">
        <f t="shared" si="85"/>
        <v>Welker</v>
      </c>
      <c r="BL271">
        <f t="shared" si="85"/>
        <v>0</v>
      </c>
      <c r="BM271">
        <f t="shared" si="85"/>
        <v>0</v>
      </c>
      <c r="BN271">
        <f t="shared" si="85"/>
        <v>0</v>
      </c>
      <c r="BO271">
        <f t="shared" si="85"/>
        <v>0</v>
      </c>
      <c r="BP271">
        <f t="shared" si="85"/>
        <v>0</v>
      </c>
      <c r="BQ271">
        <f t="shared" si="85"/>
        <v>0</v>
      </c>
      <c r="BR271">
        <f t="shared" si="85"/>
        <v>0</v>
      </c>
      <c r="BS271">
        <f t="shared" si="85"/>
        <v>0</v>
      </c>
    </row>
    <row r="272" spans="2:71" ht="15" customHeight="1" x14ac:dyDescent="0.2">
      <c r="B272" t="s">
        <v>245</v>
      </c>
      <c r="D272">
        <v>5</v>
      </c>
      <c r="E272" t="s">
        <v>292</v>
      </c>
      <c r="F272" t="s">
        <v>214</v>
      </c>
      <c r="G272" s="5">
        <v>42937</v>
      </c>
      <c r="H272" t="s">
        <v>97</v>
      </c>
      <c r="I272" t="s">
        <v>264</v>
      </c>
      <c r="J272" t="s">
        <v>168</v>
      </c>
      <c r="K272">
        <v>9</v>
      </c>
      <c r="L272" t="s">
        <v>76</v>
      </c>
      <c r="M272" t="s">
        <v>265</v>
      </c>
      <c r="N272" t="s">
        <v>266</v>
      </c>
      <c r="O272">
        <v>71.400000000000006</v>
      </c>
      <c r="P272">
        <v>136</v>
      </c>
      <c r="Q272">
        <v>6251</v>
      </c>
      <c r="R272" t="s">
        <v>248</v>
      </c>
      <c r="S272" t="s">
        <v>248</v>
      </c>
      <c r="T272" t="s">
        <v>81</v>
      </c>
      <c r="U272" t="s">
        <v>43</v>
      </c>
      <c r="V272" t="s">
        <v>52</v>
      </c>
      <c r="W272" t="s">
        <v>78</v>
      </c>
      <c r="AA272">
        <v>0.5</v>
      </c>
      <c r="AB272" t="s">
        <v>33</v>
      </c>
      <c r="AC272" t="s">
        <v>209</v>
      </c>
      <c r="AE272" t="str">
        <f t="shared" si="82"/>
        <v>Connors</v>
      </c>
      <c r="AF272">
        <v>0</v>
      </c>
      <c r="AG272">
        <v>0</v>
      </c>
      <c r="AH272">
        <v>1</v>
      </c>
      <c r="AI272">
        <v>0</v>
      </c>
      <c r="AJ272">
        <v>0</v>
      </c>
      <c r="AO272">
        <f t="shared" ref="AO272:AX281" si="86">IF(OR($V272=AO$1,$Y272=AO$1),AO$1,0)</f>
        <v>0</v>
      </c>
      <c r="AP272">
        <f t="shared" si="86"/>
        <v>0</v>
      </c>
      <c r="AQ272">
        <f t="shared" si="86"/>
        <v>0</v>
      </c>
      <c r="AR272">
        <f t="shared" si="86"/>
        <v>0</v>
      </c>
      <c r="AS272">
        <f t="shared" si="86"/>
        <v>0</v>
      </c>
      <c r="AT272">
        <f t="shared" si="86"/>
        <v>0</v>
      </c>
      <c r="AU272">
        <f t="shared" si="86"/>
        <v>0</v>
      </c>
      <c r="AV272">
        <f t="shared" si="86"/>
        <v>0</v>
      </c>
      <c r="AW272">
        <f t="shared" si="86"/>
        <v>0</v>
      </c>
      <c r="AX272">
        <f t="shared" si="86"/>
        <v>0</v>
      </c>
      <c r="AY272">
        <f t="shared" ref="AY272:BH281" si="87">IF(OR($V272=AY$1,$Y272=AY$1),AY$1,0)</f>
        <v>0</v>
      </c>
      <c r="AZ272">
        <f t="shared" si="87"/>
        <v>0</v>
      </c>
      <c r="BA272" t="str">
        <f t="shared" si="87"/>
        <v>Connors</v>
      </c>
      <c r="BB272">
        <f t="shared" si="87"/>
        <v>0</v>
      </c>
      <c r="BC272">
        <f t="shared" si="87"/>
        <v>0</v>
      </c>
      <c r="BD272">
        <f t="shared" si="87"/>
        <v>0</v>
      </c>
      <c r="BE272">
        <f t="shared" si="87"/>
        <v>0</v>
      </c>
      <c r="BF272">
        <f t="shared" si="87"/>
        <v>0</v>
      </c>
      <c r="BG272">
        <f t="shared" si="87"/>
        <v>0</v>
      </c>
      <c r="BH272">
        <f t="shared" si="87"/>
        <v>0</v>
      </c>
      <c r="BI272">
        <f t="shared" ref="BI272:BS281" si="88">IF(OR($V272=BI$1,$Y272=BI$1),BI$1,0)</f>
        <v>0</v>
      </c>
      <c r="BJ272">
        <f t="shared" si="88"/>
        <v>0</v>
      </c>
      <c r="BK272">
        <f t="shared" si="88"/>
        <v>0</v>
      </c>
      <c r="BL272">
        <f t="shared" si="88"/>
        <v>0</v>
      </c>
      <c r="BM272">
        <f t="shared" si="88"/>
        <v>0</v>
      </c>
      <c r="BN272">
        <f t="shared" si="88"/>
        <v>0</v>
      </c>
      <c r="BO272">
        <f t="shared" si="88"/>
        <v>0</v>
      </c>
      <c r="BP272">
        <f t="shared" si="88"/>
        <v>0</v>
      </c>
      <c r="BQ272">
        <f t="shared" si="88"/>
        <v>0</v>
      </c>
      <c r="BR272">
        <f t="shared" si="88"/>
        <v>0</v>
      </c>
      <c r="BS272">
        <f t="shared" si="88"/>
        <v>0</v>
      </c>
    </row>
    <row r="273" spans="2:71" ht="15" customHeight="1" x14ac:dyDescent="0.2">
      <c r="B273" t="s">
        <v>245</v>
      </c>
      <c r="D273">
        <v>5</v>
      </c>
      <c r="E273" t="s">
        <v>292</v>
      </c>
      <c r="F273" t="s">
        <v>214</v>
      </c>
      <c r="G273" s="5">
        <v>42937</v>
      </c>
      <c r="H273" t="s">
        <v>97</v>
      </c>
      <c r="I273" t="s">
        <v>264</v>
      </c>
      <c r="J273" t="s">
        <v>168</v>
      </c>
      <c r="K273">
        <v>9</v>
      </c>
      <c r="L273" t="s">
        <v>76</v>
      </c>
      <c r="M273" t="s">
        <v>265</v>
      </c>
      <c r="N273" t="s">
        <v>266</v>
      </c>
      <c r="O273">
        <v>71.400000000000006</v>
      </c>
      <c r="P273">
        <v>136</v>
      </c>
      <c r="Q273">
        <v>6251</v>
      </c>
      <c r="R273" t="s">
        <v>248</v>
      </c>
      <c r="S273" t="s">
        <v>248</v>
      </c>
      <c r="T273" t="s">
        <v>81</v>
      </c>
      <c r="U273" t="s">
        <v>43</v>
      </c>
      <c r="V273" t="s">
        <v>54</v>
      </c>
      <c r="W273" t="s">
        <v>78</v>
      </c>
      <c r="AA273">
        <v>0.5</v>
      </c>
      <c r="AB273" t="s">
        <v>33</v>
      </c>
      <c r="AC273" t="s">
        <v>209</v>
      </c>
      <c r="AE273" t="str">
        <f t="shared" si="82"/>
        <v>Fogan</v>
      </c>
      <c r="AF273">
        <v>0</v>
      </c>
      <c r="AG273">
        <v>0</v>
      </c>
      <c r="AH273">
        <v>1</v>
      </c>
      <c r="AI273">
        <v>0</v>
      </c>
      <c r="AJ273">
        <v>0</v>
      </c>
      <c r="AO273">
        <f t="shared" si="86"/>
        <v>0</v>
      </c>
      <c r="AP273">
        <f t="shared" si="86"/>
        <v>0</v>
      </c>
      <c r="AQ273">
        <f t="shared" si="86"/>
        <v>0</v>
      </c>
      <c r="AR273">
        <f t="shared" si="86"/>
        <v>0</v>
      </c>
      <c r="AS273">
        <f t="shared" si="86"/>
        <v>0</v>
      </c>
      <c r="AT273">
        <f t="shared" si="86"/>
        <v>0</v>
      </c>
      <c r="AU273">
        <f t="shared" si="86"/>
        <v>0</v>
      </c>
      <c r="AV273">
        <f t="shared" si="86"/>
        <v>0</v>
      </c>
      <c r="AW273">
        <f t="shared" si="86"/>
        <v>0</v>
      </c>
      <c r="AX273">
        <f t="shared" si="86"/>
        <v>0</v>
      </c>
      <c r="AY273">
        <f t="shared" si="87"/>
        <v>0</v>
      </c>
      <c r="AZ273">
        <f t="shared" si="87"/>
        <v>0</v>
      </c>
      <c r="BA273">
        <f t="shared" si="87"/>
        <v>0</v>
      </c>
      <c r="BB273">
        <f t="shared" si="87"/>
        <v>0</v>
      </c>
      <c r="BC273" t="str">
        <f t="shared" si="87"/>
        <v>Fogan</v>
      </c>
      <c r="BD273">
        <f t="shared" si="87"/>
        <v>0</v>
      </c>
      <c r="BE273">
        <f t="shared" si="87"/>
        <v>0</v>
      </c>
      <c r="BF273">
        <f t="shared" si="87"/>
        <v>0</v>
      </c>
      <c r="BG273">
        <f t="shared" si="87"/>
        <v>0</v>
      </c>
      <c r="BH273">
        <f t="shared" si="87"/>
        <v>0</v>
      </c>
      <c r="BI273">
        <f t="shared" si="88"/>
        <v>0</v>
      </c>
      <c r="BJ273">
        <f t="shared" si="88"/>
        <v>0</v>
      </c>
      <c r="BK273">
        <f t="shared" si="88"/>
        <v>0</v>
      </c>
      <c r="BL273">
        <f t="shared" si="88"/>
        <v>0</v>
      </c>
      <c r="BM273">
        <f t="shared" si="88"/>
        <v>0</v>
      </c>
      <c r="BN273">
        <f t="shared" si="88"/>
        <v>0</v>
      </c>
      <c r="BO273">
        <f t="shared" si="88"/>
        <v>0</v>
      </c>
      <c r="BP273">
        <f t="shared" si="88"/>
        <v>0</v>
      </c>
      <c r="BQ273">
        <f t="shared" si="88"/>
        <v>0</v>
      </c>
      <c r="BR273">
        <f t="shared" si="88"/>
        <v>0</v>
      </c>
      <c r="BS273">
        <f t="shared" si="88"/>
        <v>0</v>
      </c>
    </row>
    <row r="274" spans="2:71" ht="15" customHeight="1" x14ac:dyDescent="0.2">
      <c r="B274" t="s">
        <v>245</v>
      </c>
      <c r="D274">
        <v>5</v>
      </c>
      <c r="E274" t="s">
        <v>292</v>
      </c>
      <c r="F274" t="s">
        <v>214</v>
      </c>
      <c r="G274" s="5">
        <v>42937</v>
      </c>
      <c r="H274" t="s">
        <v>97</v>
      </c>
      <c r="I274" t="s">
        <v>264</v>
      </c>
      <c r="J274" t="s">
        <v>168</v>
      </c>
      <c r="K274">
        <v>9</v>
      </c>
      <c r="L274" t="s">
        <v>76</v>
      </c>
      <c r="M274" t="s">
        <v>265</v>
      </c>
      <c r="N274" t="s">
        <v>266</v>
      </c>
      <c r="O274">
        <v>71.400000000000006</v>
      </c>
      <c r="P274">
        <v>136</v>
      </c>
      <c r="Q274">
        <v>6251</v>
      </c>
      <c r="R274" t="s">
        <v>248</v>
      </c>
      <c r="S274" t="s">
        <v>248</v>
      </c>
      <c r="T274" t="s">
        <v>81</v>
      </c>
      <c r="U274" t="s">
        <v>43</v>
      </c>
      <c r="V274" t="s">
        <v>41</v>
      </c>
      <c r="W274" t="s">
        <v>78</v>
      </c>
      <c r="AA274">
        <v>0.5</v>
      </c>
      <c r="AB274" t="s">
        <v>33</v>
      </c>
      <c r="AC274" t="s">
        <v>209</v>
      </c>
      <c r="AE274" t="str">
        <f t="shared" si="82"/>
        <v>Hilts</v>
      </c>
      <c r="AF274">
        <v>0</v>
      </c>
      <c r="AG274">
        <v>0</v>
      </c>
      <c r="AH274">
        <v>1</v>
      </c>
      <c r="AI274">
        <v>0</v>
      </c>
      <c r="AJ274">
        <v>0</v>
      </c>
      <c r="AO274">
        <f t="shared" si="86"/>
        <v>0</v>
      </c>
      <c r="AP274" t="str">
        <f t="shared" si="86"/>
        <v>Hilts</v>
      </c>
      <c r="AQ274">
        <f t="shared" si="86"/>
        <v>0</v>
      </c>
      <c r="AR274">
        <f t="shared" si="86"/>
        <v>0</v>
      </c>
      <c r="AS274">
        <f t="shared" si="86"/>
        <v>0</v>
      </c>
      <c r="AT274">
        <f t="shared" si="86"/>
        <v>0</v>
      </c>
      <c r="AU274">
        <f t="shared" si="86"/>
        <v>0</v>
      </c>
      <c r="AV274">
        <f t="shared" si="86"/>
        <v>0</v>
      </c>
      <c r="AW274">
        <f t="shared" si="86"/>
        <v>0</v>
      </c>
      <c r="AX274">
        <f t="shared" si="86"/>
        <v>0</v>
      </c>
      <c r="AY274">
        <f t="shared" si="87"/>
        <v>0</v>
      </c>
      <c r="AZ274">
        <f t="shared" si="87"/>
        <v>0</v>
      </c>
      <c r="BA274">
        <f t="shared" si="87"/>
        <v>0</v>
      </c>
      <c r="BB274">
        <f t="shared" si="87"/>
        <v>0</v>
      </c>
      <c r="BC274">
        <f t="shared" si="87"/>
        <v>0</v>
      </c>
      <c r="BD274">
        <f t="shared" si="87"/>
        <v>0</v>
      </c>
      <c r="BE274">
        <f t="shared" si="87"/>
        <v>0</v>
      </c>
      <c r="BF274">
        <f t="shared" si="87"/>
        <v>0</v>
      </c>
      <c r="BG274">
        <f t="shared" si="87"/>
        <v>0</v>
      </c>
      <c r="BH274">
        <f t="shared" si="87"/>
        <v>0</v>
      </c>
      <c r="BI274">
        <f t="shared" si="88"/>
        <v>0</v>
      </c>
      <c r="BJ274">
        <f t="shared" si="88"/>
        <v>0</v>
      </c>
      <c r="BK274">
        <f t="shared" si="88"/>
        <v>0</v>
      </c>
      <c r="BL274">
        <f t="shared" si="88"/>
        <v>0</v>
      </c>
      <c r="BM274">
        <f t="shared" si="88"/>
        <v>0</v>
      </c>
      <c r="BN274">
        <f t="shared" si="88"/>
        <v>0</v>
      </c>
      <c r="BO274">
        <f t="shared" si="88"/>
        <v>0</v>
      </c>
      <c r="BP274">
        <f t="shared" si="88"/>
        <v>0</v>
      </c>
      <c r="BQ274">
        <f t="shared" si="88"/>
        <v>0</v>
      </c>
      <c r="BR274">
        <f t="shared" si="88"/>
        <v>0</v>
      </c>
      <c r="BS274">
        <f t="shared" si="88"/>
        <v>0</v>
      </c>
    </row>
    <row r="275" spans="2:71" ht="15" customHeight="1" x14ac:dyDescent="0.2">
      <c r="B275" t="s">
        <v>245</v>
      </c>
      <c r="D275">
        <v>5</v>
      </c>
      <c r="E275" t="s">
        <v>292</v>
      </c>
      <c r="F275" t="s">
        <v>214</v>
      </c>
      <c r="G275" s="5">
        <v>42937</v>
      </c>
      <c r="H275" t="s">
        <v>97</v>
      </c>
      <c r="I275" t="s">
        <v>264</v>
      </c>
      <c r="J275" t="s">
        <v>168</v>
      </c>
      <c r="K275">
        <v>9</v>
      </c>
      <c r="L275" t="s">
        <v>76</v>
      </c>
      <c r="M275" t="s">
        <v>265</v>
      </c>
      <c r="N275" t="s">
        <v>266</v>
      </c>
      <c r="O275">
        <v>71.400000000000006</v>
      </c>
      <c r="P275">
        <v>136</v>
      </c>
      <c r="Q275">
        <v>6251</v>
      </c>
      <c r="R275" t="s">
        <v>248</v>
      </c>
      <c r="S275" t="s">
        <v>248</v>
      </c>
      <c r="T275" t="s">
        <v>81</v>
      </c>
      <c r="U275" t="s">
        <v>43</v>
      </c>
      <c r="V275" t="s">
        <v>55</v>
      </c>
      <c r="W275" t="s">
        <v>78</v>
      </c>
      <c r="AA275">
        <v>0.5</v>
      </c>
      <c r="AB275" t="s">
        <v>33</v>
      </c>
      <c r="AC275" t="s">
        <v>209</v>
      </c>
      <c r="AE275" t="str">
        <f t="shared" si="82"/>
        <v>Cole</v>
      </c>
      <c r="AF275">
        <v>0</v>
      </c>
      <c r="AG275">
        <v>0</v>
      </c>
      <c r="AH275">
        <v>1</v>
      </c>
      <c r="AI275">
        <v>0</v>
      </c>
      <c r="AJ275">
        <v>0</v>
      </c>
      <c r="AO275">
        <f t="shared" si="86"/>
        <v>0</v>
      </c>
      <c r="AP275">
        <f t="shared" si="86"/>
        <v>0</v>
      </c>
      <c r="AQ275">
        <f t="shared" si="86"/>
        <v>0</v>
      </c>
      <c r="AR275">
        <f t="shared" si="86"/>
        <v>0</v>
      </c>
      <c r="AS275">
        <f t="shared" si="86"/>
        <v>0</v>
      </c>
      <c r="AT275">
        <f t="shared" si="86"/>
        <v>0</v>
      </c>
      <c r="AU275">
        <f t="shared" si="86"/>
        <v>0</v>
      </c>
      <c r="AV275">
        <f t="shared" si="86"/>
        <v>0</v>
      </c>
      <c r="AW275">
        <f t="shared" si="86"/>
        <v>0</v>
      </c>
      <c r="AX275">
        <f t="shared" si="86"/>
        <v>0</v>
      </c>
      <c r="AY275">
        <f t="shared" si="87"/>
        <v>0</v>
      </c>
      <c r="AZ275">
        <f t="shared" si="87"/>
        <v>0</v>
      </c>
      <c r="BA275">
        <f t="shared" si="87"/>
        <v>0</v>
      </c>
      <c r="BB275">
        <f t="shared" si="87"/>
        <v>0</v>
      </c>
      <c r="BC275">
        <f t="shared" si="87"/>
        <v>0</v>
      </c>
      <c r="BD275" t="str">
        <f t="shared" si="87"/>
        <v>Cole</v>
      </c>
      <c r="BE275">
        <f t="shared" si="87"/>
        <v>0</v>
      </c>
      <c r="BF275">
        <f t="shared" si="87"/>
        <v>0</v>
      </c>
      <c r="BG275">
        <f t="shared" si="87"/>
        <v>0</v>
      </c>
      <c r="BH275">
        <f t="shared" si="87"/>
        <v>0</v>
      </c>
      <c r="BI275">
        <f t="shared" si="88"/>
        <v>0</v>
      </c>
      <c r="BJ275">
        <f t="shared" si="88"/>
        <v>0</v>
      </c>
      <c r="BK275">
        <f t="shared" si="88"/>
        <v>0</v>
      </c>
      <c r="BL275">
        <f t="shared" si="88"/>
        <v>0</v>
      </c>
      <c r="BM275">
        <f t="shared" si="88"/>
        <v>0</v>
      </c>
      <c r="BN275">
        <f t="shared" si="88"/>
        <v>0</v>
      </c>
      <c r="BO275">
        <f t="shared" si="88"/>
        <v>0</v>
      </c>
      <c r="BP275">
        <f t="shared" si="88"/>
        <v>0</v>
      </c>
      <c r="BQ275">
        <f t="shared" si="88"/>
        <v>0</v>
      </c>
      <c r="BR275">
        <f t="shared" si="88"/>
        <v>0</v>
      </c>
      <c r="BS275">
        <f t="shared" si="88"/>
        <v>0</v>
      </c>
    </row>
    <row r="276" spans="2:71" ht="15" customHeight="1" x14ac:dyDescent="0.2">
      <c r="B276" t="s">
        <v>245</v>
      </c>
      <c r="D276">
        <v>5</v>
      </c>
      <c r="E276" t="s">
        <v>292</v>
      </c>
      <c r="F276" t="s">
        <v>214</v>
      </c>
      <c r="G276" s="5">
        <v>42937</v>
      </c>
      <c r="H276" t="s">
        <v>97</v>
      </c>
      <c r="I276" t="s">
        <v>264</v>
      </c>
      <c r="J276" t="s">
        <v>168</v>
      </c>
      <c r="K276">
        <v>9</v>
      </c>
      <c r="L276" t="s">
        <v>76</v>
      </c>
      <c r="M276" t="s">
        <v>265</v>
      </c>
      <c r="N276" t="s">
        <v>266</v>
      </c>
      <c r="O276">
        <v>71.400000000000006</v>
      </c>
      <c r="P276">
        <v>136</v>
      </c>
      <c r="Q276">
        <v>6251</v>
      </c>
      <c r="R276" t="s">
        <v>248</v>
      </c>
      <c r="S276" t="s">
        <v>248</v>
      </c>
      <c r="T276" t="s">
        <v>83</v>
      </c>
      <c r="U276" t="s">
        <v>53</v>
      </c>
      <c r="V276" t="s">
        <v>45</v>
      </c>
      <c r="W276" t="s">
        <v>109</v>
      </c>
      <c r="AA276">
        <v>0.5</v>
      </c>
      <c r="AB276" t="s">
        <v>32</v>
      </c>
      <c r="AC276" t="s">
        <v>209</v>
      </c>
      <c r="AE276" t="str">
        <f t="shared" si="82"/>
        <v>Connolly</v>
      </c>
      <c r="AF276">
        <v>0.5</v>
      </c>
      <c r="AG276">
        <v>1</v>
      </c>
      <c r="AH276">
        <v>0</v>
      </c>
      <c r="AI276">
        <v>0</v>
      </c>
      <c r="AJ276">
        <v>1</v>
      </c>
      <c r="AO276">
        <f t="shared" si="86"/>
        <v>0</v>
      </c>
      <c r="AP276">
        <f t="shared" si="86"/>
        <v>0</v>
      </c>
      <c r="AQ276">
        <f t="shared" si="86"/>
        <v>0</v>
      </c>
      <c r="AR276">
        <f t="shared" si="86"/>
        <v>0</v>
      </c>
      <c r="AS276">
        <f t="shared" si="86"/>
        <v>0</v>
      </c>
      <c r="AT276" t="str">
        <f t="shared" si="86"/>
        <v>Connolly</v>
      </c>
      <c r="AU276">
        <f t="shared" si="86"/>
        <v>0</v>
      </c>
      <c r="AV276">
        <f t="shared" si="86"/>
        <v>0</v>
      </c>
      <c r="AW276">
        <f t="shared" si="86"/>
        <v>0</v>
      </c>
      <c r="AX276">
        <f t="shared" si="86"/>
        <v>0</v>
      </c>
      <c r="AY276">
        <f t="shared" si="87"/>
        <v>0</v>
      </c>
      <c r="AZ276">
        <f t="shared" si="87"/>
        <v>0</v>
      </c>
      <c r="BA276">
        <f t="shared" si="87"/>
        <v>0</v>
      </c>
      <c r="BB276">
        <f t="shared" si="87"/>
        <v>0</v>
      </c>
      <c r="BC276">
        <f t="shared" si="87"/>
        <v>0</v>
      </c>
      <c r="BD276">
        <f t="shared" si="87"/>
        <v>0</v>
      </c>
      <c r="BE276">
        <f t="shared" si="87"/>
        <v>0</v>
      </c>
      <c r="BF276">
        <f t="shared" si="87"/>
        <v>0</v>
      </c>
      <c r="BG276">
        <f t="shared" si="87"/>
        <v>0</v>
      </c>
      <c r="BH276">
        <f t="shared" si="87"/>
        <v>0</v>
      </c>
      <c r="BI276">
        <f t="shared" si="88"/>
        <v>0</v>
      </c>
      <c r="BJ276">
        <f t="shared" si="88"/>
        <v>0</v>
      </c>
      <c r="BK276">
        <f t="shared" si="88"/>
        <v>0</v>
      </c>
      <c r="BL276">
        <f t="shared" si="88"/>
        <v>0</v>
      </c>
      <c r="BM276">
        <f t="shared" si="88"/>
        <v>0</v>
      </c>
      <c r="BN276">
        <f t="shared" si="88"/>
        <v>0</v>
      </c>
      <c r="BO276">
        <f t="shared" si="88"/>
        <v>0</v>
      </c>
      <c r="BP276">
        <f t="shared" si="88"/>
        <v>0</v>
      </c>
      <c r="BQ276">
        <f t="shared" si="88"/>
        <v>0</v>
      </c>
      <c r="BR276">
        <f t="shared" si="88"/>
        <v>0</v>
      </c>
      <c r="BS276">
        <f t="shared" si="88"/>
        <v>0</v>
      </c>
    </row>
    <row r="277" spans="2:71" ht="15" customHeight="1" x14ac:dyDescent="0.2">
      <c r="B277" t="s">
        <v>245</v>
      </c>
      <c r="D277">
        <v>5</v>
      </c>
      <c r="E277" t="s">
        <v>292</v>
      </c>
      <c r="F277" t="s">
        <v>214</v>
      </c>
      <c r="G277" s="5">
        <v>42937</v>
      </c>
      <c r="H277" t="s">
        <v>97</v>
      </c>
      <c r="I277" t="s">
        <v>264</v>
      </c>
      <c r="J277" t="s">
        <v>168</v>
      </c>
      <c r="K277">
        <v>9</v>
      </c>
      <c r="L277" t="s">
        <v>76</v>
      </c>
      <c r="M277" t="s">
        <v>265</v>
      </c>
      <c r="N277" t="s">
        <v>266</v>
      </c>
      <c r="O277">
        <v>71.400000000000006</v>
      </c>
      <c r="P277">
        <v>136</v>
      </c>
      <c r="Q277">
        <v>6251</v>
      </c>
      <c r="R277" t="s">
        <v>248</v>
      </c>
      <c r="S277" t="s">
        <v>248</v>
      </c>
      <c r="T277" t="s">
        <v>83</v>
      </c>
      <c r="U277" t="s">
        <v>53</v>
      </c>
      <c r="V277" t="s">
        <v>61</v>
      </c>
      <c r="W277" t="s">
        <v>109</v>
      </c>
      <c r="AA277">
        <v>0.5</v>
      </c>
      <c r="AB277" t="s">
        <v>32</v>
      </c>
      <c r="AC277" t="s">
        <v>209</v>
      </c>
      <c r="AE277" t="str">
        <f t="shared" si="82"/>
        <v>McInerney</v>
      </c>
      <c r="AF277">
        <v>0.5</v>
      </c>
      <c r="AG277">
        <v>1</v>
      </c>
      <c r="AH277">
        <v>0</v>
      </c>
      <c r="AI277">
        <v>0</v>
      </c>
      <c r="AJ277">
        <v>1</v>
      </c>
      <c r="AO277">
        <f t="shared" si="86"/>
        <v>0</v>
      </c>
      <c r="AP277">
        <f t="shared" si="86"/>
        <v>0</v>
      </c>
      <c r="AQ277">
        <f t="shared" si="86"/>
        <v>0</v>
      </c>
      <c r="AR277">
        <f t="shared" si="86"/>
        <v>0</v>
      </c>
      <c r="AS277">
        <f t="shared" si="86"/>
        <v>0</v>
      </c>
      <c r="AT277">
        <f t="shared" si="86"/>
        <v>0</v>
      </c>
      <c r="AU277">
        <f t="shared" si="86"/>
        <v>0</v>
      </c>
      <c r="AV277">
        <f t="shared" si="86"/>
        <v>0</v>
      </c>
      <c r="AW277">
        <f t="shared" si="86"/>
        <v>0</v>
      </c>
      <c r="AX277">
        <f t="shared" si="86"/>
        <v>0</v>
      </c>
      <c r="AY277">
        <f t="shared" si="87"/>
        <v>0</v>
      </c>
      <c r="AZ277">
        <f t="shared" si="87"/>
        <v>0</v>
      </c>
      <c r="BA277">
        <f t="shared" si="87"/>
        <v>0</v>
      </c>
      <c r="BB277">
        <f t="shared" si="87"/>
        <v>0</v>
      </c>
      <c r="BC277">
        <f t="shared" si="87"/>
        <v>0</v>
      </c>
      <c r="BD277">
        <f t="shared" si="87"/>
        <v>0</v>
      </c>
      <c r="BE277">
        <f t="shared" si="87"/>
        <v>0</v>
      </c>
      <c r="BF277">
        <f t="shared" si="87"/>
        <v>0</v>
      </c>
      <c r="BG277">
        <f t="shared" si="87"/>
        <v>0</v>
      </c>
      <c r="BH277">
        <f t="shared" si="87"/>
        <v>0</v>
      </c>
      <c r="BI277">
        <f t="shared" si="88"/>
        <v>0</v>
      </c>
      <c r="BJ277" t="str">
        <f t="shared" si="88"/>
        <v>McInerney</v>
      </c>
      <c r="BK277">
        <f t="shared" si="88"/>
        <v>0</v>
      </c>
      <c r="BL277">
        <f t="shared" si="88"/>
        <v>0</v>
      </c>
      <c r="BM277">
        <f t="shared" si="88"/>
        <v>0</v>
      </c>
      <c r="BN277">
        <f t="shared" si="88"/>
        <v>0</v>
      </c>
      <c r="BO277">
        <f t="shared" si="88"/>
        <v>0</v>
      </c>
      <c r="BP277">
        <f t="shared" si="88"/>
        <v>0</v>
      </c>
      <c r="BQ277">
        <f t="shared" si="88"/>
        <v>0</v>
      </c>
      <c r="BR277">
        <f t="shared" si="88"/>
        <v>0</v>
      </c>
      <c r="BS277">
        <f t="shared" si="88"/>
        <v>0</v>
      </c>
    </row>
    <row r="278" spans="2:71" ht="15" customHeight="1" x14ac:dyDescent="0.2">
      <c r="B278" t="s">
        <v>245</v>
      </c>
      <c r="D278">
        <v>5</v>
      </c>
      <c r="E278" t="s">
        <v>292</v>
      </c>
      <c r="F278" t="s">
        <v>214</v>
      </c>
      <c r="G278" s="5">
        <v>42937</v>
      </c>
      <c r="H278" t="s">
        <v>97</v>
      </c>
      <c r="I278" t="s">
        <v>264</v>
      </c>
      <c r="J278" t="s">
        <v>168</v>
      </c>
      <c r="K278">
        <v>9</v>
      </c>
      <c r="L278" t="s">
        <v>76</v>
      </c>
      <c r="M278" t="s">
        <v>265</v>
      </c>
      <c r="N278" t="s">
        <v>266</v>
      </c>
      <c r="O278">
        <v>71.400000000000006</v>
      </c>
      <c r="P278">
        <v>136</v>
      </c>
      <c r="Q278">
        <v>6251</v>
      </c>
      <c r="R278" t="s">
        <v>248</v>
      </c>
      <c r="S278" t="s">
        <v>248</v>
      </c>
      <c r="T278" t="s">
        <v>83</v>
      </c>
      <c r="U278" t="s">
        <v>53</v>
      </c>
      <c r="V278" t="s">
        <v>60</v>
      </c>
      <c r="W278" t="s">
        <v>109</v>
      </c>
      <c r="AA278">
        <v>0.5</v>
      </c>
      <c r="AB278" t="s">
        <v>32</v>
      </c>
      <c r="AC278" t="s">
        <v>209</v>
      </c>
      <c r="AE278" t="str">
        <f t="shared" si="82"/>
        <v>Zimmer</v>
      </c>
      <c r="AF278">
        <v>0.5</v>
      </c>
      <c r="AG278">
        <v>1</v>
      </c>
      <c r="AH278">
        <v>0</v>
      </c>
      <c r="AI278">
        <v>0</v>
      </c>
      <c r="AJ278">
        <v>1</v>
      </c>
      <c r="AO278">
        <f t="shared" si="86"/>
        <v>0</v>
      </c>
      <c r="AP278">
        <f t="shared" si="86"/>
        <v>0</v>
      </c>
      <c r="AQ278">
        <f t="shared" si="86"/>
        <v>0</v>
      </c>
      <c r="AR278">
        <f t="shared" si="86"/>
        <v>0</v>
      </c>
      <c r="AS278">
        <f t="shared" si="86"/>
        <v>0</v>
      </c>
      <c r="AT278">
        <f t="shared" si="86"/>
        <v>0</v>
      </c>
      <c r="AU278">
        <f t="shared" si="86"/>
        <v>0</v>
      </c>
      <c r="AV278">
        <f t="shared" si="86"/>
        <v>0</v>
      </c>
      <c r="AW278">
        <f t="shared" si="86"/>
        <v>0</v>
      </c>
      <c r="AX278">
        <f t="shared" si="86"/>
        <v>0</v>
      </c>
      <c r="AY278">
        <f t="shared" si="87"/>
        <v>0</v>
      </c>
      <c r="AZ278">
        <f t="shared" si="87"/>
        <v>0</v>
      </c>
      <c r="BA278">
        <f t="shared" si="87"/>
        <v>0</v>
      </c>
      <c r="BB278">
        <f t="shared" si="87"/>
        <v>0</v>
      </c>
      <c r="BC278">
        <f t="shared" si="87"/>
        <v>0</v>
      </c>
      <c r="BD278">
        <f t="shared" si="87"/>
        <v>0</v>
      </c>
      <c r="BE278">
        <f t="shared" si="87"/>
        <v>0</v>
      </c>
      <c r="BF278">
        <f t="shared" si="87"/>
        <v>0</v>
      </c>
      <c r="BG278">
        <f t="shared" si="87"/>
        <v>0</v>
      </c>
      <c r="BH278">
        <f t="shared" si="87"/>
        <v>0</v>
      </c>
      <c r="BI278" t="str">
        <f t="shared" si="88"/>
        <v>Zimmer</v>
      </c>
      <c r="BJ278">
        <f t="shared" si="88"/>
        <v>0</v>
      </c>
      <c r="BK278">
        <f t="shared" si="88"/>
        <v>0</v>
      </c>
      <c r="BL278">
        <f t="shared" si="88"/>
        <v>0</v>
      </c>
      <c r="BM278">
        <f t="shared" si="88"/>
        <v>0</v>
      </c>
      <c r="BN278">
        <f t="shared" si="88"/>
        <v>0</v>
      </c>
      <c r="BO278">
        <f t="shared" si="88"/>
        <v>0</v>
      </c>
      <c r="BP278">
        <f t="shared" si="88"/>
        <v>0</v>
      </c>
      <c r="BQ278">
        <f t="shared" si="88"/>
        <v>0</v>
      </c>
      <c r="BR278">
        <f t="shared" si="88"/>
        <v>0</v>
      </c>
      <c r="BS278">
        <f t="shared" si="88"/>
        <v>0</v>
      </c>
    </row>
    <row r="279" spans="2:71" ht="15" customHeight="1" x14ac:dyDescent="0.2">
      <c r="B279" t="s">
        <v>245</v>
      </c>
      <c r="D279">
        <v>5</v>
      </c>
      <c r="E279" t="s">
        <v>292</v>
      </c>
      <c r="F279" t="s">
        <v>214</v>
      </c>
      <c r="G279" s="5">
        <v>42937</v>
      </c>
      <c r="H279" t="s">
        <v>97</v>
      </c>
      <c r="I279" t="s">
        <v>264</v>
      </c>
      <c r="J279" t="s">
        <v>168</v>
      </c>
      <c r="K279">
        <v>9</v>
      </c>
      <c r="L279" t="s">
        <v>76</v>
      </c>
      <c r="M279" t="s">
        <v>265</v>
      </c>
      <c r="N279" t="s">
        <v>266</v>
      </c>
      <c r="O279">
        <v>71.400000000000006</v>
      </c>
      <c r="P279">
        <v>136</v>
      </c>
      <c r="Q279">
        <v>6251</v>
      </c>
      <c r="R279" t="s">
        <v>248</v>
      </c>
      <c r="S279" t="s">
        <v>248</v>
      </c>
      <c r="T279" t="s">
        <v>83</v>
      </c>
      <c r="U279" t="s">
        <v>53</v>
      </c>
      <c r="V279" t="s">
        <v>63</v>
      </c>
      <c r="W279" t="s">
        <v>109</v>
      </c>
      <c r="AA279">
        <v>0.5</v>
      </c>
      <c r="AB279" t="s">
        <v>32</v>
      </c>
      <c r="AC279" t="s">
        <v>209</v>
      </c>
      <c r="AE279" t="str">
        <f t="shared" si="82"/>
        <v>Delaney</v>
      </c>
      <c r="AF279">
        <v>0.5</v>
      </c>
      <c r="AG279">
        <v>1</v>
      </c>
      <c r="AH279">
        <v>0</v>
      </c>
      <c r="AI279">
        <v>0</v>
      </c>
      <c r="AJ279">
        <v>1</v>
      </c>
      <c r="AO279">
        <f t="shared" si="86"/>
        <v>0</v>
      </c>
      <c r="AP279">
        <f t="shared" si="86"/>
        <v>0</v>
      </c>
      <c r="AQ279">
        <f t="shared" si="86"/>
        <v>0</v>
      </c>
      <c r="AR279">
        <f t="shared" si="86"/>
        <v>0</v>
      </c>
      <c r="AS279">
        <f t="shared" si="86"/>
        <v>0</v>
      </c>
      <c r="AT279">
        <f t="shared" si="86"/>
        <v>0</v>
      </c>
      <c r="AU279">
        <f t="shared" si="86"/>
        <v>0</v>
      </c>
      <c r="AV279">
        <f t="shared" si="86"/>
        <v>0</v>
      </c>
      <c r="AW279">
        <f t="shared" si="86"/>
        <v>0</v>
      </c>
      <c r="AX279">
        <f t="shared" si="86"/>
        <v>0</v>
      </c>
      <c r="AY279">
        <f t="shared" si="87"/>
        <v>0</v>
      </c>
      <c r="AZ279">
        <f t="shared" si="87"/>
        <v>0</v>
      </c>
      <c r="BA279">
        <f t="shared" si="87"/>
        <v>0</v>
      </c>
      <c r="BB279">
        <f t="shared" si="87"/>
        <v>0</v>
      </c>
      <c r="BC279">
        <f t="shared" si="87"/>
        <v>0</v>
      </c>
      <c r="BD279">
        <f t="shared" si="87"/>
        <v>0</v>
      </c>
      <c r="BE279">
        <f t="shared" si="87"/>
        <v>0</v>
      </c>
      <c r="BF279">
        <f t="shared" si="87"/>
        <v>0</v>
      </c>
      <c r="BG279">
        <f t="shared" si="87"/>
        <v>0</v>
      </c>
      <c r="BH279">
        <f t="shared" si="87"/>
        <v>0</v>
      </c>
      <c r="BI279">
        <f t="shared" si="88"/>
        <v>0</v>
      </c>
      <c r="BJ279">
        <f t="shared" si="88"/>
        <v>0</v>
      </c>
      <c r="BK279">
        <f t="shared" si="88"/>
        <v>0</v>
      </c>
      <c r="BL279" t="str">
        <f t="shared" si="88"/>
        <v>Delaney</v>
      </c>
      <c r="BM279">
        <f t="shared" si="88"/>
        <v>0</v>
      </c>
      <c r="BN279">
        <f t="shared" si="88"/>
        <v>0</v>
      </c>
      <c r="BO279">
        <f t="shared" si="88"/>
        <v>0</v>
      </c>
      <c r="BP279">
        <f t="shared" si="88"/>
        <v>0</v>
      </c>
      <c r="BQ279">
        <f t="shared" si="88"/>
        <v>0</v>
      </c>
      <c r="BR279">
        <f t="shared" si="88"/>
        <v>0</v>
      </c>
      <c r="BS279">
        <f t="shared" si="88"/>
        <v>0</v>
      </c>
    </row>
    <row r="280" spans="2:71" ht="15" customHeight="1" x14ac:dyDescent="0.2">
      <c r="B280" t="s">
        <v>245</v>
      </c>
      <c r="D280">
        <v>5</v>
      </c>
      <c r="E280" t="s">
        <v>292</v>
      </c>
      <c r="F280" t="s">
        <v>214</v>
      </c>
      <c r="G280" s="5">
        <v>42937</v>
      </c>
      <c r="H280" t="s">
        <v>97</v>
      </c>
      <c r="I280" t="s">
        <v>264</v>
      </c>
      <c r="J280" t="s">
        <v>168</v>
      </c>
      <c r="K280">
        <v>9</v>
      </c>
      <c r="L280" t="s">
        <v>76</v>
      </c>
      <c r="M280" t="s">
        <v>265</v>
      </c>
      <c r="N280" t="s">
        <v>266</v>
      </c>
      <c r="O280">
        <v>71.400000000000006</v>
      </c>
      <c r="P280">
        <v>136</v>
      </c>
      <c r="Q280">
        <v>6251</v>
      </c>
      <c r="R280" t="s">
        <v>248</v>
      </c>
      <c r="S280" t="s">
        <v>248</v>
      </c>
      <c r="T280" t="s">
        <v>83</v>
      </c>
      <c r="U280" t="s">
        <v>53</v>
      </c>
      <c r="V280" t="s">
        <v>46</v>
      </c>
      <c r="W280" t="s">
        <v>109</v>
      </c>
      <c r="AA280">
        <v>0.5</v>
      </c>
      <c r="AB280" t="s">
        <v>32</v>
      </c>
      <c r="AC280" t="s">
        <v>209</v>
      </c>
      <c r="AE280" t="str">
        <f t="shared" si="82"/>
        <v>Mangold</v>
      </c>
      <c r="AF280">
        <v>0.5</v>
      </c>
      <c r="AG280">
        <v>1</v>
      </c>
      <c r="AH280">
        <v>0</v>
      </c>
      <c r="AI280">
        <v>0</v>
      </c>
      <c r="AJ280">
        <v>1</v>
      </c>
      <c r="AO280">
        <f t="shared" si="86"/>
        <v>0</v>
      </c>
      <c r="AP280">
        <f t="shared" si="86"/>
        <v>0</v>
      </c>
      <c r="AQ280">
        <f t="shared" si="86"/>
        <v>0</v>
      </c>
      <c r="AR280">
        <f t="shared" si="86"/>
        <v>0</v>
      </c>
      <c r="AS280">
        <f t="shared" si="86"/>
        <v>0</v>
      </c>
      <c r="AT280">
        <f t="shared" si="86"/>
        <v>0</v>
      </c>
      <c r="AU280" t="str">
        <f t="shared" si="86"/>
        <v>Mangold</v>
      </c>
      <c r="AV280">
        <f t="shared" si="86"/>
        <v>0</v>
      </c>
      <c r="AW280">
        <f t="shared" si="86"/>
        <v>0</v>
      </c>
      <c r="AX280">
        <f t="shared" si="86"/>
        <v>0</v>
      </c>
      <c r="AY280">
        <f t="shared" si="87"/>
        <v>0</v>
      </c>
      <c r="AZ280">
        <f t="shared" si="87"/>
        <v>0</v>
      </c>
      <c r="BA280">
        <f t="shared" si="87"/>
        <v>0</v>
      </c>
      <c r="BB280">
        <f t="shared" si="87"/>
        <v>0</v>
      </c>
      <c r="BC280">
        <f t="shared" si="87"/>
        <v>0</v>
      </c>
      <c r="BD280">
        <f t="shared" si="87"/>
        <v>0</v>
      </c>
      <c r="BE280">
        <f t="shared" si="87"/>
        <v>0</v>
      </c>
      <c r="BF280">
        <f t="shared" si="87"/>
        <v>0</v>
      </c>
      <c r="BG280">
        <f t="shared" si="87"/>
        <v>0</v>
      </c>
      <c r="BH280">
        <f t="shared" si="87"/>
        <v>0</v>
      </c>
      <c r="BI280">
        <f t="shared" si="88"/>
        <v>0</v>
      </c>
      <c r="BJ280">
        <f t="shared" si="88"/>
        <v>0</v>
      </c>
      <c r="BK280">
        <f t="shared" si="88"/>
        <v>0</v>
      </c>
      <c r="BL280">
        <f t="shared" si="88"/>
        <v>0</v>
      </c>
      <c r="BM280">
        <f t="shared" si="88"/>
        <v>0</v>
      </c>
      <c r="BN280">
        <f t="shared" si="88"/>
        <v>0</v>
      </c>
      <c r="BO280">
        <f t="shared" si="88"/>
        <v>0</v>
      </c>
      <c r="BP280">
        <f t="shared" si="88"/>
        <v>0</v>
      </c>
      <c r="BQ280">
        <f t="shared" si="88"/>
        <v>0</v>
      </c>
      <c r="BR280">
        <f t="shared" si="88"/>
        <v>0</v>
      </c>
      <c r="BS280">
        <f t="shared" si="88"/>
        <v>0</v>
      </c>
    </row>
    <row r="281" spans="2:71" ht="15" customHeight="1" x14ac:dyDescent="0.2">
      <c r="B281" t="s">
        <v>245</v>
      </c>
      <c r="D281">
        <v>5</v>
      </c>
      <c r="E281" t="s">
        <v>292</v>
      </c>
      <c r="F281" t="s">
        <v>214</v>
      </c>
      <c r="G281" s="5">
        <v>42937</v>
      </c>
      <c r="H281" t="s">
        <v>97</v>
      </c>
      <c r="I281" t="s">
        <v>264</v>
      </c>
      <c r="J281" t="s">
        <v>168</v>
      </c>
      <c r="K281">
        <v>9</v>
      </c>
      <c r="L281" t="s">
        <v>76</v>
      </c>
      <c r="M281" t="s">
        <v>265</v>
      </c>
      <c r="N281" t="s">
        <v>266</v>
      </c>
      <c r="O281">
        <v>71.400000000000006</v>
      </c>
      <c r="P281">
        <v>136</v>
      </c>
      <c r="Q281">
        <v>6251</v>
      </c>
      <c r="R281" t="s">
        <v>248</v>
      </c>
      <c r="S281" t="s">
        <v>248</v>
      </c>
      <c r="T281" t="s">
        <v>83</v>
      </c>
      <c r="U281" t="s">
        <v>53</v>
      </c>
      <c r="V281" t="s">
        <v>40</v>
      </c>
      <c r="W281" t="s">
        <v>109</v>
      </c>
      <c r="AA281">
        <v>0.5</v>
      </c>
      <c r="AB281" t="s">
        <v>32</v>
      </c>
      <c r="AC281" t="s">
        <v>209</v>
      </c>
      <c r="AE281" t="str">
        <f t="shared" si="82"/>
        <v>Grise</v>
      </c>
      <c r="AF281">
        <v>0.5</v>
      </c>
      <c r="AG281">
        <v>1</v>
      </c>
      <c r="AH281">
        <v>0</v>
      </c>
      <c r="AI281">
        <v>0</v>
      </c>
      <c r="AJ281">
        <v>1</v>
      </c>
      <c r="AO281" t="str">
        <f t="shared" si="86"/>
        <v>Grise</v>
      </c>
      <c r="AP281">
        <f t="shared" si="86"/>
        <v>0</v>
      </c>
      <c r="AQ281">
        <f t="shared" si="86"/>
        <v>0</v>
      </c>
      <c r="AR281">
        <f t="shared" si="86"/>
        <v>0</v>
      </c>
      <c r="AS281">
        <f t="shared" si="86"/>
        <v>0</v>
      </c>
      <c r="AT281">
        <f t="shared" si="86"/>
        <v>0</v>
      </c>
      <c r="AU281">
        <f t="shared" si="86"/>
        <v>0</v>
      </c>
      <c r="AV281">
        <f t="shared" si="86"/>
        <v>0</v>
      </c>
      <c r="AW281">
        <f t="shared" si="86"/>
        <v>0</v>
      </c>
      <c r="AX281">
        <f t="shared" si="86"/>
        <v>0</v>
      </c>
      <c r="AY281">
        <f t="shared" si="87"/>
        <v>0</v>
      </c>
      <c r="AZ281">
        <f t="shared" si="87"/>
        <v>0</v>
      </c>
      <c r="BA281">
        <f t="shared" si="87"/>
        <v>0</v>
      </c>
      <c r="BB281">
        <f t="shared" si="87"/>
        <v>0</v>
      </c>
      <c r="BC281">
        <f t="shared" si="87"/>
        <v>0</v>
      </c>
      <c r="BD281">
        <f t="shared" si="87"/>
        <v>0</v>
      </c>
      <c r="BE281">
        <f t="shared" si="87"/>
        <v>0</v>
      </c>
      <c r="BF281">
        <f t="shared" si="87"/>
        <v>0</v>
      </c>
      <c r="BG281">
        <f t="shared" si="87"/>
        <v>0</v>
      </c>
      <c r="BH281">
        <f t="shared" si="87"/>
        <v>0</v>
      </c>
      <c r="BI281">
        <f t="shared" si="88"/>
        <v>0</v>
      </c>
      <c r="BJ281">
        <f t="shared" si="88"/>
        <v>0</v>
      </c>
      <c r="BK281">
        <f t="shared" si="88"/>
        <v>0</v>
      </c>
      <c r="BL281">
        <f t="shared" si="88"/>
        <v>0</v>
      </c>
      <c r="BM281">
        <f t="shared" si="88"/>
        <v>0</v>
      </c>
      <c r="BN281">
        <f t="shared" si="88"/>
        <v>0</v>
      </c>
      <c r="BO281">
        <f t="shared" si="88"/>
        <v>0</v>
      </c>
      <c r="BP281">
        <f t="shared" si="88"/>
        <v>0</v>
      </c>
      <c r="BQ281">
        <f t="shared" si="88"/>
        <v>0</v>
      </c>
      <c r="BR281">
        <f t="shared" si="88"/>
        <v>0</v>
      </c>
      <c r="BS281">
        <f t="shared" si="88"/>
        <v>0</v>
      </c>
    </row>
    <row r="282" spans="2:71" ht="15" customHeight="1" x14ac:dyDescent="0.2">
      <c r="B282" t="s">
        <v>245</v>
      </c>
      <c r="D282">
        <v>5</v>
      </c>
      <c r="E282" t="s">
        <v>292</v>
      </c>
      <c r="F282" t="s">
        <v>214</v>
      </c>
      <c r="G282" s="5">
        <v>42937</v>
      </c>
      <c r="H282" t="s">
        <v>97</v>
      </c>
      <c r="I282" t="s">
        <v>264</v>
      </c>
      <c r="J282" t="s">
        <v>168</v>
      </c>
      <c r="K282">
        <v>9</v>
      </c>
      <c r="L282" t="s">
        <v>76</v>
      </c>
      <c r="M282" t="s">
        <v>265</v>
      </c>
      <c r="N282" t="s">
        <v>266</v>
      </c>
      <c r="O282">
        <v>71.400000000000006</v>
      </c>
      <c r="P282">
        <v>136</v>
      </c>
      <c r="Q282">
        <v>6251</v>
      </c>
      <c r="R282" t="s">
        <v>248</v>
      </c>
      <c r="S282" t="s">
        <v>248</v>
      </c>
      <c r="T282" t="s">
        <v>83</v>
      </c>
      <c r="U282" t="s">
        <v>53</v>
      </c>
      <c r="V282" t="s">
        <v>48</v>
      </c>
      <c r="W282" t="s">
        <v>109</v>
      </c>
      <c r="AA282">
        <v>0.5</v>
      </c>
      <c r="AB282" t="s">
        <v>32</v>
      </c>
      <c r="AC282" t="s">
        <v>209</v>
      </c>
      <c r="AE282" t="str">
        <f t="shared" si="82"/>
        <v>Lynch</v>
      </c>
      <c r="AF282">
        <v>0.5</v>
      </c>
      <c r="AG282">
        <v>1</v>
      </c>
      <c r="AH282">
        <v>0</v>
      </c>
      <c r="AI282">
        <v>0</v>
      </c>
      <c r="AJ282">
        <v>1</v>
      </c>
      <c r="AO282">
        <f t="shared" ref="AO282:AX291" si="89">IF(OR($V282=AO$1,$Y282=AO$1),AO$1,0)</f>
        <v>0</v>
      </c>
      <c r="AP282">
        <f t="shared" si="89"/>
        <v>0</v>
      </c>
      <c r="AQ282">
        <f t="shared" si="89"/>
        <v>0</v>
      </c>
      <c r="AR282">
        <f t="shared" si="89"/>
        <v>0</v>
      </c>
      <c r="AS282">
        <f t="shared" si="89"/>
        <v>0</v>
      </c>
      <c r="AT282">
        <f t="shared" si="89"/>
        <v>0</v>
      </c>
      <c r="AU282">
        <f t="shared" si="89"/>
        <v>0</v>
      </c>
      <c r="AV282">
        <f t="shared" si="89"/>
        <v>0</v>
      </c>
      <c r="AW282" t="str">
        <f t="shared" si="89"/>
        <v>Lynch</v>
      </c>
      <c r="AX282">
        <f t="shared" si="89"/>
        <v>0</v>
      </c>
      <c r="AY282">
        <f t="shared" ref="AY282:BH291" si="90">IF(OR($V282=AY$1,$Y282=AY$1),AY$1,0)</f>
        <v>0</v>
      </c>
      <c r="AZ282">
        <f t="shared" si="90"/>
        <v>0</v>
      </c>
      <c r="BA282">
        <f t="shared" si="90"/>
        <v>0</v>
      </c>
      <c r="BB282">
        <f t="shared" si="90"/>
        <v>0</v>
      </c>
      <c r="BC282">
        <f t="shared" si="90"/>
        <v>0</v>
      </c>
      <c r="BD282">
        <f t="shared" si="90"/>
        <v>0</v>
      </c>
      <c r="BE282">
        <f t="shared" si="90"/>
        <v>0</v>
      </c>
      <c r="BF282">
        <f t="shared" si="90"/>
        <v>0</v>
      </c>
      <c r="BG282">
        <f t="shared" si="90"/>
        <v>0</v>
      </c>
      <c r="BH282">
        <f t="shared" si="90"/>
        <v>0</v>
      </c>
      <c r="BI282">
        <f t="shared" ref="BI282:BS291" si="91">IF(OR($V282=BI$1,$Y282=BI$1),BI$1,0)</f>
        <v>0</v>
      </c>
      <c r="BJ282">
        <f t="shared" si="91"/>
        <v>0</v>
      </c>
      <c r="BK282">
        <f t="shared" si="91"/>
        <v>0</v>
      </c>
      <c r="BL282">
        <f t="shared" si="91"/>
        <v>0</v>
      </c>
      <c r="BM282">
        <f t="shared" si="91"/>
        <v>0</v>
      </c>
      <c r="BN282">
        <f t="shared" si="91"/>
        <v>0</v>
      </c>
      <c r="BO282">
        <f t="shared" si="91"/>
        <v>0</v>
      </c>
      <c r="BP282">
        <f t="shared" si="91"/>
        <v>0</v>
      </c>
      <c r="BQ282">
        <f t="shared" si="91"/>
        <v>0</v>
      </c>
      <c r="BR282">
        <f t="shared" si="91"/>
        <v>0</v>
      </c>
      <c r="BS282">
        <f t="shared" si="91"/>
        <v>0</v>
      </c>
    </row>
    <row r="283" spans="2:71" ht="15" customHeight="1" x14ac:dyDescent="0.2">
      <c r="B283" t="s">
        <v>245</v>
      </c>
      <c r="D283">
        <v>5</v>
      </c>
      <c r="E283" t="s">
        <v>292</v>
      </c>
      <c r="F283" t="s">
        <v>214</v>
      </c>
      <c r="G283" s="5">
        <v>42937</v>
      </c>
      <c r="H283" t="s">
        <v>97</v>
      </c>
      <c r="I283" t="s">
        <v>264</v>
      </c>
      <c r="J283" t="s">
        <v>168</v>
      </c>
      <c r="K283">
        <v>9</v>
      </c>
      <c r="L283" t="s">
        <v>76</v>
      </c>
      <c r="M283" t="s">
        <v>265</v>
      </c>
      <c r="N283" t="s">
        <v>266</v>
      </c>
      <c r="O283">
        <v>71.400000000000006</v>
      </c>
      <c r="P283">
        <v>136</v>
      </c>
      <c r="Q283">
        <v>6251</v>
      </c>
      <c r="R283" t="s">
        <v>248</v>
      </c>
      <c r="S283" t="s">
        <v>248</v>
      </c>
      <c r="T283" t="s">
        <v>83</v>
      </c>
      <c r="U283" t="s">
        <v>53</v>
      </c>
      <c r="V283" t="s">
        <v>59</v>
      </c>
      <c r="W283" t="s">
        <v>109</v>
      </c>
      <c r="AA283">
        <v>0.5</v>
      </c>
      <c r="AB283" t="s">
        <v>32</v>
      </c>
      <c r="AC283" t="s">
        <v>209</v>
      </c>
      <c r="AE283" t="str">
        <f t="shared" si="82"/>
        <v>Norat</v>
      </c>
      <c r="AF283">
        <v>0.5</v>
      </c>
      <c r="AG283">
        <v>1</v>
      </c>
      <c r="AH283">
        <v>0</v>
      </c>
      <c r="AI283">
        <v>0</v>
      </c>
      <c r="AJ283">
        <v>1</v>
      </c>
      <c r="AO283">
        <f t="shared" si="89"/>
        <v>0</v>
      </c>
      <c r="AP283">
        <f t="shared" si="89"/>
        <v>0</v>
      </c>
      <c r="AQ283">
        <f t="shared" si="89"/>
        <v>0</v>
      </c>
      <c r="AR283">
        <f t="shared" si="89"/>
        <v>0</v>
      </c>
      <c r="AS283">
        <f t="shared" si="89"/>
        <v>0</v>
      </c>
      <c r="AT283">
        <f t="shared" si="89"/>
        <v>0</v>
      </c>
      <c r="AU283">
        <f t="shared" si="89"/>
        <v>0</v>
      </c>
      <c r="AV283">
        <f t="shared" si="89"/>
        <v>0</v>
      </c>
      <c r="AW283">
        <f t="shared" si="89"/>
        <v>0</v>
      </c>
      <c r="AX283">
        <f t="shared" si="89"/>
        <v>0</v>
      </c>
      <c r="AY283">
        <f t="shared" si="90"/>
        <v>0</v>
      </c>
      <c r="AZ283">
        <f t="shared" si="90"/>
        <v>0</v>
      </c>
      <c r="BA283">
        <f t="shared" si="90"/>
        <v>0</v>
      </c>
      <c r="BB283">
        <f t="shared" si="90"/>
        <v>0</v>
      </c>
      <c r="BC283">
        <f t="shared" si="90"/>
        <v>0</v>
      </c>
      <c r="BD283">
        <f t="shared" si="90"/>
        <v>0</v>
      </c>
      <c r="BE283">
        <f t="shared" si="90"/>
        <v>0</v>
      </c>
      <c r="BF283">
        <f t="shared" si="90"/>
        <v>0</v>
      </c>
      <c r="BG283">
        <f t="shared" si="90"/>
        <v>0</v>
      </c>
      <c r="BH283" t="str">
        <f t="shared" si="90"/>
        <v>Norat</v>
      </c>
      <c r="BI283">
        <f t="shared" si="91"/>
        <v>0</v>
      </c>
      <c r="BJ283">
        <f t="shared" si="91"/>
        <v>0</v>
      </c>
      <c r="BK283">
        <f t="shared" si="91"/>
        <v>0</v>
      </c>
      <c r="BL283">
        <f t="shared" si="91"/>
        <v>0</v>
      </c>
      <c r="BM283">
        <f t="shared" si="91"/>
        <v>0</v>
      </c>
      <c r="BN283">
        <f t="shared" si="91"/>
        <v>0</v>
      </c>
      <c r="BO283">
        <f t="shared" si="91"/>
        <v>0</v>
      </c>
      <c r="BP283">
        <f t="shared" si="91"/>
        <v>0</v>
      </c>
      <c r="BQ283">
        <f t="shared" si="91"/>
        <v>0</v>
      </c>
      <c r="BR283">
        <f t="shared" si="91"/>
        <v>0</v>
      </c>
      <c r="BS283">
        <f t="shared" si="91"/>
        <v>0</v>
      </c>
    </row>
    <row r="284" spans="2:71" ht="15" customHeight="1" x14ac:dyDescent="0.2">
      <c r="B284" t="s">
        <v>245</v>
      </c>
      <c r="D284">
        <v>5</v>
      </c>
      <c r="E284" t="s">
        <v>292</v>
      </c>
      <c r="F284" t="s">
        <v>214</v>
      </c>
      <c r="G284" s="5">
        <v>42937</v>
      </c>
      <c r="H284" t="s">
        <v>97</v>
      </c>
      <c r="I284" t="s">
        <v>264</v>
      </c>
      <c r="J284" t="s">
        <v>168</v>
      </c>
      <c r="K284">
        <v>9</v>
      </c>
      <c r="L284" t="s">
        <v>76</v>
      </c>
      <c r="M284" t="s">
        <v>265</v>
      </c>
      <c r="N284" t="s">
        <v>266</v>
      </c>
      <c r="O284">
        <v>71.400000000000006</v>
      </c>
      <c r="P284">
        <v>136</v>
      </c>
      <c r="Q284">
        <v>6251</v>
      </c>
      <c r="R284" t="s">
        <v>248</v>
      </c>
      <c r="S284" t="s">
        <v>248</v>
      </c>
      <c r="T284" t="s">
        <v>83</v>
      </c>
      <c r="U284" t="s">
        <v>53</v>
      </c>
      <c r="V284" t="s">
        <v>53</v>
      </c>
      <c r="W284" t="s">
        <v>109</v>
      </c>
      <c r="AA284">
        <v>0.5</v>
      </c>
      <c r="AB284" t="s">
        <v>32</v>
      </c>
      <c r="AC284" t="s">
        <v>209</v>
      </c>
      <c r="AE284" t="str">
        <f t="shared" si="82"/>
        <v>Forster</v>
      </c>
      <c r="AF284">
        <v>0.5</v>
      </c>
      <c r="AG284">
        <v>1</v>
      </c>
      <c r="AH284">
        <v>0</v>
      </c>
      <c r="AI284">
        <v>0</v>
      </c>
      <c r="AJ284">
        <v>1</v>
      </c>
      <c r="AO284">
        <f t="shared" si="89"/>
        <v>0</v>
      </c>
      <c r="AP284">
        <f t="shared" si="89"/>
        <v>0</v>
      </c>
      <c r="AQ284">
        <f t="shared" si="89"/>
        <v>0</v>
      </c>
      <c r="AR284">
        <f t="shared" si="89"/>
        <v>0</v>
      </c>
      <c r="AS284">
        <f t="shared" si="89"/>
        <v>0</v>
      </c>
      <c r="AT284">
        <f t="shared" si="89"/>
        <v>0</v>
      </c>
      <c r="AU284">
        <f t="shared" si="89"/>
        <v>0</v>
      </c>
      <c r="AV284">
        <f t="shared" si="89"/>
        <v>0</v>
      </c>
      <c r="AW284">
        <f t="shared" si="89"/>
        <v>0</v>
      </c>
      <c r="AX284">
        <f t="shared" si="89"/>
        <v>0</v>
      </c>
      <c r="AY284">
        <f t="shared" si="90"/>
        <v>0</v>
      </c>
      <c r="AZ284">
        <f t="shared" si="90"/>
        <v>0</v>
      </c>
      <c r="BA284">
        <f t="shared" si="90"/>
        <v>0</v>
      </c>
      <c r="BB284" t="str">
        <f t="shared" si="90"/>
        <v>Forster</v>
      </c>
      <c r="BC284">
        <f t="shared" si="90"/>
        <v>0</v>
      </c>
      <c r="BD284">
        <f t="shared" si="90"/>
        <v>0</v>
      </c>
      <c r="BE284">
        <f t="shared" si="90"/>
        <v>0</v>
      </c>
      <c r="BF284">
        <f t="shared" si="90"/>
        <v>0</v>
      </c>
      <c r="BG284">
        <f t="shared" si="90"/>
        <v>0</v>
      </c>
      <c r="BH284">
        <f t="shared" si="90"/>
        <v>0</v>
      </c>
      <c r="BI284">
        <f t="shared" si="91"/>
        <v>0</v>
      </c>
      <c r="BJ284">
        <f t="shared" si="91"/>
        <v>0</v>
      </c>
      <c r="BK284">
        <f t="shared" si="91"/>
        <v>0</v>
      </c>
      <c r="BL284">
        <f t="shared" si="91"/>
        <v>0</v>
      </c>
      <c r="BM284">
        <f t="shared" si="91"/>
        <v>0</v>
      </c>
      <c r="BN284">
        <f t="shared" si="91"/>
        <v>0</v>
      </c>
      <c r="BO284">
        <f t="shared" si="91"/>
        <v>0</v>
      </c>
      <c r="BP284">
        <f t="shared" si="91"/>
        <v>0</v>
      </c>
      <c r="BQ284">
        <f t="shared" si="91"/>
        <v>0</v>
      </c>
      <c r="BR284">
        <f t="shared" si="91"/>
        <v>0</v>
      </c>
      <c r="BS284">
        <f t="shared" si="91"/>
        <v>0</v>
      </c>
    </row>
    <row r="285" spans="2:71" ht="15" customHeight="1" x14ac:dyDescent="0.2">
      <c r="B285" t="s">
        <v>245</v>
      </c>
      <c r="D285">
        <v>5</v>
      </c>
      <c r="E285" t="s">
        <v>292</v>
      </c>
      <c r="F285" t="s">
        <v>214</v>
      </c>
      <c r="G285" s="5">
        <v>42937</v>
      </c>
      <c r="H285" t="s">
        <v>97</v>
      </c>
      <c r="I285" t="s">
        <v>264</v>
      </c>
      <c r="J285" t="s">
        <v>168</v>
      </c>
      <c r="K285">
        <v>9</v>
      </c>
      <c r="L285" t="s">
        <v>76</v>
      </c>
      <c r="M285" t="s">
        <v>265</v>
      </c>
      <c r="N285" t="s">
        <v>266</v>
      </c>
      <c r="O285">
        <v>71.400000000000006</v>
      </c>
      <c r="P285">
        <v>136</v>
      </c>
      <c r="Q285">
        <v>6251</v>
      </c>
      <c r="R285" t="s">
        <v>248</v>
      </c>
      <c r="S285" t="s">
        <v>248</v>
      </c>
      <c r="T285" t="s">
        <v>83</v>
      </c>
      <c r="U285" t="s">
        <v>53</v>
      </c>
      <c r="V285" t="s">
        <v>49</v>
      </c>
      <c r="W285" t="s">
        <v>109</v>
      </c>
      <c r="AA285">
        <v>0.5</v>
      </c>
      <c r="AB285" t="s">
        <v>32</v>
      </c>
      <c r="AC285" t="s">
        <v>209</v>
      </c>
      <c r="AE285" t="str">
        <f t="shared" si="82"/>
        <v>Shively</v>
      </c>
      <c r="AF285">
        <v>0.5</v>
      </c>
      <c r="AG285">
        <v>1</v>
      </c>
      <c r="AH285">
        <v>0</v>
      </c>
      <c r="AI285">
        <v>0</v>
      </c>
      <c r="AJ285">
        <v>1</v>
      </c>
      <c r="AO285">
        <f t="shared" si="89"/>
        <v>0</v>
      </c>
      <c r="AP285">
        <f t="shared" si="89"/>
        <v>0</v>
      </c>
      <c r="AQ285">
        <f t="shared" si="89"/>
        <v>0</v>
      </c>
      <c r="AR285">
        <f t="shared" si="89"/>
        <v>0</v>
      </c>
      <c r="AS285">
        <f t="shared" si="89"/>
        <v>0</v>
      </c>
      <c r="AT285">
        <f t="shared" si="89"/>
        <v>0</v>
      </c>
      <c r="AU285">
        <f t="shared" si="89"/>
        <v>0</v>
      </c>
      <c r="AV285">
        <f t="shared" si="89"/>
        <v>0</v>
      </c>
      <c r="AW285">
        <f t="shared" si="89"/>
        <v>0</v>
      </c>
      <c r="AX285" t="str">
        <f t="shared" si="89"/>
        <v>Shively</v>
      </c>
      <c r="AY285">
        <f t="shared" si="90"/>
        <v>0</v>
      </c>
      <c r="AZ285">
        <f t="shared" si="90"/>
        <v>0</v>
      </c>
      <c r="BA285">
        <f t="shared" si="90"/>
        <v>0</v>
      </c>
      <c r="BB285">
        <f t="shared" si="90"/>
        <v>0</v>
      </c>
      <c r="BC285">
        <f t="shared" si="90"/>
        <v>0</v>
      </c>
      <c r="BD285">
        <f t="shared" si="90"/>
        <v>0</v>
      </c>
      <c r="BE285">
        <f t="shared" si="90"/>
        <v>0</v>
      </c>
      <c r="BF285">
        <f t="shared" si="90"/>
        <v>0</v>
      </c>
      <c r="BG285">
        <f t="shared" si="90"/>
        <v>0</v>
      </c>
      <c r="BH285">
        <f t="shared" si="90"/>
        <v>0</v>
      </c>
      <c r="BI285">
        <f t="shared" si="91"/>
        <v>0</v>
      </c>
      <c r="BJ285">
        <f t="shared" si="91"/>
        <v>0</v>
      </c>
      <c r="BK285">
        <f t="shared" si="91"/>
        <v>0</v>
      </c>
      <c r="BL285">
        <f t="shared" si="91"/>
        <v>0</v>
      </c>
      <c r="BM285">
        <f t="shared" si="91"/>
        <v>0</v>
      </c>
      <c r="BN285">
        <f t="shared" si="91"/>
        <v>0</v>
      </c>
      <c r="BO285">
        <f t="shared" si="91"/>
        <v>0</v>
      </c>
      <c r="BP285">
        <f t="shared" si="91"/>
        <v>0</v>
      </c>
      <c r="BQ285">
        <f t="shared" si="91"/>
        <v>0</v>
      </c>
      <c r="BR285">
        <f t="shared" si="91"/>
        <v>0</v>
      </c>
      <c r="BS285">
        <f t="shared" si="91"/>
        <v>0</v>
      </c>
    </row>
    <row r="286" spans="2:71" ht="15" customHeight="1" x14ac:dyDescent="0.2">
      <c r="B286">
        <v>21</v>
      </c>
      <c r="C286">
        <v>1</v>
      </c>
      <c r="D286">
        <v>5</v>
      </c>
      <c r="E286" t="s">
        <v>293</v>
      </c>
      <c r="F286" t="s">
        <v>72</v>
      </c>
      <c r="G286" s="5">
        <v>42938</v>
      </c>
      <c r="H286" t="s">
        <v>73</v>
      </c>
      <c r="I286" t="s">
        <v>264</v>
      </c>
      <c r="J286" t="s">
        <v>168</v>
      </c>
      <c r="K286">
        <v>18</v>
      </c>
      <c r="L286" t="s">
        <v>107</v>
      </c>
      <c r="M286" t="s">
        <v>294</v>
      </c>
      <c r="N286" t="s">
        <v>109</v>
      </c>
      <c r="O286">
        <v>72.2</v>
      </c>
      <c r="P286">
        <v>138</v>
      </c>
      <c r="Q286">
        <v>6522</v>
      </c>
      <c r="R286" t="s">
        <v>110</v>
      </c>
      <c r="S286" t="s">
        <v>111</v>
      </c>
      <c r="T286" t="s">
        <v>81</v>
      </c>
      <c r="U286" t="s">
        <v>43</v>
      </c>
      <c r="V286" t="s">
        <v>43</v>
      </c>
      <c r="W286" t="s">
        <v>78</v>
      </c>
      <c r="AA286">
        <v>2</v>
      </c>
      <c r="AB286" t="s">
        <v>32</v>
      </c>
      <c r="AC286" t="s">
        <v>171</v>
      </c>
      <c r="AD286" t="s">
        <v>40</v>
      </c>
      <c r="AE286" t="str">
        <f t="shared" si="82"/>
        <v>Poirier</v>
      </c>
      <c r="AF286">
        <v>2</v>
      </c>
      <c r="AG286">
        <v>1</v>
      </c>
      <c r="AH286">
        <v>0</v>
      </c>
      <c r="AI286">
        <v>0</v>
      </c>
      <c r="AJ286">
        <v>1</v>
      </c>
      <c r="AK286" t="s">
        <v>40</v>
      </c>
      <c r="AL286">
        <v>0.546875</v>
      </c>
      <c r="AO286">
        <f t="shared" si="89"/>
        <v>0</v>
      </c>
      <c r="AP286">
        <f t="shared" si="89"/>
        <v>0</v>
      </c>
      <c r="AQ286">
        <f t="shared" si="89"/>
        <v>0</v>
      </c>
      <c r="AR286" t="str">
        <f t="shared" si="89"/>
        <v>Poirier</v>
      </c>
      <c r="AS286">
        <f t="shared" si="89"/>
        <v>0</v>
      </c>
      <c r="AT286">
        <f t="shared" si="89"/>
        <v>0</v>
      </c>
      <c r="AU286">
        <f t="shared" si="89"/>
        <v>0</v>
      </c>
      <c r="AV286">
        <f t="shared" si="89"/>
        <v>0</v>
      </c>
      <c r="AW286">
        <f t="shared" si="89"/>
        <v>0</v>
      </c>
      <c r="AX286">
        <f t="shared" si="89"/>
        <v>0</v>
      </c>
      <c r="AY286">
        <f t="shared" si="90"/>
        <v>0</v>
      </c>
      <c r="AZ286">
        <f t="shared" si="90"/>
        <v>0</v>
      </c>
      <c r="BA286">
        <f t="shared" si="90"/>
        <v>0</v>
      </c>
      <c r="BB286">
        <f t="shared" si="90"/>
        <v>0</v>
      </c>
      <c r="BC286">
        <f t="shared" si="90"/>
        <v>0</v>
      </c>
      <c r="BD286">
        <f t="shared" si="90"/>
        <v>0</v>
      </c>
      <c r="BE286">
        <f t="shared" si="90"/>
        <v>0</v>
      </c>
      <c r="BF286">
        <f t="shared" si="90"/>
        <v>0</v>
      </c>
      <c r="BG286">
        <f t="shared" si="90"/>
        <v>0</v>
      </c>
      <c r="BH286">
        <f t="shared" si="90"/>
        <v>0</v>
      </c>
      <c r="BI286">
        <f t="shared" si="91"/>
        <v>0</v>
      </c>
      <c r="BJ286">
        <f t="shared" si="91"/>
        <v>0</v>
      </c>
      <c r="BK286">
        <f t="shared" si="91"/>
        <v>0</v>
      </c>
      <c r="BL286">
        <f t="shared" si="91"/>
        <v>0</v>
      </c>
      <c r="BM286">
        <f t="shared" si="91"/>
        <v>0</v>
      </c>
      <c r="BN286">
        <f t="shared" si="91"/>
        <v>0</v>
      </c>
      <c r="BO286">
        <f t="shared" si="91"/>
        <v>0</v>
      </c>
      <c r="BP286">
        <f t="shared" si="91"/>
        <v>0</v>
      </c>
      <c r="BQ286">
        <f t="shared" si="91"/>
        <v>0</v>
      </c>
      <c r="BR286">
        <f t="shared" si="91"/>
        <v>0</v>
      </c>
      <c r="BS286">
        <f t="shared" si="91"/>
        <v>0</v>
      </c>
    </row>
    <row r="287" spans="2:71" ht="15" customHeight="1" x14ac:dyDescent="0.2">
      <c r="B287">
        <v>21</v>
      </c>
      <c r="C287">
        <v>2</v>
      </c>
      <c r="D287">
        <v>5</v>
      </c>
      <c r="E287" t="s">
        <v>295</v>
      </c>
      <c r="F287" t="s">
        <v>72</v>
      </c>
      <c r="G287" s="5">
        <v>42938</v>
      </c>
      <c r="H287" t="s">
        <v>73</v>
      </c>
      <c r="I287" t="s">
        <v>264</v>
      </c>
      <c r="J287" t="s">
        <v>168</v>
      </c>
      <c r="K287">
        <v>18</v>
      </c>
      <c r="L287" t="s">
        <v>107</v>
      </c>
      <c r="M287" t="s">
        <v>294</v>
      </c>
      <c r="N287" t="s">
        <v>109</v>
      </c>
      <c r="O287">
        <v>72.2</v>
      </c>
      <c r="P287">
        <v>138</v>
      </c>
      <c r="Q287">
        <v>6522</v>
      </c>
      <c r="R287" t="s">
        <v>110</v>
      </c>
      <c r="S287" t="s">
        <v>111</v>
      </c>
      <c r="T287" t="s">
        <v>81</v>
      </c>
      <c r="U287" t="s">
        <v>43</v>
      </c>
      <c r="V287" t="s">
        <v>44</v>
      </c>
      <c r="W287" t="s">
        <v>78</v>
      </c>
      <c r="AA287">
        <v>2</v>
      </c>
      <c r="AB287" t="s">
        <v>33</v>
      </c>
      <c r="AC287" t="s">
        <v>209</v>
      </c>
      <c r="AD287" t="s">
        <v>61</v>
      </c>
      <c r="AE287" t="str">
        <f t="shared" si="82"/>
        <v>Flanders</v>
      </c>
      <c r="AF287">
        <v>0</v>
      </c>
      <c r="AG287">
        <v>0</v>
      </c>
      <c r="AH287">
        <v>1</v>
      </c>
      <c r="AI287">
        <v>0</v>
      </c>
      <c r="AJ287">
        <v>0</v>
      </c>
      <c r="AK287" t="s">
        <v>61</v>
      </c>
      <c r="AL287">
        <v>0.5</v>
      </c>
      <c r="AO287">
        <f t="shared" si="89"/>
        <v>0</v>
      </c>
      <c r="AP287">
        <f t="shared" si="89"/>
        <v>0</v>
      </c>
      <c r="AQ287">
        <f t="shared" si="89"/>
        <v>0</v>
      </c>
      <c r="AR287">
        <f t="shared" si="89"/>
        <v>0</v>
      </c>
      <c r="AS287" t="str">
        <f t="shared" si="89"/>
        <v>Flanders</v>
      </c>
      <c r="AT287">
        <f t="shared" si="89"/>
        <v>0</v>
      </c>
      <c r="AU287">
        <f t="shared" si="89"/>
        <v>0</v>
      </c>
      <c r="AV287">
        <f t="shared" si="89"/>
        <v>0</v>
      </c>
      <c r="AW287">
        <f t="shared" si="89"/>
        <v>0</v>
      </c>
      <c r="AX287">
        <f t="shared" si="89"/>
        <v>0</v>
      </c>
      <c r="AY287">
        <f t="shared" si="90"/>
        <v>0</v>
      </c>
      <c r="AZ287">
        <f t="shared" si="90"/>
        <v>0</v>
      </c>
      <c r="BA287">
        <f t="shared" si="90"/>
        <v>0</v>
      </c>
      <c r="BB287">
        <f t="shared" si="90"/>
        <v>0</v>
      </c>
      <c r="BC287">
        <f t="shared" si="90"/>
        <v>0</v>
      </c>
      <c r="BD287">
        <f t="shared" si="90"/>
        <v>0</v>
      </c>
      <c r="BE287">
        <f t="shared" si="90"/>
        <v>0</v>
      </c>
      <c r="BF287">
        <f t="shared" si="90"/>
        <v>0</v>
      </c>
      <c r="BG287">
        <f t="shared" si="90"/>
        <v>0</v>
      </c>
      <c r="BH287">
        <f t="shared" si="90"/>
        <v>0</v>
      </c>
      <c r="BI287">
        <f t="shared" si="91"/>
        <v>0</v>
      </c>
      <c r="BJ287">
        <f t="shared" si="91"/>
        <v>0</v>
      </c>
      <c r="BK287">
        <f t="shared" si="91"/>
        <v>0</v>
      </c>
      <c r="BL287">
        <f t="shared" si="91"/>
        <v>0</v>
      </c>
      <c r="BM287">
        <f t="shared" si="91"/>
        <v>0</v>
      </c>
      <c r="BN287">
        <f t="shared" si="91"/>
        <v>0</v>
      </c>
      <c r="BO287">
        <f t="shared" si="91"/>
        <v>0</v>
      </c>
      <c r="BP287">
        <f t="shared" si="91"/>
        <v>0</v>
      </c>
      <c r="BQ287">
        <f t="shared" si="91"/>
        <v>0</v>
      </c>
      <c r="BR287">
        <f t="shared" si="91"/>
        <v>0</v>
      </c>
      <c r="BS287">
        <f t="shared" si="91"/>
        <v>0</v>
      </c>
    </row>
    <row r="288" spans="2:71" ht="15" customHeight="1" x14ac:dyDescent="0.2">
      <c r="B288">
        <v>22</v>
      </c>
      <c r="C288">
        <v>3</v>
      </c>
      <c r="D288">
        <v>5</v>
      </c>
      <c r="E288" t="s">
        <v>296</v>
      </c>
      <c r="F288" t="s">
        <v>72</v>
      </c>
      <c r="G288" s="5">
        <v>42938</v>
      </c>
      <c r="H288" t="s">
        <v>73</v>
      </c>
      <c r="I288" t="s">
        <v>264</v>
      </c>
      <c r="J288" t="s">
        <v>168</v>
      </c>
      <c r="K288">
        <v>18</v>
      </c>
      <c r="L288" t="s">
        <v>107</v>
      </c>
      <c r="M288" t="s">
        <v>294</v>
      </c>
      <c r="N288" t="s">
        <v>109</v>
      </c>
      <c r="O288">
        <v>72.2</v>
      </c>
      <c r="P288">
        <v>138</v>
      </c>
      <c r="Q288">
        <v>6522</v>
      </c>
      <c r="R288" t="s">
        <v>110</v>
      </c>
      <c r="S288" t="s">
        <v>111</v>
      </c>
      <c r="T288" t="s">
        <v>81</v>
      </c>
      <c r="U288" t="s">
        <v>43</v>
      </c>
      <c r="V288" t="s">
        <v>58</v>
      </c>
      <c r="W288" t="s">
        <v>78</v>
      </c>
      <c r="AA288">
        <v>2</v>
      </c>
      <c r="AB288" t="s">
        <v>34</v>
      </c>
      <c r="AC288" t="s">
        <v>92</v>
      </c>
      <c r="AD288" t="s">
        <v>60</v>
      </c>
      <c r="AE288" t="str">
        <f t="shared" si="82"/>
        <v>Gray</v>
      </c>
      <c r="AF288">
        <v>1</v>
      </c>
      <c r="AG288">
        <v>0</v>
      </c>
      <c r="AH288">
        <v>0</v>
      </c>
      <c r="AI288">
        <v>1</v>
      </c>
      <c r="AJ288">
        <v>0.5</v>
      </c>
      <c r="AK288" t="s">
        <v>60</v>
      </c>
      <c r="AL288">
        <v>0.5</v>
      </c>
      <c r="AO288">
        <f t="shared" si="89"/>
        <v>0</v>
      </c>
      <c r="AP288">
        <f t="shared" si="89"/>
        <v>0</v>
      </c>
      <c r="AQ288">
        <f t="shared" si="89"/>
        <v>0</v>
      </c>
      <c r="AR288">
        <f t="shared" si="89"/>
        <v>0</v>
      </c>
      <c r="AS288">
        <f t="shared" si="89"/>
        <v>0</v>
      </c>
      <c r="AT288">
        <f t="shared" si="89"/>
        <v>0</v>
      </c>
      <c r="AU288">
        <f t="shared" si="89"/>
        <v>0</v>
      </c>
      <c r="AV288">
        <f t="shared" si="89"/>
        <v>0</v>
      </c>
      <c r="AW288">
        <f t="shared" si="89"/>
        <v>0</v>
      </c>
      <c r="AX288">
        <f t="shared" si="89"/>
        <v>0</v>
      </c>
      <c r="AY288">
        <f t="shared" si="90"/>
        <v>0</v>
      </c>
      <c r="AZ288">
        <f t="shared" si="90"/>
        <v>0</v>
      </c>
      <c r="BA288">
        <f t="shared" si="90"/>
        <v>0</v>
      </c>
      <c r="BB288">
        <f t="shared" si="90"/>
        <v>0</v>
      </c>
      <c r="BC288">
        <f t="shared" si="90"/>
        <v>0</v>
      </c>
      <c r="BD288">
        <f t="shared" si="90"/>
        <v>0</v>
      </c>
      <c r="BE288">
        <f t="shared" si="90"/>
        <v>0</v>
      </c>
      <c r="BF288">
        <f t="shared" si="90"/>
        <v>0</v>
      </c>
      <c r="BG288" t="str">
        <f t="shared" si="90"/>
        <v>Gray</v>
      </c>
      <c r="BH288">
        <f t="shared" si="90"/>
        <v>0</v>
      </c>
      <c r="BI288">
        <f t="shared" si="91"/>
        <v>0</v>
      </c>
      <c r="BJ288">
        <f t="shared" si="91"/>
        <v>0</v>
      </c>
      <c r="BK288">
        <f t="shared" si="91"/>
        <v>0</v>
      </c>
      <c r="BL288">
        <f t="shared" si="91"/>
        <v>0</v>
      </c>
      <c r="BM288">
        <f t="shared" si="91"/>
        <v>0</v>
      </c>
      <c r="BN288">
        <f t="shared" si="91"/>
        <v>0</v>
      </c>
      <c r="BO288">
        <f t="shared" si="91"/>
        <v>0</v>
      </c>
      <c r="BP288">
        <f t="shared" si="91"/>
        <v>0</v>
      </c>
      <c r="BQ288">
        <f t="shared" si="91"/>
        <v>0</v>
      </c>
      <c r="BR288">
        <f t="shared" si="91"/>
        <v>0</v>
      </c>
      <c r="BS288">
        <f t="shared" si="91"/>
        <v>0</v>
      </c>
    </row>
    <row r="289" spans="2:71" ht="15" customHeight="1" x14ac:dyDescent="0.2">
      <c r="B289">
        <v>22</v>
      </c>
      <c r="C289">
        <v>4</v>
      </c>
      <c r="D289">
        <v>5</v>
      </c>
      <c r="E289" t="s">
        <v>297</v>
      </c>
      <c r="F289" t="s">
        <v>72</v>
      </c>
      <c r="G289" s="5">
        <v>42938</v>
      </c>
      <c r="H289" t="s">
        <v>73</v>
      </c>
      <c r="I289" t="s">
        <v>264</v>
      </c>
      <c r="J289" t="s">
        <v>168</v>
      </c>
      <c r="K289">
        <v>18</v>
      </c>
      <c r="L289" t="s">
        <v>107</v>
      </c>
      <c r="M289" t="s">
        <v>294</v>
      </c>
      <c r="N289" t="s">
        <v>109</v>
      </c>
      <c r="O289">
        <v>72.2</v>
      </c>
      <c r="P289">
        <v>138</v>
      </c>
      <c r="Q289">
        <v>6522</v>
      </c>
      <c r="R289" t="s">
        <v>110</v>
      </c>
      <c r="S289" t="s">
        <v>111</v>
      </c>
      <c r="T289" t="s">
        <v>81</v>
      </c>
      <c r="U289" t="s">
        <v>43</v>
      </c>
      <c r="V289" t="s">
        <v>62</v>
      </c>
      <c r="W289" t="s">
        <v>78</v>
      </c>
      <c r="AA289">
        <v>2</v>
      </c>
      <c r="AB289" t="s">
        <v>33</v>
      </c>
      <c r="AC289" t="s">
        <v>184</v>
      </c>
      <c r="AD289" t="s">
        <v>45</v>
      </c>
      <c r="AE289" t="str">
        <f t="shared" si="82"/>
        <v>Welker</v>
      </c>
      <c r="AF289">
        <v>0</v>
      </c>
      <c r="AG289">
        <v>0</v>
      </c>
      <c r="AH289">
        <v>1</v>
      </c>
      <c r="AI289">
        <v>0</v>
      </c>
      <c r="AJ289">
        <v>0</v>
      </c>
      <c r="AK289" t="s">
        <v>45</v>
      </c>
      <c r="AL289">
        <v>0.59375</v>
      </c>
      <c r="AO289">
        <f t="shared" si="89"/>
        <v>0</v>
      </c>
      <c r="AP289">
        <f t="shared" si="89"/>
        <v>0</v>
      </c>
      <c r="AQ289">
        <f t="shared" si="89"/>
        <v>0</v>
      </c>
      <c r="AR289">
        <f t="shared" si="89"/>
        <v>0</v>
      </c>
      <c r="AS289">
        <f t="shared" si="89"/>
        <v>0</v>
      </c>
      <c r="AT289">
        <f t="shared" si="89"/>
        <v>0</v>
      </c>
      <c r="AU289">
        <f t="shared" si="89"/>
        <v>0</v>
      </c>
      <c r="AV289">
        <f t="shared" si="89"/>
        <v>0</v>
      </c>
      <c r="AW289">
        <f t="shared" si="89"/>
        <v>0</v>
      </c>
      <c r="AX289">
        <f t="shared" si="89"/>
        <v>0</v>
      </c>
      <c r="AY289">
        <f t="shared" si="90"/>
        <v>0</v>
      </c>
      <c r="AZ289">
        <f t="shared" si="90"/>
        <v>0</v>
      </c>
      <c r="BA289">
        <f t="shared" si="90"/>
        <v>0</v>
      </c>
      <c r="BB289">
        <f t="shared" si="90"/>
        <v>0</v>
      </c>
      <c r="BC289">
        <f t="shared" si="90"/>
        <v>0</v>
      </c>
      <c r="BD289">
        <f t="shared" si="90"/>
        <v>0</v>
      </c>
      <c r="BE289">
        <f t="shared" si="90"/>
        <v>0</v>
      </c>
      <c r="BF289">
        <f t="shared" si="90"/>
        <v>0</v>
      </c>
      <c r="BG289">
        <f t="shared" si="90"/>
        <v>0</v>
      </c>
      <c r="BH289">
        <f t="shared" si="90"/>
        <v>0</v>
      </c>
      <c r="BI289">
        <f t="shared" si="91"/>
        <v>0</v>
      </c>
      <c r="BJ289">
        <f t="shared" si="91"/>
        <v>0</v>
      </c>
      <c r="BK289" t="str">
        <f t="shared" si="91"/>
        <v>Welker</v>
      </c>
      <c r="BL289">
        <f t="shared" si="91"/>
        <v>0</v>
      </c>
      <c r="BM289">
        <f t="shared" si="91"/>
        <v>0</v>
      </c>
      <c r="BN289">
        <f t="shared" si="91"/>
        <v>0</v>
      </c>
      <c r="BO289">
        <f t="shared" si="91"/>
        <v>0</v>
      </c>
      <c r="BP289">
        <f t="shared" si="91"/>
        <v>0</v>
      </c>
      <c r="BQ289">
        <f t="shared" si="91"/>
        <v>0</v>
      </c>
      <c r="BR289">
        <f t="shared" si="91"/>
        <v>0</v>
      </c>
      <c r="BS289">
        <f t="shared" si="91"/>
        <v>0</v>
      </c>
    </row>
    <row r="290" spans="2:71" ht="15" customHeight="1" x14ac:dyDescent="0.2">
      <c r="B290">
        <v>23</v>
      </c>
      <c r="C290">
        <v>5</v>
      </c>
      <c r="D290">
        <v>5</v>
      </c>
      <c r="E290" t="s">
        <v>298</v>
      </c>
      <c r="F290" t="s">
        <v>72</v>
      </c>
      <c r="G290" s="5">
        <v>42938</v>
      </c>
      <c r="H290" t="s">
        <v>73</v>
      </c>
      <c r="I290" t="s">
        <v>264</v>
      </c>
      <c r="J290" t="s">
        <v>168</v>
      </c>
      <c r="K290">
        <v>18</v>
      </c>
      <c r="L290" t="s">
        <v>107</v>
      </c>
      <c r="M290" t="s">
        <v>294</v>
      </c>
      <c r="N290" t="s">
        <v>109</v>
      </c>
      <c r="O290">
        <v>72.2</v>
      </c>
      <c r="P290">
        <v>138</v>
      </c>
      <c r="Q290">
        <v>6522</v>
      </c>
      <c r="R290" t="s">
        <v>110</v>
      </c>
      <c r="S290" t="s">
        <v>111</v>
      </c>
      <c r="T290" t="s">
        <v>81</v>
      </c>
      <c r="U290" t="s">
        <v>43</v>
      </c>
      <c r="V290" t="s">
        <v>41</v>
      </c>
      <c r="W290" t="s">
        <v>78</v>
      </c>
      <c r="AA290">
        <v>2</v>
      </c>
      <c r="AB290" t="s">
        <v>32</v>
      </c>
      <c r="AC290" t="s">
        <v>209</v>
      </c>
      <c r="AD290" t="s">
        <v>63</v>
      </c>
      <c r="AE290" t="str">
        <f t="shared" si="82"/>
        <v>Hilts</v>
      </c>
      <c r="AF290">
        <v>2</v>
      </c>
      <c r="AG290">
        <v>1</v>
      </c>
      <c r="AH290">
        <v>0</v>
      </c>
      <c r="AI290">
        <v>0</v>
      </c>
      <c r="AJ290">
        <v>1</v>
      </c>
      <c r="AK290" t="s">
        <v>63</v>
      </c>
      <c r="AL290">
        <v>0.46551724137931</v>
      </c>
      <c r="AO290">
        <f t="shared" si="89"/>
        <v>0</v>
      </c>
      <c r="AP290" t="str">
        <f t="shared" si="89"/>
        <v>Hilts</v>
      </c>
      <c r="AQ290">
        <f t="shared" si="89"/>
        <v>0</v>
      </c>
      <c r="AR290">
        <f t="shared" si="89"/>
        <v>0</v>
      </c>
      <c r="AS290">
        <f t="shared" si="89"/>
        <v>0</v>
      </c>
      <c r="AT290">
        <f t="shared" si="89"/>
        <v>0</v>
      </c>
      <c r="AU290">
        <f t="shared" si="89"/>
        <v>0</v>
      </c>
      <c r="AV290">
        <f t="shared" si="89"/>
        <v>0</v>
      </c>
      <c r="AW290">
        <f t="shared" si="89"/>
        <v>0</v>
      </c>
      <c r="AX290">
        <f t="shared" si="89"/>
        <v>0</v>
      </c>
      <c r="AY290">
        <f t="shared" si="90"/>
        <v>0</v>
      </c>
      <c r="AZ290">
        <f t="shared" si="90"/>
        <v>0</v>
      </c>
      <c r="BA290">
        <f t="shared" si="90"/>
        <v>0</v>
      </c>
      <c r="BB290">
        <f t="shared" si="90"/>
        <v>0</v>
      </c>
      <c r="BC290">
        <f t="shared" si="90"/>
        <v>0</v>
      </c>
      <c r="BD290">
        <f t="shared" si="90"/>
        <v>0</v>
      </c>
      <c r="BE290">
        <f t="shared" si="90"/>
        <v>0</v>
      </c>
      <c r="BF290">
        <f t="shared" si="90"/>
        <v>0</v>
      </c>
      <c r="BG290">
        <f t="shared" si="90"/>
        <v>0</v>
      </c>
      <c r="BH290">
        <f t="shared" si="90"/>
        <v>0</v>
      </c>
      <c r="BI290">
        <f t="shared" si="91"/>
        <v>0</v>
      </c>
      <c r="BJ290">
        <f t="shared" si="91"/>
        <v>0</v>
      </c>
      <c r="BK290">
        <f t="shared" si="91"/>
        <v>0</v>
      </c>
      <c r="BL290">
        <f t="shared" si="91"/>
        <v>0</v>
      </c>
      <c r="BM290">
        <f t="shared" si="91"/>
        <v>0</v>
      </c>
      <c r="BN290">
        <f t="shared" si="91"/>
        <v>0</v>
      </c>
      <c r="BO290">
        <f t="shared" si="91"/>
        <v>0</v>
      </c>
      <c r="BP290">
        <f t="shared" si="91"/>
        <v>0</v>
      </c>
      <c r="BQ290">
        <f t="shared" si="91"/>
        <v>0</v>
      </c>
      <c r="BR290">
        <f t="shared" si="91"/>
        <v>0</v>
      </c>
      <c r="BS290">
        <f t="shared" si="91"/>
        <v>0</v>
      </c>
    </row>
    <row r="291" spans="2:71" ht="15" customHeight="1" x14ac:dyDescent="0.2">
      <c r="B291">
        <v>23</v>
      </c>
      <c r="C291">
        <v>6</v>
      </c>
      <c r="D291">
        <v>5</v>
      </c>
      <c r="E291" t="s">
        <v>299</v>
      </c>
      <c r="F291" t="s">
        <v>72</v>
      </c>
      <c r="G291" s="5">
        <v>42938</v>
      </c>
      <c r="H291" t="s">
        <v>73</v>
      </c>
      <c r="I291" t="s">
        <v>264</v>
      </c>
      <c r="J291" t="s">
        <v>168</v>
      </c>
      <c r="K291">
        <v>18</v>
      </c>
      <c r="L291" t="s">
        <v>107</v>
      </c>
      <c r="M291" t="s">
        <v>294</v>
      </c>
      <c r="N291" t="s">
        <v>109</v>
      </c>
      <c r="O291">
        <v>72.2</v>
      </c>
      <c r="P291">
        <v>138</v>
      </c>
      <c r="Q291">
        <v>6522</v>
      </c>
      <c r="R291" t="s">
        <v>110</v>
      </c>
      <c r="S291" t="s">
        <v>111</v>
      </c>
      <c r="T291" t="s">
        <v>81</v>
      </c>
      <c r="U291" t="s">
        <v>43</v>
      </c>
      <c r="V291" t="s">
        <v>50</v>
      </c>
      <c r="W291" t="s">
        <v>78</v>
      </c>
      <c r="AA291">
        <v>2</v>
      </c>
      <c r="AB291" t="s">
        <v>32</v>
      </c>
      <c r="AC291" t="s">
        <v>171</v>
      </c>
      <c r="AD291" t="s">
        <v>49</v>
      </c>
      <c r="AE291" t="str">
        <f t="shared" si="82"/>
        <v>Ferrin</v>
      </c>
      <c r="AF291">
        <v>2</v>
      </c>
      <c r="AG291">
        <v>1</v>
      </c>
      <c r="AH291">
        <v>0</v>
      </c>
      <c r="AI291">
        <v>0</v>
      </c>
      <c r="AJ291">
        <v>1</v>
      </c>
      <c r="AK291" t="s">
        <v>49</v>
      </c>
      <c r="AO291">
        <f t="shared" si="89"/>
        <v>0</v>
      </c>
      <c r="AP291">
        <f t="shared" si="89"/>
        <v>0</v>
      </c>
      <c r="AQ291">
        <f t="shared" si="89"/>
        <v>0</v>
      </c>
      <c r="AR291">
        <f t="shared" si="89"/>
        <v>0</v>
      </c>
      <c r="AS291">
        <f t="shared" si="89"/>
        <v>0</v>
      </c>
      <c r="AT291">
        <f t="shared" si="89"/>
        <v>0</v>
      </c>
      <c r="AU291">
        <f t="shared" si="89"/>
        <v>0</v>
      </c>
      <c r="AV291">
        <f t="shared" si="89"/>
        <v>0</v>
      </c>
      <c r="AW291">
        <f t="shared" si="89"/>
        <v>0</v>
      </c>
      <c r="AX291">
        <f t="shared" si="89"/>
        <v>0</v>
      </c>
      <c r="AY291" t="str">
        <f t="shared" si="90"/>
        <v>Ferrin</v>
      </c>
      <c r="AZ291">
        <f t="shared" si="90"/>
        <v>0</v>
      </c>
      <c r="BA291">
        <f t="shared" si="90"/>
        <v>0</v>
      </c>
      <c r="BB291">
        <f t="shared" si="90"/>
        <v>0</v>
      </c>
      <c r="BC291">
        <f t="shared" si="90"/>
        <v>0</v>
      </c>
      <c r="BD291">
        <f t="shared" si="90"/>
        <v>0</v>
      </c>
      <c r="BE291">
        <f t="shared" si="90"/>
        <v>0</v>
      </c>
      <c r="BF291">
        <f t="shared" si="90"/>
        <v>0</v>
      </c>
      <c r="BG291">
        <f t="shared" si="90"/>
        <v>0</v>
      </c>
      <c r="BH291">
        <f t="shared" si="90"/>
        <v>0</v>
      </c>
      <c r="BI291">
        <f t="shared" si="91"/>
        <v>0</v>
      </c>
      <c r="BJ291">
        <f t="shared" si="91"/>
        <v>0</v>
      </c>
      <c r="BK291">
        <f t="shared" si="91"/>
        <v>0</v>
      </c>
      <c r="BL291">
        <f t="shared" si="91"/>
        <v>0</v>
      </c>
      <c r="BM291">
        <f t="shared" si="91"/>
        <v>0</v>
      </c>
      <c r="BN291">
        <f t="shared" si="91"/>
        <v>0</v>
      </c>
      <c r="BO291">
        <f t="shared" si="91"/>
        <v>0</v>
      </c>
      <c r="BP291">
        <f t="shared" si="91"/>
        <v>0</v>
      </c>
      <c r="BQ291">
        <f t="shared" si="91"/>
        <v>0</v>
      </c>
      <c r="BR291">
        <f t="shared" si="91"/>
        <v>0</v>
      </c>
      <c r="BS291">
        <f t="shared" si="91"/>
        <v>0</v>
      </c>
    </row>
    <row r="292" spans="2:71" ht="15" customHeight="1" x14ac:dyDescent="0.2">
      <c r="B292">
        <v>24</v>
      </c>
      <c r="C292">
        <v>7</v>
      </c>
      <c r="D292">
        <v>5</v>
      </c>
      <c r="E292" t="s">
        <v>300</v>
      </c>
      <c r="F292" t="s">
        <v>72</v>
      </c>
      <c r="G292" s="5">
        <v>42938</v>
      </c>
      <c r="H292" t="s">
        <v>73</v>
      </c>
      <c r="I292" t="s">
        <v>264</v>
      </c>
      <c r="J292" t="s">
        <v>168</v>
      </c>
      <c r="K292">
        <v>18</v>
      </c>
      <c r="L292" t="s">
        <v>107</v>
      </c>
      <c r="M292" t="s">
        <v>294</v>
      </c>
      <c r="N292" t="s">
        <v>109</v>
      </c>
      <c r="O292">
        <v>72.2</v>
      </c>
      <c r="P292">
        <v>138</v>
      </c>
      <c r="Q292">
        <v>6522</v>
      </c>
      <c r="R292" t="s">
        <v>110</v>
      </c>
      <c r="S292" t="s">
        <v>111</v>
      </c>
      <c r="T292" t="s">
        <v>81</v>
      </c>
      <c r="U292" t="s">
        <v>43</v>
      </c>
      <c r="V292" t="s">
        <v>42</v>
      </c>
      <c r="W292" t="s">
        <v>78</v>
      </c>
      <c r="AA292">
        <v>2</v>
      </c>
      <c r="AB292" t="s">
        <v>32</v>
      </c>
      <c r="AC292" t="s">
        <v>209</v>
      </c>
      <c r="AD292" t="s">
        <v>48</v>
      </c>
      <c r="AE292" t="str">
        <f t="shared" si="82"/>
        <v>Jackson</v>
      </c>
      <c r="AF292">
        <v>2</v>
      </c>
      <c r="AG292">
        <v>1</v>
      </c>
      <c r="AH292">
        <v>0</v>
      </c>
      <c r="AI292">
        <v>0</v>
      </c>
      <c r="AJ292">
        <v>1</v>
      </c>
      <c r="AK292" t="s">
        <v>48</v>
      </c>
      <c r="AL292">
        <v>0.5546875</v>
      </c>
      <c r="AO292">
        <f t="shared" ref="AO292:AX301" si="92">IF(OR($V292=AO$1,$Y292=AO$1),AO$1,0)</f>
        <v>0</v>
      </c>
      <c r="AP292">
        <f t="shared" si="92"/>
        <v>0</v>
      </c>
      <c r="AQ292" t="str">
        <f t="shared" si="92"/>
        <v>Jackson</v>
      </c>
      <c r="AR292">
        <f t="shared" si="92"/>
        <v>0</v>
      </c>
      <c r="AS292">
        <f t="shared" si="92"/>
        <v>0</v>
      </c>
      <c r="AT292">
        <f t="shared" si="92"/>
        <v>0</v>
      </c>
      <c r="AU292">
        <f t="shared" si="92"/>
        <v>0</v>
      </c>
      <c r="AV292">
        <f t="shared" si="92"/>
        <v>0</v>
      </c>
      <c r="AW292">
        <f t="shared" si="92"/>
        <v>0</v>
      </c>
      <c r="AX292">
        <f t="shared" si="92"/>
        <v>0</v>
      </c>
      <c r="AY292">
        <f t="shared" ref="AY292:BH301" si="93">IF(OR($V292=AY$1,$Y292=AY$1),AY$1,0)</f>
        <v>0</v>
      </c>
      <c r="AZ292">
        <f t="shared" si="93"/>
        <v>0</v>
      </c>
      <c r="BA292">
        <f t="shared" si="93"/>
        <v>0</v>
      </c>
      <c r="BB292">
        <f t="shared" si="93"/>
        <v>0</v>
      </c>
      <c r="BC292">
        <f t="shared" si="93"/>
        <v>0</v>
      </c>
      <c r="BD292">
        <f t="shared" si="93"/>
        <v>0</v>
      </c>
      <c r="BE292">
        <f t="shared" si="93"/>
        <v>0</v>
      </c>
      <c r="BF292">
        <f t="shared" si="93"/>
        <v>0</v>
      </c>
      <c r="BG292">
        <f t="shared" si="93"/>
        <v>0</v>
      </c>
      <c r="BH292">
        <f t="shared" si="93"/>
        <v>0</v>
      </c>
      <c r="BI292">
        <f t="shared" ref="BI292:BS301" si="94">IF(OR($V292=BI$1,$Y292=BI$1),BI$1,0)</f>
        <v>0</v>
      </c>
      <c r="BJ292">
        <f t="shared" si="94"/>
        <v>0</v>
      </c>
      <c r="BK292">
        <f t="shared" si="94"/>
        <v>0</v>
      </c>
      <c r="BL292">
        <f t="shared" si="94"/>
        <v>0</v>
      </c>
      <c r="BM292">
        <f t="shared" si="94"/>
        <v>0</v>
      </c>
      <c r="BN292">
        <f t="shared" si="94"/>
        <v>0</v>
      </c>
      <c r="BO292">
        <f t="shared" si="94"/>
        <v>0</v>
      </c>
      <c r="BP292">
        <f t="shared" si="94"/>
        <v>0</v>
      </c>
      <c r="BQ292">
        <f t="shared" si="94"/>
        <v>0</v>
      </c>
      <c r="BR292">
        <f t="shared" si="94"/>
        <v>0</v>
      </c>
      <c r="BS292">
        <f t="shared" si="94"/>
        <v>0</v>
      </c>
    </row>
    <row r="293" spans="2:71" ht="15" customHeight="1" x14ac:dyDescent="0.2">
      <c r="B293">
        <v>24</v>
      </c>
      <c r="C293">
        <v>8</v>
      </c>
      <c r="D293">
        <v>5</v>
      </c>
      <c r="E293" t="s">
        <v>301</v>
      </c>
      <c r="F293" t="s">
        <v>72</v>
      </c>
      <c r="G293" s="5">
        <v>42938</v>
      </c>
      <c r="H293" t="s">
        <v>73</v>
      </c>
      <c r="I293" t="s">
        <v>264</v>
      </c>
      <c r="J293" t="s">
        <v>168</v>
      </c>
      <c r="K293">
        <v>18</v>
      </c>
      <c r="L293" t="s">
        <v>107</v>
      </c>
      <c r="M293" t="s">
        <v>294</v>
      </c>
      <c r="N293" t="s">
        <v>109</v>
      </c>
      <c r="O293">
        <v>72.2</v>
      </c>
      <c r="P293">
        <v>138</v>
      </c>
      <c r="Q293">
        <v>6522</v>
      </c>
      <c r="R293" t="s">
        <v>110</v>
      </c>
      <c r="S293" t="s">
        <v>111</v>
      </c>
      <c r="T293" t="s">
        <v>81</v>
      </c>
      <c r="U293" t="s">
        <v>43</v>
      </c>
      <c r="V293" t="s">
        <v>54</v>
      </c>
      <c r="W293" t="s">
        <v>78</v>
      </c>
      <c r="AA293">
        <v>2</v>
      </c>
      <c r="AB293" t="s">
        <v>33</v>
      </c>
      <c r="AC293" t="s">
        <v>249</v>
      </c>
      <c r="AD293" t="s">
        <v>59</v>
      </c>
      <c r="AE293" t="str">
        <f t="shared" si="82"/>
        <v>Fogan</v>
      </c>
      <c r="AF293">
        <v>0</v>
      </c>
      <c r="AG293">
        <v>0</v>
      </c>
      <c r="AH293">
        <v>1</v>
      </c>
      <c r="AI293">
        <v>0</v>
      </c>
      <c r="AJ293">
        <v>0</v>
      </c>
      <c r="AK293" t="s">
        <v>59</v>
      </c>
      <c r="AL293">
        <v>0.52777777777777801</v>
      </c>
      <c r="AO293">
        <f t="shared" si="92"/>
        <v>0</v>
      </c>
      <c r="AP293">
        <f t="shared" si="92"/>
        <v>0</v>
      </c>
      <c r="AQ293">
        <f t="shared" si="92"/>
        <v>0</v>
      </c>
      <c r="AR293">
        <f t="shared" si="92"/>
        <v>0</v>
      </c>
      <c r="AS293">
        <f t="shared" si="92"/>
        <v>0</v>
      </c>
      <c r="AT293">
        <f t="shared" si="92"/>
        <v>0</v>
      </c>
      <c r="AU293">
        <f t="shared" si="92"/>
        <v>0</v>
      </c>
      <c r="AV293">
        <f t="shared" si="92"/>
        <v>0</v>
      </c>
      <c r="AW293">
        <f t="shared" si="92"/>
        <v>0</v>
      </c>
      <c r="AX293">
        <f t="shared" si="92"/>
        <v>0</v>
      </c>
      <c r="AY293">
        <f t="shared" si="93"/>
        <v>0</v>
      </c>
      <c r="AZ293">
        <f t="shared" si="93"/>
        <v>0</v>
      </c>
      <c r="BA293">
        <f t="shared" si="93"/>
        <v>0</v>
      </c>
      <c r="BB293">
        <f t="shared" si="93"/>
        <v>0</v>
      </c>
      <c r="BC293" t="str">
        <f t="shared" si="93"/>
        <v>Fogan</v>
      </c>
      <c r="BD293">
        <f t="shared" si="93"/>
        <v>0</v>
      </c>
      <c r="BE293">
        <f t="shared" si="93"/>
        <v>0</v>
      </c>
      <c r="BF293">
        <f t="shared" si="93"/>
        <v>0</v>
      </c>
      <c r="BG293">
        <f t="shared" si="93"/>
        <v>0</v>
      </c>
      <c r="BH293">
        <f t="shared" si="93"/>
        <v>0</v>
      </c>
      <c r="BI293">
        <f t="shared" si="94"/>
        <v>0</v>
      </c>
      <c r="BJ293">
        <f t="shared" si="94"/>
        <v>0</v>
      </c>
      <c r="BK293">
        <f t="shared" si="94"/>
        <v>0</v>
      </c>
      <c r="BL293">
        <f t="shared" si="94"/>
        <v>0</v>
      </c>
      <c r="BM293">
        <f t="shared" si="94"/>
        <v>0</v>
      </c>
      <c r="BN293">
        <f t="shared" si="94"/>
        <v>0</v>
      </c>
      <c r="BO293">
        <f t="shared" si="94"/>
        <v>0</v>
      </c>
      <c r="BP293">
        <f t="shared" si="94"/>
        <v>0</v>
      </c>
      <c r="BQ293">
        <f t="shared" si="94"/>
        <v>0</v>
      </c>
      <c r="BR293">
        <f t="shared" si="94"/>
        <v>0</v>
      </c>
      <c r="BS293">
        <f t="shared" si="94"/>
        <v>0</v>
      </c>
    </row>
    <row r="294" spans="2:71" ht="15" customHeight="1" x14ac:dyDescent="0.2">
      <c r="B294">
        <v>25</v>
      </c>
      <c r="C294">
        <v>9</v>
      </c>
      <c r="D294">
        <v>5</v>
      </c>
      <c r="E294" t="s">
        <v>302</v>
      </c>
      <c r="F294" t="s">
        <v>72</v>
      </c>
      <c r="G294" s="5">
        <v>42938</v>
      </c>
      <c r="H294" t="s">
        <v>73</v>
      </c>
      <c r="I294" t="s">
        <v>264</v>
      </c>
      <c r="J294" t="s">
        <v>168</v>
      </c>
      <c r="K294">
        <v>18</v>
      </c>
      <c r="L294" t="s">
        <v>107</v>
      </c>
      <c r="M294" t="s">
        <v>294</v>
      </c>
      <c r="N294" t="s">
        <v>109</v>
      </c>
      <c r="O294">
        <v>72.2</v>
      </c>
      <c r="P294">
        <v>138</v>
      </c>
      <c r="Q294">
        <v>6522</v>
      </c>
      <c r="R294" t="s">
        <v>110</v>
      </c>
      <c r="S294" t="s">
        <v>111</v>
      </c>
      <c r="T294" t="s">
        <v>81</v>
      </c>
      <c r="U294" t="s">
        <v>43</v>
      </c>
      <c r="V294" t="s">
        <v>55</v>
      </c>
      <c r="W294" t="s">
        <v>78</v>
      </c>
      <c r="AA294">
        <v>2</v>
      </c>
      <c r="AB294" t="s">
        <v>33</v>
      </c>
      <c r="AC294" t="s">
        <v>184</v>
      </c>
      <c r="AD294" t="s">
        <v>53</v>
      </c>
      <c r="AE294" t="str">
        <f t="shared" si="82"/>
        <v>Cole</v>
      </c>
      <c r="AF294">
        <v>0</v>
      </c>
      <c r="AG294">
        <v>0</v>
      </c>
      <c r="AH294">
        <v>1</v>
      </c>
      <c r="AI294">
        <v>0</v>
      </c>
      <c r="AJ294">
        <v>0</v>
      </c>
      <c r="AK294" t="s">
        <v>53</v>
      </c>
      <c r="AL294">
        <v>0.59649122807017496</v>
      </c>
      <c r="AO294">
        <f t="shared" si="92"/>
        <v>0</v>
      </c>
      <c r="AP294">
        <f t="shared" si="92"/>
        <v>0</v>
      </c>
      <c r="AQ294">
        <f t="shared" si="92"/>
        <v>0</v>
      </c>
      <c r="AR294">
        <f t="shared" si="92"/>
        <v>0</v>
      </c>
      <c r="AS294">
        <f t="shared" si="92"/>
        <v>0</v>
      </c>
      <c r="AT294">
        <f t="shared" si="92"/>
        <v>0</v>
      </c>
      <c r="AU294">
        <f t="shared" si="92"/>
        <v>0</v>
      </c>
      <c r="AV294">
        <f t="shared" si="92"/>
        <v>0</v>
      </c>
      <c r="AW294">
        <f t="shared" si="92"/>
        <v>0</v>
      </c>
      <c r="AX294">
        <f t="shared" si="92"/>
        <v>0</v>
      </c>
      <c r="AY294">
        <f t="shared" si="93"/>
        <v>0</v>
      </c>
      <c r="AZ294">
        <f t="shared" si="93"/>
        <v>0</v>
      </c>
      <c r="BA294">
        <f t="shared" si="93"/>
        <v>0</v>
      </c>
      <c r="BB294">
        <f t="shared" si="93"/>
        <v>0</v>
      </c>
      <c r="BC294">
        <f t="shared" si="93"/>
        <v>0</v>
      </c>
      <c r="BD294" t="str">
        <f t="shared" si="93"/>
        <v>Cole</v>
      </c>
      <c r="BE294">
        <f t="shared" si="93"/>
        <v>0</v>
      </c>
      <c r="BF294">
        <f t="shared" si="93"/>
        <v>0</v>
      </c>
      <c r="BG294">
        <f t="shared" si="93"/>
        <v>0</v>
      </c>
      <c r="BH294">
        <f t="shared" si="93"/>
        <v>0</v>
      </c>
      <c r="BI294">
        <f t="shared" si="94"/>
        <v>0</v>
      </c>
      <c r="BJ294">
        <f t="shared" si="94"/>
        <v>0</v>
      </c>
      <c r="BK294">
        <f t="shared" si="94"/>
        <v>0</v>
      </c>
      <c r="BL294">
        <f t="shared" si="94"/>
        <v>0</v>
      </c>
      <c r="BM294">
        <f t="shared" si="94"/>
        <v>0</v>
      </c>
      <c r="BN294">
        <f t="shared" si="94"/>
        <v>0</v>
      </c>
      <c r="BO294">
        <f t="shared" si="94"/>
        <v>0</v>
      </c>
      <c r="BP294">
        <f t="shared" si="94"/>
        <v>0</v>
      </c>
      <c r="BQ294">
        <f t="shared" si="94"/>
        <v>0</v>
      </c>
      <c r="BR294">
        <f t="shared" si="94"/>
        <v>0</v>
      </c>
      <c r="BS294">
        <f t="shared" si="94"/>
        <v>0</v>
      </c>
    </row>
    <row r="295" spans="2:71" ht="15" customHeight="1" x14ac:dyDescent="0.2">
      <c r="B295">
        <v>25</v>
      </c>
      <c r="C295">
        <v>10</v>
      </c>
      <c r="D295">
        <v>5</v>
      </c>
      <c r="E295" t="s">
        <v>303</v>
      </c>
      <c r="F295" t="s">
        <v>72</v>
      </c>
      <c r="G295" s="5">
        <v>42938</v>
      </c>
      <c r="H295" t="s">
        <v>73</v>
      </c>
      <c r="I295" t="s">
        <v>264</v>
      </c>
      <c r="J295" t="s">
        <v>168</v>
      </c>
      <c r="K295">
        <v>18</v>
      </c>
      <c r="L295" t="s">
        <v>107</v>
      </c>
      <c r="M295" t="s">
        <v>294</v>
      </c>
      <c r="N295" t="s">
        <v>109</v>
      </c>
      <c r="O295">
        <v>72.2</v>
      </c>
      <c r="P295">
        <v>138</v>
      </c>
      <c r="Q295">
        <v>6522</v>
      </c>
      <c r="R295" t="s">
        <v>110</v>
      </c>
      <c r="S295" t="s">
        <v>111</v>
      </c>
      <c r="T295" t="s">
        <v>81</v>
      </c>
      <c r="U295" t="s">
        <v>43</v>
      </c>
      <c r="V295" t="s">
        <v>52</v>
      </c>
      <c r="W295" t="s">
        <v>78</v>
      </c>
      <c r="AA295">
        <v>2</v>
      </c>
      <c r="AB295" t="s">
        <v>33</v>
      </c>
      <c r="AC295" t="s">
        <v>202</v>
      </c>
      <c r="AD295" t="s">
        <v>46</v>
      </c>
      <c r="AE295" t="str">
        <f t="shared" si="82"/>
        <v>Connors</v>
      </c>
      <c r="AF295">
        <v>0</v>
      </c>
      <c r="AG295">
        <v>0</v>
      </c>
      <c r="AH295">
        <v>1</v>
      </c>
      <c r="AI295">
        <v>0</v>
      </c>
      <c r="AJ295">
        <v>0</v>
      </c>
      <c r="AK295" t="s">
        <v>46</v>
      </c>
      <c r="AL295">
        <v>0.38392857142857201</v>
      </c>
      <c r="AO295">
        <f t="shared" si="92"/>
        <v>0</v>
      </c>
      <c r="AP295">
        <f t="shared" si="92"/>
        <v>0</v>
      </c>
      <c r="AQ295">
        <f t="shared" si="92"/>
        <v>0</v>
      </c>
      <c r="AR295">
        <f t="shared" si="92"/>
        <v>0</v>
      </c>
      <c r="AS295">
        <f t="shared" si="92"/>
        <v>0</v>
      </c>
      <c r="AT295">
        <f t="shared" si="92"/>
        <v>0</v>
      </c>
      <c r="AU295">
        <f t="shared" si="92"/>
        <v>0</v>
      </c>
      <c r="AV295">
        <f t="shared" si="92"/>
        <v>0</v>
      </c>
      <c r="AW295">
        <f t="shared" si="92"/>
        <v>0</v>
      </c>
      <c r="AX295">
        <f t="shared" si="92"/>
        <v>0</v>
      </c>
      <c r="AY295">
        <f t="shared" si="93"/>
        <v>0</v>
      </c>
      <c r="AZ295">
        <f t="shared" si="93"/>
        <v>0</v>
      </c>
      <c r="BA295" t="str">
        <f t="shared" si="93"/>
        <v>Connors</v>
      </c>
      <c r="BB295">
        <f t="shared" si="93"/>
        <v>0</v>
      </c>
      <c r="BC295">
        <f t="shared" si="93"/>
        <v>0</v>
      </c>
      <c r="BD295">
        <f t="shared" si="93"/>
        <v>0</v>
      </c>
      <c r="BE295">
        <f t="shared" si="93"/>
        <v>0</v>
      </c>
      <c r="BF295">
        <f t="shared" si="93"/>
        <v>0</v>
      </c>
      <c r="BG295">
        <f t="shared" si="93"/>
        <v>0</v>
      </c>
      <c r="BH295">
        <f t="shared" si="93"/>
        <v>0</v>
      </c>
      <c r="BI295">
        <f t="shared" si="94"/>
        <v>0</v>
      </c>
      <c r="BJ295">
        <f t="shared" si="94"/>
        <v>0</v>
      </c>
      <c r="BK295">
        <f t="shared" si="94"/>
        <v>0</v>
      </c>
      <c r="BL295">
        <f t="shared" si="94"/>
        <v>0</v>
      </c>
      <c r="BM295">
        <f t="shared" si="94"/>
        <v>0</v>
      </c>
      <c r="BN295">
        <f t="shared" si="94"/>
        <v>0</v>
      </c>
      <c r="BO295">
        <f t="shared" si="94"/>
        <v>0</v>
      </c>
      <c r="BP295">
        <f t="shared" si="94"/>
        <v>0</v>
      </c>
      <c r="BQ295">
        <f t="shared" si="94"/>
        <v>0</v>
      </c>
      <c r="BR295">
        <f t="shared" si="94"/>
        <v>0</v>
      </c>
      <c r="BS295">
        <f t="shared" si="94"/>
        <v>0</v>
      </c>
    </row>
    <row r="296" spans="2:71" ht="15" customHeight="1" x14ac:dyDescent="0.2">
      <c r="B296">
        <v>26</v>
      </c>
      <c r="C296">
        <v>1</v>
      </c>
      <c r="D296">
        <v>5</v>
      </c>
      <c r="E296" t="s">
        <v>293</v>
      </c>
      <c r="F296" t="s">
        <v>72</v>
      </c>
      <c r="G296" s="5">
        <v>42938</v>
      </c>
      <c r="H296" t="s">
        <v>73</v>
      </c>
      <c r="I296" t="s">
        <v>264</v>
      </c>
      <c r="J296" t="s">
        <v>168</v>
      </c>
      <c r="K296">
        <v>18</v>
      </c>
      <c r="L296" t="s">
        <v>107</v>
      </c>
      <c r="M296" t="s">
        <v>294</v>
      </c>
      <c r="N296" t="s">
        <v>109</v>
      </c>
      <c r="O296">
        <v>72.2</v>
      </c>
      <c r="P296">
        <v>138</v>
      </c>
      <c r="Q296">
        <v>6522</v>
      </c>
      <c r="R296" t="s">
        <v>110</v>
      </c>
      <c r="S296" t="s">
        <v>111</v>
      </c>
      <c r="T296" t="s">
        <v>83</v>
      </c>
      <c r="U296" t="s">
        <v>53</v>
      </c>
      <c r="V296" t="s">
        <v>40</v>
      </c>
      <c r="W296" t="s">
        <v>109</v>
      </c>
      <c r="AA296">
        <v>2</v>
      </c>
      <c r="AB296" t="s">
        <v>33</v>
      </c>
      <c r="AC296" t="s">
        <v>171</v>
      </c>
      <c r="AD296" t="s">
        <v>43</v>
      </c>
      <c r="AE296" t="str">
        <f t="shared" si="82"/>
        <v>Grise</v>
      </c>
      <c r="AF296">
        <v>0</v>
      </c>
      <c r="AG296">
        <v>0</v>
      </c>
      <c r="AH296">
        <v>1</v>
      </c>
      <c r="AI296">
        <v>0</v>
      </c>
      <c r="AJ296">
        <v>0</v>
      </c>
      <c r="AK296" t="s">
        <v>43</v>
      </c>
      <c r="AL296">
        <v>0.48611111111111099</v>
      </c>
      <c r="AO296" t="str">
        <f t="shared" si="92"/>
        <v>Grise</v>
      </c>
      <c r="AP296">
        <f t="shared" si="92"/>
        <v>0</v>
      </c>
      <c r="AQ296">
        <f t="shared" si="92"/>
        <v>0</v>
      </c>
      <c r="AR296">
        <f t="shared" si="92"/>
        <v>0</v>
      </c>
      <c r="AS296">
        <f t="shared" si="92"/>
        <v>0</v>
      </c>
      <c r="AT296">
        <f t="shared" si="92"/>
        <v>0</v>
      </c>
      <c r="AU296">
        <f t="shared" si="92"/>
        <v>0</v>
      </c>
      <c r="AV296">
        <f t="shared" si="92"/>
        <v>0</v>
      </c>
      <c r="AW296">
        <f t="shared" si="92"/>
        <v>0</v>
      </c>
      <c r="AX296">
        <f t="shared" si="92"/>
        <v>0</v>
      </c>
      <c r="AY296">
        <f t="shared" si="93"/>
        <v>0</v>
      </c>
      <c r="AZ296">
        <f t="shared" si="93"/>
        <v>0</v>
      </c>
      <c r="BA296">
        <f t="shared" si="93"/>
        <v>0</v>
      </c>
      <c r="BB296">
        <f t="shared" si="93"/>
        <v>0</v>
      </c>
      <c r="BC296">
        <f t="shared" si="93"/>
        <v>0</v>
      </c>
      <c r="BD296">
        <f t="shared" si="93"/>
        <v>0</v>
      </c>
      <c r="BE296">
        <f t="shared" si="93"/>
        <v>0</v>
      </c>
      <c r="BF296">
        <f t="shared" si="93"/>
        <v>0</v>
      </c>
      <c r="BG296">
        <f t="shared" si="93"/>
        <v>0</v>
      </c>
      <c r="BH296">
        <f t="shared" si="93"/>
        <v>0</v>
      </c>
      <c r="BI296">
        <f t="shared" si="94"/>
        <v>0</v>
      </c>
      <c r="BJ296">
        <f t="shared" si="94"/>
        <v>0</v>
      </c>
      <c r="BK296">
        <f t="shared" si="94"/>
        <v>0</v>
      </c>
      <c r="BL296">
        <f t="shared" si="94"/>
        <v>0</v>
      </c>
      <c r="BM296">
        <f t="shared" si="94"/>
        <v>0</v>
      </c>
      <c r="BN296">
        <f t="shared" si="94"/>
        <v>0</v>
      </c>
      <c r="BO296">
        <f t="shared" si="94"/>
        <v>0</v>
      </c>
      <c r="BP296">
        <f t="shared" si="94"/>
        <v>0</v>
      </c>
      <c r="BQ296">
        <f t="shared" si="94"/>
        <v>0</v>
      </c>
      <c r="BR296">
        <f t="shared" si="94"/>
        <v>0</v>
      </c>
      <c r="BS296">
        <f t="shared" si="94"/>
        <v>0</v>
      </c>
    </row>
    <row r="297" spans="2:71" ht="15" customHeight="1" x14ac:dyDescent="0.2">
      <c r="B297">
        <v>26</v>
      </c>
      <c r="C297">
        <v>2</v>
      </c>
      <c r="D297">
        <v>5</v>
      </c>
      <c r="E297" t="s">
        <v>295</v>
      </c>
      <c r="F297" t="s">
        <v>72</v>
      </c>
      <c r="G297" s="5">
        <v>42938</v>
      </c>
      <c r="H297" t="s">
        <v>73</v>
      </c>
      <c r="I297" t="s">
        <v>264</v>
      </c>
      <c r="J297" t="s">
        <v>168</v>
      </c>
      <c r="K297">
        <v>18</v>
      </c>
      <c r="L297" t="s">
        <v>107</v>
      </c>
      <c r="M297" t="s">
        <v>294</v>
      </c>
      <c r="N297" t="s">
        <v>109</v>
      </c>
      <c r="O297">
        <v>72.2</v>
      </c>
      <c r="P297">
        <v>138</v>
      </c>
      <c r="Q297">
        <v>6522</v>
      </c>
      <c r="R297" t="s">
        <v>110</v>
      </c>
      <c r="S297" t="s">
        <v>111</v>
      </c>
      <c r="T297" t="s">
        <v>83</v>
      </c>
      <c r="U297" t="s">
        <v>53</v>
      </c>
      <c r="V297" t="s">
        <v>61</v>
      </c>
      <c r="W297" t="s">
        <v>109</v>
      </c>
      <c r="AA297">
        <v>2</v>
      </c>
      <c r="AB297" t="s">
        <v>32</v>
      </c>
      <c r="AC297" t="s">
        <v>209</v>
      </c>
      <c r="AD297" t="s">
        <v>44</v>
      </c>
      <c r="AE297" t="str">
        <f t="shared" si="82"/>
        <v>McInerney</v>
      </c>
      <c r="AF297">
        <v>2</v>
      </c>
      <c r="AG297">
        <v>1</v>
      </c>
      <c r="AH297">
        <v>0</v>
      </c>
      <c r="AI297">
        <v>0</v>
      </c>
      <c r="AJ297">
        <v>1</v>
      </c>
      <c r="AK297" t="s">
        <v>44</v>
      </c>
      <c r="AL297">
        <v>0.4296875</v>
      </c>
      <c r="AO297">
        <f t="shared" si="92"/>
        <v>0</v>
      </c>
      <c r="AP297">
        <f t="shared" si="92"/>
        <v>0</v>
      </c>
      <c r="AQ297">
        <f t="shared" si="92"/>
        <v>0</v>
      </c>
      <c r="AR297">
        <f t="shared" si="92"/>
        <v>0</v>
      </c>
      <c r="AS297">
        <f t="shared" si="92"/>
        <v>0</v>
      </c>
      <c r="AT297">
        <f t="shared" si="92"/>
        <v>0</v>
      </c>
      <c r="AU297">
        <f t="shared" si="92"/>
        <v>0</v>
      </c>
      <c r="AV297">
        <f t="shared" si="92"/>
        <v>0</v>
      </c>
      <c r="AW297">
        <f t="shared" si="92"/>
        <v>0</v>
      </c>
      <c r="AX297">
        <f t="shared" si="92"/>
        <v>0</v>
      </c>
      <c r="AY297">
        <f t="shared" si="93"/>
        <v>0</v>
      </c>
      <c r="AZ297">
        <f t="shared" si="93"/>
        <v>0</v>
      </c>
      <c r="BA297">
        <f t="shared" si="93"/>
        <v>0</v>
      </c>
      <c r="BB297">
        <f t="shared" si="93"/>
        <v>0</v>
      </c>
      <c r="BC297">
        <f t="shared" si="93"/>
        <v>0</v>
      </c>
      <c r="BD297">
        <f t="shared" si="93"/>
        <v>0</v>
      </c>
      <c r="BE297">
        <f t="shared" si="93"/>
        <v>0</v>
      </c>
      <c r="BF297">
        <f t="shared" si="93"/>
        <v>0</v>
      </c>
      <c r="BG297">
        <f t="shared" si="93"/>
        <v>0</v>
      </c>
      <c r="BH297">
        <f t="shared" si="93"/>
        <v>0</v>
      </c>
      <c r="BI297">
        <f t="shared" si="94"/>
        <v>0</v>
      </c>
      <c r="BJ297" t="str">
        <f t="shared" si="94"/>
        <v>McInerney</v>
      </c>
      <c r="BK297">
        <f t="shared" si="94"/>
        <v>0</v>
      </c>
      <c r="BL297">
        <f t="shared" si="94"/>
        <v>0</v>
      </c>
      <c r="BM297">
        <f t="shared" si="94"/>
        <v>0</v>
      </c>
      <c r="BN297">
        <f t="shared" si="94"/>
        <v>0</v>
      </c>
      <c r="BO297">
        <f t="shared" si="94"/>
        <v>0</v>
      </c>
      <c r="BP297">
        <f t="shared" si="94"/>
        <v>0</v>
      </c>
      <c r="BQ297">
        <f t="shared" si="94"/>
        <v>0</v>
      </c>
      <c r="BR297">
        <f t="shared" si="94"/>
        <v>0</v>
      </c>
      <c r="BS297">
        <f t="shared" si="94"/>
        <v>0</v>
      </c>
    </row>
    <row r="298" spans="2:71" ht="15" customHeight="1" x14ac:dyDescent="0.2">
      <c r="B298">
        <v>27</v>
      </c>
      <c r="C298">
        <v>3</v>
      </c>
      <c r="D298">
        <v>5</v>
      </c>
      <c r="E298" t="s">
        <v>296</v>
      </c>
      <c r="F298" t="s">
        <v>72</v>
      </c>
      <c r="G298" s="5">
        <v>42938</v>
      </c>
      <c r="H298" t="s">
        <v>73</v>
      </c>
      <c r="I298" t="s">
        <v>264</v>
      </c>
      <c r="J298" t="s">
        <v>168</v>
      </c>
      <c r="K298">
        <v>18</v>
      </c>
      <c r="L298" t="s">
        <v>107</v>
      </c>
      <c r="M298" t="s">
        <v>294</v>
      </c>
      <c r="N298" t="s">
        <v>109</v>
      </c>
      <c r="O298">
        <v>72.2</v>
      </c>
      <c r="P298">
        <v>138</v>
      </c>
      <c r="Q298">
        <v>6522</v>
      </c>
      <c r="R298" t="s">
        <v>110</v>
      </c>
      <c r="S298" t="s">
        <v>111</v>
      </c>
      <c r="T298" t="s">
        <v>83</v>
      </c>
      <c r="U298" t="s">
        <v>53</v>
      </c>
      <c r="V298" t="s">
        <v>60</v>
      </c>
      <c r="W298" t="s">
        <v>109</v>
      </c>
      <c r="AA298">
        <v>2</v>
      </c>
      <c r="AB298" t="s">
        <v>34</v>
      </c>
      <c r="AC298" t="s">
        <v>92</v>
      </c>
      <c r="AD298" t="s">
        <v>58</v>
      </c>
      <c r="AE298" t="str">
        <f t="shared" si="82"/>
        <v>Zimmer</v>
      </c>
      <c r="AF298">
        <v>1</v>
      </c>
      <c r="AG298">
        <v>0</v>
      </c>
      <c r="AH298">
        <v>0</v>
      </c>
      <c r="AI298">
        <v>1</v>
      </c>
      <c r="AJ298">
        <v>0.5</v>
      </c>
      <c r="AK298" t="s">
        <v>58</v>
      </c>
      <c r="AL298">
        <v>0.65476190476190499</v>
      </c>
      <c r="AO298">
        <f t="shared" si="92"/>
        <v>0</v>
      </c>
      <c r="AP298">
        <f t="shared" si="92"/>
        <v>0</v>
      </c>
      <c r="AQ298">
        <f t="shared" si="92"/>
        <v>0</v>
      </c>
      <c r="AR298">
        <f t="shared" si="92"/>
        <v>0</v>
      </c>
      <c r="AS298">
        <f t="shared" si="92"/>
        <v>0</v>
      </c>
      <c r="AT298">
        <f t="shared" si="92"/>
        <v>0</v>
      </c>
      <c r="AU298">
        <f t="shared" si="92"/>
        <v>0</v>
      </c>
      <c r="AV298">
        <f t="shared" si="92"/>
        <v>0</v>
      </c>
      <c r="AW298">
        <f t="shared" si="92"/>
        <v>0</v>
      </c>
      <c r="AX298">
        <f t="shared" si="92"/>
        <v>0</v>
      </c>
      <c r="AY298">
        <f t="shared" si="93"/>
        <v>0</v>
      </c>
      <c r="AZ298">
        <f t="shared" si="93"/>
        <v>0</v>
      </c>
      <c r="BA298">
        <f t="shared" si="93"/>
        <v>0</v>
      </c>
      <c r="BB298">
        <f t="shared" si="93"/>
        <v>0</v>
      </c>
      <c r="BC298">
        <f t="shared" si="93"/>
        <v>0</v>
      </c>
      <c r="BD298">
        <f t="shared" si="93"/>
        <v>0</v>
      </c>
      <c r="BE298">
        <f t="shared" si="93"/>
        <v>0</v>
      </c>
      <c r="BF298">
        <f t="shared" si="93"/>
        <v>0</v>
      </c>
      <c r="BG298">
        <f t="shared" si="93"/>
        <v>0</v>
      </c>
      <c r="BH298">
        <f t="shared" si="93"/>
        <v>0</v>
      </c>
      <c r="BI298" t="str">
        <f t="shared" si="94"/>
        <v>Zimmer</v>
      </c>
      <c r="BJ298">
        <f t="shared" si="94"/>
        <v>0</v>
      </c>
      <c r="BK298">
        <f t="shared" si="94"/>
        <v>0</v>
      </c>
      <c r="BL298">
        <f t="shared" si="94"/>
        <v>0</v>
      </c>
      <c r="BM298">
        <f t="shared" si="94"/>
        <v>0</v>
      </c>
      <c r="BN298">
        <f t="shared" si="94"/>
        <v>0</v>
      </c>
      <c r="BO298">
        <f t="shared" si="94"/>
        <v>0</v>
      </c>
      <c r="BP298">
        <f t="shared" si="94"/>
        <v>0</v>
      </c>
      <c r="BQ298">
        <f t="shared" si="94"/>
        <v>0</v>
      </c>
      <c r="BR298">
        <f t="shared" si="94"/>
        <v>0</v>
      </c>
      <c r="BS298">
        <f t="shared" si="94"/>
        <v>0</v>
      </c>
    </row>
    <row r="299" spans="2:71" ht="15" customHeight="1" x14ac:dyDescent="0.2">
      <c r="B299">
        <v>27</v>
      </c>
      <c r="C299">
        <v>4</v>
      </c>
      <c r="D299">
        <v>5</v>
      </c>
      <c r="E299" t="s">
        <v>297</v>
      </c>
      <c r="F299" t="s">
        <v>72</v>
      </c>
      <c r="G299" s="5">
        <v>42938</v>
      </c>
      <c r="H299" t="s">
        <v>73</v>
      </c>
      <c r="I299" t="s">
        <v>264</v>
      </c>
      <c r="J299" t="s">
        <v>168</v>
      </c>
      <c r="K299">
        <v>18</v>
      </c>
      <c r="L299" t="s">
        <v>107</v>
      </c>
      <c r="M299" t="s">
        <v>294</v>
      </c>
      <c r="N299" t="s">
        <v>109</v>
      </c>
      <c r="O299">
        <v>72.2</v>
      </c>
      <c r="P299">
        <v>138</v>
      </c>
      <c r="Q299">
        <v>6522</v>
      </c>
      <c r="R299" t="s">
        <v>110</v>
      </c>
      <c r="S299" t="s">
        <v>111</v>
      </c>
      <c r="T299" t="s">
        <v>83</v>
      </c>
      <c r="U299" t="s">
        <v>53</v>
      </c>
      <c r="V299" t="s">
        <v>45</v>
      </c>
      <c r="W299" t="s">
        <v>109</v>
      </c>
      <c r="AA299">
        <v>2</v>
      </c>
      <c r="AB299" t="s">
        <v>32</v>
      </c>
      <c r="AC299" t="s">
        <v>184</v>
      </c>
      <c r="AD299" t="s">
        <v>62</v>
      </c>
      <c r="AE299" t="str">
        <f t="shared" si="82"/>
        <v>Connolly</v>
      </c>
      <c r="AF299">
        <v>2</v>
      </c>
      <c r="AG299">
        <v>1</v>
      </c>
      <c r="AH299">
        <v>0</v>
      </c>
      <c r="AI299">
        <v>0</v>
      </c>
      <c r="AJ299">
        <v>1</v>
      </c>
      <c r="AK299" t="s">
        <v>62</v>
      </c>
      <c r="AL299">
        <v>0.51041666666666696</v>
      </c>
      <c r="AO299">
        <f t="shared" si="92"/>
        <v>0</v>
      </c>
      <c r="AP299">
        <f t="shared" si="92"/>
        <v>0</v>
      </c>
      <c r="AQ299">
        <f t="shared" si="92"/>
        <v>0</v>
      </c>
      <c r="AR299">
        <f t="shared" si="92"/>
        <v>0</v>
      </c>
      <c r="AS299">
        <f t="shared" si="92"/>
        <v>0</v>
      </c>
      <c r="AT299" t="str">
        <f t="shared" si="92"/>
        <v>Connolly</v>
      </c>
      <c r="AU299">
        <f t="shared" si="92"/>
        <v>0</v>
      </c>
      <c r="AV299">
        <f t="shared" si="92"/>
        <v>0</v>
      </c>
      <c r="AW299">
        <f t="shared" si="92"/>
        <v>0</v>
      </c>
      <c r="AX299">
        <f t="shared" si="92"/>
        <v>0</v>
      </c>
      <c r="AY299">
        <f t="shared" si="93"/>
        <v>0</v>
      </c>
      <c r="AZ299">
        <f t="shared" si="93"/>
        <v>0</v>
      </c>
      <c r="BA299">
        <f t="shared" si="93"/>
        <v>0</v>
      </c>
      <c r="BB299">
        <f t="shared" si="93"/>
        <v>0</v>
      </c>
      <c r="BC299">
        <f t="shared" si="93"/>
        <v>0</v>
      </c>
      <c r="BD299">
        <f t="shared" si="93"/>
        <v>0</v>
      </c>
      <c r="BE299">
        <f t="shared" si="93"/>
        <v>0</v>
      </c>
      <c r="BF299">
        <f t="shared" si="93"/>
        <v>0</v>
      </c>
      <c r="BG299">
        <f t="shared" si="93"/>
        <v>0</v>
      </c>
      <c r="BH299">
        <f t="shared" si="93"/>
        <v>0</v>
      </c>
      <c r="BI299">
        <f t="shared" si="94"/>
        <v>0</v>
      </c>
      <c r="BJ299">
        <f t="shared" si="94"/>
        <v>0</v>
      </c>
      <c r="BK299">
        <f t="shared" si="94"/>
        <v>0</v>
      </c>
      <c r="BL299">
        <f t="shared" si="94"/>
        <v>0</v>
      </c>
      <c r="BM299">
        <f t="shared" si="94"/>
        <v>0</v>
      </c>
      <c r="BN299">
        <f t="shared" si="94"/>
        <v>0</v>
      </c>
      <c r="BO299">
        <f t="shared" si="94"/>
        <v>0</v>
      </c>
      <c r="BP299">
        <f t="shared" si="94"/>
        <v>0</v>
      </c>
      <c r="BQ299">
        <f t="shared" si="94"/>
        <v>0</v>
      </c>
      <c r="BR299">
        <f t="shared" si="94"/>
        <v>0</v>
      </c>
      <c r="BS299">
        <f t="shared" si="94"/>
        <v>0</v>
      </c>
    </row>
    <row r="300" spans="2:71" ht="15" customHeight="1" x14ac:dyDescent="0.2">
      <c r="B300">
        <v>28</v>
      </c>
      <c r="C300">
        <v>5</v>
      </c>
      <c r="D300">
        <v>5</v>
      </c>
      <c r="E300" t="s">
        <v>298</v>
      </c>
      <c r="F300" t="s">
        <v>72</v>
      </c>
      <c r="G300" s="5">
        <v>42938</v>
      </c>
      <c r="H300" t="s">
        <v>73</v>
      </c>
      <c r="I300" t="s">
        <v>264</v>
      </c>
      <c r="J300" t="s">
        <v>168</v>
      </c>
      <c r="K300">
        <v>18</v>
      </c>
      <c r="L300" t="s">
        <v>107</v>
      </c>
      <c r="M300" t="s">
        <v>294</v>
      </c>
      <c r="N300" t="s">
        <v>109</v>
      </c>
      <c r="O300">
        <v>72.2</v>
      </c>
      <c r="P300">
        <v>138</v>
      </c>
      <c r="Q300">
        <v>6522</v>
      </c>
      <c r="R300" t="s">
        <v>110</v>
      </c>
      <c r="S300" t="s">
        <v>111</v>
      </c>
      <c r="T300" t="s">
        <v>83</v>
      </c>
      <c r="U300" t="s">
        <v>53</v>
      </c>
      <c r="V300" t="s">
        <v>63</v>
      </c>
      <c r="W300" t="s">
        <v>109</v>
      </c>
      <c r="AA300">
        <v>2</v>
      </c>
      <c r="AB300" t="s">
        <v>33</v>
      </c>
      <c r="AC300" t="s">
        <v>209</v>
      </c>
      <c r="AD300" t="s">
        <v>41</v>
      </c>
      <c r="AE300" t="str">
        <f t="shared" si="82"/>
        <v>Delaney</v>
      </c>
      <c r="AF300">
        <v>0</v>
      </c>
      <c r="AG300">
        <v>0</v>
      </c>
      <c r="AH300">
        <v>1</v>
      </c>
      <c r="AI300">
        <v>0</v>
      </c>
      <c r="AJ300">
        <v>0</v>
      </c>
      <c r="AK300" t="s">
        <v>41</v>
      </c>
      <c r="AL300">
        <v>0.47321428571428598</v>
      </c>
      <c r="AO300">
        <f t="shared" si="92"/>
        <v>0</v>
      </c>
      <c r="AP300">
        <f t="shared" si="92"/>
        <v>0</v>
      </c>
      <c r="AQ300">
        <f t="shared" si="92"/>
        <v>0</v>
      </c>
      <c r="AR300">
        <f t="shared" si="92"/>
        <v>0</v>
      </c>
      <c r="AS300">
        <f t="shared" si="92"/>
        <v>0</v>
      </c>
      <c r="AT300">
        <f t="shared" si="92"/>
        <v>0</v>
      </c>
      <c r="AU300">
        <f t="shared" si="92"/>
        <v>0</v>
      </c>
      <c r="AV300">
        <f t="shared" si="92"/>
        <v>0</v>
      </c>
      <c r="AW300">
        <f t="shared" si="92"/>
        <v>0</v>
      </c>
      <c r="AX300">
        <f t="shared" si="92"/>
        <v>0</v>
      </c>
      <c r="AY300">
        <f t="shared" si="93"/>
        <v>0</v>
      </c>
      <c r="AZ300">
        <f t="shared" si="93"/>
        <v>0</v>
      </c>
      <c r="BA300">
        <f t="shared" si="93"/>
        <v>0</v>
      </c>
      <c r="BB300">
        <f t="shared" si="93"/>
        <v>0</v>
      </c>
      <c r="BC300">
        <f t="shared" si="93"/>
        <v>0</v>
      </c>
      <c r="BD300">
        <f t="shared" si="93"/>
        <v>0</v>
      </c>
      <c r="BE300">
        <f t="shared" si="93"/>
        <v>0</v>
      </c>
      <c r="BF300">
        <f t="shared" si="93"/>
        <v>0</v>
      </c>
      <c r="BG300">
        <f t="shared" si="93"/>
        <v>0</v>
      </c>
      <c r="BH300">
        <f t="shared" si="93"/>
        <v>0</v>
      </c>
      <c r="BI300">
        <f t="shared" si="94"/>
        <v>0</v>
      </c>
      <c r="BJ300">
        <f t="shared" si="94"/>
        <v>0</v>
      </c>
      <c r="BK300">
        <f t="shared" si="94"/>
        <v>0</v>
      </c>
      <c r="BL300" t="str">
        <f t="shared" si="94"/>
        <v>Delaney</v>
      </c>
      <c r="BM300">
        <f t="shared" si="94"/>
        <v>0</v>
      </c>
      <c r="BN300">
        <f t="shared" si="94"/>
        <v>0</v>
      </c>
      <c r="BO300">
        <f t="shared" si="94"/>
        <v>0</v>
      </c>
      <c r="BP300">
        <f t="shared" si="94"/>
        <v>0</v>
      </c>
      <c r="BQ300">
        <f t="shared" si="94"/>
        <v>0</v>
      </c>
      <c r="BR300">
        <f t="shared" si="94"/>
        <v>0</v>
      </c>
      <c r="BS300">
        <f t="shared" si="94"/>
        <v>0</v>
      </c>
    </row>
    <row r="301" spans="2:71" ht="15" customHeight="1" x14ac:dyDescent="0.2">
      <c r="B301">
        <v>28</v>
      </c>
      <c r="C301">
        <v>6</v>
      </c>
      <c r="D301">
        <v>5</v>
      </c>
      <c r="E301" t="s">
        <v>299</v>
      </c>
      <c r="F301" t="s">
        <v>72</v>
      </c>
      <c r="G301" s="5">
        <v>42938</v>
      </c>
      <c r="H301" t="s">
        <v>73</v>
      </c>
      <c r="I301" t="s">
        <v>264</v>
      </c>
      <c r="J301" t="s">
        <v>168</v>
      </c>
      <c r="K301">
        <v>18</v>
      </c>
      <c r="L301" t="s">
        <v>107</v>
      </c>
      <c r="M301" t="s">
        <v>294</v>
      </c>
      <c r="N301" t="s">
        <v>109</v>
      </c>
      <c r="O301">
        <v>72.2</v>
      </c>
      <c r="P301">
        <v>138</v>
      </c>
      <c r="Q301">
        <v>6522</v>
      </c>
      <c r="R301" t="s">
        <v>110</v>
      </c>
      <c r="S301" t="s">
        <v>111</v>
      </c>
      <c r="T301" t="s">
        <v>83</v>
      </c>
      <c r="U301" t="s">
        <v>53</v>
      </c>
      <c r="V301" t="s">
        <v>49</v>
      </c>
      <c r="W301" t="s">
        <v>109</v>
      </c>
      <c r="AA301">
        <v>2</v>
      </c>
      <c r="AB301" t="s">
        <v>33</v>
      </c>
      <c r="AC301" t="s">
        <v>171</v>
      </c>
      <c r="AD301" t="s">
        <v>50</v>
      </c>
      <c r="AE301" t="str">
        <f t="shared" si="82"/>
        <v>Shively</v>
      </c>
      <c r="AF301">
        <v>0</v>
      </c>
      <c r="AG301">
        <v>0</v>
      </c>
      <c r="AH301">
        <v>1</v>
      </c>
      <c r="AI301">
        <v>0</v>
      </c>
      <c r="AJ301">
        <v>0</v>
      </c>
      <c r="AK301" t="s">
        <v>50</v>
      </c>
      <c r="AL301">
        <v>0.59523809523809501</v>
      </c>
      <c r="AO301">
        <f t="shared" si="92"/>
        <v>0</v>
      </c>
      <c r="AP301">
        <f t="shared" si="92"/>
        <v>0</v>
      </c>
      <c r="AQ301">
        <f t="shared" si="92"/>
        <v>0</v>
      </c>
      <c r="AR301">
        <f t="shared" si="92"/>
        <v>0</v>
      </c>
      <c r="AS301">
        <f t="shared" si="92"/>
        <v>0</v>
      </c>
      <c r="AT301">
        <f t="shared" si="92"/>
        <v>0</v>
      </c>
      <c r="AU301">
        <f t="shared" si="92"/>
        <v>0</v>
      </c>
      <c r="AV301">
        <f t="shared" si="92"/>
        <v>0</v>
      </c>
      <c r="AW301">
        <f t="shared" si="92"/>
        <v>0</v>
      </c>
      <c r="AX301" t="str">
        <f t="shared" si="92"/>
        <v>Shively</v>
      </c>
      <c r="AY301">
        <f t="shared" si="93"/>
        <v>0</v>
      </c>
      <c r="AZ301">
        <f t="shared" si="93"/>
        <v>0</v>
      </c>
      <c r="BA301">
        <f t="shared" si="93"/>
        <v>0</v>
      </c>
      <c r="BB301">
        <f t="shared" si="93"/>
        <v>0</v>
      </c>
      <c r="BC301">
        <f t="shared" si="93"/>
        <v>0</v>
      </c>
      <c r="BD301">
        <f t="shared" si="93"/>
        <v>0</v>
      </c>
      <c r="BE301">
        <f t="shared" si="93"/>
        <v>0</v>
      </c>
      <c r="BF301">
        <f t="shared" si="93"/>
        <v>0</v>
      </c>
      <c r="BG301">
        <f t="shared" si="93"/>
        <v>0</v>
      </c>
      <c r="BH301">
        <f t="shared" si="93"/>
        <v>0</v>
      </c>
      <c r="BI301">
        <f t="shared" si="94"/>
        <v>0</v>
      </c>
      <c r="BJ301">
        <f t="shared" si="94"/>
        <v>0</v>
      </c>
      <c r="BK301">
        <f t="shared" si="94"/>
        <v>0</v>
      </c>
      <c r="BL301">
        <f t="shared" si="94"/>
        <v>0</v>
      </c>
      <c r="BM301">
        <f t="shared" si="94"/>
        <v>0</v>
      </c>
      <c r="BN301">
        <f t="shared" si="94"/>
        <v>0</v>
      </c>
      <c r="BO301">
        <f t="shared" si="94"/>
        <v>0</v>
      </c>
      <c r="BP301">
        <f t="shared" si="94"/>
        <v>0</v>
      </c>
      <c r="BQ301">
        <f t="shared" si="94"/>
        <v>0</v>
      </c>
      <c r="BR301">
        <f t="shared" si="94"/>
        <v>0</v>
      </c>
      <c r="BS301">
        <f t="shared" si="94"/>
        <v>0</v>
      </c>
    </row>
    <row r="302" spans="2:71" ht="15" customHeight="1" x14ac:dyDescent="0.2">
      <c r="B302">
        <v>29</v>
      </c>
      <c r="C302">
        <v>7</v>
      </c>
      <c r="D302">
        <v>5</v>
      </c>
      <c r="E302" t="s">
        <v>300</v>
      </c>
      <c r="F302" t="s">
        <v>72</v>
      </c>
      <c r="G302" s="5">
        <v>42938</v>
      </c>
      <c r="H302" t="s">
        <v>73</v>
      </c>
      <c r="I302" t="s">
        <v>264</v>
      </c>
      <c r="J302" t="s">
        <v>168</v>
      </c>
      <c r="K302">
        <v>18</v>
      </c>
      <c r="L302" t="s">
        <v>107</v>
      </c>
      <c r="M302" t="s">
        <v>294</v>
      </c>
      <c r="N302" t="s">
        <v>109</v>
      </c>
      <c r="O302">
        <v>72.2</v>
      </c>
      <c r="P302">
        <v>138</v>
      </c>
      <c r="Q302">
        <v>6522</v>
      </c>
      <c r="R302" t="s">
        <v>110</v>
      </c>
      <c r="S302" t="s">
        <v>111</v>
      </c>
      <c r="T302" t="s">
        <v>83</v>
      </c>
      <c r="U302" t="s">
        <v>53</v>
      </c>
      <c r="V302" t="s">
        <v>48</v>
      </c>
      <c r="W302" t="s">
        <v>109</v>
      </c>
      <c r="AA302">
        <v>2</v>
      </c>
      <c r="AB302" t="s">
        <v>33</v>
      </c>
      <c r="AC302" t="s">
        <v>209</v>
      </c>
      <c r="AD302" t="s">
        <v>42</v>
      </c>
      <c r="AE302" t="str">
        <f t="shared" si="82"/>
        <v>Lynch</v>
      </c>
      <c r="AF302">
        <v>0</v>
      </c>
      <c r="AG302">
        <v>0</v>
      </c>
      <c r="AH302">
        <v>1</v>
      </c>
      <c r="AI302">
        <v>0</v>
      </c>
      <c r="AJ302">
        <v>0</v>
      </c>
      <c r="AK302" t="s">
        <v>42</v>
      </c>
      <c r="AL302">
        <v>0.6171875</v>
      </c>
      <c r="AO302">
        <f t="shared" ref="AO302:AX311" si="95">IF(OR($V302=AO$1,$Y302=AO$1),AO$1,0)</f>
        <v>0</v>
      </c>
      <c r="AP302">
        <f t="shared" si="95"/>
        <v>0</v>
      </c>
      <c r="AQ302">
        <f t="shared" si="95"/>
        <v>0</v>
      </c>
      <c r="AR302">
        <f t="shared" si="95"/>
        <v>0</v>
      </c>
      <c r="AS302">
        <f t="shared" si="95"/>
        <v>0</v>
      </c>
      <c r="AT302">
        <f t="shared" si="95"/>
        <v>0</v>
      </c>
      <c r="AU302">
        <f t="shared" si="95"/>
        <v>0</v>
      </c>
      <c r="AV302">
        <f t="shared" si="95"/>
        <v>0</v>
      </c>
      <c r="AW302" t="str">
        <f t="shared" si="95"/>
        <v>Lynch</v>
      </c>
      <c r="AX302">
        <f t="shared" si="95"/>
        <v>0</v>
      </c>
      <c r="AY302">
        <f t="shared" ref="AY302:BH311" si="96">IF(OR($V302=AY$1,$Y302=AY$1),AY$1,0)</f>
        <v>0</v>
      </c>
      <c r="AZ302">
        <f t="shared" si="96"/>
        <v>0</v>
      </c>
      <c r="BA302">
        <f t="shared" si="96"/>
        <v>0</v>
      </c>
      <c r="BB302">
        <f t="shared" si="96"/>
        <v>0</v>
      </c>
      <c r="BC302">
        <f t="shared" si="96"/>
        <v>0</v>
      </c>
      <c r="BD302">
        <f t="shared" si="96"/>
        <v>0</v>
      </c>
      <c r="BE302">
        <f t="shared" si="96"/>
        <v>0</v>
      </c>
      <c r="BF302">
        <f t="shared" si="96"/>
        <v>0</v>
      </c>
      <c r="BG302">
        <f t="shared" si="96"/>
        <v>0</v>
      </c>
      <c r="BH302">
        <f t="shared" si="96"/>
        <v>0</v>
      </c>
      <c r="BI302">
        <f t="shared" ref="BI302:BS311" si="97">IF(OR($V302=BI$1,$Y302=BI$1),BI$1,0)</f>
        <v>0</v>
      </c>
      <c r="BJ302">
        <f t="shared" si="97"/>
        <v>0</v>
      </c>
      <c r="BK302">
        <f t="shared" si="97"/>
        <v>0</v>
      </c>
      <c r="BL302">
        <f t="shared" si="97"/>
        <v>0</v>
      </c>
      <c r="BM302">
        <f t="shared" si="97"/>
        <v>0</v>
      </c>
      <c r="BN302">
        <f t="shared" si="97"/>
        <v>0</v>
      </c>
      <c r="BO302">
        <f t="shared" si="97"/>
        <v>0</v>
      </c>
      <c r="BP302">
        <f t="shared" si="97"/>
        <v>0</v>
      </c>
      <c r="BQ302">
        <f t="shared" si="97"/>
        <v>0</v>
      </c>
      <c r="BR302">
        <f t="shared" si="97"/>
        <v>0</v>
      </c>
      <c r="BS302">
        <f t="shared" si="97"/>
        <v>0</v>
      </c>
    </row>
    <row r="303" spans="2:71" ht="15" customHeight="1" x14ac:dyDescent="0.2">
      <c r="B303">
        <v>29</v>
      </c>
      <c r="C303">
        <v>8</v>
      </c>
      <c r="D303">
        <v>5</v>
      </c>
      <c r="E303" t="s">
        <v>301</v>
      </c>
      <c r="F303" t="s">
        <v>72</v>
      </c>
      <c r="G303" s="5">
        <v>42938</v>
      </c>
      <c r="H303" t="s">
        <v>73</v>
      </c>
      <c r="I303" t="s">
        <v>264</v>
      </c>
      <c r="J303" t="s">
        <v>168</v>
      </c>
      <c r="K303">
        <v>18</v>
      </c>
      <c r="L303" t="s">
        <v>107</v>
      </c>
      <c r="M303" t="s">
        <v>294</v>
      </c>
      <c r="N303" t="s">
        <v>109</v>
      </c>
      <c r="O303">
        <v>72.2</v>
      </c>
      <c r="P303">
        <v>138</v>
      </c>
      <c r="Q303">
        <v>6522</v>
      </c>
      <c r="R303" t="s">
        <v>110</v>
      </c>
      <c r="S303" t="s">
        <v>111</v>
      </c>
      <c r="T303" t="s">
        <v>83</v>
      </c>
      <c r="U303" t="s">
        <v>53</v>
      </c>
      <c r="V303" t="s">
        <v>59</v>
      </c>
      <c r="W303" t="s">
        <v>109</v>
      </c>
      <c r="AA303">
        <v>2</v>
      </c>
      <c r="AB303" t="s">
        <v>32</v>
      </c>
      <c r="AC303" t="s">
        <v>249</v>
      </c>
      <c r="AD303" t="s">
        <v>54</v>
      </c>
      <c r="AE303" t="str">
        <f t="shared" si="82"/>
        <v>Norat</v>
      </c>
      <c r="AF303">
        <v>2</v>
      </c>
      <c r="AG303">
        <v>1</v>
      </c>
      <c r="AH303">
        <v>0</v>
      </c>
      <c r="AI303">
        <v>0</v>
      </c>
      <c r="AJ303">
        <v>1</v>
      </c>
      <c r="AK303" t="s">
        <v>54</v>
      </c>
      <c r="AL303">
        <v>0.37288135593220301</v>
      </c>
      <c r="AO303">
        <f t="shared" si="95"/>
        <v>0</v>
      </c>
      <c r="AP303">
        <f t="shared" si="95"/>
        <v>0</v>
      </c>
      <c r="AQ303">
        <f t="shared" si="95"/>
        <v>0</v>
      </c>
      <c r="AR303">
        <f t="shared" si="95"/>
        <v>0</v>
      </c>
      <c r="AS303">
        <f t="shared" si="95"/>
        <v>0</v>
      </c>
      <c r="AT303">
        <f t="shared" si="95"/>
        <v>0</v>
      </c>
      <c r="AU303">
        <f t="shared" si="95"/>
        <v>0</v>
      </c>
      <c r="AV303">
        <f t="shared" si="95"/>
        <v>0</v>
      </c>
      <c r="AW303">
        <f t="shared" si="95"/>
        <v>0</v>
      </c>
      <c r="AX303">
        <f t="shared" si="95"/>
        <v>0</v>
      </c>
      <c r="AY303">
        <f t="shared" si="96"/>
        <v>0</v>
      </c>
      <c r="AZ303">
        <f t="shared" si="96"/>
        <v>0</v>
      </c>
      <c r="BA303">
        <f t="shared" si="96"/>
        <v>0</v>
      </c>
      <c r="BB303">
        <f t="shared" si="96"/>
        <v>0</v>
      </c>
      <c r="BC303">
        <f t="shared" si="96"/>
        <v>0</v>
      </c>
      <c r="BD303">
        <f t="shared" si="96"/>
        <v>0</v>
      </c>
      <c r="BE303">
        <f t="shared" si="96"/>
        <v>0</v>
      </c>
      <c r="BF303">
        <f t="shared" si="96"/>
        <v>0</v>
      </c>
      <c r="BG303">
        <f t="shared" si="96"/>
        <v>0</v>
      </c>
      <c r="BH303" t="str">
        <f t="shared" si="96"/>
        <v>Norat</v>
      </c>
      <c r="BI303">
        <f t="shared" si="97"/>
        <v>0</v>
      </c>
      <c r="BJ303">
        <f t="shared" si="97"/>
        <v>0</v>
      </c>
      <c r="BK303">
        <f t="shared" si="97"/>
        <v>0</v>
      </c>
      <c r="BL303">
        <f t="shared" si="97"/>
        <v>0</v>
      </c>
      <c r="BM303">
        <f t="shared" si="97"/>
        <v>0</v>
      </c>
      <c r="BN303">
        <f t="shared" si="97"/>
        <v>0</v>
      </c>
      <c r="BO303">
        <f t="shared" si="97"/>
        <v>0</v>
      </c>
      <c r="BP303">
        <f t="shared" si="97"/>
        <v>0</v>
      </c>
      <c r="BQ303">
        <f t="shared" si="97"/>
        <v>0</v>
      </c>
      <c r="BR303">
        <f t="shared" si="97"/>
        <v>0</v>
      </c>
      <c r="BS303">
        <f t="shared" si="97"/>
        <v>0</v>
      </c>
    </row>
    <row r="304" spans="2:71" ht="15" customHeight="1" x14ac:dyDescent="0.2">
      <c r="B304">
        <v>30</v>
      </c>
      <c r="C304">
        <v>9</v>
      </c>
      <c r="D304">
        <v>5</v>
      </c>
      <c r="E304" t="s">
        <v>302</v>
      </c>
      <c r="F304" t="s">
        <v>72</v>
      </c>
      <c r="G304" s="5">
        <v>42938</v>
      </c>
      <c r="H304" t="s">
        <v>73</v>
      </c>
      <c r="I304" t="s">
        <v>264</v>
      </c>
      <c r="J304" t="s">
        <v>168</v>
      </c>
      <c r="K304">
        <v>18</v>
      </c>
      <c r="L304" t="s">
        <v>107</v>
      </c>
      <c r="M304" t="s">
        <v>294</v>
      </c>
      <c r="N304" t="s">
        <v>109</v>
      </c>
      <c r="O304">
        <v>72.2</v>
      </c>
      <c r="P304">
        <v>138</v>
      </c>
      <c r="Q304">
        <v>6522</v>
      </c>
      <c r="R304" t="s">
        <v>110</v>
      </c>
      <c r="S304" t="s">
        <v>111</v>
      </c>
      <c r="T304" t="s">
        <v>83</v>
      </c>
      <c r="U304" t="s">
        <v>53</v>
      </c>
      <c r="V304" t="s">
        <v>53</v>
      </c>
      <c r="W304" t="s">
        <v>109</v>
      </c>
      <c r="AA304">
        <v>2</v>
      </c>
      <c r="AB304" t="s">
        <v>32</v>
      </c>
      <c r="AC304" t="s">
        <v>184</v>
      </c>
      <c r="AD304" t="s">
        <v>55</v>
      </c>
      <c r="AE304" t="str">
        <f t="shared" si="82"/>
        <v>Forster</v>
      </c>
      <c r="AF304">
        <v>2</v>
      </c>
      <c r="AG304">
        <v>1</v>
      </c>
      <c r="AH304">
        <v>0</v>
      </c>
      <c r="AI304">
        <v>0</v>
      </c>
      <c r="AJ304">
        <v>1</v>
      </c>
      <c r="AK304" t="s">
        <v>55</v>
      </c>
      <c r="AL304">
        <v>0.44067796610169502</v>
      </c>
      <c r="AO304">
        <f t="shared" si="95"/>
        <v>0</v>
      </c>
      <c r="AP304">
        <f t="shared" si="95"/>
        <v>0</v>
      </c>
      <c r="AQ304">
        <f t="shared" si="95"/>
        <v>0</v>
      </c>
      <c r="AR304">
        <f t="shared" si="95"/>
        <v>0</v>
      </c>
      <c r="AS304">
        <f t="shared" si="95"/>
        <v>0</v>
      </c>
      <c r="AT304">
        <f t="shared" si="95"/>
        <v>0</v>
      </c>
      <c r="AU304">
        <f t="shared" si="95"/>
        <v>0</v>
      </c>
      <c r="AV304">
        <f t="shared" si="95"/>
        <v>0</v>
      </c>
      <c r="AW304">
        <f t="shared" si="95"/>
        <v>0</v>
      </c>
      <c r="AX304">
        <f t="shared" si="95"/>
        <v>0</v>
      </c>
      <c r="AY304">
        <f t="shared" si="96"/>
        <v>0</v>
      </c>
      <c r="AZ304">
        <f t="shared" si="96"/>
        <v>0</v>
      </c>
      <c r="BA304">
        <f t="shared" si="96"/>
        <v>0</v>
      </c>
      <c r="BB304" t="str">
        <f t="shared" si="96"/>
        <v>Forster</v>
      </c>
      <c r="BC304">
        <f t="shared" si="96"/>
        <v>0</v>
      </c>
      <c r="BD304">
        <f t="shared" si="96"/>
        <v>0</v>
      </c>
      <c r="BE304">
        <f t="shared" si="96"/>
        <v>0</v>
      </c>
      <c r="BF304">
        <f t="shared" si="96"/>
        <v>0</v>
      </c>
      <c r="BG304">
        <f t="shared" si="96"/>
        <v>0</v>
      </c>
      <c r="BH304">
        <f t="shared" si="96"/>
        <v>0</v>
      </c>
      <c r="BI304">
        <f t="shared" si="97"/>
        <v>0</v>
      </c>
      <c r="BJ304">
        <f t="shared" si="97"/>
        <v>0</v>
      </c>
      <c r="BK304">
        <f t="shared" si="97"/>
        <v>0</v>
      </c>
      <c r="BL304">
        <f t="shared" si="97"/>
        <v>0</v>
      </c>
      <c r="BM304">
        <f t="shared" si="97"/>
        <v>0</v>
      </c>
      <c r="BN304">
        <f t="shared" si="97"/>
        <v>0</v>
      </c>
      <c r="BO304">
        <f t="shared" si="97"/>
        <v>0</v>
      </c>
      <c r="BP304">
        <f t="shared" si="97"/>
        <v>0</v>
      </c>
      <c r="BQ304">
        <f t="shared" si="97"/>
        <v>0</v>
      </c>
      <c r="BR304">
        <f t="shared" si="97"/>
        <v>0</v>
      </c>
      <c r="BS304">
        <f t="shared" si="97"/>
        <v>0</v>
      </c>
    </row>
    <row r="305" spans="2:71" ht="15" customHeight="1" x14ac:dyDescent="0.2">
      <c r="B305">
        <v>30</v>
      </c>
      <c r="C305">
        <v>10</v>
      </c>
      <c r="D305">
        <v>5</v>
      </c>
      <c r="E305" t="s">
        <v>303</v>
      </c>
      <c r="F305" t="s">
        <v>72</v>
      </c>
      <c r="G305" s="5">
        <v>42938</v>
      </c>
      <c r="H305" t="s">
        <v>73</v>
      </c>
      <c r="I305" t="s">
        <v>264</v>
      </c>
      <c r="J305" t="s">
        <v>168</v>
      </c>
      <c r="K305">
        <v>18</v>
      </c>
      <c r="L305" t="s">
        <v>107</v>
      </c>
      <c r="M305" t="s">
        <v>294</v>
      </c>
      <c r="N305" t="s">
        <v>109</v>
      </c>
      <c r="O305">
        <v>72.2</v>
      </c>
      <c r="P305">
        <v>138</v>
      </c>
      <c r="Q305">
        <v>6522</v>
      </c>
      <c r="R305" t="s">
        <v>110</v>
      </c>
      <c r="S305" t="s">
        <v>111</v>
      </c>
      <c r="T305" t="s">
        <v>83</v>
      </c>
      <c r="U305" t="s">
        <v>53</v>
      </c>
      <c r="V305" t="s">
        <v>46</v>
      </c>
      <c r="W305" t="s">
        <v>109</v>
      </c>
      <c r="AA305">
        <v>2</v>
      </c>
      <c r="AB305" t="s">
        <v>32</v>
      </c>
      <c r="AC305" t="s">
        <v>202</v>
      </c>
      <c r="AD305" t="s">
        <v>52</v>
      </c>
      <c r="AE305" t="str">
        <f t="shared" si="82"/>
        <v>Mangold</v>
      </c>
      <c r="AF305">
        <v>2</v>
      </c>
      <c r="AG305">
        <v>1</v>
      </c>
      <c r="AH305">
        <v>0</v>
      </c>
      <c r="AI305">
        <v>0</v>
      </c>
      <c r="AJ305">
        <v>1</v>
      </c>
      <c r="AK305" t="s">
        <v>52</v>
      </c>
      <c r="AL305">
        <v>0.34745762711864397</v>
      </c>
      <c r="AO305">
        <f t="shared" si="95"/>
        <v>0</v>
      </c>
      <c r="AP305">
        <f t="shared" si="95"/>
        <v>0</v>
      </c>
      <c r="AQ305">
        <f t="shared" si="95"/>
        <v>0</v>
      </c>
      <c r="AR305">
        <f t="shared" si="95"/>
        <v>0</v>
      </c>
      <c r="AS305">
        <f t="shared" si="95"/>
        <v>0</v>
      </c>
      <c r="AT305">
        <f t="shared" si="95"/>
        <v>0</v>
      </c>
      <c r="AU305" t="str">
        <f t="shared" si="95"/>
        <v>Mangold</v>
      </c>
      <c r="AV305">
        <f t="shared" si="95"/>
        <v>0</v>
      </c>
      <c r="AW305">
        <f t="shared" si="95"/>
        <v>0</v>
      </c>
      <c r="AX305">
        <f t="shared" si="95"/>
        <v>0</v>
      </c>
      <c r="AY305">
        <f t="shared" si="96"/>
        <v>0</v>
      </c>
      <c r="AZ305">
        <f t="shared" si="96"/>
        <v>0</v>
      </c>
      <c r="BA305">
        <f t="shared" si="96"/>
        <v>0</v>
      </c>
      <c r="BB305">
        <f t="shared" si="96"/>
        <v>0</v>
      </c>
      <c r="BC305">
        <f t="shared" si="96"/>
        <v>0</v>
      </c>
      <c r="BD305">
        <f t="shared" si="96"/>
        <v>0</v>
      </c>
      <c r="BE305">
        <f t="shared" si="96"/>
        <v>0</v>
      </c>
      <c r="BF305">
        <f t="shared" si="96"/>
        <v>0</v>
      </c>
      <c r="BG305">
        <f t="shared" si="96"/>
        <v>0</v>
      </c>
      <c r="BH305">
        <f t="shared" si="96"/>
        <v>0</v>
      </c>
      <c r="BI305">
        <f t="shared" si="97"/>
        <v>0</v>
      </c>
      <c r="BJ305">
        <f t="shared" si="97"/>
        <v>0</v>
      </c>
      <c r="BK305">
        <f t="shared" si="97"/>
        <v>0</v>
      </c>
      <c r="BL305">
        <f t="shared" si="97"/>
        <v>0</v>
      </c>
      <c r="BM305">
        <f t="shared" si="97"/>
        <v>0</v>
      </c>
      <c r="BN305">
        <f t="shared" si="97"/>
        <v>0</v>
      </c>
      <c r="BO305">
        <f t="shared" si="97"/>
        <v>0</v>
      </c>
      <c r="BP305">
        <f t="shared" si="97"/>
        <v>0</v>
      </c>
      <c r="BQ305">
        <f t="shared" si="97"/>
        <v>0</v>
      </c>
      <c r="BR305">
        <f t="shared" si="97"/>
        <v>0</v>
      </c>
      <c r="BS305">
        <f t="shared" si="97"/>
        <v>0</v>
      </c>
    </row>
    <row r="306" spans="2:71" ht="15" customHeight="1" x14ac:dyDescent="0.2">
      <c r="B306">
        <v>1</v>
      </c>
      <c r="C306">
        <v>1</v>
      </c>
      <c r="D306">
        <v>6</v>
      </c>
      <c r="E306" t="s">
        <v>304</v>
      </c>
      <c r="F306" t="s">
        <v>214</v>
      </c>
      <c r="G306" s="5">
        <v>43308</v>
      </c>
      <c r="H306" t="s">
        <v>73</v>
      </c>
      <c r="I306" t="s">
        <v>305</v>
      </c>
      <c r="J306" t="s">
        <v>216</v>
      </c>
      <c r="K306">
        <v>9</v>
      </c>
      <c r="L306" t="s">
        <v>76</v>
      </c>
      <c r="M306" t="s">
        <v>306</v>
      </c>
      <c r="N306" t="s">
        <v>78</v>
      </c>
      <c r="O306">
        <v>70.5</v>
      </c>
      <c r="P306">
        <v>134</v>
      </c>
      <c r="Q306">
        <v>6389</v>
      </c>
      <c r="R306" t="s">
        <v>79</v>
      </c>
      <c r="S306" t="s">
        <v>80</v>
      </c>
      <c r="T306" t="s">
        <v>83</v>
      </c>
      <c r="U306" t="s">
        <v>54</v>
      </c>
      <c r="V306" t="s">
        <v>58</v>
      </c>
      <c r="W306" t="s">
        <v>78</v>
      </c>
      <c r="Y306" t="s">
        <v>41</v>
      </c>
      <c r="AA306">
        <v>1</v>
      </c>
      <c r="AB306" t="s">
        <v>32</v>
      </c>
      <c r="AC306" t="s">
        <v>174</v>
      </c>
      <c r="AE306" t="str">
        <f t="shared" si="82"/>
        <v>GrayHilts</v>
      </c>
      <c r="AF306">
        <v>1</v>
      </c>
      <c r="AG306">
        <v>1</v>
      </c>
      <c r="AH306">
        <v>0</v>
      </c>
      <c r="AI306">
        <v>0</v>
      </c>
      <c r="AJ306">
        <v>1</v>
      </c>
      <c r="AK306" t="s">
        <v>44</v>
      </c>
      <c r="AL306">
        <v>0.4296875</v>
      </c>
      <c r="AM306" t="s">
        <v>53</v>
      </c>
      <c r="AN306">
        <v>0.59649122807017496</v>
      </c>
      <c r="AO306">
        <f t="shared" si="95"/>
        <v>0</v>
      </c>
      <c r="AP306" t="str">
        <f t="shared" si="95"/>
        <v>Hilts</v>
      </c>
      <c r="AQ306">
        <f t="shared" si="95"/>
        <v>0</v>
      </c>
      <c r="AR306">
        <f t="shared" si="95"/>
        <v>0</v>
      </c>
      <c r="AS306">
        <f t="shared" si="95"/>
        <v>0</v>
      </c>
      <c r="AT306">
        <f t="shared" si="95"/>
        <v>0</v>
      </c>
      <c r="AU306">
        <f t="shared" si="95"/>
        <v>0</v>
      </c>
      <c r="AV306">
        <f t="shared" si="95"/>
        <v>0</v>
      </c>
      <c r="AW306">
        <f t="shared" si="95"/>
        <v>0</v>
      </c>
      <c r="AX306">
        <f t="shared" si="95"/>
        <v>0</v>
      </c>
      <c r="AY306">
        <f t="shared" si="96"/>
        <v>0</v>
      </c>
      <c r="AZ306">
        <f t="shared" si="96"/>
        <v>0</v>
      </c>
      <c r="BA306">
        <f t="shared" si="96"/>
        <v>0</v>
      </c>
      <c r="BB306">
        <f t="shared" si="96"/>
        <v>0</v>
      </c>
      <c r="BC306">
        <f t="shared" si="96"/>
        <v>0</v>
      </c>
      <c r="BD306">
        <f t="shared" si="96"/>
        <v>0</v>
      </c>
      <c r="BE306">
        <f t="shared" si="96"/>
        <v>0</v>
      </c>
      <c r="BF306">
        <f t="shared" si="96"/>
        <v>0</v>
      </c>
      <c r="BG306" t="str">
        <f t="shared" si="96"/>
        <v>Gray</v>
      </c>
      <c r="BH306">
        <f t="shared" si="96"/>
        <v>0</v>
      </c>
      <c r="BI306">
        <f t="shared" si="97"/>
        <v>0</v>
      </c>
      <c r="BJ306">
        <f t="shared" si="97"/>
        <v>0</v>
      </c>
      <c r="BK306">
        <f t="shared" si="97"/>
        <v>0</v>
      </c>
      <c r="BL306">
        <f t="shared" si="97"/>
        <v>0</v>
      </c>
      <c r="BM306">
        <f t="shared" si="97"/>
        <v>0</v>
      </c>
      <c r="BN306">
        <f t="shared" si="97"/>
        <v>0</v>
      </c>
      <c r="BO306">
        <f t="shared" si="97"/>
        <v>0</v>
      </c>
      <c r="BP306">
        <f t="shared" si="97"/>
        <v>0</v>
      </c>
      <c r="BQ306">
        <f t="shared" si="97"/>
        <v>0</v>
      </c>
      <c r="BR306">
        <f t="shared" si="97"/>
        <v>0</v>
      </c>
      <c r="BS306">
        <f t="shared" si="97"/>
        <v>0</v>
      </c>
    </row>
    <row r="307" spans="2:71" ht="15" customHeight="1" x14ac:dyDescent="0.2">
      <c r="B307">
        <v>1</v>
      </c>
      <c r="C307">
        <v>1</v>
      </c>
      <c r="D307">
        <v>6</v>
      </c>
      <c r="E307" t="s">
        <v>304</v>
      </c>
      <c r="F307" t="s">
        <v>214</v>
      </c>
      <c r="G307" s="5">
        <v>43308</v>
      </c>
      <c r="H307" t="s">
        <v>73</v>
      </c>
      <c r="I307" t="s">
        <v>305</v>
      </c>
      <c r="J307" t="s">
        <v>216</v>
      </c>
      <c r="K307">
        <v>9</v>
      </c>
      <c r="L307" t="s">
        <v>76</v>
      </c>
      <c r="M307" t="s">
        <v>306</v>
      </c>
      <c r="N307" t="s">
        <v>78</v>
      </c>
      <c r="O307">
        <v>70.5</v>
      </c>
      <c r="P307">
        <v>134</v>
      </c>
      <c r="Q307">
        <v>6389</v>
      </c>
      <c r="R307" t="s">
        <v>79</v>
      </c>
      <c r="S307" t="s">
        <v>80</v>
      </c>
      <c r="T307" t="s">
        <v>81</v>
      </c>
      <c r="U307" t="s">
        <v>59</v>
      </c>
      <c r="V307" t="s">
        <v>44</v>
      </c>
      <c r="W307" t="s">
        <v>307</v>
      </c>
      <c r="Y307" t="s">
        <v>53</v>
      </c>
      <c r="AA307">
        <v>1</v>
      </c>
      <c r="AB307" t="s">
        <v>33</v>
      </c>
      <c r="AC307" t="s">
        <v>174</v>
      </c>
      <c r="AE307" t="str">
        <f t="shared" si="82"/>
        <v>FlandersForster</v>
      </c>
      <c r="AF307">
        <v>0</v>
      </c>
      <c r="AG307">
        <v>0</v>
      </c>
      <c r="AH307">
        <v>1</v>
      </c>
      <c r="AI307">
        <v>0</v>
      </c>
      <c r="AJ307">
        <v>0</v>
      </c>
      <c r="AK307" t="s">
        <v>58</v>
      </c>
      <c r="AL307">
        <v>0.65476190476190499</v>
      </c>
      <c r="AM307" t="s">
        <v>41</v>
      </c>
      <c r="AN307">
        <v>0.47321428571428598</v>
      </c>
      <c r="AO307">
        <f t="shared" si="95"/>
        <v>0</v>
      </c>
      <c r="AP307">
        <f t="shared" si="95"/>
        <v>0</v>
      </c>
      <c r="AQ307">
        <f t="shared" si="95"/>
        <v>0</v>
      </c>
      <c r="AR307">
        <f t="shared" si="95"/>
        <v>0</v>
      </c>
      <c r="AS307" t="str">
        <f t="shared" si="95"/>
        <v>Flanders</v>
      </c>
      <c r="AT307">
        <f t="shared" si="95"/>
        <v>0</v>
      </c>
      <c r="AU307">
        <f t="shared" si="95"/>
        <v>0</v>
      </c>
      <c r="AV307">
        <f t="shared" si="95"/>
        <v>0</v>
      </c>
      <c r="AW307">
        <f t="shared" si="95"/>
        <v>0</v>
      </c>
      <c r="AX307">
        <f t="shared" si="95"/>
        <v>0</v>
      </c>
      <c r="AY307">
        <f t="shared" si="96"/>
        <v>0</v>
      </c>
      <c r="AZ307">
        <f t="shared" si="96"/>
        <v>0</v>
      </c>
      <c r="BA307">
        <f t="shared" si="96"/>
        <v>0</v>
      </c>
      <c r="BB307" t="str">
        <f t="shared" si="96"/>
        <v>Forster</v>
      </c>
      <c r="BC307">
        <f t="shared" si="96"/>
        <v>0</v>
      </c>
      <c r="BD307">
        <f t="shared" si="96"/>
        <v>0</v>
      </c>
      <c r="BE307">
        <f t="shared" si="96"/>
        <v>0</v>
      </c>
      <c r="BF307">
        <f t="shared" si="96"/>
        <v>0</v>
      </c>
      <c r="BG307">
        <f t="shared" si="96"/>
        <v>0</v>
      </c>
      <c r="BH307">
        <f t="shared" si="96"/>
        <v>0</v>
      </c>
      <c r="BI307">
        <f t="shared" si="97"/>
        <v>0</v>
      </c>
      <c r="BJ307">
        <f t="shared" si="97"/>
        <v>0</v>
      </c>
      <c r="BK307">
        <f t="shared" si="97"/>
        <v>0</v>
      </c>
      <c r="BL307">
        <f t="shared" si="97"/>
        <v>0</v>
      </c>
      <c r="BM307">
        <f t="shared" si="97"/>
        <v>0</v>
      </c>
      <c r="BN307">
        <f t="shared" si="97"/>
        <v>0</v>
      </c>
      <c r="BO307">
        <f t="shared" si="97"/>
        <v>0</v>
      </c>
      <c r="BP307">
        <f t="shared" si="97"/>
        <v>0</v>
      </c>
      <c r="BQ307">
        <f t="shared" si="97"/>
        <v>0</v>
      </c>
      <c r="BR307">
        <f t="shared" si="97"/>
        <v>0</v>
      </c>
      <c r="BS307">
        <f t="shared" si="97"/>
        <v>0</v>
      </c>
    </row>
    <row r="308" spans="2:71" ht="15" customHeight="1" x14ac:dyDescent="0.2">
      <c r="B308">
        <v>2</v>
      </c>
      <c r="C308">
        <v>2</v>
      </c>
      <c r="D308">
        <v>6</v>
      </c>
      <c r="E308" t="s">
        <v>308</v>
      </c>
      <c r="F308" t="s">
        <v>214</v>
      </c>
      <c r="G308" s="5">
        <v>43308</v>
      </c>
      <c r="H308" t="s">
        <v>73</v>
      </c>
      <c r="I308" t="s">
        <v>305</v>
      </c>
      <c r="J308" t="s">
        <v>216</v>
      </c>
      <c r="K308">
        <v>9</v>
      </c>
      <c r="L308" t="s">
        <v>76</v>
      </c>
      <c r="M308" t="s">
        <v>306</v>
      </c>
      <c r="N308" t="s">
        <v>78</v>
      </c>
      <c r="O308">
        <v>70.5</v>
      </c>
      <c r="P308">
        <v>134</v>
      </c>
      <c r="Q308">
        <v>6389</v>
      </c>
      <c r="R308" t="s">
        <v>79</v>
      </c>
      <c r="S308" t="s">
        <v>80</v>
      </c>
      <c r="T308" t="s">
        <v>81</v>
      </c>
      <c r="U308" t="s">
        <v>59</v>
      </c>
      <c r="V308" t="s">
        <v>55</v>
      </c>
      <c r="W308" t="s">
        <v>307</v>
      </c>
      <c r="Y308" t="s">
        <v>50</v>
      </c>
      <c r="AA308">
        <v>1</v>
      </c>
      <c r="AB308" t="s">
        <v>32</v>
      </c>
      <c r="AC308" t="s">
        <v>174</v>
      </c>
      <c r="AE308" t="str">
        <f t="shared" si="82"/>
        <v>ColeFerrin</v>
      </c>
      <c r="AF308">
        <v>1</v>
      </c>
      <c r="AG308">
        <v>1</v>
      </c>
      <c r="AH308">
        <v>0</v>
      </c>
      <c r="AI308">
        <v>0</v>
      </c>
      <c r="AJ308">
        <v>1</v>
      </c>
      <c r="AK308" t="s">
        <v>54</v>
      </c>
      <c r="AL308">
        <v>0.37288135593220301</v>
      </c>
      <c r="AM308" t="s">
        <v>48</v>
      </c>
      <c r="AN308">
        <v>0.5546875</v>
      </c>
      <c r="AO308">
        <f t="shared" si="95"/>
        <v>0</v>
      </c>
      <c r="AP308">
        <f t="shared" si="95"/>
        <v>0</v>
      </c>
      <c r="AQ308">
        <f t="shared" si="95"/>
        <v>0</v>
      </c>
      <c r="AR308">
        <f t="shared" si="95"/>
        <v>0</v>
      </c>
      <c r="AS308">
        <f t="shared" si="95"/>
        <v>0</v>
      </c>
      <c r="AT308">
        <f t="shared" si="95"/>
        <v>0</v>
      </c>
      <c r="AU308">
        <f t="shared" si="95"/>
        <v>0</v>
      </c>
      <c r="AV308">
        <f t="shared" si="95"/>
        <v>0</v>
      </c>
      <c r="AW308">
        <f t="shared" si="95"/>
        <v>0</v>
      </c>
      <c r="AX308">
        <f t="shared" si="95"/>
        <v>0</v>
      </c>
      <c r="AY308" t="str">
        <f t="shared" si="96"/>
        <v>Ferrin</v>
      </c>
      <c r="AZ308">
        <f t="shared" si="96"/>
        <v>0</v>
      </c>
      <c r="BA308">
        <f t="shared" si="96"/>
        <v>0</v>
      </c>
      <c r="BB308">
        <f t="shared" si="96"/>
        <v>0</v>
      </c>
      <c r="BC308">
        <f t="shared" si="96"/>
        <v>0</v>
      </c>
      <c r="BD308" t="str">
        <f t="shared" si="96"/>
        <v>Cole</v>
      </c>
      <c r="BE308">
        <f t="shared" si="96"/>
        <v>0</v>
      </c>
      <c r="BF308">
        <f t="shared" si="96"/>
        <v>0</v>
      </c>
      <c r="BG308">
        <f t="shared" si="96"/>
        <v>0</v>
      </c>
      <c r="BH308">
        <f t="shared" si="96"/>
        <v>0</v>
      </c>
      <c r="BI308">
        <f t="shared" si="97"/>
        <v>0</v>
      </c>
      <c r="BJ308">
        <f t="shared" si="97"/>
        <v>0</v>
      </c>
      <c r="BK308">
        <f t="shared" si="97"/>
        <v>0</v>
      </c>
      <c r="BL308">
        <f t="shared" si="97"/>
        <v>0</v>
      </c>
      <c r="BM308">
        <f t="shared" si="97"/>
        <v>0</v>
      </c>
      <c r="BN308">
        <f t="shared" si="97"/>
        <v>0</v>
      </c>
      <c r="BO308">
        <f t="shared" si="97"/>
        <v>0</v>
      </c>
      <c r="BP308">
        <f t="shared" si="97"/>
        <v>0</v>
      </c>
      <c r="BQ308">
        <f t="shared" si="97"/>
        <v>0</v>
      </c>
      <c r="BR308">
        <f t="shared" si="97"/>
        <v>0</v>
      </c>
      <c r="BS308">
        <f t="shared" si="97"/>
        <v>0</v>
      </c>
    </row>
    <row r="309" spans="2:71" ht="15" customHeight="1" x14ac:dyDescent="0.2">
      <c r="B309">
        <v>2</v>
      </c>
      <c r="C309">
        <v>2</v>
      </c>
      <c r="D309">
        <v>6</v>
      </c>
      <c r="E309" t="s">
        <v>308</v>
      </c>
      <c r="F309" t="s">
        <v>214</v>
      </c>
      <c r="G309" s="5">
        <v>43308</v>
      </c>
      <c r="H309" t="s">
        <v>73</v>
      </c>
      <c r="I309" t="s">
        <v>305</v>
      </c>
      <c r="J309" t="s">
        <v>216</v>
      </c>
      <c r="K309">
        <v>9</v>
      </c>
      <c r="L309" t="s">
        <v>76</v>
      </c>
      <c r="M309" t="s">
        <v>306</v>
      </c>
      <c r="N309" t="s">
        <v>78</v>
      </c>
      <c r="O309">
        <v>70.5</v>
      </c>
      <c r="P309">
        <v>134</v>
      </c>
      <c r="Q309">
        <v>6389</v>
      </c>
      <c r="R309" t="s">
        <v>79</v>
      </c>
      <c r="S309" t="s">
        <v>80</v>
      </c>
      <c r="T309" t="s">
        <v>83</v>
      </c>
      <c r="U309" t="s">
        <v>54</v>
      </c>
      <c r="V309" t="s">
        <v>54</v>
      </c>
      <c r="W309" t="s">
        <v>78</v>
      </c>
      <c r="Y309" t="s">
        <v>48</v>
      </c>
      <c r="AA309">
        <v>1</v>
      </c>
      <c r="AB309" t="s">
        <v>33</v>
      </c>
      <c r="AC309" t="s">
        <v>174</v>
      </c>
      <c r="AE309" t="str">
        <f t="shared" si="82"/>
        <v>FoganLynch</v>
      </c>
      <c r="AF309">
        <v>0</v>
      </c>
      <c r="AG309">
        <v>0</v>
      </c>
      <c r="AH309">
        <v>1</v>
      </c>
      <c r="AI309">
        <v>0</v>
      </c>
      <c r="AJ309">
        <v>0</v>
      </c>
      <c r="AK309" t="s">
        <v>55</v>
      </c>
      <c r="AL309">
        <v>0.44067796610169502</v>
      </c>
      <c r="AM309" t="s">
        <v>50</v>
      </c>
      <c r="AN309">
        <v>0.59523809523809501</v>
      </c>
      <c r="AO309">
        <f t="shared" si="95"/>
        <v>0</v>
      </c>
      <c r="AP309">
        <f t="shared" si="95"/>
        <v>0</v>
      </c>
      <c r="AQ309">
        <f t="shared" si="95"/>
        <v>0</v>
      </c>
      <c r="AR309">
        <f t="shared" si="95"/>
        <v>0</v>
      </c>
      <c r="AS309">
        <f t="shared" si="95"/>
        <v>0</v>
      </c>
      <c r="AT309">
        <f t="shared" si="95"/>
        <v>0</v>
      </c>
      <c r="AU309">
        <f t="shared" si="95"/>
        <v>0</v>
      </c>
      <c r="AV309">
        <f t="shared" si="95"/>
        <v>0</v>
      </c>
      <c r="AW309" t="str">
        <f t="shared" si="95"/>
        <v>Lynch</v>
      </c>
      <c r="AX309">
        <f t="shared" si="95"/>
        <v>0</v>
      </c>
      <c r="AY309">
        <f t="shared" si="96"/>
        <v>0</v>
      </c>
      <c r="AZ309">
        <f t="shared" si="96"/>
        <v>0</v>
      </c>
      <c r="BA309">
        <f t="shared" si="96"/>
        <v>0</v>
      </c>
      <c r="BB309">
        <f t="shared" si="96"/>
        <v>0</v>
      </c>
      <c r="BC309" t="str">
        <f t="shared" si="96"/>
        <v>Fogan</v>
      </c>
      <c r="BD309">
        <f t="shared" si="96"/>
        <v>0</v>
      </c>
      <c r="BE309">
        <f t="shared" si="96"/>
        <v>0</v>
      </c>
      <c r="BF309">
        <f t="shared" si="96"/>
        <v>0</v>
      </c>
      <c r="BG309">
        <f t="shared" si="96"/>
        <v>0</v>
      </c>
      <c r="BH309">
        <f t="shared" si="96"/>
        <v>0</v>
      </c>
      <c r="BI309">
        <f t="shared" si="97"/>
        <v>0</v>
      </c>
      <c r="BJ309">
        <f t="shared" si="97"/>
        <v>0</v>
      </c>
      <c r="BK309">
        <f t="shared" si="97"/>
        <v>0</v>
      </c>
      <c r="BL309">
        <f t="shared" si="97"/>
        <v>0</v>
      </c>
      <c r="BM309">
        <f t="shared" si="97"/>
        <v>0</v>
      </c>
      <c r="BN309">
        <f t="shared" si="97"/>
        <v>0</v>
      </c>
      <c r="BO309">
        <f t="shared" si="97"/>
        <v>0</v>
      </c>
      <c r="BP309">
        <f t="shared" si="97"/>
        <v>0</v>
      </c>
      <c r="BQ309">
        <f t="shared" si="97"/>
        <v>0</v>
      </c>
      <c r="BR309">
        <f t="shared" si="97"/>
        <v>0</v>
      </c>
      <c r="BS309">
        <f t="shared" si="97"/>
        <v>0</v>
      </c>
    </row>
    <row r="310" spans="2:71" ht="15" customHeight="1" x14ac:dyDescent="0.2">
      <c r="B310">
        <v>3</v>
      </c>
      <c r="C310">
        <v>3</v>
      </c>
      <c r="D310">
        <v>6</v>
      </c>
      <c r="E310" t="s">
        <v>309</v>
      </c>
      <c r="F310" t="s">
        <v>214</v>
      </c>
      <c r="G310" s="5">
        <v>43308</v>
      </c>
      <c r="H310" t="s">
        <v>73</v>
      </c>
      <c r="I310" t="s">
        <v>305</v>
      </c>
      <c r="J310" t="s">
        <v>216</v>
      </c>
      <c r="K310">
        <v>9</v>
      </c>
      <c r="L310" t="s">
        <v>76</v>
      </c>
      <c r="M310" t="s">
        <v>306</v>
      </c>
      <c r="N310" t="s">
        <v>78</v>
      </c>
      <c r="O310">
        <v>70.5</v>
      </c>
      <c r="P310">
        <v>134</v>
      </c>
      <c r="Q310">
        <v>6389</v>
      </c>
      <c r="R310" t="s">
        <v>79</v>
      </c>
      <c r="S310" t="s">
        <v>80</v>
      </c>
      <c r="T310" t="s">
        <v>83</v>
      </c>
      <c r="U310" t="s">
        <v>54</v>
      </c>
      <c r="V310" t="s">
        <v>40</v>
      </c>
      <c r="W310" t="s">
        <v>78</v>
      </c>
      <c r="Y310" t="s">
        <v>42</v>
      </c>
      <c r="AA310">
        <v>1</v>
      </c>
      <c r="AB310" t="s">
        <v>32</v>
      </c>
      <c r="AC310" t="s">
        <v>174</v>
      </c>
      <c r="AE310" t="str">
        <f t="shared" si="82"/>
        <v>GriseJackson</v>
      </c>
      <c r="AF310">
        <v>1</v>
      </c>
      <c r="AG310">
        <v>1</v>
      </c>
      <c r="AH310">
        <v>0</v>
      </c>
      <c r="AI310">
        <v>0</v>
      </c>
      <c r="AJ310">
        <v>1</v>
      </c>
      <c r="AK310" t="s">
        <v>45</v>
      </c>
      <c r="AL310">
        <v>0.59375</v>
      </c>
      <c r="AM310" t="s">
        <v>60</v>
      </c>
      <c r="AN310">
        <v>0.5</v>
      </c>
      <c r="AO310" t="str">
        <f t="shared" si="95"/>
        <v>Grise</v>
      </c>
      <c r="AP310">
        <f t="shared" si="95"/>
        <v>0</v>
      </c>
      <c r="AQ310" t="str">
        <f t="shared" si="95"/>
        <v>Jackson</v>
      </c>
      <c r="AR310">
        <f t="shared" si="95"/>
        <v>0</v>
      </c>
      <c r="AS310">
        <f t="shared" si="95"/>
        <v>0</v>
      </c>
      <c r="AT310">
        <f t="shared" si="95"/>
        <v>0</v>
      </c>
      <c r="AU310">
        <f t="shared" si="95"/>
        <v>0</v>
      </c>
      <c r="AV310">
        <f t="shared" si="95"/>
        <v>0</v>
      </c>
      <c r="AW310">
        <f t="shared" si="95"/>
        <v>0</v>
      </c>
      <c r="AX310">
        <f t="shared" si="95"/>
        <v>0</v>
      </c>
      <c r="AY310">
        <f t="shared" si="96"/>
        <v>0</v>
      </c>
      <c r="AZ310">
        <f t="shared" si="96"/>
        <v>0</v>
      </c>
      <c r="BA310">
        <f t="shared" si="96"/>
        <v>0</v>
      </c>
      <c r="BB310">
        <f t="shared" si="96"/>
        <v>0</v>
      </c>
      <c r="BC310">
        <f t="shared" si="96"/>
        <v>0</v>
      </c>
      <c r="BD310">
        <f t="shared" si="96"/>
        <v>0</v>
      </c>
      <c r="BE310">
        <f t="shared" si="96"/>
        <v>0</v>
      </c>
      <c r="BF310">
        <f t="shared" si="96"/>
        <v>0</v>
      </c>
      <c r="BG310">
        <f t="shared" si="96"/>
        <v>0</v>
      </c>
      <c r="BH310">
        <f t="shared" si="96"/>
        <v>0</v>
      </c>
      <c r="BI310">
        <f t="shared" si="97"/>
        <v>0</v>
      </c>
      <c r="BJ310">
        <f t="shared" si="97"/>
        <v>0</v>
      </c>
      <c r="BK310">
        <f t="shared" si="97"/>
        <v>0</v>
      </c>
      <c r="BL310">
        <f t="shared" si="97"/>
        <v>0</v>
      </c>
      <c r="BM310">
        <f t="shared" si="97"/>
        <v>0</v>
      </c>
      <c r="BN310">
        <f t="shared" si="97"/>
        <v>0</v>
      </c>
      <c r="BO310">
        <f t="shared" si="97"/>
        <v>0</v>
      </c>
      <c r="BP310">
        <f t="shared" si="97"/>
        <v>0</v>
      </c>
      <c r="BQ310">
        <f t="shared" si="97"/>
        <v>0</v>
      </c>
      <c r="BR310">
        <f t="shared" si="97"/>
        <v>0</v>
      </c>
      <c r="BS310">
        <f t="shared" si="97"/>
        <v>0</v>
      </c>
    </row>
    <row r="311" spans="2:71" ht="15" customHeight="1" x14ac:dyDescent="0.2">
      <c r="B311">
        <v>3</v>
      </c>
      <c r="C311">
        <v>3</v>
      </c>
      <c r="D311">
        <v>6</v>
      </c>
      <c r="E311" t="s">
        <v>309</v>
      </c>
      <c r="F311" t="s">
        <v>214</v>
      </c>
      <c r="G311" s="5">
        <v>43308</v>
      </c>
      <c r="H311" t="s">
        <v>73</v>
      </c>
      <c r="I311" t="s">
        <v>305</v>
      </c>
      <c r="J311" t="s">
        <v>216</v>
      </c>
      <c r="K311">
        <v>9</v>
      </c>
      <c r="L311" t="s">
        <v>76</v>
      </c>
      <c r="M311" t="s">
        <v>306</v>
      </c>
      <c r="N311" t="s">
        <v>78</v>
      </c>
      <c r="O311">
        <v>70.5</v>
      </c>
      <c r="P311">
        <v>134</v>
      </c>
      <c r="Q311">
        <v>6389</v>
      </c>
      <c r="R311" t="s">
        <v>79</v>
      </c>
      <c r="S311" t="s">
        <v>80</v>
      </c>
      <c r="T311" t="s">
        <v>81</v>
      </c>
      <c r="U311" t="s">
        <v>59</v>
      </c>
      <c r="V311" t="s">
        <v>45</v>
      </c>
      <c r="W311" t="s">
        <v>307</v>
      </c>
      <c r="Y311" t="s">
        <v>60</v>
      </c>
      <c r="AA311">
        <v>1</v>
      </c>
      <c r="AB311" t="s">
        <v>33</v>
      </c>
      <c r="AC311" t="s">
        <v>174</v>
      </c>
      <c r="AE311" t="str">
        <f t="shared" si="82"/>
        <v>ConnollyZimmer</v>
      </c>
      <c r="AF311">
        <v>0</v>
      </c>
      <c r="AG311">
        <v>0</v>
      </c>
      <c r="AH311">
        <v>1</v>
      </c>
      <c r="AI311">
        <v>0</v>
      </c>
      <c r="AJ311">
        <v>0</v>
      </c>
      <c r="AK311" t="s">
        <v>40</v>
      </c>
      <c r="AL311">
        <v>0.546875</v>
      </c>
      <c r="AM311" t="s">
        <v>42</v>
      </c>
      <c r="AN311">
        <v>0.6171875</v>
      </c>
      <c r="AO311">
        <f t="shared" si="95"/>
        <v>0</v>
      </c>
      <c r="AP311">
        <f t="shared" si="95"/>
        <v>0</v>
      </c>
      <c r="AQ311">
        <f t="shared" si="95"/>
        <v>0</v>
      </c>
      <c r="AR311">
        <f t="shared" si="95"/>
        <v>0</v>
      </c>
      <c r="AS311">
        <f t="shared" si="95"/>
        <v>0</v>
      </c>
      <c r="AT311" t="str">
        <f t="shared" si="95"/>
        <v>Connolly</v>
      </c>
      <c r="AU311">
        <f t="shared" si="95"/>
        <v>0</v>
      </c>
      <c r="AV311">
        <f t="shared" si="95"/>
        <v>0</v>
      </c>
      <c r="AW311">
        <f t="shared" si="95"/>
        <v>0</v>
      </c>
      <c r="AX311">
        <f t="shared" si="95"/>
        <v>0</v>
      </c>
      <c r="AY311">
        <f t="shared" si="96"/>
        <v>0</v>
      </c>
      <c r="AZ311">
        <f t="shared" si="96"/>
        <v>0</v>
      </c>
      <c r="BA311">
        <f t="shared" si="96"/>
        <v>0</v>
      </c>
      <c r="BB311">
        <f t="shared" si="96"/>
        <v>0</v>
      </c>
      <c r="BC311">
        <f t="shared" si="96"/>
        <v>0</v>
      </c>
      <c r="BD311">
        <f t="shared" si="96"/>
        <v>0</v>
      </c>
      <c r="BE311">
        <f t="shared" si="96"/>
        <v>0</v>
      </c>
      <c r="BF311">
        <f t="shared" si="96"/>
        <v>0</v>
      </c>
      <c r="BG311">
        <f t="shared" si="96"/>
        <v>0</v>
      </c>
      <c r="BH311">
        <f t="shared" si="96"/>
        <v>0</v>
      </c>
      <c r="BI311" t="str">
        <f t="shared" si="97"/>
        <v>Zimmer</v>
      </c>
      <c r="BJ311">
        <f t="shared" si="97"/>
        <v>0</v>
      </c>
      <c r="BK311">
        <f t="shared" si="97"/>
        <v>0</v>
      </c>
      <c r="BL311">
        <f t="shared" si="97"/>
        <v>0</v>
      </c>
      <c r="BM311">
        <f t="shared" si="97"/>
        <v>0</v>
      </c>
      <c r="BN311">
        <f t="shared" si="97"/>
        <v>0</v>
      </c>
      <c r="BO311">
        <f t="shared" si="97"/>
        <v>0</v>
      </c>
      <c r="BP311">
        <f t="shared" si="97"/>
        <v>0</v>
      </c>
      <c r="BQ311">
        <f t="shared" si="97"/>
        <v>0</v>
      </c>
      <c r="BR311">
        <f t="shared" si="97"/>
        <v>0</v>
      </c>
      <c r="BS311">
        <f t="shared" si="97"/>
        <v>0</v>
      </c>
    </row>
    <row r="312" spans="2:71" ht="15" customHeight="1" x14ac:dyDescent="0.2">
      <c r="B312">
        <v>4</v>
      </c>
      <c r="C312">
        <v>4</v>
      </c>
      <c r="D312">
        <v>6</v>
      </c>
      <c r="E312" t="s">
        <v>310</v>
      </c>
      <c r="F312" t="s">
        <v>214</v>
      </c>
      <c r="G312" s="5">
        <v>43308</v>
      </c>
      <c r="H312" t="s">
        <v>73</v>
      </c>
      <c r="I312" t="s">
        <v>305</v>
      </c>
      <c r="J312" t="s">
        <v>216</v>
      </c>
      <c r="K312">
        <v>9</v>
      </c>
      <c r="L312" t="s">
        <v>76</v>
      </c>
      <c r="M312" t="s">
        <v>306</v>
      </c>
      <c r="N312" t="s">
        <v>78</v>
      </c>
      <c r="O312">
        <v>70.5</v>
      </c>
      <c r="P312">
        <v>134</v>
      </c>
      <c r="Q312">
        <v>6389</v>
      </c>
      <c r="R312" t="s">
        <v>79</v>
      </c>
      <c r="S312" t="s">
        <v>80</v>
      </c>
      <c r="T312" t="s">
        <v>81</v>
      </c>
      <c r="U312" t="s">
        <v>59</v>
      </c>
      <c r="V312" t="s">
        <v>59</v>
      </c>
      <c r="W312" t="s">
        <v>307</v>
      </c>
      <c r="Y312" t="s">
        <v>43</v>
      </c>
      <c r="AA312">
        <v>1</v>
      </c>
      <c r="AB312" t="s">
        <v>33</v>
      </c>
      <c r="AC312" t="s">
        <v>174</v>
      </c>
      <c r="AE312" t="str">
        <f t="shared" si="82"/>
        <v>NoratPoirier</v>
      </c>
      <c r="AF312">
        <v>0</v>
      </c>
      <c r="AG312">
        <v>0</v>
      </c>
      <c r="AH312">
        <v>1</v>
      </c>
      <c r="AI312">
        <v>0</v>
      </c>
      <c r="AJ312">
        <v>0</v>
      </c>
      <c r="AK312" t="s">
        <v>61</v>
      </c>
      <c r="AL312">
        <v>0.5</v>
      </c>
      <c r="AM312" t="s">
        <v>49</v>
      </c>
      <c r="AO312">
        <f t="shared" ref="AO312:AX321" si="98">IF(OR($V312=AO$1,$Y312=AO$1),AO$1,0)</f>
        <v>0</v>
      </c>
      <c r="AP312">
        <f t="shared" si="98"/>
        <v>0</v>
      </c>
      <c r="AQ312">
        <f t="shared" si="98"/>
        <v>0</v>
      </c>
      <c r="AR312" t="str">
        <f t="shared" si="98"/>
        <v>Poirier</v>
      </c>
      <c r="AS312">
        <f t="shared" si="98"/>
        <v>0</v>
      </c>
      <c r="AT312">
        <f t="shared" si="98"/>
        <v>0</v>
      </c>
      <c r="AU312">
        <f t="shared" si="98"/>
        <v>0</v>
      </c>
      <c r="AV312">
        <f t="shared" si="98"/>
        <v>0</v>
      </c>
      <c r="AW312">
        <f t="shared" si="98"/>
        <v>0</v>
      </c>
      <c r="AX312">
        <f t="shared" si="98"/>
        <v>0</v>
      </c>
      <c r="AY312">
        <f t="shared" ref="AY312:BH321" si="99">IF(OR($V312=AY$1,$Y312=AY$1),AY$1,0)</f>
        <v>0</v>
      </c>
      <c r="AZ312">
        <f t="shared" si="99"/>
        <v>0</v>
      </c>
      <c r="BA312">
        <f t="shared" si="99"/>
        <v>0</v>
      </c>
      <c r="BB312">
        <f t="shared" si="99"/>
        <v>0</v>
      </c>
      <c r="BC312">
        <f t="shared" si="99"/>
        <v>0</v>
      </c>
      <c r="BD312">
        <f t="shared" si="99"/>
        <v>0</v>
      </c>
      <c r="BE312">
        <f t="shared" si="99"/>
        <v>0</v>
      </c>
      <c r="BF312">
        <f t="shared" si="99"/>
        <v>0</v>
      </c>
      <c r="BG312">
        <f t="shared" si="99"/>
        <v>0</v>
      </c>
      <c r="BH312" t="str">
        <f t="shared" si="99"/>
        <v>Norat</v>
      </c>
      <c r="BI312">
        <f t="shared" ref="BI312:BS321" si="100">IF(OR($V312=BI$1,$Y312=BI$1),BI$1,0)</f>
        <v>0</v>
      </c>
      <c r="BJ312">
        <f t="shared" si="100"/>
        <v>0</v>
      </c>
      <c r="BK312">
        <f t="shared" si="100"/>
        <v>0</v>
      </c>
      <c r="BL312">
        <f t="shared" si="100"/>
        <v>0</v>
      </c>
      <c r="BM312">
        <f t="shared" si="100"/>
        <v>0</v>
      </c>
      <c r="BN312">
        <f t="shared" si="100"/>
        <v>0</v>
      </c>
      <c r="BO312">
        <f t="shared" si="100"/>
        <v>0</v>
      </c>
      <c r="BP312">
        <f t="shared" si="100"/>
        <v>0</v>
      </c>
      <c r="BQ312">
        <f t="shared" si="100"/>
        <v>0</v>
      </c>
      <c r="BR312">
        <f t="shared" si="100"/>
        <v>0</v>
      </c>
      <c r="BS312">
        <f t="shared" si="100"/>
        <v>0</v>
      </c>
    </row>
    <row r="313" spans="2:71" ht="15" customHeight="1" x14ac:dyDescent="0.2">
      <c r="B313">
        <v>4</v>
      </c>
      <c r="C313">
        <v>4</v>
      </c>
      <c r="D313">
        <v>6</v>
      </c>
      <c r="E313" t="s">
        <v>310</v>
      </c>
      <c r="F313" t="s">
        <v>214</v>
      </c>
      <c r="G313" s="5">
        <v>43308</v>
      </c>
      <c r="H313" t="s">
        <v>73</v>
      </c>
      <c r="I313" t="s">
        <v>305</v>
      </c>
      <c r="J313" t="s">
        <v>216</v>
      </c>
      <c r="K313">
        <v>9</v>
      </c>
      <c r="L313" t="s">
        <v>76</v>
      </c>
      <c r="M313" t="s">
        <v>306</v>
      </c>
      <c r="N313" t="s">
        <v>78</v>
      </c>
      <c r="O313">
        <v>70.5</v>
      </c>
      <c r="P313">
        <v>134</v>
      </c>
      <c r="Q313">
        <v>6389</v>
      </c>
      <c r="R313" t="s">
        <v>79</v>
      </c>
      <c r="S313" t="s">
        <v>80</v>
      </c>
      <c r="T313" t="s">
        <v>83</v>
      </c>
      <c r="U313" t="s">
        <v>54</v>
      </c>
      <c r="V313" t="s">
        <v>61</v>
      </c>
      <c r="W313" t="s">
        <v>78</v>
      </c>
      <c r="Y313" t="s">
        <v>49</v>
      </c>
      <c r="AA313">
        <v>1</v>
      </c>
      <c r="AB313" t="s">
        <v>32</v>
      </c>
      <c r="AC313" t="s">
        <v>174</v>
      </c>
      <c r="AE313" t="str">
        <f t="shared" si="82"/>
        <v>McInerneyShively</v>
      </c>
      <c r="AF313">
        <v>1</v>
      </c>
      <c r="AG313">
        <v>1</v>
      </c>
      <c r="AH313">
        <v>0</v>
      </c>
      <c r="AI313">
        <v>0</v>
      </c>
      <c r="AJ313">
        <v>1</v>
      </c>
      <c r="AK313" t="s">
        <v>59</v>
      </c>
      <c r="AL313">
        <v>0.52777777777777801</v>
      </c>
      <c r="AM313" t="s">
        <v>43</v>
      </c>
      <c r="AN313">
        <v>0.48611111111111099</v>
      </c>
      <c r="AO313">
        <f t="shared" si="98"/>
        <v>0</v>
      </c>
      <c r="AP313">
        <f t="shared" si="98"/>
        <v>0</v>
      </c>
      <c r="AQ313">
        <f t="shared" si="98"/>
        <v>0</v>
      </c>
      <c r="AR313">
        <f t="shared" si="98"/>
        <v>0</v>
      </c>
      <c r="AS313">
        <f t="shared" si="98"/>
        <v>0</v>
      </c>
      <c r="AT313">
        <f t="shared" si="98"/>
        <v>0</v>
      </c>
      <c r="AU313">
        <f t="shared" si="98"/>
        <v>0</v>
      </c>
      <c r="AV313">
        <f t="shared" si="98"/>
        <v>0</v>
      </c>
      <c r="AW313">
        <f t="shared" si="98"/>
        <v>0</v>
      </c>
      <c r="AX313" t="str">
        <f t="shared" si="98"/>
        <v>Shively</v>
      </c>
      <c r="AY313">
        <f t="shared" si="99"/>
        <v>0</v>
      </c>
      <c r="AZ313">
        <f t="shared" si="99"/>
        <v>0</v>
      </c>
      <c r="BA313">
        <f t="shared" si="99"/>
        <v>0</v>
      </c>
      <c r="BB313">
        <f t="shared" si="99"/>
        <v>0</v>
      </c>
      <c r="BC313">
        <f t="shared" si="99"/>
        <v>0</v>
      </c>
      <c r="BD313">
        <f t="shared" si="99"/>
        <v>0</v>
      </c>
      <c r="BE313">
        <f t="shared" si="99"/>
        <v>0</v>
      </c>
      <c r="BF313">
        <f t="shared" si="99"/>
        <v>0</v>
      </c>
      <c r="BG313">
        <f t="shared" si="99"/>
        <v>0</v>
      </c>
      <c r="BH313">
        <f t="shared" si="99"/>
        <v>0</v>
      </c>
      <c r="BI313">
        <f t="shared" si="100"/>
        <v>0</v>
      </c>
      <c r="BJ313" t="str">
        <f t="shared" si="100"/>
        <v>McInerney</v>
      </c>
      <c r="BK313">
        <f t="shared" si="100"/>
        <v>0</v>
      </c>
      <c r="BL313">
        <f t="shared" si="100"/>
        <v>0</v>
      </c>
      <c r="BM313">
        <f t="shared" si="100"/>
        <v>0</v>
      </c>
      <c r="BN313">
        <f t="shared" si="100"/>
        <v>0</v>
      </c>
      <c r="BO313">
        <f t="shared" si="100"/>
        <v>0</v>
      </c>
      <c r="BP313">
        <f t="shared" si="100"/>
        <v>0</v>
      </c>
      <c r="BQ313">
        <f t="shared" si="100"/>
        <v>0</v>
      </c>
      <c r="BR313">
        <f t="shared" si="100"/>
        <v>0</v>
      </c>
      <c r="BS313">
        <f t="shared" si="100"/>
        <v>0</v>
      </c>
    </row>
    <row r="314" spans="2:71" ht="15" customHeight="1" x14ac:dyDescent="0.2">
      <c r="B314">
        <v>5</v>
      </c>
      <c r="C314">
        <v>5</v>
      </c>
      <c r="D314">
        <v>6</v>
      </c>
      <c r="E314" t="s">
        <v>311</v>
      </c>
      <c r="F314" t="s">
        <v>214</v>
      </c>
      <c r="G314" s="5">
        <v>43308</v>
      </c>
      <c r="H314" t="s">
        <v>73</v>
      </c>
      <c r="I314" t="s">
        <v>305</v>
      </c>
      <c r="J314" t="s">
        <v>216</v>
      </c>
      <c r="K314">
        <v>9</v>
      </c>
      <c r="L314" t="s">
        <v>76</v>
      </c>
      <c r="M314" t="s">
        <v>306</v>
      </c>
      <c r="N314" t="s">
        <v>78</v>
      </c>
      <c r="O314">
        <v>70.5</v>
      </c>
      <c r="P314">
        <v>134</v>
      </c>
      <c r="Q314">
        <v>6389</v>
      </c>
      <c r="R314" t="s">
        <v>79</v>
      </c>
      <c r="S314" t="s">
        <v>80</v>
      </c>
      <c r="T314" t="s">
        <v>83</v>
      </c>
      <c r="U314" t="s">
        <v>54</v>
      </c>
      <c r="V314" t="s">
        <v>57</v>
      </c>
      <c r="W314" t="s">
        <v>78</v>
      </c>
      <c r="Y314" t="s">
        <v>46</v>
      </c>
      <c r="AA314">
        <v>1</v>
      </c>
      <c r="AB314" t="s">
        <v>34</v>
      </c>
      <c r="AC314" t="s">
        <v>92</v>
      </c>
      <c r="AE314" t="str">
        <f t="shared" si="82"/>
        <v>BussMangold</v>
      </c>
      <c r="AF314">
        <v>0.5</v>
      </c>
      <c r="AG314">
        <v>0</v>
      </c>
      <c r="AH314">
        <v>0</v>
      </c>
      <c r="AI314">
        <v>1</v>
      </c>
      <c r="AJ314">
        <v>0.5</v>
      </c>
      <c r="AK314" t="s">
        <v>52</v>
      </c>
      <c r="AL314">
        <v>0.34745762711864397</v>
      </c>
      <c r="AM314" t="s">
        <v>62</v>
      </c>
      <c r="AN314">
        <v>0.51041666666666696</v>
      </c>
      <c r="AO314">
        <f t="shared" si="98"/>
        <v>0</v>
      </c>
      <c r="AP314">
        <f t="shared" si="98"/>
        <v>0</v>
      </c>
      <c r="AQ314">
        <f t="shared" si="98"/>
        <v>0</v>
      </c>
      <c r="AR314">
        <f t="shared" si="98"/>
        <v>0</v>
      </c>
      <c r="AS314">
        <f t="shared" si="98"/>
        <v>0</v>
      </c>
      <c r="AT314">
        <f t="shared" si="98"/>
        <v>0</v>
      </c>
      <c r="AU314" t="str">
        <f t="shared" si="98"/>
        <v>Mangold</v>
      </c>
      <c r="AV314">
        <f t="shared" si="98"/>
        <v>0</v>
      </c>
      <c r="AW314">
        <f t="shared" si="98"/>
        <v>0</v>
      </c>
      <c r="AX314">
        <f t="shared" si="98"/>
        <v>0</v>
      </c>
      <c r="AY314">
        <f t="shared" si="99"/>
        <v>0</v>
      </c>
      <c r="AZ314">
        <f t="shared" si="99"/>
        <v>0</v>
      </c>
      <c r="BA314">
        <f t="shared" si="99"/>
        <v>0</v>
      </c>
      <c r="BB314">
        <f t="shared" si="99"/>
        <v>0</v>
      </c>
      <c r="BC314">
        <f t="shared" si="99"/>
        <v>0</v>
      </c>
      <c r="BD314">
        <f t="shared" si="99"/>
        <v>0</v>
      </c>
      <c r="BE314">
        <f t="shared" si="99"/>
        <v>0</v>
      </c>
      <c r="BF314" t="str">
        <f t="shared" si="99"/>
        <v>Buss</v>
      </c>
      <c r="BG314">
        <f t="shared" si="99"/>
        <v>0</v>
      </c>
      <c r="BH314">
        <f t="shared" si="99"/>
        <v>0</v>
      </c>
      <c r="BI314">
        <f t="shared" si="100"/>
        <v>0</v>
      </c>
      <c r="BJ314">
        <f t="shared" si="100"/>
        <v>0</v>
      </c>
      <c r="BK314">
        <f t="shared" si="100"/>
        <v>0</v>
      </c>
      <c r="BL314">
        <f t="shared" si="100"/>
        <v>0</v>
      </c>
      <c r="BM314">
        <f t="shared" si="100"/>
        <v>0</v>
      </c>
      <c r="BN314">
        <f t="shared" si="100"/>
        <v>0</v>
      </c>
      <c r="BO314">
        <f t="shared" si="100"/>
        <v>0</v>
      </c>
      <c r="BP314">
        <f t="shared" si="100"/>
        <v>0</v>
      </c>
      <c r="BQ314">
        <f t="shared" si="100"/>
        <v>0</v>
      </c>
      <c r="BR314">
        <f t="shared" si="100"/>
        <v>0</v>
      </c>
      <c r="BS314">
        <f t="shared" si="100"/>
        <v>0</v>
      </c>
    </row>
    <row r="315" spans="2:71" ht="15" customHeight="1" x14ac:dyDescent="0.2">
      <c r="B315">
        <v>5</v>
      </c>
      <c r="C315">
        <v>5</v>
      </c>
      <c r="D315">
        <v>6</v>
      </c>
      <c r="E315" t="s">
        <v>311</v>
      </c>
      <c r="F315" t="s">
        <v>214</v>
      </c>
      <c r="G315" s="5">
        <v>43308</v>
      </c>
      <c r="H315" t="s">
        <v>73</v>
      </c>
      <c r="I315" t="s">
        <v>305</v>
      </c>
      <c r="J315" t="s">
        <v>216</v>
      </c>
      <c r="K315">
        <v>9</v>
      </c>
      <c r="L315" t="s">
        <v>76</v>
      </c>
      <c r="M315" t="s">
        <v>306</v>
      </c>
      <c r="N315" t="s">
        <v>78</v>
      </c>
      <c r="O315">
        <v>70.5</v>
      </c>
      <c r="P315">
        <v>134</v>
      </c>
      <c r="Q315">
        <v>6389</v>
      </c>
      <c r="R315" t="s">
        <v>79</v>
      </c>
      <c r="S315" t="s">
        <v>80</v>
      </c>
      <c r="T315" t="s">
        <v>81</v>
      </c>
      <c r="U315" t="s">
        <v>59</v>
      </c>
      <c r="V315" t="s">
        <v>52</v>
      </c>
      <c r="W315" t="s">
        <v>307</v>
      </c>
      <c r="Y315" t="s">
        <v>62</v>
      </c>
      <c r="AA315">
        <v>1</v>
      </c>
      <c r="AB315" t="s">
        <v>34</v>
      </c>
      <c r="AC315" t="s">
        <v>92</v>
      </c>
      <c r="AE315" t="str">
        <f t="shared" si="82"/>
        <v>ConnorsWelker</v>
      </c>
      <c r="AF315">
        <v>0.5</v>
      </c>
      <c r="AG315">
        <v>0</v>
      </c>
      <c r="AH315">
        <v>0</v>
      </c>
      <c r="AI315">
        <v>1</v>
      </c>
      <c r="AJ315">
        <v>0.5</v>
      </c>
      <c r="AK315" t="s">
        <v>57</v>
      </c>
      <c r="AL315">
        <v>0.44827586206896602</v>
      </c>
      <c r="AM315" t="s">
        <v>46</v>
      </c>
      <c r="AN315">
        <v>0.38392857142857201</v>
      </c>
      <c r="AO315">
        <f t="shared" si="98"/>
        <v>0</v>
      </c>
      <c r="AP315">
        <f t="shared" si="98"/>
        <v>0</v>
      </c>
      <c r="AQ315">
        <f t="shared" si="98"/>
        <v>0</v>
      </c>
      <c r="AR315">
        <f t="shared" si="98"/>
        <v>0</v>
      </c>
      <c r="AS315">
        <f t="shared" si="98"/>
        <v>0</v>
      </c>
      <c r="AT315">
        <f t="shared" si="98"/>
        <v>0</v>
      </c>
      <c r="AU315">
        <f t="shared" si="98"/>
        <v>0</v>
      </c>
      <c r="AV315">
        <f t="shared" si="98"/>
        <v>0</v>
      </c>
      <c r="AW315">
        <f t="shared" si="98"/>
        <v>0</v>
      </c>
      <c r="AX315">
        <f t="shared" si="98"/>
        <v>0</v>
      </c>
      <c r="AY315">
        <f t="shared" si="99"/>
        <v>0</v>
      </c>
      <c r="AZ315">
        <f t="shared" si="99"/>
        <v>0</v>
      </c>
      <c r="BA315" t="str">
        <f t="shared" si="99"/>
        <v>Connors</v>
      </c>
      <c r="BB315">
        <f t="shared" si="99"/>
        <v>0</v>
      </c>
      <c r="BC315">
        <f t="shared" si="99"/>
        <v>0</v>
      </c>
      <c r="BD315">
        <f t="shared" si="99"/>
        <v>0</v>
      </c>
      <c r="BE315">
        <f t="shared" si="99"/>
        <v>0</v>
      </c>
      <c r="BF315">
        <f t="shared" si="99"/>
        <v>0</v>
      </c>
      <c r="BG315">
        <f t="shared" si="99"/>
        <v>0</v>
      </c>
      <c r="BH315">
        <f t="shared" si="99"/>
        <v>0</v>
      </c>
      <c r="BI315">
        <f t="shared" si="100"/>
        <v>0</v>
      </c>
      <c r="BJ315">
        <f t="shared" si="100"/>
        <v>0</v>
      </c>
      <c r="BK315" t="str">
        <f t="shared" si="100"/>
        <v>Welker</v>
      </c>
      <c r="BL315">
        <f t="shared" si="100"/>
        <v>0</v>
      </c>
      <c r="BM315">
        <f t="shared" si="100"/>
        <v>0</v>
      </c>
      <c r="BN315">
        <f t="shared" si="100"/>
        <v>0</v>
      </c>
      <c r="BO315">
        <f t="shared" si="100"/>
        <v>0</v>
      </c>
      <c r="BP315">
        <f t="shared" si="100"/>
        <v>0</v>
      </c>
      <c r="BQ315">
        <f t="shared" si="100"/>
        <v>0</v>
      </c>
      <c r="BR315">
        <f t="shared" si="100"/>
        <v>0</v>
      </c>
      <c r="BS315">
        <f t="shared" si="100"/>
        <v>0</v>
      </c>
    </row>
    <row r="316" spans="2:71" ht="15" customHeight="1" x14ac:dyDescent="0.2">
      <c r="B316">
        <v>6</v>
      </c>
      <c r="C316">
        <v>1</v>
      </c>
      <c r="D316">
        <v>6</v>
      </c>
      <c r="E316" t="s">
        <v>312</v>
      </c>
      <c r="F316" t="s">
        <v>214</v>
      </c>
      <c r="G316" s="5">
        <v>43308</v>
      </c>
      <c r="H316" t="s">
        <v>73</v>
      </c>
      <c r="I316" t="s">
        <v>305</v>
      </c>
      <c r="J316" t="s">
        <v>216</v>
      </c>
      <c r="K316">
        <v>9</v>
      </c>
      <c r="L316" t="s">
        <v>90</v>
      </c>
      <c r="M316" t="s">
        <v>306</v>
      </c>
      <c r="N316" t="s">
        <v>78</v>
      </c>
      <c r="O316">
        <v>70.5</v>
      </c>
      <c r="P316">
        <v>134</v>
      </c>
      <c r="Q316">
        <v>6389</v>
      </c>
      <c r="R316" t="s">
        <v>313</v>
      </c>
      <c r="S316" t="s">
        <v>80</v>
      </c>
      <c r="T316" t="s">
        <v>83</v>
      </c>
      <c r="U316" t="s">
        <v>54</v>
      </c>
      <c r="V316" t="s">
        <v>58</v>
      </c>
      <c r="W316" t="s">
        <v>78</v>
      </c>
      <c r="Y316" t="s">
        <v>41</v>
      </c>
      <c r="AA316">
        <v>1</v>
      </c>
      <c r="AB316" t="s">
        <v>33</v>
      </c>
      <c r="AC316" t="s">
        <v>209</v>
      </c>
      <c r="AE316" t="str">
        <f t="shared" si="82"/>
        <v>GrayHilts</v>
      </c>
      <c r="AF316">
        <v>0</v>
      </c>
      <c r="AG316">
        <v>0</v>
      </c>
      <c r="AH316">
        <v>1</v>
      </c>
      <c r="AI316">
        <v>0</v>
      </c>
      <c r="AJ316">
        <v>0</v>
      </c>
      <c r="AK316" t="s">
        <v>44</v>
      </c>
      <c r="AL316">
        <v>0.4296875</v>
      </c>
      <c r="AM316" t="s">
        <v>53</v>
      </c>
      <c r="AN316">
        <v>0.59649122807017496</v>
      </c>
      <c r="AO316">
        <f t="shared" si="98"/>
        <v>0</v>
      </c>
      <c r="AP316" t="str">
        <f t="shared" si="98"/>
        <v>Hilts</v>
      </c>
      <c r="AQ316">
        <f t="shared" si="98"/>
        <v>0</v>
      </c>
      <c r="AR316">
        <f t="shared" si="98"/>
        <v>0</v>
      </c>
      <c r="AS316">
        <f t="shared" si="98"/>
        <v>0</v>
      </c>
      <c r="AT316">
        <f t="shared" si="98"/>
        <v>0</v>
      </c>
      <c r="AU316">
        <f t="shared" si="98"/>
        <v>0</v>
      </c>
      <c r="AV316">
        <f t="shared" si="98"/>
        <v>0</v>
      </c>
      <c r="AW316">
        <f t="shared" si="98"/>
        <v>0</v>
      </c>
      <c r="AX316">
        <f t="shared" si="98"/>
        <v>0</v>
      </c>
      <c r="AY316">
        <f t="shared" si="99"/>
        <v>0</v>
      </c>
      <c r="AZ316">
        <f t="shared" si="99"/>
        <v>0</v>
      </c>
      <c r="BA316">
        <f t="shared" si="99"/>
        <v>0</v>
      </c>
      <c r="BB316">
        <f t="shared" si="99"/>
        <v>0</v>
      </c>
      <c r="BC316">
        <f t="shared" si="99"/>
        <v>0</v>
      </c>
      <c r="BD316">
        <f t="shared" si="99"/>
        <v>0</v>
      </c>
      <c r="BE316">
        <f t="shared" si="99"/>
        <v>0</v>
      </c>
      <c r="BF316">
        <f t="shared" si="99"/>
        <v>0</v>
      </c>
      <c r="BG316" t="str">
        <f t="shared" si="99"/>
        <v>Gray</v>
      </c>
      <c r="BH316">
        <f t="shared" si="99"/>
        <v>0</v>
      </c>
      <c r="BI316">
        <f t="shared" si="100"/>
        <v>0</v>
      </c>
      <c r="BJ316">
        <f t="shared" si="100"/>
        <v>0</v>
      </c>
      <c r="BK316">
        <f t="shared" si="100"/>
        <v>0</v>
      </c>
      <c r="BL316">
        <f t="shared" si="100"/>
        <v>0</v>
      </c>
      <c r="BM316">
        <f t="shared" si="100"/>
        <v>0</v>
      </c>
      <c r="BN316">
        <f t="shared" si="100"/>
        <v>0</v>
      </c>
      <c r="BO316">
        <f t="shared" si="100"/>
        <v>0</v>
      </c>
      <c r="BP316">
        <f t="shared" si="100"/>
        <v>0</v>
      </c>
      <c r="BQ316">
        <f t="shared" si="100"/>
        <v>0</v>
      </c>
      <c r="BR316">
        <f t="shared" si="100"/>
        <v>0</v>
      </c>
      <c r="BS316">
        <f t="shared" si="100"/>
        <v>0</v>
      </c>
    </row>
    <row r="317" spans="2:71" ht="15" customHeight="1" x14ac:dyDescent="0.2">
      <c r="B317">
        <v>6</v>
      </c>
      <c r="C317">
        <v>1</v>
      </c>
      <c r="D317">
        <v>6</v>
      </c>
      <c r="E317" t="s">
        <v>312</v>
      </c>
      <c r="F317" t="s">
        <v>214</v>
      </c>
      <c r="G317" s="5">
        <v>43308</v>
      </c>
      <c r="H317" t="s">
        <v>73</v>
      </c>
      <c r="I317" t="s">
        <v>305</v>
      </c>
      <c r="J317" t="s">
        <v>216</v>
      </c>
      <c r="K317">
        <v>9</v>
      </c>
      <c r="L317" t="s">
        <v>90</v>
      </c>
      <c r="M317" t="s">
        <v>306</v>
      </c>
      <c r="N317" t="s">
        <v>78</v>
      </c>
      <c r="O317">
        <v>70.5</v>
      </c>
      <c r="P317">
        <v>134</v>
      </c>
      <c r="Q317">
        <v>6389</v>
      </c>
      <c r="R317" t="s">
        <v>313</v>
      </c>
      <c r="S317" t="s">
        <v>80</v>
      </c>
      <c r="T317" t="s">
        <v>81</v>
      </c>
      <c r="U317" t="s">
        <v>59</v>
      </c>
      <c r="V317" t="s">
        <v>44</v>
      </c>
      <c r="W317" t="s">
        <v>307</v>
      </c>
      <c r="Y317" t="s">
        <v>53</v>
      </c>
      <c r="AA317">
        <v>1</v>
      </c>
      <c r="AB317" t="s">
        <v>32</v>
      </c>
      <c r="AC317" t="s">
        <v>209</v>
      </c>
      <c r="AE317" t="str">
        <f t="shared" si="82"/>
        <v>FlandersForster</v>
      </c>
      <c r="AF317">
        <v>1</v>
      </c>
      <c r="AG317">
        <v>1</v>
      </c>
      <c r="AH317">
        <v>0</v>
      </c>
      <c r="AI317">
        <v>0</v>
      </c>
      <c r="AJ317">
        <v>1</v>
      </c>
      <c r="AK317" t="s">
        <v>58</v>
      </c>
      <c r="AL317">
        <v>0.65476190476190499</v>
      </c>
      <c r="AM317" t="s">
        <v>41</v>
      </c>
      <c r="AN317">
        <v>0.47321428571428598</v>
      </c>
      <c r="AO317">
        <f t="shared" si="98"/>
        <v>0</v>
      </c>
      <c r="AP317">
        <f t="shared" si="98"/>
        <v>0</v>
      </c>
      <c r="AQ317">
        <f t="shared" si="98"/>
        <v>0</v>
      </c>
      <c r="AR317">
        <f t="shared" si="98"/>
        <v>0</v>
      </c>
      <c r="AS317" t="str">
        <f t="shared" si="98"/>
        <v>Flanders</v>
      </c>
      <c r="AT317">
        <f t="shared" si="98"/>
        <v>0</v>
      </c>
      <c r="AU317">
        <f t="shared" si="98"/>
        <v>0</v>
      </c>
      <c r="AV317">
        <f t="shared" si="98"/>
        <v>0</v>
      </c>
      <c r="AW317">
        <f t="shared" si="98"/>
        <v>0</v>
      </c>
      <c r="AX317">
        <f t="shared" si="98"/>
        <v>0</v>
      </c>
      <c r="AY317">
        <f t="shared" si="99"/>
        <v>0</v>
      </c>
      <c r="AZ317">
        <f t="shared" si="99"/>
        <v>0</v>
      </c>
      <c r="BA317">
        <f t="shared" si="99"/>
        <v>0</v>
      </c>
      <c r="BB317" t="str">
        <f t="shared" si="99"/>
        <v>Forster</v>
      </c>
      <c r="BC317">
        <f t="shared" si="99"/>
        <v>0</v>
      </c>
      <c r="BD317">
        <f t="shared" si="99"/>
        <v>0</v>
      </c>
      <c r="BE317">
        <f t="shared" si="99"/>
        <v>0</v>
      </c>
      <c r="BF317">
        <f t="shared" si="99"/>
        <v>0</v>
      </c>
      <c r="BG317">
        <f t="shared" si="99"/>
        <v>0</v>
      </c>
      <c r="BH317">
        <f t="shared" si="99"/>
        <v>0</v>
      </c>
      <c r="BI317">
        <f t="shared" si="100"/>
        <v>0</v>
      </c>
      <c r="BJ317">
        <f t="shared" si="100"/>
        <v>0</v>
      </c>
      <c r="BK317">
        <f t="shared" si="100"/>
        <v>0</v>
      </c>
      <c r="BL317">
        <f t="shared" si="100"/>
        <v>0</v>
      </c>
      <c r="BM317">
        <f t="shared" si="100"/>
        <v>0</v>
      </c>
      <c r="BN317">
        <f t="shared" si="100"/>
        <v>0</v>
      </c>
      <c r="BO317">
        <f t="shared" si="100"/>
        <v>0</v>
      </c>
      <c r="BP317">
        <f t="shared" si="100"/>
        <v>0</v>
      </c>
      <c r="BQ317">
        <f t="shared" si="100"/>
        <v>0</v>
      </c>
      <c r="BR317">
        <f t="shared" si="100"/>
        <v>0</v>
      </c>
      <c r="BS317">
        <f t="shared" si="100"/>
        <v>0</v>
      </c>
    </row>
    <row r="318" spans="2:71" ht="15" customHeight="1" x14ac:dyDescent="0.2">
      <c r="B318">
        <v>7</v>
      </c>
      <c r="C318">
        <v>2</v>
      </c>
      <c r="D318">
        <v>6</v>
      </c>
      <c r="E318" t="s">
        <v>314</v>
      </c>
      <c r="F318" t="s">
        <v>214</v>
      </c>
      <c r="G318" s="5">
        <v>43308</v>
      </c>
      <c r="H318" t="s">
        <v>73</v>
      </c>
      <c r="I318" t="s">
        <v>305</v>
      </c>
      <c r="J318" t="s">
        <v>216</v>
      </c>
      <c r="K318">
        <v>9</v>
      </c>
      <c r="L318" t="s">
        <v>90</v>
      </c>
      <c r="M318" t="s">
        <v>306</v>
      </c>
      <c r="N318" t="s">
        <v>78</v>
      </c>
      <c r="O318">
        <v>70.5</v>
      </c>
      <c r="P318">
        <v>134</v>
      </c>
      <c r="Q318">
        <v>6389</v>
      </c>
      <c r="R318" t="s">
        <v>313</v>
      </c>
      <c r="S318" t="s">
        <v>80</v>
      </c>
      <c r="T318" t="s">
        <v>81</v>
      </c>
      <c r="U318" t="s">
        <v>59</v>
      </c>
      <c r="V318" t="s">
        <v>55</v>
      </c>
      <c r="W318" t="s">
        <v>307</v>
      </c>
      <c r="Y318" t="s">
        <v>50</v>
      </c>
      <c r="AA318">
        <v>1</v>
      </c>
      <c r="AB318" t="s">
        <v>32</v>
      </c>
      <c r="AC318" t="s">
        <v>184</v>
      </c>
      <c r="AE318" t="str">
        <f t="shared" si="82"/>
        <v>ColeFerrin</v>
      </c>
      <c r="AF318">
        <v>1</v>
      </c>
      <c r="AG318">
        <v>1</v>
      </c>
      <c r="AH318">
        <v>0</v>
      </c>
      <c r="AI318">
        <v>0</v>
      </c>
      <c r="AJ318">
        <v>1</v>
      </c>
      <c r="AK318" t="s">
        <v>54</v>
      </c>
      <c r="AL318">
        <v>0.37288135593220301</v>
      </c>
      <c r="AM318" t="s">
        <v>48</v>
      </c>
      <c r="AN318">
        <v>0.5546875</v>
      </c>
      <c r="AO318">
        <f t="shared" si="98"/>
        <v>0</v>
      </c>
      <c r="AP318">
        <f t="shared" si="98"/>
        <v>0</v>
      </c>
      <c r="AQ318">
        <f t="shared" si="98"/>
        <v>0</v>
      </c>
      <c r="AR318">
        <f t="shared" si="98"/>
        <v>0</v>
      </c>
      <c r="AS318">
        <f t="shared" si="98"/>
        <v>0</v>
      </c>
      <c r="AT318">
        <f t="shared" si="98"/>
        <v>0</v>
      </c>
      <c r="AU318">
        <f t="shared" si="98"/>
        <v>0</v>
      </c>
      <c r="AV318">
        <f t="shared" si="98"/>
        <v>0</v>
      </c>
      <c r="AW318">
        <f t="shared" si="98"/>
        <v>0</v>
      </c>
      <c r="AX318">
        <f t="shared" si="98"/>
        <v>0</v>
      </c>
      <c r="AY318" t="str">
        <f t="shared" si="99"/>
        <v>Ferrin</v>
      </c>
      <c r="AZ318">
        <f t="shared" si="99"/>
        <v>0</v>
      </c>
      <c r="BA318">
        <f t="shared" si="99"/>
        <v>0</v>
      </c>
      <c r="BB318">
        <f t="shared" si="99"/>
        <v>0</v>
      </c>
      <c r="BC318">
        <f t="shared" si="99"/>
        <v>0</v>
      </c>
      <c r="BD318" t="str">
        <f t="shared" si="99"/>
        <v>Cole</v>
      </c>
      <c r="BE318">
        <f t="shared" si="99"/>
        <v>0</v>
      </c>
      <c r="BF318">
        <f t="shared" si="99"/>
        <v>0</v>
      </c>
      <c r="BG318">
        <f t="shared" si="99"/>
        <v>0</v>
      </c>
      <c r="BH318">
        <f t="shared" si="99"/>
        <v>0</v>
      </c>
      <c r="BI318">
        <f t="shared" si="100"/>
        <v>0</v>
      </c>
      <c r="BJ318">
        <f t="shared" si="100"/>
        <v>0</v>
      </c>
      <c r="BK318">
        <f t="shared" si="100"/>
        <v>0</v>
      </c>
      <c r="BL318">
        <f t="shared" si="100"/>
        <v>0</v>
      </c>
      <c r="BM318">
        <f t="shared" si="100"/>
        <v>0</v>
      </c>
      <c r="BN318">
        <f t="shared" si="100"/>
        <v>0</v>
      </c>
      <c r="BO318">
        <f t="shared" si="100"/>
        <v>0</v>
      </c>
      <c r="BP318">
        <f t="shared" si="100"/>
        <v>0</v>
      </c>
      <c r="BQ318">
        <f t="shared" si="100"/>
        <v>0</v>
      </c>
      <c r="BR318">
        <f t="shared" si="100"/>
        <v>0</v>
      </c>
      <c r="BS318">
        <f t="shared" si="100"/>
        <v>0</v>
      </c>
    </row>
    <row r="319" spans="2:71" ht="15" customHeight="1" x14ac:dyDescent="0.2">
      <c r="B319">
        <v>7</v>
      </c>
      <c r="C319">
        <v>2</v>
      </c>
      <c r="D319">
        <v>6</v>
      </c>
      <c r="E319" t="s">
        <v>314</v>
      </c>
      <c r="F319" t="s">
        <v>214</v>
      </c>
      <c r="G319" s="5">
        <v>43308</v>
      </c>
      <c r="H319" t="s">
        <v>73</v>
      </c>
      <c r="I319" t="s">
        <v>305</v>
      </c>
      <c r="J319" t="s">
        <v>216</v>
      </c>
      <c r="K319">
        <v>9</v>
      </c>
      <c r="L319" t="s">
        <v>90</v>
      </c>
      <c r="M319" t="s">
        <v>306</v>
      </c>
      <c r="N319" t="s">
        <v>78</v>
      </c>
      <c r="O319">
        <v>70.5</v>
      </c>
      <c r="P319">
        <v>134</v>
      </c>
      <c r="Q319">
        <v>6389</v>
      </c>
      <c r="R319" t="s">
        <v>313</v>
      </c>
      <c r="S319" t="s">
        <v>80</v>
      </c>
      <c r="T319" t="s">
        <v>83</v>
      </c>
      <c r="U319" t="s">
        <v>54</v>
      </c>
      <c r="V319" t="s">
        <v>54</v>
      </c>
      <c r="W319" t="s">
        <v>78</v>
      </c>
      <c r="Y319" t="s">
        <v>48</v>
      </c>
      <c r="AA319">
        <v>1</v>
      </c>
      <c r="AB319" t="s">
        <v>33</v>
      </c>
      <c r="AC319" t="s">
        <v>184</v>
      </c>
      <c r="AE319" t="str">
        <f t="shared" si="82"/>
        <v>FoganLynch</v>
      </c>
      <c r="AF319">
        <v>0</v>
      </c>
      <c r="AG319">
        <v>0</v>
      </c>
      <c r="AH319">
        <v>1</v>
      </c>
      <c r="AI319">
        <v>0</v>
      </c>
      <c r="AJ319">
        <v>0</v>
      </c>
      <c r="AK319" t="s">
        <v>55</v>
      </c>
      <c r="AL319">
        <v>0.44067796610169502</v>
      </c>
      <c r="AM319" t="s">
        <v>50</v>
      </c>
      <c r="AN319">
        <v>0.59523809523809501</v>
      </c>
      <c r="AO319">
        <f t="shared" si="98"/>
        <v>0</v>
      </c>
      <c r="AP319">
        <f t="shared" si="98"/>
        <v>0</v>
      </c>
      <c r="AQ319">
        <f t="shared" si="98"/>
        <v>0</v>
      </c>
      <c r="AR319">
        <f t="shared" si="98"/>
        <v>0</v>
      </c>
      <c r="AS319">
        <f t="shared" si="98"/>
        <v>0</v>
      </c>
      <c r="AT319">
        <f t="shared" si="98"/>
        <v>0</v>
      </c>
      <c r="AU319">
        <f t="shared" si="98"/>
        <v>0</v>
      </c>
      <c r="AV319">
        <f t="shared" si="98"/>
        <v>0</v>
      </c>
      <c r="AW319" t="str">
        <f t="shared" si="98"/>
        <v>Lynch</v>
      </c>
      <c r="AX319">
        <f t="shared" si="98"/>
        <v>0</v>
      </c>
      <c r="AY319">
        <f t="shared" si="99"/>
        <v>0</v>
      </c>
      <c r="AZ319">
        <f t="shared" si="99"/>
        <v>0</v>
      </c>
      <c r="BA319">
        <f t="shared" si="99"/>
        <v>0</v>
      </c>
      <c r="BB319">
        <f t="shared" si="99"/>
        <v>0</v>
      </c>
      <c r="BC319" t="str">
        <f t="shared" si="99"/>
        <v>Fogan</v>
      </c>
      <c r="BD319">
        <f t="shared" si="99"/>
        <v>0</v>
      </c>
      <c r="BE319">
        <f t="shared" si="99"/>
        <v>0</v>
      </c>
      <c r="BF319">
        <f t="shared" si="99"/>
        <v>0</v>
      </c>
      <c r="BG319">
        <f t="shared" si="99"/>
        <v>0</v>
      </c>
      <c r="BH319">
        <f t="shared" si="99"/>
        <v>0</v>
      </c>
      <c r="BI319">
        <f t="shared" si="100"/>
        <v>0</v>
      </c>
      <c r="BJ319">
        <f t="shared" si="100"/>
        <v>0</v>
      </c>
      <c r="BK319">
        <f t="shared" si="100"/>
        <v>0</v>
      </c>
      <c r="BL319">
        <f t="shared" si="100"/>
        <v>0</v>
      </c>
      <c r="BM319">
        <f t="shared" si="100"/>
        <v>0</v>
      </c>
      <c r="BN319">
        <f t="shared" si="100"/>
        <v>0</v>
      </c>
      <c r="BO319">
        <f t="shared" si="100"/>
        <v>0</v>
      </c>
      <c r="BP319">
        <f t="shared" si="100"/>
        <v>0</v>
      </c>
      <c r="BQ319">
        <f t="shared" si="100"/>
        <v>0</v>
      </c>
      <c r="BR319">
        <f t="shared" si="100"/>
        <v>0</v>
      </c>
      <c r="BS319">
        <f t="shared" si="100"/>
        <v>0</v>
      </c>
    </row>
    <row r="320" spans="2:71" ht="15" customHeight="1" x14ac:dyDescent="0.2">
      <c r="B320">
        <v>8</v>
      </c>
      <c r="C320">
        <v>3</v>
      </c>
      <c r="D320">
        <v>6</v>
      </c>
      <c r="E320" t="s">
        <v>315</v>
      </c>
      <c r="F320" t="s">
        <v>214</v>
      </c>
      <c r="G320" s="5">
        <v>43308</v>
      </c>
      <c r="H320" t="s">
        <v>73</v>
      </c>
      <c r="I320" t="s">
        <v>305</v>
      </c>
      <c r="J320" t="s">
        <v>216</v>
      </c>
      <c r="K320">
        <v>9</v>
      </c>
      <c r="L320" t="s">
        <v>90</v>
      </c>
      <c r="M320" t="s">
        <v>306</v>
      </c>
      <c r="N320" t="s">
        <v>78</v>
      </c>
      <c r="O320">
        <v>70.5</v>
      </c>
      <c r="P320">
        <v>134</v>
      </c>
      <c r="Q320">
        <v>6389</v>
      </c>
      <c r="R320" t="s">
        <v>313</v>
      </c>
      <c r="S320" t="s">
        <v>80</v>
      </c>
      <c r="T320" t="s">
        <v>83</v>
      </c>
      <c r="U320" t="s">
        <v>54</v>
      </c>
      <c r="V320" t="s">
        <v>40</v>
      </c>
      <c r="W320" t="s">
        <v>78</v>
      </c>
      <c r="Y320" t="s">
        <v>42</v>
      </c>
      <c r="AA320">
        <v>1</v>
      </c>
      <c r="AB320" t="s">
        <v>32</v>
      </c>
      <c r="AC320" t="s">
        <v>233</v>
      </c>
      <c r="AE320" t="str">
        <f t="shared" si="82"/>
        <v>GriseJackson</v>
      </c>
      <c r="AF320">
        <v>1</v>
      </c>
      <c r="AG320">
        <v>1</v>
      </c>
      <c r="AH320">
        <v>0</v>
      </c>
      <c r="AI320">
        <v>0</v>
      </c>
      <c r="AJ320">
        <v>1</v>
      </c>
      <c r="AK320" t="s">
        <v>45</v>
      </c>
      <c r="AL320">
        <v>0.59375</v>
      </c>
      <c r="AM320" t="s">
        <v>60</v>
      </c>
      <c r="AN320">
        <v>0.5</v>
      </c>
      <c r="AO320" t="str">
        <f t="shared" si="98"/>
        <v>Grise</v>
      </c>
      <c r="AP320">
        <f t="shared" si="98"/>
        <v>0</v>
      </c>
      <c r="AQ320" t="str">
        <f t="shared" si="98"/>
        <v>Jackson</v>
      </c>
      <c r="AR320">
        <f t="shared" si="98"/>
        <v>0</v>
      </c>
      <c r="AS320">
        <f t="shared" si="98"/>
        <v>0</v>
      </c>
      <c r="AT320">
        <f t="shared" si="98"/>
        <v>0</v>
      </c>
      <c r="AU320">
        <f t="shared" si="98"/>
        <v>0</v>
      </c>
      <c r="AV320">
        <f t="shared" si="98"/>
        <v>0</v>
      </c>
      <c r="AW320">
        <f t="shared" si="98"/>
        <v>0</v>
      </c>
      <c r="AX320">
        <f t="shared" si="98"/>
        <v>0</v>
      </c>
      <c r="AY320">
        <f t="shared" si="99"/>
        <v>0</v>
      </c>
      <c r="AZ320">
        <f t="shared" si="99"/>
        <v>0</v>
      </c>
      <c r="BA320">
        <f t="shared" si="99"/>
        <v>0</v>
      </c>
      <c r="BB320">
        <f t="shared" si="99"/>
        <v>0</v>
      </c>
      <c r="BC320">
        <f t="shared" si="99"/>
        <v>0</v>
      </c>
      <c r="BD320">
        <f t="shared" si="99"/>
        <v>0</v>
      </c>
      <c r="BE320">
        <f t="shared" si="99"/>
        <v>0</v>
      </c>
      <c r="BF320">
        <f t="shared" si="99"/>
        <v>0</v>
      </c>
      <c r="BG320">
        <f t="shared" si="99"/>
        <v>0</v>
      </c>
      <c r="BH320">
        <f t="shared" si="99"/>
        <v>0</v>
      </c>
      <c r="BI320">
        <f t="shared" si="100"/>
        <v>0</v>
      </c>
      <c r="BJ320">
        <f t="shared" si="100"/>
        <v>0</v>
      </c>
      <c r="BK320">
        <f t="shared" si="100"/>
        <v>0</v>
      </c>
      <c r="BL320">
        <f t="shared" si="100"/>
        <v>0</v>
      </c>
      <c r="BM320">
        <f t="shared" si="100"/>
        <v>0</v>
      </c>
      <c r="BN320">
        <f t="shared" si="100"/>
        <v>0</v>
      </c>
      <c r="BO320">
        <f t="shared" si="100"/>
        <v>0</v>
      </c>
      <c r="BP320">
        <f t="shared" si="100"/>
        <v>0</v>
      </c>
      <c r="BQ320">
        <f t="shared" si="100"/>
        <v>0</v>
      </c>
      <c r="BR320">
        <f t="shared" si="100"/>
        <v>0</v>
      </c>
      <c r="BS320">
        <f t="shared" si="100"/>
        <v>0</v>
      </c>
    </row>
    <row r="321" spans="2:71" ht="15" customHeight="1" x14ac:dyDescent="0.2">
      <c r="B321">
        <v>8</v>
      </c>
      <c r="C321">
        <v>3</v>
      </c>
      <c r="D321">
        <v>6</v>
      </c>
      <c r="E321" t="s">
        <v>315</v>
      </c>
      <c r="F321" t="s">
        <v>214</v>
      </c>
      <c r="G321" s="5">
        <v>43308</v>
      </c>
      <c r="H321" t="s">
        <v>73</v>
      </c>
      <c r="I321" t="s">
        <v>305</v>
      </c>
      <c r="J321" t="s">
        <v>216</v>
      </c>
      <c r="K321">
        <v>9</v>
      </c>
      <c r="L321" t="s">
        <v>90</v>
      </c>
      <c r="M321" t="s">
        <v>306</v>
      </c>
      <c r="N321" t="s">
        <v>78</v>
      </c>
      <c r="O321">
        <v>70.5</v>
      </c>
      <c r="P321">
        <v>134</v>
      </c>
      <c r="Q321">
        <v>6389</v>
      </c>
      <c r="R321" t="s">
        <v>313</v>
      </c>
      <c r="S321" t="s">
        <v>80</v>
      </c>
      <c r="T321" t="s">
        <v>81</v>
      </c>
      <c r="U321" t="s">
        <v>59</v>
      </c>
      <c r="V321" t="s">
        <v>45</v>
      </c>
      <c r="W321" t="s">
        <v>307</v>
      </c>
      <c r="Y321" t="s">
        <v>60</v>
      </c>
      <c r="AA321">
        <v>1</v>
      </c>
      <c r="AB321" t="s">
        <v>33</v>
      </c>
      <c r="AC321" t="s">
        <v>233</v>
      </c>
      <c r="AE321" t="str">
        <f t="shared" si="82"/>
        <v>ConnollyZimmer</v>
      </c>
      <c r="AF321">
        <v>0</v>
      </c>
      <c r="AG321">
        <v>0</v>
      </c>
      <c r="AH321">
        <v>1</v>
      </c>
      <c r="AI321">
        <v>0</v>
      </c>
      <c r="AJ321">
        <v>0</v>
      </c>
      <c r="AK321" t="s">
        <v>40</v>
      </c>
      <c r="AL321">
        <v>0.546875</v>
      </c>
      <c r="AM321" t="s">
        <v>42</v>
      </c>
      <c r="AN321">
        <v>0.6171875</v>
      </c>
      <c r="AO321">
        <f t="shared" si="98"/>
        <v>0</v>
      </c>
      <c r="AP321">
        <f t="shared" si="98"/>
        <v>0</v>
      </c>
      <c r="AQ321">
        <f t="shared" si="98"/>
        <v>0</v>
      </c>
      <c r="AR321">
        <f t="shared" si="98"/>
        <v>0</v>
      </c>
      <c r="AS321">
        <f t="shared" si="98"/>
        <v>0</v>
      </c>
      <c r="AT321" t="str">
        <f t="shared" si="98"/>
        <v>Connolly</v>
      </c>
      <c r="AU321">
        <f t="shared" si="98"/>
        <v>0</v>
      </c>
      <c r="AV321">
        <f t="shared" si="98"/>
        <v>0</v>
      </c>
      <c r="AW321">
        <f t="shared" si="98"/>
        <v>0</v>
      </c>
      <c r="AX321">
        <f t="shared" si="98"/>
        <v>0</v>
      </c>
      <c r="AY321">
        <f t="shared" si="99"/>
        <v>0</v>
      </c>
      <c r="AZ321">
        <f t="shared" si="99"/>
        <v>0</v>
      </c>
      <c r="BA321">
        <f t="shared" si="99"/>
        <v>0</v>
      </c>
      <c r="BB321">
        <f t="shared" si="99"/>
        <v>0</v>
      </c>
      <c r="BC321">
        <f t="shared" si="99"/>
        <v>0</v>
      </c>
      <c r="BD321">
        <f t="shared" si="99"/>
        <v>0</v>
      </c>
      <c r="BE321">
        <f t="shared" si="99"/>
        <v>0</v>
      </c>
      <c r="BF321">
        <f t="shared" si="99"/>
        <v>0</v>
      </c>
      <c r="BG321">
        <f t="shared" si="99"/>
        <v>0</v>
      </c>
      <c r="BH321">
        <f t="shared" si="99"/>
        <v>0</v>
      </c>
      <c r="BI321" t="str">
        <f t="shared" si="100"/>
        <v>Zimmer</v>
      </c>
      <c r="BJ321">
        <f t="shared" si="100"/>
        <v>0</v>
      </c>
      <c r="BK321">
        <f t="shared" si="100"/>
        <v>0</v>
      </c>
      <c r="BL321">
        <f t="shared" si="100"/>
        <v>0</v>
      </c>
      <c r="BM321">
        <f t="shared" si="100"/>
        <v>0</v>
      </c>
      <c r="BN321">
        <f t="shared" si="100"/>
        <v>0</v>
      </c>
      <c r="BO321">
        <f t="shared" si="100"/>
        <v>0</v>
      </c>
      <c r="BP321">
        <f t="shared" si="100"/>
        <v>0</v>
      </c>
      <c r="BQ321">
        <f t="shared" si="100"/>
        <v>0</v>
      </c>
      <c r="BR321">
        <f t="shared" si="100"/>
        <v>0</v>
      </c>
      <c r="BS321">
        <f t="shared" si="100"/>
        <v>0</v>
      </c>
    </row>
    <row r="322" spans="2:71" ht="15" customHeight="1" x14ac:dyDescent="0.2">
      <c r="B322">
        <v>9</v>
      </c>
      <c r="C322">
        <v>4</v>
      </c>
      <c r="D322">
        <v>6</v>
      </c>
      <c r="E322" t="s">
        <v>316</v>
      </c>
      <c r="F322" t="s">
        <v>214</v>
      </c>
      <c r="G322" s="5">
        <v>43308</v>
      </c>
      <c r="H322" t="s">
        <v>73</v>
      </c>
      <c r="I322" t="s">
        <v>305</v>
      </c>
      <c r="J322" t="s">
        <v>216</v>
      </c>
      <c r="K322">
        <v>9</v>
      </c>
      <c r="L322" t="s">
        <v>90</v>
      </c>
      <c r="M322" t="s">
        <v>306</v>
      </c>
      <c r="N322" t="s">
        <v>78</v>
      </c>
      <c r="O322">
        <v>70.5</v>
      </c>
      <c r="P322">
        <v>134</v>
      </c>
      <c r="Q322">
        <v>6389</v>
      </c>
      <c r="R322" t="s">
        <v>313</v>
      </c>
      <c r="S322" t="s">
        <v>80</v>
      </c>
      <c r="T322" t="s">
        <v>81</v>
      </c>
      <c r="U322" t="s">
        <v>59</v>
      </c>
      <c r="V322" t="s">
        <v>59</v>
      </c>
      <c r="W322" t="s">
        <v>307</v>
      </c>
      <c r="Y322" t="s">
        <v>43</v>
      </c>
      <c r="AA322">
        <v>1</v>
      </c>
      <c r="AB322" t="s">
        <v>33</v>
      </c>
      <c r="AC322" t="s">
        <v>184</v>
      </c>
      <c r="AE322" t="str">
        <f t="shared" ref="AE322:AE385" si="101">$V322&amp;$Y322</f>
        <v>NoratPoirier</v>
      </c>
      <c r="AF322">
        <v>0</v>
      </c>
      <c r="AG322">
        <v>0</v>
      </c>
      <c r="AH322">
        <v>1</v>
      </c>
      <c r="AI322">
        <v>0</v>
      </c>
      <c r="AJ322">
        <v>0</v>
      </c>
      <c r="AK322" t="s">
        <v>61</v>
      </c>
      <c r="AL322">
        <v>0.5</v>
      </c>
      <c r="AM322" t="s">
        <v>49</v>
      </c>
      <c r="AO322">
        <f t="shared" ref="AO322:AX331" si="102">IF(OR($V322=AO$1,$Y322=AO$1),AO$1,0)</f>
        <v>0</v>
      </c>
      <c r="AP322">
        <f t="shared" si="102"/>
        <v>0</v>
      </c>
      <c r="AQ322">
        <f t="shared" si="102"/>
        <v>0</v>
      </c>
      <c r="AR322" t="str">
        <f t="shared" si="102"/>
        <v>Poirier</v>
      </c>
      <c r="AS322">
        <f t="shared" si="102"/>
        <v>0</v>
      </c>
      <c r="AT322">
        <f t="shared" si="102"/>
        <v>0</v>
      </c>
      <c r="AU322">
        <f t="shared" si="102"/>
        <v>0</v>
      </c>
      <c r="AV322">
        <f t="shared" si="102"/>
        <v>0</v>
      </c>
      <c r="AW322">
        <f t="shared" si="102"/>
        <v>0</v>
      </c>
      <c r="AX322">
        <f t="shared" si="102"/>
        <v>0</v>
      </c>
      <c r="AY322">
        <f t="shared" ref="AY322:BH331" si="103">IF(OR($V322=AY$1,$Y322=AY$1),AY$1,0)</f>
        <v>0</v>
      </c>
      <c r="AZ322">
        <f t="shared" si="103"/>
        <v>0</v>
      </c>
      <c r="BA322">
        <f t="shared" si="103"/>
        <v>0</v>
      </c>
      <c r="BB322">
        <f t="shared" si="103"/>
        <v>0</v>
      </c>
      <c r="BC322">
        <f t="shared" si="103"/>
        <v>0</v>
      </c>
      <c r="BD322">
        <f t="shared" si="103"/>
        <v>0</v>
      </c>
      <c r="BE322">
        <f t="shared" si="103"/>
        <v>0</v>
      </c>
      <c r="BF322">
        <f t="shared" si="103"/>
        <v>0</v>
      </c>
      <c r="BG322">
        <f t="shared" si="103"/>
        <v>0</v>
      </c>
      <c r="BH322" t="str">
        <f t="shared" si="103"/>
        <v>Norat</v>
      </c>
      <c r="BI322">
        <f t="shared" ref="BI322:BS331" si="104">IF(OR($V322=BI$1,$Y322=BI$1),BI$1,0)</f>
        <v>0</v>
      </c>
      <c r="BJ322">
        <f t="shared" si="104"/>
        <v>0</v>
      </c>
      <c r="BK322">
        <f t="shared" si="104"/>
        <v>0</v>
      </c>
      <c r="BL322">
        <f t="shared" si="104"/>
        <v>0</v>
      </c>
      <c r="BM322">
        <f t="shared" si="104"/>
        <v>0</v>
      </c>
      <c r="BN322">
        <f t="shared" si="104"/>
        <v>0</v>
      </c>
      <c r="BO322">
        <f t="shared" si="104"/>
        <v>0</v>
      </c>
      <c r="BP322">
        <f t="shared" si="104"/>
        <v>0</v>
      </c>
      <c r="BQ322">
        <f t="shared" si="104"/>
        <v>0</v>
      </c>
      <c r="BR322">
        <f t="shared" si="104"/>
        <v>0</v>
      </c>
      <c r="BS322">
        <f t="shared" si="104"/>
        <v>0</v>
      </c>
    </row>
    <row r="323" spans="2:71" ht="15" customHeight="1" x14ac:dyDescent="0.2">
      <c r="B323">
        <v>9</v>
      </c>
      <c r="C323">
        <v>4</v>
      </c>
      <c r="D323">
        <v>6</v>
      </c>
      <c r="E323" t="s">
        <v>316</v>
      </c>
      <c r="F323" t="s">
        <v>214</v>
      </c>
      <c r="G323" s="5">
        <v>43308</v>
      </c>
      <c r="H323" t="s">
        <v>73</v>
      </c>
      <c r="I323" t="s">
        <v>305</v>
      </c>
      <c r="J323" t="s">
        <v>216</v>
      </c>
      <c r="K323">
        <v>9</v>
      </c>
      <c r="L323" t="s">
        <v>90</v>
      </c>
      <c r="M323" t="s">
        <v>306</v>
      </c>
      <c r="N323" t="s">
        <v>78</v>
      </c>
      <c r="O323">
        <v>70.5</v>
      </c>
      <c r="P323">
        <v>134</v>
      </c>
      <c r="Q323">
        <v>6389</v>
      </c>
      <c r="R323" t="s">
        <v>313</v>
      </c>
      <c r="S323" t="s">
        <v>80</v>
      </c>
      <c r="T323" t="s">
        <v>83</v>
      </c>
      <c r="U323" t="s">
        <v>54</v>
      </c>
      <c r="V323" t="s">
        <v>61</v>
      </c>
      <c r="W323" t="s">
        <v>78</v>
      </c>
      <c r="Y323" t="s">
        <v>49</v>
      </c>
      <c r="AA323">
        <v>1</v>
      </c>
      <c r="AB323" t="s">
        <v>32</v>
      </c>
      <c r="AC323" t="s">
        <v>184</v>
      </c>
      <c r="AE323" t="str">
        <f t="shared" si="101"/>
        <v>McInerneyShively</v>
      </c>
      <c r="AF323">
        <v>1</v>
      </c>
      <c r="AG323">
        <v>1</v>
      </c>
      <c r="AH323">
        <v>0</v>
      </c>
      <c r="AI323">
        <v>0</v>
      </c>
      <c r="AJ323">
        <v>1</v>
      </c>
      <c r="AK323" t="s">
        <v>59</v>
      </c>
      <c r="AL323">
        <v>0.52777777777777801</v>
      </c>
      <c r="AM323" t="s">
        <v>43</v>
      </c>
      <c r="AN323">
        <v>0.48611111111111099</v>
      </c>
      <c r="AO323">
        <f t="shared" si="102"/>
        <v>0</v>
      </c>
      <c r="AP323">
        <f t="shared" si="102"/>
        <v>0</v>
      </c>
      <c r="AQ323">
        <f t="shared" si="102"/>
        <v>0</v>
      </c>
      <c r="AR323">
        <f t="shared" si="102"/>
        <v>0</v>
      </c>
      <c r="AS323">
        <f t="shared" si="102"/>
        <v>0</v>
      </c>
      <c r="AT323">
        <f t="shared" si="102"/>
        <v>0</v>
      </c>
      <c r="AU323">
        <f t="shared" si="102"/>
        <v>0</v>
      </c>
      <c r="AV323">
        <f t="shared" si="102"/>
        <v>0</v>
      </c>
      <c r="AW323">
        <f t="shared" si="102"/>
        <v>0</v>
      </c>
      <c r="AX323" t="str">
        <f t="shared" si="102"/>
        <v>Shively</v>
      </c>
      <c r="AY323">
        <f t="shared" si="103"/>
        <v>0</v>
      </c>
      <c r="AZ323">
        <f t="shared" si="103"/>
        <v>0</v>
      </c>
      <c r="BA323">
        <f t="shared" si="103"/>
        <v>0</v>
      </c>
      <c r="BB323">
        <f t="shared" si="103"/>
        <v>0</v>
      </c>
      <c r="BC323">
        <f t="shared" si="103"/>
        <v>0</v>
      </c>
      <c r="BD323">
        <f t="shared" si="103"/>
        <v>0</v>
      </c>
      <c r="BE323">
        <f t="shared" si="103"/>
        <v>0</v>
      </c>
      <c r="BF323">
        <f t="shared" si="103"/>
        <v>0</v>
      </c>
      <c r="BG323">
        <f t="shared" si="103"/>
        <v>0</v>
      </c>
      <c r="BH323">
        <f t="shared" si="103"/>
        <v>0</v>
      </c>
      <c r="BI323">
        <f t="shared" si="104"/>
        <v>0</v>
      </c>
      <c r="BJ323" t="str">
        <f t="shared" si="104"/>
        <v>McInerney</v>
      </c>
      <c r="BK323">
        <f t="shared" si="104"/>
        <v>0</v>
      </c>
      <c r="BL323">
        <f t="shared" si="104"/>
        <v>0</v>
      </c>
      <c r="BM323">
        <f t="shared" si="104"/>
        <v>0</v>
      </c>
      <c r="BN323">
        <f t="shared" si="104"/>
        <v>0</v>
      </c>
      <c r="BO323">
        <f t="shared" si="104"/>
        <v>0</v>
      </c>
      <c r="BP323">
        <f t="shared" si="104"/>
        <v>0</v>
      </c>
      <c r="BQ323">
        <f t="shared" si="104"/>
        <v>0</v>
      </c>
      <c r="BR323">
        <f t="shared" si="104"/>
        <v>0</v>
      </c>
      <c r="BS323">
        <f t="shared" si="104"/>
        <v>0</v>
      </c>
    </row>
    <row r="324" spans="2:71" ht="15" customHeight="1" x14ac:dyDescent="0.2">
      <c r="B324">
        <v>10</v>
      </c>
      <c r="C324">
        <v>5</v>
      </c>
      <c r="D324">
        <v>6</v>
      </c>
      <c r="E324" t="s">
        <v>317</v>
      </c>
      <c r="F324" t="s">
        <v>214</v>
      </c>
      <c r="G324" s="5">
        <v>43308</v>
      </c>
      <c r="H324" t="s">
        <v>73</v>
      </c>
      <c r="I324" t="s">
        <v>305</v>
      </c>
      <c r="J324" t="s">
        <v>216</v>
      </c>
      <c r="K324">
        <v>9</v>
      </c>
      <c r="L324" t="s">
        <v>90</v>
      </c>
      <c r="M324" t="s">
        <v>306</v>
      </c>
      <c r="N324" t="s">
        <v>78</v>
      </c>
      <c r="O324">
        <v>70.5</v>
      </c>
      <c r="P324">
        <v>134</v>
      </c>
      <c r="Q324">
        <v>6389</v>
      </c>
      <c r="R324" t="s">
        <v>313</v>
      </c>
      <c r="S324" t="s">
        <v>80</v>
      </c>
      <c r="T324" t="s">
        <v>83</v>
      </c>
      <c r="U324" t="s">
        <v>54</v>
      </c>
      <c r="V324" t="s">
        <v>57</v>
      </c>
      <c r="W324" t="s">
        <v>78</v>
      </c>
      <c r="Y324" t="s">
        <v>46</v>
      </c>
      <c r="AA324">
        <v>1</v>
      </c>
      <c r="AB324" t="s">
        <v>33</v>
      </c>
      <c r="AC324" t="s">
        <v>209</v>
      </c>
      <c r="AE324" t="str">
        <f t="shared" si="101"/>
        <v>BussMangold</v>
      </c>
      <c r="AF324">
        <v>0</v>
      </c>
      <c r="AG324">
        <v>0</v>
      </c>
      <c r="AH324">
        <v>1</v>
      </c>
      <c r="AI324">
        <v>0</v>
      </c>
      <c r="AJ324">
        <v>0</v>
      </c>
      <c r="AK324" t="s">
        <v>52</v>
      </c>
      <c r="AL324">
        <v>0.34745762711864397</v>
      </c>
      <c r="AM324" t="s">
        <v>62</v>
      </c>
      <c r="AN324">
        <v>0.51041666666666696</v>
      </c>
      <c r="AO324">
        <f t="shared" si="102"/>
        <v>0</v>
      </c>
      <c r="AP324">
        <f t="shared" si="102"/>
        <v>0</v>
      </c>
      <c r="AQ324">
        <f t="shared" si="102"/>
        <v>0</v>
      </c>
      <c r="AR324">
        <f t="shared" si="102"/>
        <v>0</v>
      </c>
      <c r="AS324">
        <f t="shared" si="102"/>
        <v>0</v>
      </c>
      <c r="AT324">
        <f t="shared" si="102"/>
        <v>0</v>
      </c>
      <c r="AU324" t="str">
        <f t="shared" si="102"/>
        <v>Mangold</v>
      </c>
      <c r="AV324">
        <f t="shared" si="102"/>
        <v>0</v>
      </c>
      <c r="AW324">
        <f t="shared" si="102"/>
        <v>0</v>
      </c>
      <c r="AX324">
        <f t="shared" si="102"/>
        <v>0</v>
      </c>
      <c r="AY324">
        <f t="shared" si="103"/>
        <v>0</v>
      </c>
      <c r="AZ324">
        <f t="shared" si="103"/>
        <v>0</v>
      </c>
      <c r="BA324">
        <f t="shared" si="103"/>
        <v>0</v>
      </c>
      <c r="BB324">
        <f t="shared" si="103"/>
        <v>0</v>
      </c>
      <c r="BC324">
        <f t="shared" si="103"/>
        <v>0</v>
      </c>
      <c r="BD324">
        <f t="shared" si="103"/>
        <v>0</v>
      </c>
      <c r="BE324">
        <f t="shared" si="103"/>
        <v>0</v>
      </c>
      <c r="BF324" t="str">
        <f t="shared" si="103"/>
        <v>Buss</v>
      </c>
      <c r="BG324">
        <f t="shared" si="103"/>
        <v>0</v>
      </c>
      <c r="BH324">
        <f t="shared" si="103"/>
        <v>0</v>
      </c>
      <c r="BI324">
        <f t="shared" si="104"/>
        <v>0</v>
      </c>
      <c r="BJ324">
        <f t="shared" si="104"/>
        <v>0</v>
      </c>
      <c r="BK324">
        <f t="shared" si="104"/>
        <v>0</v>
      </c>
      <c r="BL324">
        <f t="shared" si="104"/>
        <v>0</v>
      </c>
      <c r="BM324">
        <f t="shared" si="104"/>
        <v>0</v>
      </c>
      <c r="BN324">
        <f t="shared" si="104"/>
        <v>0</v>
      </c>
      <c r="BO324">
        <f t="shared" si="104"/>
        <v>0</v>
      </c>
      <c r="BP324">
        <f t="shared" si="104"/>
        <v>0</v>
      </c>
      <c r="BQ324">
        <f t="shared" si="104"/>
        <v>0</v>
      </c>
      <c r="BR324">
        <f t="shared" si="104"/>
        <v>0</v>
      </c>
      <c r="BS324">
        <f t="shared" si="104"/>
        <v>0</v>
      </c>
    </row>
    <row r="325" spans="2:71" ht="15" customHeight="1" x14ac:dyDescent="0.2">
      <c r="B325">
        <v>10</v>
      </c>
      <c r="C325">
        <v>5</v>
      </c>
      <c r="D325">
        <v>6</v>
      </c>
      <c r="E325" t="s">
        <v>317</v>
      </c>
      <c r="F325" t="s">
        <v>214</v>
      </c>
      <c r="G325" s="5">
        <v>43308</v>
      </c>
      <c r="H325" t="s">
        <v>73</v>
      </c>
      <c r="I325" t="s">
        <v>305</v>
      </c>
      <c r="J325" t="s">
        <v>216</v>
      </c>
      <c r="K325">
        <v>9</v>
      </c>
      <c r="L325" t="s">
        <v>90</v>
      </c>
      <c r="M325" t="s">
        <v>306</v>
      </c>
      <c r="N325" t="s">
        <v>78</v>
      </c>
      <c r="O325">
        <v>70.5</v>
      </c>
      <c r="P325">
        <v>134</v>
      </c>
      <c r="Q325">
        <v>6389</v>
      </c>
      <c r="R325" t="s">
        <v>313</v>
      </c>
      <c r="S325" t="s">
        <v>80</v>
      </c>
      <c r="T325" t="s">
        <v>81</v>
      </c>
      <c r="U325" t="s">
        <v>59</v>
      </c>
      <c r="V325" t="s">
        <v>52</v>
      </c>
      <c r="W325" t="s">
        <v>307</v>
      </c>
      <c r="Y325" t="s">
        <v>62</v>
      </c>
      <c r="AA325">
        <v>1</v>
      </c>
      <c r="AB325" t="s">
        <v>32</v>
      </c>
      <c r="AC325" t="s">
        <v>209</v>
      </c>
      <c r="AE325" t="str">
        <f t="shared" si="101"/>
        <v>ConnorsWelker</v>
      </c>
      <c r="AF325">
        <v>1</v>
      </c>
      <c r="AG325">
        <v>1</v>
      </c>
      <c r="AH325">
        <v>0</v>
      </c>
      <c r="AI325">
        <v>0</v>
      </c>
      <c r="AJ325">
        <v>1</v>
      </c>
      <c r="AK325" t="s">
        <v>57</v>
      </c>
      <c r="AL325">
        <v>0.44827586206896602</v>
      </c>
      <c r="AM325" t="s">
        <v>46</v>
      </c>
      <c r="AN325">
        <v>0.38392857142857201</v>
      </c>
      <c r="AO325">
        <f t="shared" si="102"/>
        <v>0</v>
      </c>
      <c r="AP325">
        <f t="shared" si="102"/>
        <v>0</v>
      </c>
      <c r="AQ325">
        <f t="shared" si="102"/>
        <v>0</v>
      </c>
      <c r="AR325">
        <f t="shared" si="102"/>
        <v>0</v>
      </c>
      <c r="AS325">
        <f t="shared" si="102"/>
        <v>0</v>
      </c>
      <c r="AT325">
        <f t="shared" si="102"/>
        <v>0</v>
      </c>
      <c r="AU325">
        <f t="shared" si="102"/>
        <v>0</v>
      </c>
      <c r="AV325">
        <f t="shared" si="102"/>
        <v>0</v>
      </c>
      <c r="AW325">
        <f t="shared" si="102"/>
        <v>0</v>
      </c>
      <c r="AX325">
        <f t="shared" si="102"/>
        <v>0</v>
      </c>
      <c r="AY325">
        <f t="shared" si="103"/>
        <v>0</v>
      </c>
      <c r="AZ325">
        <f t="shared" si="103"/>
        <v>0</v>
      </c>
      <c r="BA325" t="str">
        <f t="shared" si="103"/>
        <v>Connors</v>
      </c>
      <c r="BB325">
        <f t="shared" si="103"/>
        <v>0</v>
      </c>
      <c r="BC325">
        <f t="shared" si="103"/>
        <v>0</v>
      </c>
      <c r="BD325">
        <f t="shared" si="103"/>
        <v>0</v>
      </c>
      <c r="BE325">
        <f t="shared" si="103"/>
        <v>0</v>
      </c>
      <c r="BF325">
        <f t="shared" si="103"/>
        <v>0</v>
      </c>
      <c r="BG325">
        <f t="shared" si="103"/>
        <v>0</v>
      </c>
      <c r="BH325">
        <f t="shared" si="103"/>
        <v>0</v>
      </c>
      <c r="BI325">
        <f t="shared" si="104"/>
        <v>0</v>
      </c>
      <c r="BJ325">
        <f t="shared" si="104"/>
        <v>0</v>
      </c>
      <c r="BK325" t="str">
        <f t="shared" si="104"/>
        <v>Welker</v>
      </c>
      <c r="BL325">
        <f t="shared" si="104"/>
        <v>0</v>
      </c>
      <c r="BM325">
        <f t="shared" si="104"/>
        <v>0</v>
      </c>
      <c r="BN325">
        <f t="shared" si="104"/>
        <v>0</v>
      </c>
      <c r="BO325">
        <f t="shared" si="104"/>
        <v>0</v>
      </c>
      <c r="BP325">
        <f t="shared" si="104"/>
        <v>0</v>
      </c>
      <c r="BQ325">
        <f t="shared" si="104"/>
        <v>0</v>
      </c>
      <c r="BR325">
        <f t="shared" si="104"/>
        <v>0</v>
      </c>
      <c r="BS325">
        <f t="shared" si="104"/>
        <v>0</v>
      </c>
    </row>
    <row r="326" spans="2:71" ht="15" customHeight="1" x14ac:dyDescent="0.2">
      <c r="B326">
        <v>11</v>
      </c>
      <c r="C326">
        <v>1</v>
      </c>
      <c r="D326">
        <v>6</v>
      </c>
      <c r="E326" t="s">
        <v>318</v>
      </c>
      <c r="F326" t="s">
        <v>214</v>
      </c>
      <c r="G326" s="5">
        <v>43308</v>
      </c>
      <c r="H326" t="s">
        <v>97</v>
      </c>
      <c r="I326" t="s">
        <v>305</v>
      </c>
      <c r="J326" t="s">
        <v>216</v>
      </c>
      <c r="K326">
        <v>9</v>
      </c>
      <c r="L326" t="s">
        <v>76</v>
      </c>
      <c r="M326" t="s">
        <v>306</v>
      </c>
      <c r="N326" t="s">
        <v>78</v>
      </c>
      <c r="O326">
        <v>70.5</v>
      </c>
      <c r="P326">
        <v>134</v>
      </c>
      <c r="Q326">
        <v>6389</v>
      </c>
      <c r="R326" t="s">
        <v>98</v>
      </c>
      <c r="S326" t="s">
        <v>80</v>
      </c>
      <c r="T326" t="s">
        <v>83</v>
      </c>
      <c r="U326" t="s">
        <v>54</v>
      </c>
      <c r="V326" t="s">
        <v>58</v>
      </c>
      <c r="W326" t="s">
        <v>78</v>
      </c>
      <c r="Y326" t="s">
        <v>48</v>
      </c>
      <c r="AA326">
        <v>1</v>
      </c>
      <c r="AB326" t="s">
        <v>33</v>
      </c>
      <c r="AC326" t="s">
        <v>209</v>
      </c>
      <c r="AE326" t="str">
        <f t="shared" si="101"/>
        <v>GrayLynch</v>
      </c>
      <c r="AF326">
        <v>0</v>
      </c>
      <c r="AG326">
        <v>0</v>
      </c>
      <c r="AH326">
        <v>1</v>
      </c>
      <c r="AI326">
        <v>0</v>
      </c>
      <c r="AJ326">
        <v>0</v>
      </c>
      <c r="AK326" t="s">
        <v>50</v>
      </c>
      <c r="AL326">
        <v>0.59523809523809501</v>
      </c>
      <c r="AM326" t="s">
        <v>44</v>
      </c>
      <c r="AN326">
        <v>0.4296875</v>
      </c>
      <c r="AO326">
        <f t="shared" si="102"/>
        <v>0</v>
      </c>
      <c r="AP326">
        <f t="shared" si="102"/>
        <v>0</v>
      </c>
      <c r="AQ326">
        <f t="shared" si="102"/>
        <v>0</v>
      </c>
      <c r="AR326">
        <f t="shared" si="102"/>
        <v>0</v>
      </c>
      <c r="AS326">
        <f t="shared" si="102"/>
        <v>0</v>
      </c>
      <c r="AT326">
        <f t="shared" si="102"/>
        <v>0</v>
      </c>
      <c r="AU326">
        <f t="shared" si="102"/>
        <v>0</v>
      </c>
      <c r="AV326">
        <f t="shared" si="102"/>
        <v>0</v>
      </c>
      <c r="AW326" t="str">
        <f t="shared" si="102"/>
        <v>Lynch</v>
      </c>
      <c r="AX326">
        <f t="shared" si="102"/>
        <v>0</v>
      </c>
      <c r="AY326">
        <f t="shared" si="103"/>
        <v>0</v>
      </c>
      <c r="AZ326">
        <f t="shared" si="103"/>
        <v>0</v>
      </c>
      <c r="BA326">
        <f t="shared" si="103"/>
        <v>0</v>
      </c>
      <c r="BB326">
        <f t="shared" si="103"/>
        <v>0</v>
      </c>
      <c r="BC326">
        <f t="shared" si="103"/>
        <v>0</v>
      </c>
      <c r="BD326">
        <f t="shared" si="103"/>
        <v>0</v>
      </c>
      <c r="BE326">
        <f t="shared" si="103"/>
        <v>0</v>
      </c>
      <c r="BF326">
        <f t="shared" si="103"/>
        <v>0</v>
      </c>
      <c r="BG326" t="str">
        <f t="shared" si="103"/>
        <v>Gray</v>
      </c>
      <c r="BH326">
        <f t="shared" si="103"/>
        <v>0</v>
      </c>
      <c r="BI326">
        <f t="shared" si="104"/>
        <v>0</v>
      </c>
      <c r="BJ326">
        <f t="shared" si="104"/>
        <v>0</v>
      </c>
      <c r="BK326">
        <f t="shared" si="104"/>
        <v>0</v>
      </c>
      <c r="BL326">
        <f t="shared" si="104"/>
        <v>0</v>
      </c>
      <c r="BM326">
        <f t="shared" si="104"/>
        <v>0</v>
      </c>
      <c r="BN326">
        <f t="shared" si="104"/>
        <v>0</v>
      </c>
      <c r="BO326">
        <f t="shared" si="104"/>
        <v>0</v>
      </c>
      <c r="BP326">
        <f t="shared" si="104"/>
        <v>0</v>
      </c>
      <c r="BQ326">
        <f t="shared" si="104"/>
        <v>0</v>
      </c>
      <c r="BR326">
        <f t="shared" si="104"/>
        <v>0</v>
      </c>
      <c r="BS326">
        <f t="shared" si="104"/>
        <v>0</v>
      </c>
    </row>
    <row r="327" spans="2:71" ht="15" customHeight="1" x14ac:dyDescent="0.2">
      <c r="B327">
        <v>11</v>
      </c>
      <c r="C327">
        <v>1</v>
      </c>
      <c r="D327">
        <v>6</v>
      </c>
      <c r="E327" t="s">
        <v>318</v>
      </c>
      <c r="F327" t="s">
        <v>214</v>
      </c>
      <c r="G327" s="5">
        <v>43308</v>
      </c>
      <c r="H327" t="s">
        <v>97</v>
      </c>
      <c r="I327" t="s">
        <v>305</v>
      </c>
      <c r="J327" t="s">
        <v>216</v>
      </c>
      <c r="K327">
        <v>9</v>
      </c>
      <c r="L327" t="s">
        <v>76</v>
      </c>
      <c r="M327" t="s">
        <v>306</v>
      </c>
      <c r="N327" t="s">
        <v>78</v>
      </c>
      <c r="O327">
        <v>70.5</v>
      </c>
      <c r="P327">
        <v>134</v>
      </c>
      <c r="Q327">
        <v>6389</v>
      </c>
      <c r="R327" t="s">
        <v>98</v>
      </c>
      <c r="S327" t="s">
        <v>80</v>
      </c>
      <c r="T327" t="s">
        <v>81</v>
      </c>
      <c r="U327" t="s">
        <v>59</v>
      </c>
      <c r="V327" t="s">
        <v>50</v>
      </c>
      <c r="W327" t="s">
        <v>307</v>
      </c>
      <c r="Y327" t="s">
        <v>44</v>
      </c>
      <c r="AA327">
        <v>1</v>
      </c>
      <c r="AB327" t="s">
        <v>32</v>
      </c>
      <c r="AC327" t="s">
        <v>209</v>
      </c>
      <c r="AE327" t="str">
        <f t="shared" si="101"/>
        <v>FerrinFlanders</v>
      </c>
      <c r="AF327">
        <v>1</v>
      </c>
      <c r="AG327">
        <v>1</v>
      </c>
      <c r="AH327">
        <v>0</v>
      </c>
      <c r="AI327">
        <v>0</v>
      </c>
      <c r="AJ327">
        <v>1</v>
      </c>
      <c r="AK327" t="s">
        <v>58</v>
      </c>
      <c r="AL327">
        <v>0.65476190476190499</v>
      </c>
      <c r="AM327" t="s">
        <v>48</v>
      </c>
      <c r="AN327">
        <v>0.5546875</v>
      </c>
      <c r="AO327">
        <f t="shared" si="102"/>
        <v>0</v>
      </c>
      <c r="AP327">
        <f t="shared" si="102"/>
        <v>0</v>
      </c>
      <c r="AQ327">
        <f t="shared" si="102"/>
        <v>0</v>
      </c>
      <c r="AR327">
        <f t="shared" si="102"/>
        <v>0</v>
      </c>
      <c r="AS327" t="str">
        <f t="shared" si="102"/>
        <v>Flanders</v>
      </c>
      <c r="AT327">
        <f t="shared" si="102"/>
        <v>0</v>
      </c>
      <c r="AU327">
        <f t="shared" si="102"/>
        <v>0</v>
      </c>
      <c r="AV327">
        <f t="shared" si="102"/>
        <v>0</v>
      </c>
      <c r="AW327">
        <f t="shared" si="102"/>
        <v>0</v>
      </c>
      <c r="AX327">
        <f t="shared" si="102"/>
        <v>0</v>
      </c>
      <c r="AY327" t="str">
        <f t="shared" si="103"/>
        <v>Ferrin</v>
      </c>
      <c r="AZ327">
        <f t="shared" si="103"/>
        <v>0</v>
      </c>
      <c r="BA327">
        <f t="shared" si="103"/>
        <v>0</v>
      </c>
      <c r="BB327">
        <f t="shared" si="103"/>
        <v>0</v>
      </c>
      <c r="BC327">
        <f t="shared" si="103"/>
        <v>0</v>
      </c>
      <c r="BD327">
        <f t="shared" si="103"/>
        <v>0</v>
      </c>
      <c r="BE327">
        <f t="shared" si="103"/>
        <v>0</v>
      </c>
      <c r="BF327">
        <f t="shared" si="103"/>
        <v>0</v>
      </c>
      <c r="BG327">
        <f t="shared" si="103"/>
        <v>0</v>
      </c>
      <c r="BH327">
        <f t="shared" si="103"/>
        <v>0</v>
      </c>
      <c r="BI327">
        <f t="shared" si="104"/>
        <v>0</v>
      </c>
      <c r="BJ327">
        <f t="shared" si="104"/>
        <v>0</v>
      </c>
      <c r="BK327">
        <f t="shared" si="104"/>
        <v>0</v>
      </c>
      <c r="BL327">
        <f t="shared" si="104"/>
        <v>0</v>
      </c>
      <c r="BM327">
        <f t="shared" si="104"/>
        <v>0</v>
      </c>
      <c r="BN327">
        <f t="shared" si="104"/>
        <v>0</v>
      </c>
      <c r="BO327">
        <f t="shared" si="104"/>
        <v>0</v>
      </c>
      <c r="BP327">
        <f t="shared" si="104"/>
        <v>0</v>
      </c>
      <c r="BQ327">
        <f t="shared" si="104"/>
        <v>0</v>
      </c>
      <c r="BR327">
        <f t="shared" si="104"/>
        <v>0</v>
      </c>
      <c r="BS327">
        <f t="shared" si="104"/>
        <v>0</v>
      </c>
    </row>
    <row r="328" spans="2:71" ht="15" customHeight="1" x14ac:dyDescent="0.2">
      <c r="B328">
        <v>12</v>
      </c>
      <c r="C328">
        <v>2</v>
      </c>
      <c r="D328">
        <v>6</v>
      </c>
      <c r="E328" t="s">
        <v>319</v>
      </c>
      <c r="F328" t="s">
        <v>214</v>
      </c>
      <c r="G328" s="5">
        <v>43308</v>
      </c>
      <c r="H328" t="s">
        <v>97</v>
      </c>
      <c r="I328" t="s">
        <v>305</v>
      </c>
      <c r="J328" t="s">
        <v>216</v>
      </c>
      <c r="K328">
        <v>9</v>
      </c>
      <c r="L328" t="s">
        <v>76</v>
      </c>
      <c r="M328" t="s">
        <v>306</v>
      </c>
      <c r="N328" t="s">
        <v>78</v>
      </c>
      <c r="O328">
        <v>70.5</v>
      </c>
      <c r="P328">
        <v>134</v>
      </c>
      <c r="Q328">
        <v>6389</v>
      </c>
      <c r="R328" t="s">
        <v>98</v>
      </c>
      <c r="S328" t="s">
        <v>80</v>
      </c>
      <c r="T328" t="s">
        <v>81</v>
      </c>
      <c r="U328" t="s">
        <v>59</v>
      </c>
      <c r="V328" t="s">
        <v>45</v>
      </c>
      <c r="W328" t="s">
        <v>307</v>
      </c>
      <c r="Y328" t="s">
        <v>53</v>
      </c>
      <c r="AA328">
        <v>1</v>
      </c>
      <c r="AB328" t="s">
        <v>32</v>
      </c>
      <c r="AC328" t="s">
        <v>221</v>
      </c>
      <c r="AE328" t="str">
        <f t="shared" si="101"/>
        <v>ConnollyForster</v>
      </c>
      <c r="AF328">
        <v>1</v>
      </c>
      <c r="AG328">
        <v>1</v>
      </c>
      <c r="AH328">
        <v>0</v>
      </c>
      <c r="AI328">
        <v>0</v>
      </c>
      <c r="AJ328">
        <v>1</v>
      </c>
      <c r="AK328" t="s">
        <v>54</v>
      </c>
      <c r="AL328">
        <v>0.37288135593220301</v>
      </c>
      <c r="AM328" t="s">
        <v>41</v>
      </c>
      <c r="AN328">
        <v>0.47321428571428598</v>
      </c>
      <c r="AO328">
        <f t="shared" si="102"/>
        <v>0</v>
      </c>
      <c r="AP328">
        <f t="shared" si="102"/>
        <v>0</v>
      </c>
      <c r="AQ328">
        <f t="shared" si="102"/>
        <v>0</v>
      </c>
      <c r="AR328">
        <f t="shared" si="102"/>
        <v>0</v>
      </c>
      <c r="AS328">
        <f t="shared" si="102"/>
        <v>0</v>
      </c>
      <c r="AT328" t="str">
        <f t="shared" si="102"/>
        <v>Connolly</v>
      </c>
      <c r="AU328">
        <f t="shared" si="102"/>
        <v>0</v>
      </c>
      <c r="AV328">
        <f t="shared" si="102"/>
        <v>0</v>
      </c>
      <c r="AW328">
        <f t="shared" si="102"/>
        <v>0</v>
      </c>
      <c r="AX328">
        <f t="shared" si="102"/>
        <v>0</v>
      </c>
      <c r="AY328">
        <f t="shared" si="103"/>
        <v>0</v>
      </c>
      <c r="AZ328">
        <f t="shared" si="103"/>
        <v>0</v>
      </c>
      <c r="BA328">
        <f t="shared" si="103"/>
        <v>0</v>
      </c>
      <c r="BB328" t="str">
        <f t="shared" si="103"/>
        <v>Forster</v>
      </c>
      <c r="BC328">
        <f t="shared" si="103"/>
        <v>0</v>
      </c>
      <c r="BD328">
        <f t="shared" si="103"/>
        <v>0</v>
      </c>
      <c r="BE328">
        <f t="shared" si="103"/>
        <v>0</v>
      </c>
      <c r="BF328">
        <f t="shared" si="103"/>
        <v>0</v>
      </c>
      <c r="BG328">
        <f t="shared" si="103"/>
        <v>0</v>
      </c>
      <c r="BH328">
        <f t="shared" si="103"/>
        <v>0</v>
      </c>
      <c r="BI328">
        <f t="shared" si="104"/>
        <v>0</v>
      </c>
      <c r="BJ328">
        <f t="shared" si="104"/>
        <v>0</v>
      </c>
      <c r="BK328">
        <f t="shared" si="104"/>
        <v>0</v>
      </c>
      <c r="BL328">
        <f t="shared" si="104"/>
        <v>0</v>
      </c>
      <c r="BM328">
        <f t="shared" si="104"/>
        <v>0</v>
      </c>
      <c r="BN328">
        <f t="shared" si="104"/>
        <v>0</v>
      </c>
      <c r="BO328">
        <f t="shared" si="104"/>
        <v>0</v>
      </c>
      <c r="BP328">
        <f t="shared" si="104"/>
        <v>0</v>
      </c>
      <c r="BQ328">
        <f t="shared" si="104"/>
        <v>0</v>
      </c>
      <c r="BR328">
        <f t="shared" si="104"/>
        <v>0</v>
      </c>
      <c r="BS328">
        <f t="shared" si="104"/>
        <v>0</v>
      </c>
    </row>
    <row r="329" spans="2:71" ht="15" customHeight="1" x14ac:dyDescent="0.2">
      <c r="B329">
        <v>12</v>
      </c>
      <c r="C329">
        <v>2</v>
      </c>
      <c r="D329">
        <v>6</v>
      </c>
      <c r="E329" t="s">
        <v>319</v>
      </c>
      <c r="F329" t="s">
        <v>214</v>
      </c>
      <c r="G329" s="5">
        <v>43308</v>
      </c>
      <c r="H329" t="s">
        <v>97</v>
      </c>
      <c r="I329" t="s">
        <v>305</v>
      </c>
      <c r="J329" t="s">
        <v>216</v>
      </c>
      <c r="K329">
        <v>9</v>
      </c>
      <c r="L329" t="s">
        <v>76</v>
      </c>
      <c r="M329" t="s">
        <v>306</v>
      </c>
      <c r="N329" t="s">
        <v>78</v>
      </c>
      <c r="O329">
        <v>70.5</v>
      </c>
      <c r="P329">
        <v>134</v>
      </c>
      <c r="Q329">
        <v>6389</v>
      </c>
      <c r="R329" t="s">
        <v>98</v>
      </c>
      <c r="S329" t="s">
        <v>80</v>
      </c>
      <c r="T329" t="s">
        <v>83</v>
      </c>
      <c r="U329" t="s">
        <v>54</v>
      </c>
      <c r="V329" t="s">
        <v>54</v>
      </c>
      <c r="W329" t="s">
        <v>78</v>
      </c>
      <c r="Y329" t="s">
        <v>41</v>
      </c>
      <c r="AA329">
        <v>1</v>
      </c>
      <c r="AB329" t="s">
        <v>33</v>
      </c>
      <c r="AC329" t="s">
        <v>221</v>
      </c>
      <c r="AE329" t="str">
        <f t="shared" si="101"/>
        <v>FoganHilts</v>
      </c>
      <c r="AF329">
        <v>0</v>
      </c>
      <c r="AG329">
        <v>0</v>
      </c>
      <c r="AH329">
        <v>1</v>
      </c>
      <c r="AI329">
        <v>0</v>
      </c>
      <c r="AJ329">
        <v>0</v>
      </c>
      <c r="AK329" t="s">
        <v>45</v>
      </c>
      <c r="AL329">
        <v>0.59375</v>
      </c>
      <c r="AM329" t="s">
        <v>53</v>
      </c>
      <c r="AN329">
        <v>0.59649122807017496</v>
      </c>
      <c r="AO329">
        <f t="shared" si="102"/>
        <v>0</v>
      </c>
      <c r="AP329" t="str">
        <f t="shared" si="102"/>
        <v>Hilts</v>
      </c>
      <c r="AQ329">
        <f t="shared" si="102"/>
        <v>0</v>
      </c>
      <c r="AR329">
        <f t="shared" si="102"/>
        <v>0</v>
      </c>
      <c r="AS329">
        <f t="shared" si="102"/>
        <v>0</v>
      </c>
      <c r="AT329">
        <f t="shared" si="102"/>
        <v>0</v>
      </c>
      <c r="AU329">
        <f t="shared" si="102"/>
        <v>0</v>
      </c>
      <c r="AV329">
        <f t="shared" si="102"/>
        <v>0</v>
      </c>
      <c r="AW329">
        <f t="shared" si="102"/>
        <v>0</v>
      </c>
      <c r="AX329">
        <f t="shared" si="102"/>
        <v>0</v>
      </c>
      <c r="AY329">
        <f t="shared" si="103"/>
        <v>0</v>
      </c>
      <c r="AZ329">
        <f t="shared" si="103"/>
        <v>0</v>
      </c>
      <c r="BA329">
        <f t="shared" si="103"/>
        <v>0</v>
      </c>
      <c r="BB329">
        <f t="shared" si="103"/>
        <v>0</v>
      </c>
      <c r="BC329" t="str">
        <f t="shared" si="103"/>
        <v>Fogan</v>
      </c>
      <c r="BD329">
        <f t="shared" si="103"/>
        <v>0</v>
      </c>
      <c r="BE329">
        <f t="shared" si="103"/>
        <v>0</v>
      </c>
      <c r="BF329">
        <f t="shared" si="103"/>
        <v>0</v>
      </c>
      <c r="BG329">
        <f t="shared" si="103"/>
        <v>0</v>
      </c>
      <c r="BH329">
        <f t="shared" si="103"/>
        <v>0</v>
      </c>
      <c r="BI329">
        <f t="shared" si="104"/>
        <v>0</v>
      </c>
      <c r="BJ329">
        <f t="shared" si="104"/>
        <v>0</v>
      </c>
      <c r="BK329">
        <f t="shared" si="104"/>
        <v>0</v>
      </c>
      <c r="BL329">
        <f t="shared" si="104"/>
        <v>0</v>
      </c>
      <c r="BM329">
        <f t="shared" si="104"/>
        <v>0</v>
      </c>
      <c r="BN329">
        <f t="shared" si="104"/>
        <v>0</v>
      </c>
      <c r="BO329">
        <f t="shared" si="104"/>
        <v>0</v>
      </c>
      <c r="BP329">
        <f t="shared" si="104"/>
        <v>0</v>
      </c>
      <c r="BQ329">
        <f t="shared" si="104"/>
        <v>0</v>
      </c>
      <c r="BR329">
        <f t="shared" si="104"/>
        <v>0</v>
      </c>
      <c r="BS329">
        <f t="shared" si="104"/>
        <v>0</v>
      </c>
    </row>
    <row r="330" spans="2:71" ht="15" customHeight="1" x14ac:dyDescent="0.2">
      <c r="B330">
        <v>13</v>
      </c>
      <c r="C330">
        <v>3</v>
      </c>
      <c r="D330">
        <v>6</v>
      </c>
      <c r="E330" t="s">
        <v>320</v>
      </c>
      <c r="F330" t="s">
        <v>214</v>
      </c>
      <c r="G330" s="5">
        <v>43308</v>
      </c>
      <c r="H330" t="s">
        <v>97</v>
      </c>
      <c r="I330" t="s">
        <v>305</v>
      </c>
      <c r="J330" t="s">
        <v>216</v>
      </c>
      <c r="K330">
        <v>9</v>
      </c>
      <c r="L330" t="s">
        <v>76</v>
      </c>
      <c r="M330" t="s">
        <v>306</v>
      </c>
      <c r="N330" t="s">
        <v>78</v>
      </c>
      <c r="O330">
        <v>70.5</v>
      </c>
      <c r="P330">
        <v>134</v>
      </c>
      <c r="Q330">
        <v>6389</v>
      </c>
      <c r="R330" t="s">
        <v>98</v>
      </c>
      <c r="S330" t="s">
        <v>80</v>
      </c>
      <c r="T330" t="s">
        <v>83</v>
      </c>
      <c r="U330" t="s">
        <v>54</v>
      </c>
      <c r="V330" t="s">
        <v>42</v>
      </c>
      <c r="W330" t="s">
        <v>78</v>
      </c>
      <c r="Y330" t="s">
        <v>61</v>
      </c>
      <c r="AA330">
        <v>1</v>
      </c>
      <c r="AB330" t="s">
        <v>32</v>
      </c>
      <c r="AC330" t="s">
        <v>209</v>
      </c>
      <c r="AE330" t="str">
        <f t="shared" si="101"/>
        <v>JacksonMcInerney</v>
      </c>
      <c r="AF330">
        <v>1</v>
      </c>
      <c r="AG330">
        <v>1</v>
      </c>
      <c r="AH330">
        <v>0</v>
      </c>
      <c r="AI330">
        <v>0</v>
      </c>
      <c r="AJ330">
        <v>1</v>
      </c>
      <c r="AK330" t="s">
        <v>55</v>
      </c>
      <c r="AL330">
        <v>0.44067796610169502</v>
      </c>
      <c r="AM330" t="s">
        <v>43</v>
      </c>
      <c r="AN330">
        <v>0.48611111111111099</v>
      </c>
      <c r="AO330">
        <f t="shared" si="102"/>
        <v>0</v>
      </c>
      <c r="AP330">
        <f t="shared" si="102"/>
        <v>0</v>
      </c>
      <c r="AQ330" t="str">
        <f t="shared" si="102"/>
        <v>Jackson</v>
      </c>
      <c r="AR330">
        <f t="shared" si="102"/>
        <v>0</v>
      </c>
      <c r="AS330">
        <f t="shared" si="102"/>
        <v>0</v>
      </c>
      <c r="AT330">
        <f t="shared" si="102"/>
        <v>0</v>
      </c>
      <c r="AU330">
        <f t="shared" si="102"/>
        <v>0</v>
      </c>
      <c r="AV330">
        <f t="shared" si="102"/>
        <v>0</v>
      </c>
      <c r="AW330">
        <f t="shared" si="102"/>
        <v>0</v>
      </c>
      <c r="AX330">
        <f t="shared" si="102"/>
        <v>0</v>
      </c>
      <c r="AY330">
        <f t="shared" si="103"/>
        <v>0</v>
      </c>
      <c r="AZ330">
        <f t="shared" si="103"/>
        <v>0</v>
      </c>
      <c r="BA330">
        <f t="shared" si="103"/>
        <v>0</v>
      </c>
      <c r="BB330">
        <f t="shared" si="103"/>
        <v>0</v>
      </c>
      <c r="BC330">
        <f t="shared" si="103"/>
        <v>0</v>
      </c>
      <c r="BD330">
        <f t="shared" si="103"/>
        <v>0</v>
      </c>
      <c r="BE330">
        <f t="shared" si="103"/>
        <v>0</v>
      </c>
      <c r="BF330">
        <f t="shared" si="103"/>
        <v>0</v>
      </c>
      <c r="BG330">
        <f t="shared" si="103"/>
        <v>0</v>
      </c>
      <c r="BH330">
        <f t="shared" si="103"/>
        <v>0</v>
      </c>
      <c r="BI330">
        <f t="shared" si="104"/>
        <v>0</v>
      </c>
      <c r="BJ330" t="str">
        <f t="shared" si="104"/>
        <v>McInerney</v>
      </c>
      <c r="BK330">
        <f t="shared" si="104"/>
        <v>0</v>
      </c>
      <c r="BL330">
        <f t="shared" si="104"/>
        <v>0</v>
      </c>
      <c r="BM330">
        <f t="shared" si="104"/>
        <v>0</v>
      </c>
      <c r="BN330">
        <f t="shared" si="104"/>
        <v>0</v>
      </c>
      <c r="BO330">
        <f t="shared" si="104"/>
        <v>0</v>
      </c>
      <c r="BP330">
        <f t="shared" si="104"/>
        <v>0</v>
      </c>
      <c r="BQ330">
        <f t="shared" si="104"/>
        <v>0</v>
      </c>
      <c r="BR330">
        <f t="shared" si="104"/>
        <v>0</v>
      </c>
      <c r="BS330">
        <f t="shared" si="104"/>
        <v>0</v>
      </c>
    </row>
    <row r="331" spans="2:71" ht="15" customHeight="1" x14ac:dyDescent="0.2">
      <c r="B331">
        <v>13</v>
      </c>
      <c r="C331">
        <v>3</v>
      </c>
      <c r="D331">
        <v>6</v>
      </c>
      <c r="E331" t="s">
        <v>320</v>
      </c>
      <c r="F331" t="s">
        <v>214</v>
      </c>
      <c r="G331" s="5">
        <v>43308</v>
      </c>
      <c r="H331" t="s">
        <v>97</v>
      </c>
      <c r="I331" t="s">
        <v>305</v>
      </c>
      <c r="J331" t="s">
        <v>216</v>
      </c>
      <c r="K331">
        <v>9</v>
      </c>
      <c r="L331" t="s">
        <v>76</v>
      </c>
      <c r="M331" t="s">
        <v>306</v>
      </c>
      <c r="N331" t="s">
        <v>78</v>
      </c>
      <c r="O331">
        <v>70.5</v>
      </c>
      <c r="P331">
        <v>134</v>
      </c>
      <c r="Q331">
        <v>6389</v>
      </c>
      <c r="R331" t="s">
        <v>98</v>
      </c>
      <c r="S331" t="s">
        <v>80</v>
      </c>
      <c r="T331" t="s">
        <v>81</v>
      </c>
      <c r="U331" t="s">
        <v>59</v>
      </c>
      <c r="V331" t="s">
        <v>55</v>
      </c>
      <c r="W331" t="s">
        <v>307</v>
      </c>
      <c r="Y331" t="s">
        <v>43</v>
      </c>
      <c r="AA331">
        <v>1</v>
      </c>
      <c r="AB331" t="s">
        <v>33</v>
      </c>
      <c r="AC331" t="s">
        <v>209</v>
      </c>
      <c r="AE331" t="str">
        <f t="shared" si="101"/>
        <v>ColePoirier</v>
      </c>
      <c r="AF331">
        <v>0</v>
      </c>
      <c r="AG331">
        <v>0</v>
      </c>
      <c r="AH331">
        <v>1</v>
      </c>
      <c r="AI331">
        <v>0</v>
      </c>
      <c r="AJ331">
        <v>0</v>
      </c>
      <c r="AK331" t="s">
        <v>42</v>
      </c>
      <c r="AL331">
        <v>0.6171875</v>
      </c>
      <c r="AM331" t="s">
        <v>61</v>
      </c>
      <c r="AN331">
        <v>0.5</v>
      </c>
      <c r="AO331">
        <f t="shared" si="102"/>
        <v>0</v>
      </c>
      <c r="AP331">
        <f t="shared" si="102"/>
        <v>0</v>
      </c>
      <c r="AQ331">
        <f t="shared" si="102"/>
        <v>0</v>
      </c>
      <c r="AR331" t="str">
        <f t="shared" si="102"/>
        <v>Poirier</v>
      </c>
      <c r="AS331">
        <f t="shared" si="102"/>
        <v>0</v>
      </c>
      <c r="AT331">
        <f t="shared" si="102"/>
        <v>0</v>
      </c>
      <c r="AU331">
        <f t="shared" si="102"/>
        <v>0</v>
      </c>
      <c r="AV331">
        <f t="shared" si="102"/>
        <v>0</v>
      </c>
      <c r="AW331">
        <f t="shared" si="102"/>
        <v>0</v>
      </c>
      <c r="AX331">
        <f t="shared" si="102"/>
        <v>0</v>
      </c>
      <c r="AY331">
        <f t="shared" si="103"/>
        <v>0</v>
      </c>
      <c r="AZ331">
        <f t="shared" si="103"/>
        <v>0</v>
      </c>
      <c r="BA331">
        <f t="shared" si="103"/>
        <v>0</v>
      </c>
      <c r="BB331">
        <f t="shared" si="103"/>
        <v>0</v>
      </c>
      <c r="BC331">
        <f t="shared" si="103"/>
        <v>0</v>
      </c>
      <c r="BD331" t="str">
        <f t="shared" si="103"/>
        <v>Cole</v>
      </c>
      <c r="BE331">
        <f t="shared" si="103"/>
        <v>0</v>
      </c>
      <c r="BF331">
        <f t="shared" si="103"/>
        <v>0</v>
      </c>
      <c r="BG331">
        <f t="shared" si="103"/>
        <v>0</v>
      </c>
      <c r="BH331">
        <f t="shared" si="103"/>
        <v>0</v>
      </c>
      <c r="BI331">
        <f t="shared" si="104"/>
        <v>0</v>
      </c>
      <c r="BJ331">
        <f t="shared" si="104"/>
        <v>0</v>
      </c>
      <c r="BK331">
        <f t="shared" si="104"/>
        <v>0</v>
      </c>
      <c r="BL331">
        <f t="shared" si="104"/>
        <v>0</v>
      </c>
      <c r="BM331">
        <f t="shared" si="104"/>
        <v>0</v>
      </c>
      <c r="BN331">
        <f t="shared" si="104"/>
        <v>0</v>
      </c>
      <c r="BO331">
        <f t="shared" si="104"/>
        <v>0</v>
      </c>
      <c r="BP331">
        <f t="shared" si="104"/>
        <v>0</v>
      </c>
      <c r="BQ331">
        <f t="shared" si="104"/>
        <v>0</v>
      </c>
      <c r="BR331">
        <f t="shared" si="104"/>
        <v>0</v>
      </c>
      <c r="BS331">
        <f t="shared" si="104"/>
        <v>0</v>
      </c>
    </row>
    <row r="332" spans="2:71" ht="15" customHeight="1" x14ac:dyDescent="0.2">
      <c r="B332">
        <v>14</v>
      </c>
      <c r="C332">
        <v>4</v>
      </c>
      <c r="D332">
        <v>6</v>
      </c>
      <c r="E332" t="s">
        <v>321</v>
      </c>
      <c r="F332" t="s">
        <v>214</v>
      </c>
      <c r="G332" s="5">
        <v>43308</v>
      </c>
      <c r="H332" t="s">
        <v>97</v>
      </c>
      <c r="I332" t="s">
        <v>305</v>
      </c>
      <c r="J332" t="s">
        <v>216</v>
      </c>
      <c r="K332">
        <v>9</v>
      </c>
      <c r="L332" t="s">
        <v>76</v>
      </c>
      <c r="M332" t="s">
        <v>306</v>
      </c>
      <c r="N332" t="s">
        <v>78</v>
      </c>
      <c r="O332">
        <v>70.5</v>
      </c>
      <c r="P332">
        <v>134</v>
      </c>
      <c r="Q332">
        <v>6389</v>
      </c>
      <c r="R332" t="s">
        <v>98</v>
      </c>
      <c r="S332" t="s">
        <v>80</v>
      </c>
      <c r="T332" t="s">
        <v>81</v>
      </c>
      <c r="U332" t="s">
        <v>59</v>
      </c>
      <c r="V332" t="s">
        <v>59</v>
      </c>
      <c r="W332" t="s">
        <v>307</v>
      </c>
      <c r="Y332" t="s">
        <v>62</v>
      </c>
      <c r="AA332">
        <v>1</v>
      </c>
      <c r="AB332" t="s">
        <v>32</v>
      </c>
      <c r="AC332" t="s">
        <v>233</v>
      </c>
      <c r="AE332" t="str">
        <f t="shared" si="101"/>
        <v>NoratWelker</v>
      </c>
      <c r="AF332">
        <v>1</v>
      </c>
      <c r="AG332">
        <v>1</v>
      </c>
      <c r="AH332">
        <v>0</v>
      </c>
      <c r="AI332">
        <v>0</v>
      </c>
      <c r="AJ332">
        <v>1</v>
      </c>
      <c r="AK332" t="s">
        <v>40</v>
      </c>
      <c r="AL332">
        <v>0.546875</v>
      </c>
      <c r="AM332" t="s">
        <v>46</v>
      </c>
      <c r="AN332">
        <v>0.38392857142857201</v>
      </c>
      <c r="AO332">
        <f t="shared" ref="AO332:AX341" si="105">IF(OR($V332=AO$1,$Y332=AO$1),AO$1,0)</f>
        <v>0</v>
      </c>
      <c r="AP332">
        <f t="shared" si="105"/>
        <v>0</v>
      </c>
      <c r="AQ332">
        <f t="shared" si="105"/>
        <v>0</v>
      </c>
      <c r="AR332">
        <f t="shared" si="105"/>
        <v>0</v>
      </c>
      <c r="AS332">
        <f t="shared" si="105"/>
        <v>0</v>
      </c>
      <c r="AT332">
        <f t="shared" si="105"/>
        <v>0</v>
      </c>
      <c r="AU332">
        <f t="shared" si="105"/>
        <v>0</v>
      </c>
      <c r="AV332">
        <f t="shared" si="105"/>
        <v>0</v>
      </c>
      <c r="AW332">
        <f t="shared" si="105"/>
        <v>0</v>
      </c>
      <c r="AX332">
        <f t="shared" si="105"/>
        <v>0</v>
      </c>
      <c r="AY332">
        <f t="shared" ref="AY332:BH341" si="106">IF(OR($V332=AY$1,$Y332=AY$1),AY$1,0)</f>
        <v>0</v>
      </c>
      <c r="AZ332">
        <f t="shared" si="106"/>
        <v>0</v>
      </c>
      <c r="BA332">
        <f t="shared" si="106"/>
        <v>0</v>
      </c>
      <c r="BB332">
        <f t="shared" si="106"/>
        <v>0</v>
      </c>
      <c r="BC332">
        <f t="shared" si="106"/>
        <v>0</v>
      </c>
      <c r="BD332">
        <f t="shared" si="106"/>
        <v>0</v>
      </c>
      <c r="BE332">
        <f t="shared" si="106"/>
        <v>0</v>
      </c>
      <c r="BF332">
        <f t="shared" si="106"/>
        <v>0</v>
      </c>
      <c r="BG332">
        <f t="shared" si="106"/>
        <v>0</v>
      </c>
      <c r="BH332" t="str">
        <f t="shared" si="106"/>
        <v>Norat</v>
      </c>
      <c r="BI332">
        <f t="shared" ref="BI332:BS341" si="107">IF(OR($V332=BI$1,$Y332=BI$1),BI$1,0)</f>
        <v>0</v>
      </c>
      <c r="BJ332">
        <f t="shared" si="107"/>
        <v>0</v>
      </c>
      <c r="BK332" t="str">
        <f t="shared" si="107"/>
        <v>Welker</v>
      </c>
      <c r="BL332">
        <f t="shared" si="107"/>
        <v>0</v>
      </c>
      <c r="BM332">
        <f t="shared" si="107"/>
        <v>0</v>
      </c>
      <c r="BN332">
        <f t="shared" si="107"/>
        <v>0</v>
      </c>
      <c r="BO332">
        <f t="shared" si="107"/>
        <v>0</v>
      </c>
      <c r="BP332">
        <f t="shared" si="107"/>
        <v>0</v>
      </c>
      <c r="BQ332">
        <f t="shared" si="107"/>
        <v>0</v>
      </c>
      <c r="BR332">
        <f t="shared" si="107"/>
        <v>0</v>
      </c>
      <c r="BS332">
        <f t="shared" si="107"/>
        <v>0</v>
      </c>
    </row>
    <row r="333" spans="2:71" ht="15" customHeight="1" x14ac:dyDescent="0.2">
      <c r="B333">
        <v>14</v>
      </c>
      <c r="C333">
        <v>4</v>
      </c>
      <c r="D333">
        <v>6</v>
      </c>
      <c r="E333" t="s">
        <v>321</v>
      </c>
      <c r="F333" t="s">
        <v>214</v>
      </c>
      <c r="G333" s="5">
        <v>43308</v>
      </c>
      <c r="H333" t="s">
        <v>97</v>
      </c>
      <c r="I333" t="s">
        <v>305</v>
      </c>
      <c r="J333" t="s">
        <v>216</v>
      </c>
      <c r="K333">
        <v>9</v>
      </c>
      <c r="L333" t="s">
        <v>76</v>
      </c>
      <c r="M333" t="s">
        <v>306</v>
      </c>
      <c r="N333" t="s">
        <v>78</v>
      </c>
      <c r="O333">
        <v>70.5</v>
      </c>
      <c r="P333">
        <v>134</v>
      </c>
      <c r="Q333">
        <v>6389</v>
      </c>
      <c r="R333" t="s">
        <v>98</v>
      </c>
      <c r="S333" t="s">
        <v>80</v>
      </c>
      <c r="T333" t="s">
        <v>83</v>
      </c>
      <c r="U333" t="s">
        <v>54</v>
      </c>
      <c r="V333" t="s">
        <v>40</v>
      </c>
      <c r="W333" t="s">
        <v>78</v>
      </c>
      <c r="Y333" t="s">
        <v>46</v>
      </c>
      <c r="AA333">
        <v>1</v>
      </c>
      <c r="AB333" t="s">
        <v>33</v>
      </c>
      <c r="AC333" t="s">
        <v>233</v>
      </c>
      <c r="AE333" t="str">
        <f t="shared" si="101"/>
        <v>GriseMangold</v>
      </c>
      <c r="AF333">
        <v>0</v>
      </c>
      <c r="AG333">
        <v>0</v>
      </c>
      <c r="AH333">
        <v>1</v>
      </c>
      <c r="AI333">
        <v>0</v>
      </c>
      <c r="AJ333">
        <v>0</v>
      </c>
      <c r="AK333" t="s">
        <v>59</v>
      </c>
      <c r="AL333">
        <v>0.52777777777777801</v>
      </c>
      <c r="AM333" t="s">
        <v>62</v>
      </c>
      <c r="AN333">
        <v>0.51041666666666696</v>
      </c>
      <c r="AO333" t="str">
        <f t="shared" si="105"/>
        <v>Grise</v>
      </c>
      <c r="AP333">
        <f t="shared" si="105"/>
        <v>0</v>
      </c>
      <c r="AQ333">
        <f t="shared" si="105"/>
        <v>0</v>
      </c>
      <c r="AR333">
        <f t="shared" si="105"/>
        <v>0</v>
      </c>
      <c r="AS333">
        <f t="shared" si="105"/>
        <v>0</v>
      </c>
      <c r="AT333">
        <f t="shared" si="105"/>
        <v>0</v>
      </c>
      <c r="AU333" t="str">
        <f t="shared" si="105"/>
        <v>Mangold</v>
      </c>
      <c r="AV333">
        <f t="shared" si="105"/>
        <v>0</v>
      </c>
      <c r="AW333">
        <f t="shared" si="105"/>
        <v>0</v>
      </c>
      <c r="AX333">
        <f t="shared" si="105"/>
        <v>0</v>
      </c>
      <c r="AY333">
        <f t="shared" si="106"/>
        <v>0</v>
      </c>
      <c r="AZ333">
        <f t="shared" si="106"/>
        <v>0</v>
      </c>
      <c r="BA333">
        <f t="shared" si="106"/>
        <v>0</v>
      </c>
      <c r="BB333">
        <f t="shared" si="106"/>
        <v>0</v>
      </c>
      <c r="BC333">
        <f t="shared" si="106"/>
        <v>0</v>
      </c>
      <c r="BD333">
        <f t="shared" si="106"/>
        <v>0</v>
      </c>
      <c r="BE333">
        <f t="shared" si="106"/>
        <v>0</v>
      </c>
      <c r="BF333">
        <f t="shared" si="106"/>
        <v>0</v>
      </c>
      <c r="BG333">
        <f t="shared" si="106"/>
        <v>0</v>
      </c>
      <c r="BH333">
        <f t="shared" si="106"/>
        <v>0</v>
      </c>
      <c r="BI333">
        <f t="shared" si="107"/>
        <v>0</v>
      </c>
      <c r="BJ333">
        <f t="shared" si="107"/>
        <v>0</v>
      </c>
      <c r="BK333">
        <f t="shared" si="107"/>
        <v>0</v>
      </c>
      <c r="BL333">
        <f t="shared" si="107"/>
        <v>0</v>
      </c>
      <c r="BM333">
        <f t="shared" si="107"/>
        <v>0</v>
      </c>
      <c r="BN333">
        <f t="shared" si="107"/>
        <v>0</v>
      </c>
      <c r="BO333">
        <f t="shared" si="107"/>
        <v>0</v>
      </c>
      <c r="BP333">
        <f t="shared" si="107"/>
        <v>0</v>
      </c>
      <c r="BQ333">
        <f t="shared" si="107"/>
        <v>0</v>
      </c>
      <c r="BR333">
        <f t="shared" si="107"/>
        <v>0</v>
      </c>
      <c r="BS333">
        <f t="shared" si="107"/>
        <v>0</v>
      </c>
    </row>
    <row r="334" spans="2:71" ht="15" customHeight="1" x14ac:dyDescent="0.2">
      <c r="B334">
        <v>15</v>
      </c>
      <c r="C334">
        <v>5</v>
      </c>
      <c r="D334">
        <v>6</v>
      </c>
      <c r="E334" t="s">
        <v>322</v>
      </c>
      <c r="F334" t="s">
        <v>214</v>
      </c>
      <c r="G334" s="5">
        <v>43308</v>
      </c>
      <c r="H334" t="s">
        <v>97</v>
      </c>
      <c r="I334" t="s">
        <v>305</v>
      </c>
      <c r="J334" t="s">
        <v>216</v>
      </c>
      <c r="K334">
        <v>9</v>
      </c>
      <c r="L334" t="s">
        <v>76</v>
      </c>
      <c r="M334" t="s">
        <v>306</v>
      </c>
      <c r="N334" t="s">
        <v>78</v>
      </c>
      <c r="O334">
        <v>70.5</v>
      </c>
      <c r="P334">
        <v>134</v>
      </c>
      <c r="Q334">
        <v>6389</v>
      </c>
      <c r="R334" t="s">
        <v>98</v>
      </c>
      <c r="S334" t="s">
        <v>80</v>
      </c>
      <c r="T334" t="s">
        <v>83</v>
      </c>
      <c r="U334" t="s">
        <v>54</v>
      </c>
      <c r="V334" t="s">
        <v>57</v>
      </c>
      <c r="W334" t="s">
        <v>78</v>
      </c>
      <c r="Y334" t="s">
        <v>49</v>
      </c>
      <c r="AA334">
        <v>1</v>
      </c>
      <c r="AB334" t="s">
        <v>32</v>
      </c>
      <c r="AC334" t="s">
        <v>209</v>
      </c>
      <c r="AE334" t="str">
        <f t="shared" si="101"/>
        <v>BussShively</v>
      </c>
      <c r="AF334">
        <v>1</v>
      </c>
      <c r="AG334">
        <v>1</v>
      </c>
      <c r="AH334">
        <v>0</v>
      </c>
      <c r="AI334">
        <v>0</v>
      </c>
      <c r="AJ334">
        <v>1</v>
      </c>
      <c r="AK334" t="s">
        <v>52</v>
      </c>
      <c r="AL334">
        <v>0.34745762711864397</v>
      </c>
      <c r="AM334" t="s">
        <v>60</v>
      </c>
      <c r="AN334">
        <v>0.5</v>
      </c>
      <c r="AO334">
        <f t="shared" si="105"/>
        <v>0</v>
      </c>
      <c r="AP334">
        <f t="shared" si="105"/>
        <v>0</v>
      </c>
      <c r="AQ334">
        <f t="shared" si="105"/>
        <v>0</v>
      </c>
      <c r="AR334">
        <f t="shared" si="105"/>
        <v>0</v>
      </c>
      <c r="AS334">
        <f t="shared" si="105"/>
        <v>0</v>
      </c>
      <c r="AT334">
        <f t="shared" si="105"/>
        <v>0</v>
      </c>
      <c r="AU334">
        <f t="shared" si="105"/>
        <v>0</v>
      </c>
      <c r="AV334">
        <f t="shared" si="105"/>
        <v>0</v>
      </c>
      <c r="AW334">
        <f t="shared" si="105"/>
        <v>0</v>
      </c>
      <c r="AX334" t="str">
        <f t="shared" si="105"/>
        <v>Shively</v>
      </c>
      <c r="AY334">
        <f t="shared" si="106"/>
        <v>0</v>
      </c>
      <c r="AZ334">
        <f t="shared" si="106"/>
        <v>0</v>
      </c>
      <c r="BA334">
        <f t="shared" si="106"/>
        <v>0</v>
      </c>
      <c r="BB334">
        <f t="shared" si="106"/>
        <v>0</v>
      </c>
      <c r="BC334">
        <f t="shared" si="106"/>
        <v>0</v>
      </c>
      <c r="BD334">
        <f t="shared" si="106"/>
        <v>0</v>
      </c>
      <c r="BE334">
        <f t="shared" si="106"/>
        <v>0</v>
      </c>
      <c r="BF334" t="str">
        <f t="shared" si="106"/>
        <v>Buss</v>
      </c>
      <c r="BG334">
        <f t="shared" si="106"/>
        <v>0</v>
      </c>
      <c r="BH334">
        <f t="shared" si="106"/>
        <v>0</v>
      </c>
      <c r="BI334">
        <f t="shared" si="107"/>
        <v>0</v>
      </c>
      <c r="BJ334">
        <f t="shared" si="107"/>
        <v>0</v>
      </c>
      <c r="BK334">
        <f t="shared" si="107"/>
        <v>0</v>
      </c>
      <c r="BL334">
        <f t="shared" si="107"/>
        <v>0</v>
      </c>
      <c r="BM334">
        <f t="shared" si="107"/>
        <v>0</v>
      </c>
      <c r="BN334">
        <f t="shared" si="107"/>
        <v>0</v>
      </c>
      <c r="BO334">
        <f t="shared" si="107"/>
        <v>0</v>
      </c>
      <c r="BP334">
        <f t="shared" si="107"/>
        <v>0</v>
      </c>
      <c r="BQ334">
        <f t="shared" si="107"/>
        <v>0</v>
      </c>
      <c r="BR334">
        <f t="shared" si="107"/>
        <v>0</v>
      </c>
      <c r="BS334">
        <f t="shared" si="107"/>
        <v>0</v>
      </c>
    </row>
    <row r="335" spans="2:71" ht="15" customHeight="1" x14ac:dyDescent="0.2">
      <c r="B335">
        <v>15</v>
      </c>
      <c r="C335">
        <v>5</v>
      </c>
      <c r="D335">
        <v>6</v>
      </c>
      <c r="E335" t="s">
        <v>322</v>
      </c>
      <c r="F335" t="s">
        <v>214</v>
      </c>
      <c r="G335" s="5">
        <v>43308</v>
      </c>
      <c r="H335" t="s">
        <v>97</v>
      </c>
      <c r="I335" t="s">
        <v>305</v>
      </c>
      <c r="J335" t="s">
        <v>216</v>
      </c>
      <c r="K335">
        <v>9</v>
      </c>
      <c r="L335" t="s">
        <v>76</v>
      </c>
      <c r="M335" t="s">
        <v>306</v>
      </c>
      <c r="N335" t="s">
        <v>78</v>
      </c>
      <c r="O335">
        <v>70.5</v>
      </c>
      <c r="P335">
        <v>134</v>
      </c>
      <c r="Q335">
        <v>6389</v>
      </c>
      <c r="R335" t="s">
        <v>98</v>
      </c>
      <c r="S335" t="s">
        <v>80</v>
      </c>
      <c r="T335" t="s">
        <v>81</v>
      </c>
      <c r="U335" t="s">
        <v>59</v>
      </c>
      <c r="V335" t="s">
        <v>52</v>
      </c>
      <c r="W335" t="s">
        <v>307</v>
      </c>
      <c r="Y335" t="s">
        <v>60</v>
      </c>
      <c r="AA335">
        <v>1</v>
      </c>
      <c r="AB335" t="s">
        <v>33</v>
      </c>
      <c r="AC335" t="s">
        <v>209</v>
      </c>
      <c r="AE335" t="str">
        <f t="shared" si="101"/>
        <v>ConnorsZimmer</v>
      </c>
      <c r="AF335">
        <v>0</v>
      </c>
      <c r="AG335">
        <v>0</v>
      </c>
      <c r="AH335">
        <v>1</v>
      </c>
      <c r="AI335">
        <v>0</v>
      </c>
      <c r="AJ335">
        <v>0</v>
      </c>
      <c r="AK335" t="s">
        <v>57</v>
      </c>
      <c r="AL335">
        <v>0.44827586206896602</v>
      </c>
      <c r="AM335" t="s">
        <v>49</v>
      </c>
      <c r="AO335">
        <f t="shared" si="105"/>
        <v>0</v>
      </c>
      <c r="AP335">
        <f t="shared" si="105"/>
        <v>0</v>
      </c>
      <c r="AQ335">
        <f t="shared" si="105"/>
        <v>0</v>
      </c>
      <c r="AR335">
        <f t="shared" si="105"/>
        <v>0</v>
      </c>
      <c r="AS335">
        <f t="shared" si="105"/>
        <v>0</v>
      </c>
      <c r="AT335">
        <f t="shared" si="105"/>
        <v>0</v>
      </c>
      <c r="AU335">
        <f t="shared" si="105"/>
        <v>0</v>
      </c>
      <c r="AV335">
        <f t="shared" si="105"/>
        <v>0</v>
      </c>
      <c r="AW335">
        <f t="shared" si="105"/>
        <v>0</v>
      </c>
      <c r="AX335">
        <f t="shared" si="105"/>
        <v>0</v>
      </c>
      <c r="AY335">
        <f t="shared" si="106"/>
        <v>0</v>
      </c>
      <c r="AZ335">
        <f t="shared" si="106"/>
        <v>0</v>
      </c>
      <c r="BA335" t="str">
        <f t="shared" si="106"/>
        <v>Connors</v>
      </c>
      <c r="BB335">
        <f t="shared" si="106"/>
        <v>0</v>
      </c>
      <c r="BC335">
        <f t="shared" si="106"/>
        <v>0</v>
      </c>
      <c r="BD335">
        <f t="shared" si="106"/>
        <v>0</v>
      </c>
      <c r="BE335">
        <f t="shared" si="106"/>
        <v>0</v>
      </c>
      <c r="BF335">
        <f t="shared" si="106"/>
        <v>0</v>
      </c>
      <c r="BG335">
        <f t="shared" si="106"/>
        <v>0</v>
      </c>
      <c r="BH335">
        <f t="shared" si="106"/>
        <v>0</v>
      </c>
      <c r="BI335" t="str">
        <f t="shared" si="107"/>
        <v>Zimmer</v>
      </c>
      <c r="BJ335">
        <f t="shared" si="107"/>
        <v>0</v>
      </c>
      <c r="BK335">
        <f t="shared" si="107"/>
        <v>0</v>
      </c>
      <c r="BL335">
        <f t="shared" si="107"/>
        <v>0</v>
      </c>
      <c r="BM335">
        <f t="shared" si="107"/>
        <v>0</v>
      </c>
      <c r="BN335">
        <f t="shared" si="107"/>
        <v>0</v>
      </c>
      <c r="BO335">
        <f t="shared" si="107"/>
        <v>0</v>
      </c>
      <c r="BP335">
        <f t="shared" si="107"/>
        <v>0</v>
      </c>
      <c r="BQ335">
        <f t="shared" si="107"/>
        <v>0</v>
      </c>
      <c r="BR335">
        <f t="shared" si="107"/>
        <v>0</v>
      </c>
      <c r="BS335">
        <f t="shared" si="107"/>
        <v>0</v>
      </c>
    </row>
    <row r="336" spans="2:71" ht="15" customHeight="1" x14ac:dyDescent="0.2">
      <c r="B336">
        <v>16</v>
      </c>
      <c r="C336">
        <v>1</v>
      </c>
      <c r="D336">
        <v>6</v>
      </c>
      <c r="E336" t="s">
        <v>323</v>
      </c>
      <c r="F336" t="s">
        <v>214</v>
      </c>
      <c r="G336" s="5">
        <v>43308</v>
      </c>
      <c r="H336" t="s">
        <v>97</v>
      </c>
      <c r="I336" t="s">
        <v>305</v>
      </c>
      <c r="J336" t="s">
        <v>216</v>
      </c>
      <c r="K336">
        <v>9</v>
      </c>
      <c r="L336" t="s">
        <v>90</v>
      </c>
      <c r="M336" t="s">
        <v>306</v>
      </c>
      <c r="N336" t="s">
        <v>78</v>
      </c>
      <c r="O336">
        <v>70.5</v>
      </c>
      <c r="P336">
        <v>134</v>
      </c>
      <c r="Q336">
        <v>6389</v>
      </c>
      <c r="R336" t="s">
        <v>145</v>
      </c>
      <c r="S336" t="s">
        <v>80</v>
      </c>
      <c r="T336" t="s">
        <v>83</v>
      </c>
      <c r="U336" t="s">
        <v>54</v>
      </c>
      <c r="V336" t="s">
        <v>58</v>
      </c>
      <c r="W336" t="s">
        <v>78</v>
      </c>
      <c r="Y336" t="s">
        <v>48</v>
      </c>
      <c r="AA336">
        <v>1</v>
      </c>
      <c r="AB336" t="s">
        <v>32</v>
      </c>
      <c r="AC336" t="s">
        <v>324</v>
      </c>
      <c r="AE336" t="str">
        <f t="shared" si="101"/>
        <v>GrayLynch</v>
      </c>
      <c r="AF336">
        <v>1</v>
      </c>
      <c r="AG336">
        <v>1</v>
      </c>
      <c r="AH336">
        <v>0</v>
      </c>
      <c r="AI336">
        <v>0</v>
      </c>
      <c r="AJ336">
        <v>1</v>
      </c>
      <c r="AK336" t="s">
        <v>50</v>
      </c>
      <c r="AL336">
        <v>0.59523809523809501</v>
      </c>
      <c r="AM336" t="s">
        <v>44</v>
      </c>
      <c r="AN336">
        <v>0.4296875</v>
      </c>
      <c r="AO336">
        <f t="shared" si="105"/>
        <v>0</v>
      </c>
      <c r="AP336">
        <f t="shared" si="105"/>
        <v>0</v>
      </c>
      <c r="AQ336">
        <f t="shared" si="105"/>
        <v>0</v>
      </c>
      <c r="AR336">
        <f t="shared" si="105"/>
        <v>0</v>
      </c>
      <c r="AS336">
        <f t="shared" si="105"/>
        <v>0</v>
      </c>
      <c r="AT336">
        <f t="shared" si="105"/>
        <v>0</v>
      </c>
      <c r="AU336">
        <f t="shared" si="105"/>
        <v>0</v>
      </c>
      <c r="AV336">
        <f t="shared" si="105"/>
        <v>0</v>
      </c>
      <c r="AW336" t="str">
        <f t="shared" si="105"/>
        <v>Lynch</v>
      </c>
      <c r="AX336">
        <f t="shared" si="105"/>
        <v>0</v>
      </c>
      <c r="AY336">
        <f t="shared" si="106"/>
        <v>0</v>
      </c>
      <c r="AZ336">
        <f t="shared" si="106"/>
        <v>0</v>
      </c>
      <c r="BA336">
        <f t="shared" si="106"/>
        <v>0</v>
      </c>
      <c r="BB336">
        <f t="shared" si="106"/>
        <v>0</v>
      </c>
      <c r="BC336">
        <f t="shared" si="106"/>
        <v>0</v>
      </c>
      <c r="BD336">
        <f t="shared" si="106"/>
        <v>0</v>
      </c>
      <c r="BE336">
        <f t="shared" si="106"/>
        <v>0</v>
      </c>
      <c r="BF336">
        <f t="shared" si="106"/>
        <v>0</v>
      </c>
      <c r="BG336" t="str">
        <f t="shared" si="106"/>
        <v>Gray</v>
      </c>
      <c r="BH336">
        <f t="shared" si="106"/>
        <v>0</v>
      </c>
      <c r="BI336">
        <f t="shared" si="107"/>
        <v>0</v>
      </c>
      <c r="BJ336">
        <f t="shared" si="107"/>
        <v>0</v>
      </c>
      <c r="BK336">
        <f t="shared" si="107"/>
        <v>0</v>
      </c>
      <c r="BL336">
        <f t="shared" si="107"/>
        <v>0</v>
      </c>
      <c r="BM336">
        <f t="shared" si="107"/>
        <v>0</v>
      </c>
      <c r="BN336">
        <f t="shared" si="107"/>
        <v>0</v>
      </c>
      <c r="BO336">
        <f t="shared" si="107"/>
        <v>0</v>
      </c>
      <c r="BP336">
        <f t="shared" si="107"/>
        <v>0</v>
      </c>
      <c r="BQ336">
        <f t="shared" si="107"/>
        <v>0</v>
      </c>
      <c r="BR336">
        <f t="shared" si="107"/>
        <v>0</v>
      </c>
      <c r="BS336">
        <f t="shared" si="107"/>
        <v>0</v>
      </c>
    </row>
    <row r="337" spans="2:71" ht="15" customHeight="1" x14ac:dyDescent="0.2">
      <c r="B337">
        <v>16</v>
      </c>
      <c r="C337">
        <v>1</v>
      </c>
      <c r="D337">
        <v>6</v>
      </c>
      <c r="E337" t="s">
        <v>323</v>
      </c>
      <c r="F337" t="s">
        <v>214</v>
      </c>
      <c r="G337" s="5">
        <v>43308</v>
      </c>
      <c r="H337" t="s">
        <v>97</v>
      </c>
      <c r="I337" t="s">
        <v>305</v>
      </c>
      <c r="J337" t="s">
        <v>216</v>
      </c>
      <c r="K337">
        <v>9</v>
      </c>
      <c r="L337" t="s">
        <v>90</v>
      </c>
      <c r="M337" t="s">
        <v>306</v>
      </c>
      <c r="N337" t="s">
        <v>78</v>
      </c>
      <c r="O337">
        <v>70.5</v>
      </c>
      <c r="P337">
        <v>134</v>
      </c>
      <c r="Q337">
        <v>6389</v>
      </c>
      <c r="R337" t="s">
        <v>145</v>
      </c>
      <c r="S337" t="s">
        <v>80</v>
      </c>
      <c r="T337" t="s">
        <v>81</v>
      </c>
      <c r="U337" t="s">
        <v>59</v>
      </c>
      <c r="V337" t="s">
        <v>50</v>
      </c>
      <c r="W337" t="s">
        <v>307</v>
      </c>
      <c r="Y337" t="s">
        <v>44</v>
      </c>
      <c r="AA337">
        <v>1</v>
      </c>
      <c r="AB337" t="s">
        <v>33</v>
      </c>
      <c r="AC337" t="s">
        <v>324</v>
      </c>
      <c r="AE337" t="str">
        <f t="shared" si="101"/>
        <v>FerrinFlanders</v>
      </c>
      <c r="AF337">
        <v>0</v>
      </c>
      <c r="AG337">
        <v>0</v>
      </c>
      <c r="AH337">
        <v>1</v>
      </c>
      <c r="AI337">
        <v>0</v>
      </c>
      <c r="AJ337">
        <v>0</v>
      </c>
      <c r="AK337" t="s">
        <v>58</v>
      </c>
      <c r="AL337">
        <v>0.65476190476190499</v>
      </c>
      <c r="AM337" t="s">
        <v>48</v>
      </c>
      <c r="AN337">
        <v>0.5546875</v>
      </c>
      <c r="AO337">
        <f t="shared" si="105"/>
        <v>0</v>
      </c>
      <c r="AP337">
        <f t="shared" si="105"/>
        <v>0</v>
      </c>
      <c r="AQ337">
        <f t="shared" si="105"/>
        <v>0</v>
      </c>
      <c r="AR337">
        <f t="shared" si="105"/>
        <v>0</v>
      </c>
      <c r="AS337" t="str">
        <f t="shared" si="105"/>
        <v>Flanders</v>
      </c>
      <c r="AT337">
        <f t="shared" si="105"/>
        <v>0</v>
      </c>
      <c r="AU337">
        <f t="shared" si="105"/>
        <v>0</v>
      </c>
      <c r="AV337">
        <f t="shared" si="105"/>
        <v>0</v>
      </c>
      <c r="AW337">
        <f t="shared" si="105"/>
        <v>0</v>
      </c>
      <c r="AX337">
        <f t="shared" si="105"/>
        <v>0</v>
      </c>
      <c r="AY337" t="str">
        <f t="shared" si="106"/>
        <v>Ferrin</v>
      </c>
      <c r="AZ337">
        <f t="shared" si="106"/>
        <v>0</v>
      </c>
      <c r="BA337">
        <f t="shared" si="106"/>
        <v>0</v>
      </c>
      <c r="BB337">
        <f t="shared" si="106"/>
        <v>0</v>
      </c>
      <c r="BC337">
        <f t="shared" si="106"/>
        <v>0</v>
      </c>
      <c r="BD337">
        <f t="shared" si="106"/>
        <v>0</v>
      </c>
      <c r="BE337">
        <f t="shared" si="106"/>
        <v>0</v>
      </c>
      <c r="BF337">
        <f t="shared" si="106"/>
        <v>0</v>
      </c>
      <c r="BG337">
        <f t="shared" si="106"/>
        <v>0</v>
      </c>
      <c r="BH337">
        <f t="shared" si="106"/>
        <v>0</v>
      </c>
      <c r="BI337">
        <f t="shared" si="107"/>
        <v>0</v>
      </c>
      <c r="BJ337">
        <f t="shared" si="107"/>
        <v>0</v>
      </c>
      <c r="BK337">
        <f t="shared" si="107"/>
        <v>0</v>
      </c>
      <c r="BL337">
        <f t="shared" si="107"/>
        <v>0</v>
      </c>
      <c r="BM337">
        <f t="shared" si="107"/>
        <v>0</v>
      </c>
      <c r="BN337">
        <f t="shared" si="107"/>
        <v>0</v>
      </c>
      <c r="BO337">
        <f t="shared" si="107"/>
        <v>0</v>
      </c>
      <c r="BP337">
        <f t="shared" si="107"/>
        <v>0</v>
      </c>
      <c r="BQ337">
        <f t="shared" si="107"/>
        <v>0</v>
      </c>
      <c r="BR337">
        <f t="shared" si="107"/>
        <v>0</v>
      </c>
      <c r="BS337">
        <f t="shared" si="107"/>
        <v>0</v>
      </c>
    </row>
    <row r="338" spans="2:71" ht="15" customHeight="1" x14ac:dyDescent="0.2">
      <c r="B338">
        <v>17</v>
      </c>
      <c r="C338">
        <v>2</v>
      </c>
      <c r="D338">
        <v>6</v>
      </c>
      <c r="E338" t="s">
        <v>325</v>
      </c>
      <c r="F338" t="s">
        <v>214</v>
      </c>
      <c r="G338" s="5">
        <v>43308</v>
      </c>
      <c r="H338" t="s">
        <v>97</v>
      </c>
      <c r="I338" t="s">
        <v>305</v>
      </c>
      <c r="J338" t="s">
        <v>216</v>
      </c>
      <c r="K338">
        <v>9</v>
      </c>
      <c r="L338" t="s">
        <v>90</v>
      </c>
      <c r="M338" t="s">
        <v>306</v>
      </c>
      <c r="N338" t="s">
        <v>78</v>
      </c>
      <c r="O338">
        <v>70.5</v>
      </c>
      <c r="P338">
        <v>134</v>
      </c>
      <c r="Q338">
        <v>6389</v>
      </c>
      <c r="R338" t="s">
        <v>145</v>
      </c>
      <c r="S338" t="s">
        <v>80</v>
      </c>
      <c r="T338" t="s">
        <v>81</v>
      </c>
      <c r="U338" t="s">
        <v>59</v>
      </c>
      <c r="V338" t="s">
        <v>45</v>
      </c>
      <c r="W338" t="s">
        <v>307</v>
      </c>
      <c r="Y338" t="s">
        <v>53</v>
      </c>
      <c r="AA338">
        <v>1</v>
      </c>
      <c r="AB338" t="s">
        <v>32</v>
      </c>
      <c r="AC338" t="s">
        <v>326</v>
      </c>
      <c r="AE338" t="str">
        <f t="shared" si="101"/>
        <v>ConnollyForster</v>
      </c>
      <c r="AF338">
        <v>1</v>
      </c>
      <c r="AG338">
        <v>1</v>
      </c>
      <c r="AH338">
        <v>0</v>
      </c>
      <c r="AI338">
        <v>0</v>
      </c>
      <c r="AJ338">
        <v>1</v>
      </c>
      <c r="AK338" t="s">
        <v>54</v>
      </c>
      <c r="AL338">
        <v>0.37288135593220301</v>
      </c>
      <c r="AM338" t="s">
        <v>41</v>
      </c>
      <c r="AN338">
        <v>0.47321428571428598</v>
      </c>
      <c r="AO338">
        <f t="shared" si="105"/>
        <v>0</v>
      </c>
      <c r="AP338">
        <f t="shared" si="105"/>
        <v>0</v>
      </c>
      <c r="AQ338">
        <f t="shared" si="105"/>
        <v>0</v>
      </c>
      <c r="AR338">
        <f t="shared" si="105"/>
        <v>0</v>
      </c>
      <c r="AS338">
        <f t="shared" si="105"/>
        <v>0</v>
      </c>
      <c r="AT338" t="str">
        <f t="shared" si="105"/>
        <v>Connolly</v>
      </c>
      <c r="AU338">
        <f t="shared" si="105"/>
        <v>0</v>
      </c>
      <c r="AV338">
        <f t="shared" si="105"/>
        <v>0</v>
      </c>
      <c r="AW338">
        <f t="shared" si="105"/>
        <v>0</v>
      </c>
      <c r="AX338">
        <f t="shared" si="105"/>
        <v>0</v>
      </c>
      <c r="AY338">
        <f t="shared" si="106"/>
        <v>0</v>
      </c>
      <c r="AZ338">
        <f t="shared" si="106"/>
        <v>0</v>
      </c>
      <c r="BA338">
        <f t="shared" si="106"/>
        <v>0</v>
      </c>
      <c r="BB338" t="str">
        <f t="shared" si="106"/>
        <v>Forster</v>
      </c>
      <c r="BC338">
        <f t="shared" si="106"/>
        <v>0</v>
      </c>
      <c r="BD338">
        <f t="shared" si="106"/>
        <v>0</v>
      </c>
      <c r="BE338">
        <f t="shared" si="106"/>
        <v>0</v>
      </c>
      <c r="BF338">
        <f t="shared" si="106"/>
        <v>0</v>
      </c>
      <c r="BG338">
        <f t="shared" si="106"/>
        <v>0</v>
      </c>
      <c r="BH338">
        <f t="shared" si="106"/>
        <v>0</v>
      </c>
      <c r="BI338">
        <f t="shared" si="107"/>
        <v>0</v>
      </c>
      <c r="BJ338">
        <f t="shared" si="107"/>
        <v>0</v>
      </c>
      <c r="BK338">
        <f t="shared" si="107"/>
        <v>0</v>
      </c>
      <c r="BL338">
        <f t="shared" si="107"/>
        <v>0</v>
      </c>
      <c r="BM338">
        <f t="shared" si="107"/>
        <v>0</v>
      </c>
      <c r="BN338">
        <f t="shared" si="107"/>
        <v>0</v>
      </c>
      <c r="BO338">
        <f t="shared" si="107"/>
        <v>0</v>
      </c>
      <c r="BP338">
        <f t="shared" si="107"/>
        <v>0</v>
      </c>
      <c r="BQ338">
        <f t="shared" si="107"/>
        <v>0</v>
      </c>
      <c r="BR338">
        <f t="shared" si="107"/>
        <v>0</v>
      </c>
      <c r="BS338">
        <f t="shared" si="107"/>
        <v>0</v>
      </c>
    </row>
    <row r="339" spans="2:71" ht="15" customHeight="1" x14ac:dyDescent="0.2">
      <c r="B339">
        <v>17</v>
      </c>
      <c r="C339">
        <v>2</v>
      </c>
      <c r="D339">
        <v>6</v>
      </c>
      <c r="E339" t="s">
        <v>325</v>
      </c>
      <c r="F339" t="s">
        <v>214</v>
      </c>
      <c r="G339" s="5">
        <v>43308</v>
      </c>
      <c r="H339" t="s">
        <v>97</v>
      </c>
      <c r="I339" t="s">
        <v>305</v>
      </c>
      <c r="J339" t="s">
        <v>216</v>
      </c>
      <c r="K339">
        <v>9</v>
      </c>
      <c r="L339" t="s">
        <v>90</v>
      </c>
      <c r="M339" t="s">
        <v>306</v>
      </c>
      <c r="N339" t="s">
        <v>78</v>
      </c>
      <c r="O339">
        <v>70.5</v>
      </c>
      <c r="P339">
        <v>134</v>
      </c>
      <c r="Q339">
        <v>6389</v>
      </c>
      <c r="R339" t="s">
        <v>145</v>
      </c>
      <c r="S339" t="s">
        <v>80</v>
      </c>
      <c r="T339" t="s">
        <v>83</v>
      </c>
      <c r="U339" t="s">
        <v>54</v>
      </c>
      <c r="V339" t="s">
        <v>54</v>
      </c>
      <c r="W339" t="s">
        <v>78</v>
      </c>
      <c r="Y339" t="s">
        <v>41</v>
      </c>
      <c r="AA339">
        <v>1</v>
      </c>
      <c r="AB339" t="s">
        <v>33</v>
      </c>
      <c r="AC339" t="s">
        <v>326</v>
      </c>
      <c r="AE339" t="str">
        <f t="shared" si="101"/>
        <v>FoganHilts</v>
      </c>
      <c r="AF339">
        <v>0</v>
      </c>
      <c r="AG339">
        <v>0</v>
      </c>
      <c r="AH339">
        <v>1</v>
      </c>
      <c r="AI339">
        <v>0</v>
      </c>
      <c r="AJ339">
        <v>0</v>
      </c>
      <c r="AK339" t="s">
        <v>45</v>
      </c>
      <c r="AL339">
        <v>0.59375</v>
      </c>
      <c r="AM339" t="s">
        <v>53</v>
      </c>
      <c r="AN339">
        <v>0.59649122807017496</v>
      </c>
      <c r="AO339">
        <f t="shared" si="105"/>
        <v>0</v>
      </c>
      <c r="AP339" t="str">
        <f t="shared" si="105"/>
        <v>Hilts</v>
      </c>
      <c r="AQ339">
        <f t="shared" si="105"/>
        <v>0</v>
      </c>
      <c r="AR339">
        <f t="shared" si="105"/>
        <v>0</v>
      </c>
      <c r="AS339">
        <f t="shared" si="105"/>
        <v>0</v>
      </c>
      <c r="AT339">
        <f t="shared" si="105"/>
        <v>0</v>
      </c>
      <c r="AU339">
        <f t="shared" si="105"/>
        <v>0</v>
      </c>
      <c r="AV339">
        <f t="shared" si="105"/>
        <v>0</v>
      </c>
      <c r="AW339">
        <f t="shared" si="105"/>
        <v>0</v>
      </c>
      <c r="AX339">
        <f t="shared" si="105"/>
        <v>0</v>
      </c>
      <c r="AY339">
        <f t="shared" si="106"/>
        <v>0</v>
      </c>
      <c r="AZ339">
        <f t="shared" si="106"/>
        <v>0</v>
      </c>
      <c r="BA339">
        <f t="shared" si="106"/>
        <v>0</v>
      </c>
      <c r="BB339">
        <f t="shared" si="106"/>
        <v>0</v>
      </c>
      <c r="BC339" t="str">
        <f t="shared" si="106"/>
        <v>Fogan</v>
      </c>
      <c r="BD339">
        <f t="shared" si="106"/>
        <v>0</v>
      </c>
      <c r="BE339">
        <f t="shared" si="106"/>
        <v>0</v>
      </c>
      <c r="BF339">
        <f t="shared" si="106"/>
        <v>0</v>
      </c>
      <c r="BG339">
        <f t="shared" si="106"/>
        <v>0</v>
      </c>
      <c r="BH339">
        <f t="shared" si="106"/>
        <v>0</v>
      </c>
      <c r="BI339">
        <f t="shared" si="107"/>
        <v>0</v>
      </c>
      <c r="BJ339">
        <f t="shared" si="107"/>
        <v>0</v>
      </c>
      <c r="BK339">
        <f t="shared" si="107"/>
        <v>0</v>
      </c>
      <c r="BL339">
        <f t="shared" si="107"/>
        <v>0</v>
      </c>
      <c r="BM339">
        <f t="shared" si="107"/>
        <v>0</v>
      </c>
      <c r="BN339">
        <f t="shared" si="107"/>
        <v>0</v>
      </c>
      <c r="BO339">
        <f t="shared" si="107"/>
        <v>0</v>
      </c>
      <c r="BP339">
        <f t="shared" si="107"/>
        <v>0</v>
      </c>
      <c r="BQ339">
        <f t="shared" si="107"/>
        <v>0</v>
      </c>
      <c r="BR339">
        <f t="shared" si="107"/>
        <v>0</v>
      </c>
      <c r="BS339">
        <f t="shared" si="107"/>
        <v>0</v>
      </c>
    </row>
    <row r="340" spans="2:71" ht="15" customHeight="1" x14ac:dyDescent="0.2">
      <c r="B340">
        <v>18</v>
      </c>
      <c r="C340">
        <v>3</v>
      </c>
      <c r="D340">
        <v>6</v>
      </c>
      <c r="E340" t="s">
        <v>327</v>
      </c>
      <c r="F340" t="s">
        <v>214</v>
      </c>
      <c r="G340" s="5">
        <v>43308</v>
      </c>
      <c r="H340" t="s">
        <v>97</v>
      </c>
      <c r="I340" t="s">
        <v>305</v>
      </c>
      <c r="J340" t="s">
        <v>216</v>
      </c>
      <c r="K340">
        <v>9</v>
      </c>
      <c r="L340" t="s">
        <v>90</v>
      </c>
      <c r="M340" t="s">
        <v>306</v>
      </c>
      <c r="N340" t="s">
        <v>78</v>
      </c>
      <c r="O340">
        <v>70.5</v>
      </c>
      <c r="P340">
        <v>134</v>
      </c>
      <c r="Q340">
        <v>6389</v>
      </c>
      <c r="R340" t="s">
        <v>145</v>
      </c>
      <c r="S340" t="s">
        <v>80</v>
      </c>
      <c r="T340" t="s">
        <v>83</v>
      </c>
      <c r="U340" t="s">
        <v>54</v>
      </c>
      <c r="V340" t="s">
        <v>42</v>
      </c>
      <c r="W340" t="s">
        <v>78</v>
      </c>
      <c r="Y340" t="s">
        <v>61</v>
      </c>
      <c r="AA340">
        <v>1</v>
      </c>
      <c r="AB340" t="s">
        <v>32</v>
      </c>
      <c r="AC340" t="s">
        <v>328</v>
      </c>
      <c r="AE340" t="str">
        <f t="shared" si="101"/>
        <v>JacksonMcInerney</v>
      </c>
      <c r="AF340">
        <v>1</v>
      </c>
      <c r="AG340">
        <v>1</v>
      </c>
      <c r="AH340">
        <v>0</v>
      </c>
      <c r="AI340">
        <v>0</v>
      </c>
      <c r="AJ340">
        <v>1</v>
      </c>
      <c r="AK340" t="s">
        <v>55</v>
      </c>
      <c r="AL340">
        <v>0.44067796610169502</v>
      </c>
      <c r="AM340" t="s">
        <v>43</v>
      </c>
      <c r="AN340">
        <v>0.48611111111111099</v>
      </c>
      <c r="AO340">
        <f t="shared" si="105"/>
        <v>0</v>
      </c>
      <c r="AP340">
        <f t="shared" si="105"/>
        <v>0</v>
      </c>
      <c r="AQ340" t="str">
        <f t="shared" si="105"/>
        <v>Jackson</v>
      </c>
      <c r="AR340">
        <f t="shared" si="105"/>
        <v>0</v>
      </c>
      <c r="AS340">
        <f t="shared" si="105"/>
        <v>0</v>
      </c>
      <c r="AT340">
        <f t="shared" si="105"/>
        <v>0</v>
      </c>
      <c r="AU340">
        <f t="shared" si="105"/>
        <v>0</v>
      </c>
      <c r="AV340">
        <f t="shared" si="105"/>
        <v>0</v>
      </c>
      <c r="AW340">
        <f t="shared" si="105"/>
        <v>0</v>
      </c>
      <c r="AX340">
        <f t="shared" si="105"/>
        <v>0</v>
      </c>
      <c r="AY340">
        <f t="shared" si="106"/>
        <v>0</v>
      </c>
      <c r="AZ340">
        <f t="shared" si="106"/>
        <v>0</v>
      </c>
      <c r="BA340">
        <f t="shared" si="106"/>
        <v>0</v>
      </c>
      <c r="BB340">
        <f t="shared" si="106"/>
        <v>0</v>
      </c>
      <c r="BC340">
        <f t="shared" si="106"/>
        <v>0</v>
      </c>
      <c r="BD340">
        <f t="shared" si="106"/>
        <v>0</v>
      </c>
      <c r="BE340">
        <f t="shared" si="106"/>
        <v>0</v>
      </c>
      <c r="BF340">
        <f t="shared" si="106"/>
        <v>0</v>
      </c>
      <c r="BG340">
        <f t="shared" si="106"/>
        <v>0</v>
      </c>
      <c r="BH340">
        <f t="shared" si="106"/>
        <v>0</v>
      </c>
      <c r="BI340">
        <f t="shared" si="107"/>
        <v>0</v>
      </c>
      <c r="BJ340" t="str">
        <f t="shared" si="107"/>
        <v>McInerney</v>
      </c>
      <c r="BK340">
        <f t="shared" si="107"/>
        <v>0</v>
      </c>
      <c r="BL340">
        <f t="shared" si="107"/>
        <v>0</v>
      </c>
      <c r="BM340">
        <f t="shared" si="107"/>
        <v>0</v>
      </c>
      <c r="BN340">
        <f t="shared" si="107"/>
        <v>0</v>
      </c>
      <c r="BO340">
        <f t="shared" si="107"/>
        <v>0</v>
      </c>
      <c r="BP340">
        <f t="shared" si="107"/>
        <v>0</v>
      </c>
      <c r="BQ340">
        <f t="shared" si="107"/>
        <v>0</v>
      </c>
      <c r="BR340">
        <f t="shared" si="107"/>
        <v>0</v>
      </c>
      <c r="BS340">
        <f t="shared" si="107"/>
        <v>0</v>
      </c>
    </row>
    <row r="341" spans="2:71" ht="15" customHeight="1" x14ac:dyDescent="0.2">
      <c r="B341">
        <v>18</v>
      </c>
      <c r="C341">
        <v>3</v>
      </c>
      <c r="D341">
        <v>6</v>
      </c>
      <c r="E341" t="s">
        <v>327</v>
      </c>
      <c r="F341" t="s">
        <v>214</v>
      </c>
      <c r="G341" s="5">
        <v>43308</v>
      </c>
      <c r="H341" t="s">
        <v>97</v>
      </c>
      <c r="I341" t="s">
        <v>305</v>
      </c>
      <c r="J341" t="s">
        <v>216</v>
      </c>
      <c r="K341">
        <v>9</v>
      </c>
      <c r="L341" t="s">
        <v>90</v>
      </c>
      <c r="M341" t="s">
        <v>306</v>
      </c>
      <c r="N341" t="s">
        <v>78</v>
      </c>
      <c r="O341">
        <v>70.5</v>
      </c>
      <c r="P341">
        <v>134</v>
      </c>
      <c r="Q341">
        <v>6389</v>
      </c>
      <c r="R341" t="s">
        <v>145</v>
      </c>
      <c r="S341" t="s">
        <v>80</v>
      </c>
      <c r="T341" t="s">
        <v>81</v>
      </c>
      <c r="U341" t="s">
        <v>59</v>
      </c>
      <c r="V341" t="s">
        <v>55</v>
      </c>
      <c r="W341" t="s">
        <v>307</v>
      </c>
      <c r="Y341" t="s">
        <v>43</v>
      </c>
      <c r="AA341">
        <v>1</v>
      </c>
      <c r="AB341" t="s">
        <v>33</v>
      </c>
      <c r="AC341" t="s">
        <v>328</v>
      </c>
      <c r="AE341" t="str">
        <f t="shared" si="101"/>
        <v>ColePoirier</v>
      </c>
      <c r="AF341">
        <v>0</v>
      </c>
      <c r="AG341">
        <v>0</v>
      </c>
      <c r="AH341">
        <v>1</v>
      </c>
      <c r="AI341">
        <v>0</v>
      </c>
      <c r="AJ341">
        <v>0</v>
      </c>
      <c r="AK341" t="s">
        <v>42</v>
      </c>
      <c r="AL341">
        <v>0.6171875</v>
      </c>
      <c r="AM341" t="s">
        <v>61</v>
      </c>
      <c r="AN341">
        <v>0.5</v>
      </c>
      <c r="AO341">
        <f t="shared" si="105"/>
        <v>0</v>
      </c>
      <c r="AP341">
        <f t="shared" si="105"/>
        <v>0</v>
      </c>
      <c r="AQ341">
        <f t="shared" si="105"/>
        <v>0</v>
      </c>
      <c r="AR341" t="str">
        <f t="shared" si="105"/>
        <v>Poirier</v>
      </c>
      <c r="AS341">
        <f t="shared" si="105"/>
        <v>0</v>
      </c>
      <c r="AT341">
        <f t="shared" si="105"/>
        <v>0</v>
      </c>
      <c r="AU341">
        <f t="shared" si="105"/>
        <v>0</v>
      </c>
      <c r="AV341">
        <f t="shared" si="105"/>
        <v>0</v>
      </c>
      <c r="AW341">
        <f t="shared" si="105"/>
        <v>0</v>
      </c>
      <c r="AX341">
        <f t="shared" si="105"/>
        <v>0</v>
      </c>
      <c r="AY341">
        <f t="shared" si="106"/>
        <v>0</v>
      </c>
      <c r="AZ341">
        <f t="shared" si="106"/>
        <v>0</v>
      </c>
      <c r="BA341">
        <f t="shared" si="106"/>
        <v>0</v>
      </c>
      <c r="BB341">
        <f t="shared" si="106"/>
        <v>0</v>
      </c>
      <c r="BC341">
        <f t="shared" si="106"/>
        <v>0</v>
      </c>
      <c r="BD341" t="str">
        <f t="shared" si="106"/>
        <v>Cole</v>
      </c>
      <c r="BE341">
        <f t="shared" si="106"/>
        <v>0</v>
      </c>
      <c r="BF341">
        <f t="shared" si="106"/>
        <v>0</v>
      </c>
      <c r="BG341">
        <f t="shared" si="106"/>
        <v>0</v>
      </c>
      <c r="BH341">
        <f t="shared" si="106"/>
        <v>0</v>
      </c>
      <c r="BI341">
        <f t="shared" si="107"/>
        <v>0</v>
      </c>
      <c r="BJ341">
        <f t="shared" si="107"/>
        <v>0</v>
      </c>
      <c r="BK341">
        <f t="shared" si="107"/>
        <v>0</v>
      </c>
      <c r="BL341">
        <f t="shared" si="107"/>
        <v>0</v>
      </c>
      <c r="BM341">
        <f t="shared" si="107"/>
        <v>0</v>
      </c>
      <c r="BN341">
        <f t="shared" si="107"/>
        <v>0</v>
      </c>
      <c r="BO341">
        <f t="shared" si="107"/>
        <v>0</v>
      </c>
      <c r="BP341">
        <f t="shared" si="107"/>
        <v>0</v>
      </c>
      <c r="BQ341">
        <f t="shared" si="107"/>
        <v>0</v>
      </c>
      <c r="BR341">
        <f t="shared" si="107"/>
        <v>0</v>
      </c>
      <c r="BS341">
        <f t="shared" si="107"/>
        <v>0</v>
      </c>
    </row>
    <row r="342" spans="2:71" ht="15" customHeight="1" x14ac:dyDescent="0.2">
      <c r="B342">
        <v>19</v>
      </c>
      <c r="C342">
        <v>4</v>
      </c>
      <c r="D342">
        <v>6</v>
      </c>
      <c r="E342" t="s">
        <v>329</v>
      </c>
      <c r="F342" t="s">
        <v>214</v>
      </c>
      <c r="G342" s="5">
        <v>43308</v>
      </c>
      <c r="H342" t="s">
        <v>97</v>
      </c>
      <c r="I342" t="s">
        <v>305</v>
      </c>
      <c r="J342" t="s">
        <v>216</v>
      </c>
      <c r="K342">
        <v>9</v>
      </c>
      <c r="L342" t="s">
        <v>90</v>
      </c>
      <c r="M342" t="s">
        <v>306</v>
      </c>
      <c r="N342" t="s">
        <v>78</v>
      </c>
      <c r="O342">
        <v>70.5</v>
      </c>
      <c r="P342">
        <v>134</v>
      </c>
      <c r="Q342">
        <v>6389</v>
      </c>
      <c r="R342" t="s">
        <v>145</v>
      </c>
      <c r="S342" t="s">
        <v>80</v>
      </c>
      <c r="T342" t="s">
        <v>81</v>
      </c>
      <c r="U342" t="s">
        <v>59</v>
      </c>
      <c r="V342" t="s">
        <v>59</v>
      </c>
      <c r="W342" t="s">
        <v>307</v>
      </c>
      <c r="Y342" t="s">
        <v>62</v>
      </c>
      <c r="AA342">
        <v>1</v>
      </c>
      <c r="AB342" t="s">
        <v>32</v>
      </c>
      <c r="AC342" t="s">
        <v>236</v>
      </c>
      <c r="AE342" t="str">
        <f t="shared" si="101"/>
        <v>NoratWelker</v>
      </c>
      <c r="AF342">
        <v>1</v>
      </c>
      <c r="AG342">
        <v>1</v>
      </c>
      <c r="AH342">
        <v>0</v>
      </c>
      <c r="AI342">
        <v>0</v>
      </c>
      <c r="AJ342">
        <v>1</v>
      </c>
      <c r="AK342" t="s">
        <v>40</v>
      </c>
      <c r="AL342">
        <v>0.546875</v>
      </c>
      <c r="AM342" t="s">
        <v>46</v>
      </c>
      <c r="AN342">
        <v>0.38392857142857201</v>
      </c>
      <c r="AO342">
        <f t="shared" ref="AO342:AX351" si="108">IF(OR($V342=AO$1,$Y342=AO$1),AO$1,0)</f>
        <v>0</v>
      </c>
      <c r="AP342">
        <f t="shared" si="108"/>
        <v>0</v>
      </c>
      <c r="AQ342">
        <f t="shared" si="108"/>
        <v>0</v>
      </c>
      <c r="AR342">
        <f t="shared" si="108"/>
        <v>0</v>
      </c>
      <c r="AS342">
        <f t="shared" si="108"/>
        <v>0</v>
      </c>
      <c r="AT342">
        <f t="shared" si="108"/>
        <v>0</v>
      </c>
      <c r="AU342">
        <f t="shared" si="108"/>
        <v>0</v>
      </c>
      <c r="AV342">
        <f t="shared" si="108"/>
        <v>0</v>
      </c>
      <c r="AW342">
        <f t="shared" si="108"/>
        <v>0</v>
      </c>
      <c r="AX342">
        <f t="shared" si="108"/>
        <v>0</v>
      </c>
      <c r="AY342">
        <f t="shared" ref="AY342:BH351" si="109">IF(OR($V342=AY$1,$Y342=AY$1),AY$1,0)</f>
        <v>0</v>
      </c>
      <c r="AZ342">
        <f t="shared" si="109"/>
        <v>0</v>
      </c>
      <c r="BA342">
        <f t="shared" si="109"/>
        <v>0</v>
      </c>
      <c r="BB342">
        <f t="shared" si="109"/>
        <v>0</v>
      </c>
      <c r="BC342">
        <f t="shared" si="109"/>
        <v>0</v>
      </c>
      <c r="BD342">
        <f t="shared" si="109"/>
        <v>0</v>
      </c>
      <c r="BE342">
        <f t="shared" si="109"/>
        <v>0</v>
      </c>
      <c r="BF342">
        <f t="shared" si="109"/>
        <v>0</v>
      </c>
      <c r="BG342">
        <f t="shared" si="109"/>
        <v>0</v>
      </c>
      <c r="BH342" t="str">
        <f t="shared" si="109"/>
        <v>Norat</v>
      </c>
      <c r="BI342">
        <f t="shared" ref="BI342:BS351" si="110">IF(OR($V342=BI$1,$Y342=BI$1),BI$1,0)</f>
        <v>0</v>
      </c>
      <c r="BJ342">
        <f t="shared" si="110"/>
        <v>0</v>
      </c>
      <c r="BK342" t="str">
        <f t="shared" si="110"/>
        <v>Welker</v>
      </c>
      <c r="BL342">
        <f t="shared" si="110"/>
        <v>0</v>
      </c>
      <c r="BM342">
        <f t="shared" si="110"/>
        <v>0</v>
      </c>
      <c r="BN342">
        <f t="shared" si="110"/>
        <v>0</v>
      </c>
      <c r="BO342">
        <f t="shared" si="110"/>
        <v>0</v>
      </c>
      <c r="BP342">
        <f t="shared" si="110"/>
        <v>0</v>
      </c>
      <c r="BQ342">
        <f t="shared" si="110"/>
        <v>0</v>
      </c>
      <c r="BR342">
        <f t="shared" si="110"/>
        <v>0</v>
      </c>
      <c r="BS342">
        <f t="shared" si="110"/>
        <v>0</v>
      </c>
    </row>
    <row r="343" spans="2:71" ht="15" customHeight="1" x14ac:dyDescent="0.2">
      <c r="B343">
        <v>19</v>
      </c>
      <c r="C343">
        <v>4</v>
      </c>
      <c r="D343">
        <v>6</v>
      </c>
      <c r="E343" t="s">
        <v>329</v>
      </c>
      <c r="F343" t="s">
        <v>214</v>
      </c>
      <c r="G343" s="5">
        <v>43308</v>
      </c>
      <c r="H343" t="s">
        <v>97</v>
      </c>
      <c r="I343" t="s">
        <v>305</v>
      </c>
      <c r="J343" t="s">
        <v>216</v>
      </c>
      <c r="K343">
        <v>9</v>
      </c>
      <c r="L343" t="s">
        <v>90</v>
      </c>
      <c r="M343" t="s">
        <v>306</v>
      </c>
      <c r="N343" t="s">
        <v>78</v>
      </c>
      <c r="O343">
        <v>70.5</v>
      </c>
      <c r="P343">
        <v>134</v>
      </c>
      <c r="Q343">
        <v>6389</v>
      </c>
      <c r="R343" t="s">
        <v>145</v>
      </c>
      <c r="S343" t="s">
        <v>80</v>
      </c>
      <c r="T343" t="s">
        <v>83</v>
      </c>
      <c r="U343" t="s">
        <v>54</v>
      </c>
      <c r="V343" t="s">
        <v>40</v>
      </c>
      <c r="W343" t="s">
        <v>78</v>
      </c>
      <c r="Y343" t="s">
        <v>46</v>
      </c>
      <c r="AA343">
        <v>1</v>
      </c>
      <c r="AB343" t="s">
        <v>33</v>
      </c>
      <c r="AC343" t="s">
        <v>236</v>
      </c>
      <c r="AE343" t="str">
        <f t="shared" si="101"/>
        <v>GriseMangold</v>
      </c>
      <c r="AF343">
        <v>0</v>
      </c>
      <c r="AG343">
        <v>0</v>
      </c>
      <c r="AH343">
        <v>1</v>
      </c>
      <c r="AI343">
        <v>0</v>
      </c>
      <c r="AJ343">
        <v>0</v>
      </c>
      <c r="AK343" t="s">
        <v>59</v>
      </c>
      <c r="AL343">
        <v>0.52777777777777801</v>
      </c>
      <c r="AM343" t="s">
        <v>62</v>
      </c>
      <c r="AN343">
        <v>0.51041666666666696</v>
      </c>
      <c r="AO343" t="str">
        <f t="shared" si="108"/>
        <v>Grise</v>
      </c>
      <c r="AP343">
        <f t="shared" si="108"/>
        <v>0</v>
      </c>
      <c r="AQ343">
        <f t="shared" si="108"/>
        <v>0</v>
      </c>
      <c r="AR343">
        <f t="shared" si="108"/>
        <v>0</v>
      </c>
      <c r="AS343">
        <f t="shared" si="108"/>
        <v>0</v>
      </c>
      <c r="AT343">
        <f t="shared" si="108"/>
        <v>0</v>
      </c>
      <c r="AU343" t="str">
        <f t="shared" si="108"/>
        <v>Mangold</v>
      </c>
      <c r="AV343">
        <f t="shared" si="108"/>
        <v>0</v>
      </c>
      <c r="AW343">
        <f t="shared" si="108"/>
        <v>0</v>
      </c>
      <c r="AX343">
        <f t="shared" si="108"/>
        <v>0</v>
      </c>
      <c r="AY343">
        <f t="shared" si="109"/>
        <v>0</v>
      </c>
      <c r="AZ343">
        <f t="shared" si="109"/>
        <v>0</v>
      </c>
      <c r="BA343">
        <f t="shared" si="109"/>
        <v>0</v>
      </c>
      <c r="BB343">
        <f t="shared" si="109"/>
        <v>0</v>
      </c>
      <c r="BC343">
        <f t="shared" si="109"/>
        <v>0</v>
      </c>
      <c r="BD343">
        <f t="shared" si="109"/>
        <v>0</v>
      </c>
      <c r="BE343">
        <f t="shared" si="109"/>
        <v>0</v>
      </c>
      <c r="BF343">
        <f t="shared" si="109"/>
        <v>0</v>
      </c>
      <c r="BG343">
        <f t="shared" si="109"/>
        <v>0</v>
      </c>
      <c r="BH343">
        <f t="shared" si="109"/>
        <v>0</v>
      </c>
      <c r="BI343">
        <f t="shared" si="110"/>
        <v>0</v>
      </c>
      <c r="BJ343">
        <f t="shared" si="110"/>
        <v>0</v>
      </c>
      <c r="BK343">
        <f t="shared" si="110"/>
        <v>0</v>
      </c>
      <c r="BL343">
        <f t="shared" si="110"/>
        <v>0</v>
      </c>
      <c r="BM343">
        <f t="shared" si="110"/>
        <v>0</v>
      </c>
      <c r="BN343">
        <f t="shared" si="110"/>
        <v>0</v>
      </c>
      <c r="BO343">
        <f t="shared" si="110"/>
        <v>0</v>
      </c>
      <c r="BP343">
        <f t="shared" si="110"/>
        <v>0</v>
      </c>
      <c r="BQ343">
        <f t="shared" si="110"/>
        <v>0</v>
      </c>
      <c r="BR343">
        <f t="shared" si="110"/>
        <v>0</v>
      </c>
      <c r="BS343">
        <f t="shared" si="110"/>
        <v>0</v>
      </c>
    </row>
    <row r="344" spans="2:71" ht="15" customHeight="1" x14ac:dyDescent="0.2">
      <c r="B344">
        <v>20</v>
      </c>
      <c r="C344">
        <v>5</v>
      </c>
      <c r="D344">
        <v>6</v>
      </c>
      <c r="E344" t="s">
        <v>330</v>
      </c>
      <c r="F344" t="s">
        <v>214</v>
      </c>
      <c r="G344" s="5">
        <v>43308</v>
      </c>
      <c r="H344" t="s">
        <v>97</v>
      </c>
      <c r="I344" t="s">
        <v>305</v>
      </c>
      <c r="J344" t="s">
        <v>216</v>
      </c>
      <c r="K344">
        <v>9</v>
      </c>
      <c r="L344" t="s">
        <v>90</v>
      </c>
      <c r="M344" t="s">
        <v>306</v>
      </c>
      <c r="N344" t="s">
        <v>78</v>
      </c>
      <c r="O344">
        <v>70.5</v>
      </c>
      <c r="P344">
        <v>134</v>
      </c>
      <c r="Q344">
        <v>6389</v>
      </c>
      <c r="R344" t="s">
        <v>145</v>
      </c>
      <c r="S344" t="s">
        <v>80</v>
      </c>
      <c r="T344" t="s">
        <v>83</v>
      </c>
      <c r="U344" t="s">
        <v>54</v>
      </c>
      <c r="V344" t="s">
        <v>57</v>
      </c>
      <c r="W344" t="s">
        <v>78</v>
      </c>
      <c r="Y344" t="s">
        <v>49</v>
      </c>
      <c r="AA344">
        <v>1</v>
      </c>
      <c r="AB344" t="s">
        <v>33</v>
      </c>
      <c r="AC344" t="s">
        <v>331</v>
      </c>
      <c r="AE344" t="str">
        <f t="shared" si="101"/>
        <v>BussShively</v>
      </c>
      <c r="AF344">
        <v>0</v>
      </c>
      <c r="AG344">
        <v>0</v>
      </c>
      <c r="AH344">
        <v>1</v>
      </c>
      <c r="AI344">
        <v>0</v>
      </c>
      <c r="AJ344">
        <v>0</v>
      </c>
      <c r="AK344" t="s">
        <v>52</v>
      </c>
      <c r="AL344">
        <v>0.34745762711864397</v>
      </c>
      <c r="AM344" t="s">
        <v>60</v>
      </c>
      <c r="AN344">
        <v>0.5</v>
      </c>
      <c r="AO344">
        <f t="shared" si="108"/>
        <v>0</v>
      </c>
      <c r="AP344">
        <f t="shared" si="108"/>
        <v>0</v>
      </c>
      <c r="AQ344">
        <f t="shared" si="108"/>
        <v>0</v>
      </c>
      <c r="AR344">
        <f t="shared" si="108"/>
        <v>0</v>
      </c>
      <c r="AS344">
        <f t="shared" si="108"/>
        <v>0</v>
      </c>
      <c r="AT344">
        <f t="shared" si="108"/>
        <v>0</v>
      </c>
      <c r="AU344">
        <f t="shared" si="108"/>
        <v>0</v>
      </c>
      <c r="AV344">
        <f t="shared" si="108"/>
        <v>0</v>
      </c>
      <c r="AW344">
        <f t="shared" si="108"/>
        <v>0</v>
      </c>
      <c r="AX344" t="str">
        <f t="shared" si="108"/>
        <v>Shively</v>
      </c>
      <c r="AY344">
        <f t="shared" si="109"/>
        <v>0</v>
      </c>
      <c r="AZ344">
        <f t="shared" si="109"/>
        <v>0</v>
      </c>
      <c r="BA344">
        <f t="shared" si="109"/>
        <v>0</v>
      </c>
      <c r="BB344">
        <f t="shared" si="109"/>
        <v>0</v>
      </c>
      <c r="BC344">
        <f t="shared" si="109"/>
        <v>0</v>
      </c>
      <c r="BD344">
        <f t="shared" si="109"/>
        <v>0</v>
      </c>
      <c r="BE344">
        <f t="shared" si="109"/>
        <v>0</v>
      </c>
      <c r="BF344" t="str">
        <f t="shared" si="109"/>
        <v>Buss</v>
      </c>
      <c r="BG344">
        <f t="shared" si="109"/>
        <v>0</v>
      </c>
      <c r="BH344">
        <f t="shared" si="109"/>
        <v>0</v>
      </c>
      <c r="BI344">
        <f t="shared" si="110"/>
        <v>0</v>
      </c>
      <c r="BJ344">
        <f t="shared" si="110"/>
        <v>0</v>
      </c>
      <c r="BK344">
        <f t="shared" si="110"/>
        <v>0</v>
      </c>
      <c r="BL344">
        <f t="shared" si="110"/>
        <v>0</v>
      </c>
      <c r="BM344">
        <f t="shared" si="110"/>
        <v>0</v>
      </c>
      <c r="BN344">
        <f t="shared" si="110"/>
        <v>0</v>
      </c>
      <c r="BO344">
        <f t="shared" si="110"/>
        <v>0</v>
      </c>
      <c r="BP344">
        <f t="shared" si="110"/>
        <v>0</v>
      </c>
      <c r="BQ344">
        <f t="shared" si="110"/>
        <v>0</v>
      </c>
      <c r="BR344">
        <f t="shared" si="110"/>
        <v>0</v>
      </c>
      <c r="BS344">
        <f t="shared" si="110"/>
        <v>0</v>
      </c>
    </row>
    <row r="345" spans="2:71" ht="15" customHeight="1" x14ac:dyDescent="0.2">
      <c r="B345">
        <v>20</v>
      </c>
      <c r="C345">
        <v>5</v>
      </c>
      <c r="D345">
        <v>6</v>
      </c>
      <c r="E345" t="s">
        <v>330</v>
      </c>
      <c r="F345" t="s">
        <v>214</v>
      </c>
      <c r="G345" s="5">
        <v>43308</v>
      </c>
      <c r="H345" t="s">
        <v>97</v>
      </c>
      <c r="I345" t="s">
        <v>305</v>
      </c>
      <c r="J345" t="s">
        <v>216</v>
      </c>
      <c r="K345">
        <v>9</v>
      </c>
      <c r="L345" t="s">
        <v>90</v>
      </c>
      <c r="M345" t="s">
        <v>306</v>
      </c>
      <c r="N345" t="s">
        <v>78</v>
      </c>
      <c r="O345">
        <v>70.5</v>
      </c>
      <c r="P345">
        <v>134</v>
      </c>
      <c r="Q345">
        <v>6389</v>
      </c>
      <c r="R345" t="s">
        <v>145</v>
      </c>
      <c r="S345" t="s">
        <v>80</v>
      </c>
      <c r="T345" t="s">
        <v>81</v>
      </c>
      <c r="U345" t="s">
        <v>59</v>
      </c>
      <c r="V345" t="s">
        <v>52</v>
      </c>
      <c r="W345" t="s">
        <v>307</v>
      </c>
      <c r="Y345" t="s">
        <v>60</v>
      </c>
      <c r="AA345">
        <v>1</v>
      </c>
      <c r="AB345" t="s">
        <v>32</v>
      </c>
      <c r="AC345" t="s">
        <v>331</v>
      </c>
      <c r="AE345" t="str">
        <f t="shared" si="101"/>
        <v>ConnorsZimmer</v>
      </c>
      <c r="AF345">
        <v>1</v>
      </c>
      <c r="AG345">
        <v>1</v>
      </c>
      <c r="AH345">
        <v>0</v>
      </c>
      <c r="AI345">
        <v>0</v>
      </c>
      <c r="AJ345">
        <v>1</v>
      </c>
      <c r="AK345" t="s">
        <v>57</v>
      </c>
      <c r="AL345">
        <v>0.44827586206896602</v>
      </c>
      <c r="AM345" t="s">
        <v>49</v>
      </c>
      <c r="AO345">
        <f t="shared" si="108"/>
        <v>0</v>
      </c>
      <c r="AP345">
        <f t="shared" si="108"/>
        <v>0</v>
      </c>
      <c r="AQ345">
        <f t="shared" si="108"/>
        <v>0</v>
      </c>
      <c r="AR345">
        <f t="shared" si="108"/>
        <v>0</v>
      </c>
      <c r="AS345">
        <f t="shared" si="108"/>
        <v>0</v>
      </c>
      <c r="AT345">
        <f t="shared" si="108"/>
        <v>0</v>
      </c>
      <c r="AU345">
        <f t="shared" si="108"/>
        <v>0</v>
      </c>
      <c r="AV345">
        <f t="shared" si="108"/>
        <v>0</v>
      </c>
      <c r="AW345">
        <f t="shared" si="108"/>
        <v>0</v>
      </c>
      <c r="AX345">
        <f t="shared" si="108"/>
        <v>0</v>
      </c>
      <c r="AY345">
        <f t="shared" si="109"/>
        <v>0</v>
      </c>
      <c r="AZ345">
        <f t="shared" si="109"/>
        <v>0</v>
      </c>
      <c r="BA345" t="str">
        <f t="shared" si="109"/>
        <v>Connors</v>
      </c>
      <c r="BB345">
        <f t="shared" si="109"/>
        <v>0</v>
      </c>
      <c r="BC345">
        <f t="shared" si="109"/>
        <v>0</v>
      </c>
      <c r="BD345">
        <f t="shared" si="109"/>
        <v>0</v>
      </c>
      <c r="BE345">
        <f t="shared" si="109"/>
        <v>0</v>
      </c>
      <c r="BF345">
        <f t="shared" si="109"/>
        <v>0</v>
      </c>
      <c r="BG345">
        <f t="shared" si="109"/>
        <v>0</v>
      </c>
      <c r="BH345">
        <f t="shared" si="109"/>
        <v>0</v>
      </c>
      <c r="BI345" t="str">
        <f t="shared" si="110"/>
        <v>Zimmer</v>
      </c>
      <c r="BJ345">
        <f t="shared" si="110"/>
        <v>0</v>
      </c>
      <c r="BK345">
        <f t="shared" si="110"/>
        <v>0</v>
      </c>
      <c r="BL345">
        <f t="shared" si="110"/>
        <v>0</v>
      </c>
      <c r="BM345">
        <f t="shared" si="110"/>
        <v>0</v>
      </c>
      <c r="BN345">
        <f t="shared" si="110"/>
        <v>0</v>
      </c>
      <c r="BO345">
        <f t="shared" si="110"/>
        <v>0</v>
      </c>
      <c r="BP345">
        <f t="shared" si="110"/>
        <v>0</v>
      </c>
      <c r="BQ345">
        <f t="shared" si="110"/>
        <v>0</v>
      </c>
      <c r="BR345">
        <f t="shared" si="110"/>
        <v>0</v>
      </c>
      <c r="BS345">
        <f t="shared" si="110"/>
        <v>0</v>
      </c>
    </row>
    <row r="346" spans="2:71" ht="15" customHeight="1" x14ac:dyDescent="0.2">
      <c r="B346" t="s">
        <v>245</v>
      </c>
      <c r="D346">
        <v>6</v>
      </c>
      <c r="E346" t="s">
        <v>332</v>
      </c>
      <c r="F346" t="s">
        <v>214</v>
      </c>
      <c r="G346" s="5">
        <v>43308</v>
      </c>
      <c r="H346" t="s">
        <v>97</v>
      </c>
      <c r="I346" t="s">
        <v>305</v>
      </c>
      <c r="J346" t="s">
        <v>216</v>
      </c>
      <c r="K346">
        <v>9</v>
      </c>
      <c r="L346" t="s">
        <v>76</v>
      </c>
      <c r="M346" t="s">
        <v>306</v>
      </c>
      <c r="N346" t="s">
        <v>78</v>
      </c>
      <c r="O346">
        <v>70.5</v>
      </c>
      <c r="P346">
        <v>134</v>
      </c>
      <c r="Q346">
        <v>6389</v>
      </c>
      <c r="R346" t="s">
        <v>248</v>
      </c>
      <c r="S346" t="s">
        <v>248</v>
      </c>
      <c r="T346" t="s">
        <v>83</v>
      </c>
      <c r="U346" t="s">
        <v>54</v>
      </c>
      <c r="V346" t="s">
        <v>58</v>
      </c>
      <c r="W346" t="s">
        <v>78</v>
      </c>
      <c r="AA346">
        <v>0.5</v>
      </c>
      <c r="AB346" t="s">
        <v>32</v>
      </c>
      <c r="AE346" t="str">
        <f t="shared" si="101"/>
        <v>Gray</v>
      </c>
      <c r="AF346">
        <v>0.5</v>
      </c>
      <c r="AG346">
        <v>1</v>
      </c>
      <c r="AH346">
        <v>0</v>
      </c>
      <c r="AI346">
        <v>0</v>
      </c>
      <c r="AJ346">
        <v>1</v>
      </c>
      <c r="AO346">
        <f t="shared" si="108"/>
        <v>0</v>
      </c>
      <c r="AP346">
        <f t="shared" si="108"/>
        <v>0</v>
      </c>
      <c r="AQ346">
        <f t="shared" si="108"/>
        <v>0</v>
      </c>
      <c r="AR346">
        <f t="shared" si="108"/>
        <v>0</v>
      </c>
      <c r="AS346">
        <f t="shared" si="108"/>
        <v>0</v>
      </c>
      <c r="AT346">
        <f t="shared" si="108"/>
        <v>0</v>
      </c>
      <c r="AU346">
        <f t="shared" si="108"/>
        <v>0</v>
      </c>
      <c r="AV346">
        <f t="shared" si="108"/>
        <v>0</v>
      </c>
      <c r="AW346">
        <f t="shared" si="108"/>
        <v>0</v>
      </c>
      <c r="AX346">
        <f t="shared" si="108"/>
        <v>0</v>
      </c>
      <c r="AY346">
        <f t="shared" si="109"/>
        <v>0</v>
      </c>
      <c r="AZ346">
        <f t="shared" si="109"/>
        <v>0</v>
      </c>
      <c r="BA346">
        <f t="shared" si="109"/>
        <v>0</v>
      </c>
      <c r="BB346">
        <f t="shared" si="109"/>
        <v>0</v>
      </c>
      <c r="BC346">
        <f t="shared" si="109"/>
        <v>0</v>
      </c>
      <c r="BD346">
        <f t="shared" si="109"/>
        <v>0</v>
      </c>
      <c r="BE346">
        <f t="shared" si="109"/>
        <v>0</v>
      </c>
      <c r="BF346">
        <f t="shared" si="109"/>
        <v>0</v>
      </c>
      <c r="BG346" t="str">
        <f t="shared" si="109"/>
        <v>Gray</v>
      </c>
      <c r="BH346">
        <f t="shared" si="109"/>
        <v>0</v>
      </c>
      <c r="BI346">
        <f t="shared" si="110"/>
        <v>0</v>
      </c>
      <c r="BJ346">
        <f t="shared" si="110"/>
        <v>0</v>
      </c>
      <c r="BK346">
        <f t="shared" si="110"/>
        <v>0</v>
      </c>
      <c r="BL346">
        <f t="shared" si="110"/>
        <v>0</v>
      </c>
      <c r="BM346">
        <f t="shared" si="110"/>
        <v>0</v>
      </c>
      <c r="BN346">
        <f t="shared" si="110"/>
        <v>0</v>
      </c>
      <c r="BO346">
        <f t="shared" si="110"/>
        <v>0</v>
      </c>
      <c r="BP346">
        <f t="shared" si="110"/>
        <v>0</v>
      </c>
      <c r="BQ346">
        <f t="shared" si="110"/>
        <v>0</v>
      </c>
      <c r="BR346">
        <f t="shared" si="110"/>
        <v>0</v>
      </c>
      <c r="BS346">
        <f t="shared" si="110"/>
        <v>0</v>
      </c>
    </row>
    <row r="347" spans="2:71" ht="15" customHeight="1" x14ac:dyDescent="0.2">
      <c r="B347" t="s">
        <v>245</v>
      </c>
      <c r="D347">
        <v>6</v>
      </c>
      <c r="E347" t="s">
        <v>332</v>
      </c>
      <c r="F347" t="s">
        <v>214</v>
      </c>
      <c r="G347" s="5">
        <v>43308</v>
      </c>
      <c r="H347" t="s">
        <v>97</v>
      </c>
      <c r="I347" t="s">
        <v>305</v>
      </c>
      <c r="J347" t="s">
        <v>216</v>
      </c>
      <c r="K347">
        <v>9</v>
      </c>
      <c r="L347" t="s">
        <v>76</v>
      </c>
      <c r="M347" t="s">
        <v>306</v>
      </c>
      <c r="N347" t="s">
        <v>78</v>
      </c>
      <c r="O347">
        <v>70.5</v>
      </c>
      <c r="P347">
        <v>134</v>
      </c>
      <c r="Q347">
        <v>6389</v>
      </c>
      <c r="R347" t="s">
        <v>248</v>
      </c>
      <c r="S347" t="s">
        <v>248</v>
      </c>
      <c r="T347" t="s">
        <v>83</v>
      </c>
      <c r="U347" t="s">
        <v>54</v>
      </c>
      <c r="V347" t="s">
        <v>54</v>
      </c>
      <c r="W347" t="s">
        <v>78</v>
      </c>
      <c r="AA347">
        <v>0.5</v>
      </c>
      <c r="AB347" t="s">
        <v>32</v>
      </c>
      <c r="AE347" t="str">
        <f t="shared" si="101"/>
        <v>Fogan</v>
      </c>
      <c r="AF347">
        <v>0.5</v>
      </c>
      <c r="AG347">
        <v>1</v>
      </c>
      <c r="AH347">
        <v>0</v>
      </c>
      <c r="AI347">
        <v>0</v>
      </c>
      <c r="AJ347">
        <v>1</v>
      </c>
      <c r="AO347">
        <f t="shared" si="108"/>
        <v>0</v>
      </c>
      <c r="AP347">
        <f t="shared" si="108"/>
        <v>0</v>
      </c>
      <c r="AQ347">
        <f t="shared" si="108"/>
        <v>0</v>
      </c>
      <c r="AR347">
        <f t="shared" si="108"/>
        <v>0</v>
      </c>
      <c r="AS347">
        <f t="shared" si="108"/>
        <v>0</v>
      </c>
      <c r="AT347">
        <f t="shared" si="108"/>
        <v>0</v>
      </c>
      <c r="AU347">
        <f t="shared" si="108"/>
        <v>0</v>
      </c>
      <c r="AV347">
        <f t="shared" si="108"/>
        <v>0</v>
      </c>
      <c r="AW347">
        <f t="shared" si="108"/>
        <v>0</v>
      </c>
      <c r="AX347">
        <f t="shared" si="108"/>
        <v>0</v>
      </c>
      <c r="AY347">
        <f t="shared" si="109"/>
        <v>0</v>
      </c>
      <c r="AZ347">
        <f t="shared" si="109"/>
        <v>0</v>
      </c>
      <c r="BA347">
        <f t="shared" si="109"/>
        <v>0</v>
      </c>
      <c r="BB347">
        <f t="shared" si="109"/>
        <v>0</v>
      </c>
      <c r="BC347" t="str">
        <f t="shared" si="109"/>
        <v>Fogan</v>
      </c>
      <c r="BD347">
        <f t="shared" si="109"/>
        <v>0</v>
      </c>
      <c r="BE347">
        <f t="shared" si="109"/>
        <v>0</v>
      </c>
      <c r="BF347">
        <f t="shared" si="109"/>
        <v>0</v>
      </c>
      <c r="BG347">
        <f t="shared" si="109"/>
        <v>0</v>
      </c>
      <c r="BH347">
        <f t="shared" si="109"/>
        <v>0</v>
      </c>
      <c r="BI347">
        <f t="shared" si="110"/>
        <v>0</v>
      </c>
      <c r="BJ347">
        <f t="shared" si="110"/>
        <v>0</v>
      </c>
      <c r="BK347">
        <f t="shared" si="110"/>
        <v>0</v>
      </c>
      <c r="BL347">
        <f t="shared" si="110"/>
        <v>0</v>
      </c>
      <c r="BM347">
        <f t="shared" si="110"/>
        <v>0</v>
      </c>
      <c r="BN347">
        <f t="shared" si="110"/>
        <v>0</v>
      </c>
      <c r="BO347">
        <f t="shared" si="110"/>
        <v>0</v>
      </c>
      <c r="BP347">
        <f t="shared" si="110"/>
        <v>0</v>
      </c>
      <c r="BQ347">
        <f t="shared" si="110"/>
        <v>0</v>
      </c>
      <c r="BR347">
        <f t="shared" si="110"/>
        <v>0</v>
      </c>
      <c r="BS347">
        <f t="shared" si="110"/>
        <v>0</v>
      </c>
    </row>
    <row r="348" spans="2:71" ht="15" customHeight="1" x14ac:dyDescent="0.2">
      <c r="B348" t="s">
        <v>245</v>
      </c>
      <c r="D348">
        <v>6</v>
      </c>
      <c r="E348" t="s">
        <v>332</v>
      </c>
      <c r="F348" t="s">
        <v>214</v>
      </c>
      <c r="G348" s="5">
        <v>43308</v>
      </c>
      <c r="H348" t="s">
        <v>97</v>
      </c>
      <c r="I348" t="s">
        <v>305</v>
      </c>
      <c r="J348" t="s">
        <v>216</v>
      </c>
      <c r="K348">
        <v>9</v>
      </c>
      <c r="L348" t="s">
        <v>76</v>
      </c>
      <c r="M348" t="s">
        <v>306</v>
      </c>
      <c r="N348" t="s">
        <v>78</v>
      </c>
      <c r="O348">
        <v>70.5</v>
      </c>
      <c r="P348">
        <v>134</v>
      </c>
      <c r="Q348">
        <v>6389</v>
      </c>
      <c r="R348" t="s">
        <v>248</v>
      </c>
      <c r="S348" t="s">
        <v>248</v>
      </c>
      <c r="T348" t="s">
        <v>83</v>
      </c>
      <c r="U348" t="s">
        <v>54</v>
      </c>
      <c r="V348" t="s">
        <v>61</v>
      </c>
      <c r="W348" t="s">
        <v>78</v>
      </c>
      <c r="AA348">
        <v>0.5</v>
      </c>
      <c r="AB348" t="s">
        <v>32</v>
      </c>
      <c r="AE348" t="str">
        <f t="shared" si="101"/>
        <v>McInerney</v>
      </c>
      <c r="AF348">
        <v>0.5</v>
      </c>
      <c r="AG348">
        <v>1</v>
      </c>
      <c r="AH348">
        <v>0</v>
      </c>
      <c r="AI348">
        <v>0</v>
      </c>
      <c r="AJ348">
        <v>1</v>
      </c>
      <c r="AO348">
        <f t="shared" si="108"/>
        <v>0</v>
      </c>
      <c r="AP348">
        <f t="shared" si="108"/>
        <v>0</v>
      </c>
      <c r="AQ348">
        <f t="shared" si="108"/>
        <v>0</v>
      </c>
      <c r="AR348">
        <f t="shared" si="108"/>
        <v>0</v>
      </c>
      <c r="AS348">
        <f t="shared" si="108"/>
        <v>0</v>
      </c>
      <c r="AT348">
        <f t="shared" si="108"/>
        <v>0</v>
      </c>
      <c r="AU348">
        <f t="shared" si="108"/>
        <v>0</v>
      </c>
      <c r="AV348">
        <f t="shared" si="108"/>
        <v>0</v>
      </c>
      <c r="AW348">
        <f t="shared" si="108"/>
        <v>0</v>
      </c>
      <c r="AX348">
        <f t="shared" si="108"/>
        <v>0</v>
      </c>
      <c r="AY348">
        <f t="shared" si="109"/>
        <v>0</v>
      </c>
      <c r="AZ348">
        <f t="shared" si="109"/>
        <v>0</v>
      </c>
      <c r="BA348">
        <f t="shared" si="109"/>
        <v>0</v>
      </c>
      <c r="BB348">
        <f t="shared" si="109"/>
        <v>0</v>
      </c>
      <c r="BC348">
        <f t="shared" si="109"/>
        <v>0</v>
      </c>
      <c r="BD348">
        <f t="shared" si="109"/>
        <v>0</v>
      </c>
      <c r="BE348">
        <f t="shared" si="109"/>
        <v>0</v>
      </c>
      <c r="BF348">
        <f t="shared" si="109"/>
        <v>0</v>
      </c>
      <c r="BG348">
        <f t="shared" si="109"/>
        <v>0</v>
      </c>
      <c r="BH348">
        <f t="shared" si="109"/>
        <v>0</v>
      </c>
      <c r="BI348">
        <f t="shared" si="110"/>
        <v>0</v>
      </c>
      <c r="BJ348" t="str">
        <f t="shared" si="110"/>
        <v>McInerney</v>
      </c>
      <c r="BK348">
        <f t="shared" si="110"/>
        <v>0</v>
      </c>
      <c r="BL348">
        <f t="shared" si="110"/>
        <v>0</v>
      </c>
      <c r="BM348">
        <f t="shared" si="110"/>
        <v>0</v>
      </c>
      <c r="BN348">
        <f t="shared" si="110"/>
        <v>0</v>
      </c>
      <c r="BO348">
        <f t="shared" si="110"/>
        <v>0</v>
      </c>
      <c r="BP348">
        <f t="shared" si="110"/>
        <v>0</v>
      </c>
      <c r="BQ348">
        <f t="shared" si="110"/>
        <v>0</v>
      </c>
      <c r="BR348">
        <f t="shared" si="110"/>
        <v>0</v>
      </c>
      <c r="BS348">
        <f t="shared" si="110"/>
        <v>0</v>
      </c>
    </row>
    <row r="349" spans="2:71" ht="15" customHeight="1" x14ac:dyDescent="0.2">
      <c r="B349" t="s">
        <v>245</v>
      </c>
      <c r="D349">
        <v>6</v>
      </c>
      <c r="E349" t="s">
        <v>332</v>
      </c>
      <c r="F349" t="s">
        <v>214</v>
      </c>
      <c r="G349" s="5">
        <v>43308</v>
      </c>
      <c r="H349" t="s">
        <v>97</v>
      </c>
      <c r="I349" t="s">
        <v>305</v>
      </c>
      <c r="J349" t="s">
        <v>216</v>
      </c>
      <c r="K349">
        <v>9</v>
      </c>
      <c r="L349" t="s">
        <v>76</v>
      </c>
      <c r="M349" t="s">
        <v>306</v>
      </c>
      <c r="N349" t="s">
        <v>78</v>
      </c>
      <c r="O349">
        <v>70.5</v>
      </c>
      <c r="P349">
        <v>134</v>
      </c>
      <c r="Q349">
        <v>6389</v>
      </c>
      <c r="R349" t="s">
        <v>248</v>
      </c>
      <c r="S349" t="s">
        <v>248</v>
      </c>
      <c r="T349" t="s">
        <v>83</v>
      </c>
      <c r="U349" t="s">
        <v>54</v>
      </c>
      <c r="V349" t="s">
        <v>40</v>
      </c>
      <c r="W349" t="s">
        <v>78</v>
      </c>
      <c r="AA349">
        <v>0.5</v>
      </c>
      <c r="AB349" t="s">
        <v>32</v>
      </c>
      <c r="AE349" t="str">
        <f t="shared" si="101"/>
        <v>Grise</v>
      </c>
      <c r="AF349">
        <v>0.5</v>
      </c>
      <c r="AG349">
        <v>1</v>
      </c>
      <c r="AH349">
        <v>0</v>
      </c>
      <c r="AI349">
        <v>0</v>
      </c>
      <c r="AJ349">
        <v>1</v>
      </c>
      <c r="AO349" t="str">
        <f t="shared" si="108"/>
        <v>Grise</v>
      </c>
      <c r="AP349">
        <f t="shared" si="108"/>
        <v>0</v>
      </c>
      <c r="AQ349">
        <f t="shared" si="108"/>
        <v>0</v>
      </c>
      <c r="AR349">
        <f t="shared" si="108"/>
        <v>0</v>
      </c>
      <c r="AS349">
        <f t="shared" si="108"/>
        <v>0</v>
      </c>
      <c r="AT349">
        <f t="shared" si="108"/>
        <v>0</v>
      </c>
      <c r="AU349">
        <f t="shared" si="108"/>
        <v>0</v>
      </c>
      <c r="AV349">
        <f t="shared" si="108"/>
        <v>0</v>
      </c>
      <c r="AW349">
        <f t="shared" si="108"/>
        <v>0</v>
      </c>
      <c r="AX349">
        <f t="shared" si="108"/>
        <v>0</v>
      </c>
      <c r="AY349">
        <f t="shared" si="109"/>
        <v>0</v>
      </c>
      <c r="AZ349">
        <f t="shared" si="109"/>
        <v>0</v>
      </c>
      <c r="BA349">
        <f t="shared" si="109"/>
        <v>0</v>
      </c>
      <c r="BB349">
        <f t="shared" si="109"/>
        <v>0</v>
      </c>
      <c r="BC349">
        <f t="shared" si="109"/>
        <v>0</v>
      </c>
      <c r="BD349">
        <f t="shared" si="109"/>
        <v>0</v>
      </c>
      <c r="BE349">
        <f t="shared" si="109"/>
        <v>0</v>
      </c>
      <c r="BF349">
        <f t="shared" si="109"/>
        <v>0</v>
      </c>
      <c r="BG349">
        <f t="shared" si="109"/>
        <v>0</v>
      </c>
      <c r="BH349">
        <f t="shared" si="109"/>
        <v>0</v>
      </c>
      <c r="BI349">
        <f t="shared" si="110"/>
        <v>0</v>
      </c>
      <c r="BJ349">
        <f t="shared" si="110"/>
        <v>0</v>
      </c>
      <c r="BK349">
        <f t="shared" si="110"/>
        <v>0</v>
      </c>
      <c r="BL349">
        <f t="shared" si="110"/>
        <v>0</v>
      </c>
      <c r="BM349">
        <f t="shared" si="110"/>
        <v>0</v>
      </c>
      <c r="BN349">
        <f t="shared" si="110"/>
        <v>0</v>
      </c>
      <c r="BO349">
        <f t="shared" si="110"/>
        <v>0</v>
      </c>
      <c r="BP349">
        <f t="shared" si="110"/>
        <v>0</v>
      </c>
      <c r="BQ349">
        <f t="shared" si="110"/>
        <v>0</v>
      </c>
      <c r="BR349">
        <f t="shared" si="110"/>
        <v>0</v>
      </c>
      <c r="BS349">
        <f t="shared" si="110"/>
        <v>0</v>
      </c>
    </row>
    <row r="350" spans="2:71" ht="15" customHeight="1" x14ac:dyDescent="0.2">
      <c r="B350" t="s">
        <v>245</v>
      </c>
      <c r="D350">
        <v>6</v>
      </c>
      <c r="E350" t="s">
        <v>332</v>
      </c>
      <c r="F350" t="s">
        <v>214</v>
      </c>
      <c r="G350" s="5">
        <v>43308</v>
      </c>
      <c r="H350" t="s">
        <v>97</v>
      </c>
      <c r="I350" t="s">
        <v>305</v>
      </c>
      <c r="J350" t="s">
        <v>216</v>
      </c>
      <c r="K350">
        <v>9</v>
      </c>
      <c r="L350" t="s">
        <v>76</v>
      </c>
      <c r="M350" t="s">
        <v>306</v>
      </c>
      <c r="N350" t="s">
        <v>78</v>
      </c>
      <c r="O350">
        <v>70.5</v>
      </c>
      <c r="P350">
        <v>134</v>
      </c>
      <c r="Q350">
        <v>6389</v>
      </c>
      <c r="R350" t="s">
        <v>248</v>
      </c>
      <c r="S350" t="s">
        <v>248</v>
      </c>
      <c r="T350" t="s">
        <v>83</v>
      </c>
      <c r="U350" t="s">
        <v>54</v>
      </c>
      <c r="V350" t="s">
        <v>57</v>
      </c>
      <c r="W350" t="s">
        <v>78</v>
      </c>
      <c r="AA350">
        <v>0.5</v>
      </c>
      <c r="AB350" t="s">
        <v>32</v>
      </c>
      <c r="AE350" t="str">
        <f t="shared" si="101"/>
        <v>Buss</v>
      </c>
      <c r="AF350">
        <v>0.5</v>
      </c>
      <c r="AG350">
        <v>1</v>
      </c>
      <c r="AH350">
        <v>0</v>
      </c>
      <c r="AI350">
        <v>0</v>
      </c>
      <c r="AJ350">
        <v>1</v>
      </c>
      <c r="AO350">
        <f t="shared" si="108"/>
        <v>0</v>
      </c>
      <c r="AP350">
        <f t="shared" si="108"/>
        <v>0</v>
      </c>
      <c r="AQ350">
        <f t="shared" si="108"/>
        <v>0</v>
      </c>
      <c r="AR350">
        <f t="shared" si="108"/>
        <v>0</v>
      </c>
      <c r="AS350">
        <f t="shared" si="108"/>
        <v>0</v>
      </c>
      <c r="AT350">
        <f t="shared" si="108"/>
        <v>0</v>
      </c>
      <c r="AU350">
        <f t="shared" si="108"/>
        <v>0</v>
      </c>
      <c r="AV350">
        <f t="shared" si="108"/>
        <v>0</v>
      </c>
      <c r="AW350">
        <f t="shared" si="108"/>
        <v>0</v>
      </c>
      <c r="AX350">
        <f t="shared" si="108"/>
        <v>0</v>
      </c>
      <c r="AY350">
        <f t="shared" si="109"/>
        <v>0</v>
      </c>
      <c r="AZ350">
        <f t="shared" si="109"/>
        <v>0</v>
      </c>
      <c r="BA350">
        <f t="shared" si="109"/>
        <v>0</v>
      </c>
      <c r="BB350">
        <f t="shared" si="109"/>
        <v>0</v>
      </c>
      <c r="BC350">
        <f t="shared" si="109"/>
        <v>0</v>
      </c>
      <c r="BD350">
        <f t="shared" si="109"/>
        <v>0</v>
      </c>
      <c r="BE350">
        <f t="shared" si="109"/>
        <v>0</v>
      </c>
      <c r="BF350" t="str">
        <f t="shared" si="109"/>
        <v>Buss</v>
      </c>
      <c r="BG350">
        <f t="shared" si="109"/>
        <v>0</v>
      </c>
      <c r="BH350">
        <f t="shared" si="109"/>
        <v>0</v>
      </c>
      <c r="BI350">
        <f t="shared" si="110"/>
        <v>0</v>
      </c>
      <c r="BJ350">
        <f t="shared" si="110"/>
        <v>0</v>
      </c>
      <c r="BK350">
        <f t="shared" si="110"/>
        <v>0</v>
      </c>
      <c r="BL350">
        <f t="shared" si="110"/>
        <v>0</v>
      </c>
      <c r="BM350">
        <f t="shared" si="110"/>
        <v>0</v>
      </c>
      <c r="BN350">
        <f t="shared" si="110"/>
        <v>0</v>
      </c>
      <c r="BO350">
        <f t="shared" si="110"/>
        <v>0</v>
      </c>
      <c r="BP350">
        <f t="shared" si="110"/>
        <v>0</v>
      </c>
      <c r="BQ350">
        <f t="shared" si="110"/>
        <v>0</v>
      </c>
      <c r="BR350">
        <f t="shared" si="110"/>
        <v>0</v>
      </c>
      <c r="BS350">
        <f t="shared" si="110"/>
        <v>0</v>
      </c>
    </row>
    <row r="351" spans="2:71" ht="15" customHeight="1" x14ac:dyDescent="0.2">
      <c r="B351" t="s">
        <v>245</v>
      </c>
      <c r="D351">
        <v>6</v>
      </c>
      <c r="E351" t="s">
        <v>332</v>
      </c>
      <c r="F351" t="s">
        <v>214</v>
      </c>
      <c r="G351" s="5">
        <v>43308</v>
      </c>
      <c r="H351" t="s">
        <v>97</v>
      </c>
      <c r="I351" t="s">
        <v>305</v>
      </c>
      <c r="J351" t="s">
        <v>216</v>
      </c>
      <c r="K351">
        <v>9</v>
      </c>
      <c r="L351" t="s">
        <v>76</v>
      </c>
      <c r="M351" t="s">
        <v>306</v>
      </c>
      <c r="N351" t="s">
        <v>78</v>
      </c>
      <c r="O351">
        <v>70.5</v>
      </c>
      <c r="P351">
        <v>134</v>
      </c>
      <c r="Q351">
        <v>6389</v>
      </c>
      <c r="R351" t="s">
        <v>248</v>
      </c>
      <c r="S351" t="s">
        <v>248</v>
      </c>
      <c r="T351" t="s">
        <v>83</v>
      </c>
      <c r="U351" t="s">
        <v>54</v>
      </c>
      <c r="V351" t="s">
        <v>48</v>
      </c>
      <c r="W351" t="s">
        <v>78</v>
      </c>
      <c r="AA351">
        <v>0.5</v>
      </c>
      <c r="AB351" t="s">
        <v>32</v>
      </c>
      <c r="AE351" t="str">
        <f t="shared" si="101"/>
        <v>Lynch</v>
      </c>
      <c r="AF351">
        <v>0.5</v>
      </c>
      <c r="AG351">
        <v>1</v>
      </c>
      <c r="AH351">
        <v>0</v>
      </c>
      <c r="AI351">
        <v>0</v>
      </c>
      <c r="AJ351">
        <v>1</v>
      </c>
      <c r="AO351">
        <f t="shared" si="108"/>
        <v>0</v>
      </c>
      <c r="AP351">
        <f t="shared" si="108"/>
        <v>0</v>
      </c>
      <c r="AQ351">
        <f t="shared" si="108"/>
        <v>0</v>
      </c>
      <c r="AR351">
        <f t="shared" si="108"/>
        <v>0</v>
      </c>
      <c r="AS351">
        <f t="shared" si="108"/>
        <v>0</v>
      </c>
      <c r="AT351">
        <f t="shared" si="108"/>
        <v>0</v>
      </c>
      <c r="AU351">
        <f t="shared" si="108"/>
        <v>0</v>
      </c>
      <c r="AV351">
        <f t="shared" si="108"/>
        <v>0</v>
      </c>
      <c r="AW351" t="str">
        <f t="shared" si="108"/>
        <v>Lynch</v>
      </c>
      <c r="AX351">
        <f t="shared" si="108"/>
        <v>0</v>
      </c>
      <c r="AY351">
        <f t="shared" si="109"/>
        <v>0</v>
      </c>
      <c r="AZ351">
        <f t="shared" si="109"/>
        <v>0</v>
      </c>
      <c r="BA351">
        <f t="shared" si="109"/>
        <v>0</v>
      </c>
      <c r="BB351">
        <f t="shared" si="109"/>
        <v>0</v>
      </c>
      <c r="BC351">
        <f t="shared" si="109"/>
        <v>0</v>
      </c>
      <c r="BD351">
        <f t="shared" si="109"/>
        <v>0</v>
      </c>
      <c r="BE351">
        <f t="shared" si="109"/>
        <v>0</v>
      </c>
      <c r="BF351">
        <f t="shared" si="109"/>
        <v>0</v>
      </c>
      <c r="BG351">
        <f t="shared" si="109"/>
        <v>0</v>
      </c>
      <c r="BH351">
        <f t="shared" si="109"/>
        <v>0</v>
      </c>
      <c r="BI351">
        <f t="shared" si="110"/>
        <v>0</v>
      </c>
      <c r="BJ351">
        <f t="shared" si="110"/>
        <v>0</v>
      </c>
      <c r="BK351">
        <f t="shared" si="110"/>
        <v>0</v>
      </c>
      <c r="BL351">
        <f t="shared" si="110"/>
        <v>0</v>
      </c>
      <c r="BM351">
        <f t="shared" si="110"/>
        <v>0</v>
      </c>
      <c r="BN351">
        <f t="shared" si="110"/>
        <v>0</v>
      </c>
      <c r="BO351">
        <f t="shared" si="110"/>
        <v>0</v>
      </c>
      <c r="BP351">
        <f t="shared" si="110"/>
        <v>0</v>
      </c>
      <c r="BQ351">
        <f t="shared" si="110"/>
        <v>0</v>
      </c>
      <c r="BR351">
        <f t="shared" si="110"/>
        <v>0</v>
      </c>
      <c r="BS351">
        <f t="shared" si="110"/>
        <v>0</v>
      </c>
    </row>
    <row r="352" spans="2:71" ht="15" customHeight="1" x14ac:dyDescent="0.2">
      <c r="B352" t="s">
        <v>245</v>
      </c>
      <c r="D352">
        <v>6</v>
      </c>
      <c r="E352" t="s">
        <v>332</v>
      </c>
      <c r="F352" t="s">
        <v>214</v>
      </c>
      <c r="G352" s="5">
        <v>43308</v>
      </c>
      <c r="H352" t="s">
        <v>97</v>
      </c>
      <c r="I352" t="s">
        <v>305</v>
      </c>
      <c r="J352" t="s">
        <v>216</v>
      </c>
      <c r="K352">
        <v>9</v>
      </c>
      <c r="L352" t="s">
        <v>76</v>
      </c>
      <c r="M352" t="s">
        <v>306</v>
      </c>
      <c r="N352" t="s">
        <v>78</v>
      </c>
      <c r="O352">
        <v>70.5</v>
      </c>
      <c r="P352">
        <v>134</v>
      </c>
      <c r="Q352">
        <v>6389</v>
      </c>
      <c r="R352" t="s">
        <v>248</v>
      </c>
      <c r="S352" t="s">
        <v>248</v>
      </c>
      <c r="T352" t="s">
        <v>83</v>
      </c>
      <c r="U352" t="s">
        <v>54</v>
      </c>
      <c r="V352" t="s">
        <v>41</v>
      </c>
      <c r="W352" t="s">
        <v>78</v>
      </c>
      <c r="AA352">
        <v>0.5</v>
      </c>
      <c r="AB352" t="s">
        <v>32</v>
      </c>
      <c r="AE352" t="str">
        <f t="shared" si="101"/>
        <v>Hilts</v>
      </c>
      <c r="AF352">
        <v>0.5</v>
      </c>
      <c r="AG352">
        <v>1</v>
      </c>
      <c r="AH352">
        <v>0</v>
      </c>
      <c r="AI352">
        <v>0</v>
      </c>
      <c r="AJ352">
        <v>1</v>
      </c>
      <c r="AO352">
        <f t="shared" ref="AO352:AX361" si="111">IF(OR($V352=AO$1,$Y352=AO$1),AO$1,0)</f>
        <v>0</v>
      </c>
      <c r="AP352" t="str">
        <f t="shared" si="111"/>
        <v>Hilts</v>
      </c>
      <c r="AQ352">
        <f t="shared" si="111"/>
        <v>0</v>
      </c>
      <c r="AR352">
        <f t="shared" si="111"/>
        <v>0</v>
      </c>
      <c r="AS352">
        <f t="shared" si="111"/>
        <v>0</v>
      </c>
      <c r="AT352">
        <f t="shared" si="111"/>
        <v>0</v>
      </c>
      <c r="AU352">
        <f t="shared" si="111"/>
        <v>0</v>
      </c>
      <c r="AV352">
        <f t="shared" si="111"/>
        <v>0</v>
      </c>
      <c r="AW352">
        <f t="shared" si="111"/>
        <v>0</v>
      </c>
      <c r="AX352">
        <f t="shared" si="111"/>
        <v>0</v>
      </c>
      <c r="AY352">
        <f t="shared" ref="AY352:BH361" si="112">IF(OR($V352=AY$1,$Y352=AY$1),AY$1,0)</f>
        <v>0</v>
      </c>
      <c r="AZ352">
        <f t="shared" si="112"/>
        <v>0</v>
      </c>
      <c r="BA352">
        <f t="shared" si="112"/>
        <v>0</v>
      </c>
      <c r="BB352">
        <f t="shared" si="112"/>
        <v>0</v>
      </c>
      <c r="BC352">
        <f t="shared" si="112"/>
        <v>0</v>
      </c>
      <c r="BD352">
        <f t="shared" si="112"/>
        <v>0</v>
      </c>
      <c r="BE352">
        <f t="shared" si="112"/>
        <v>0</v>
      </c>
      <c r="BF352">
        <f t="shared" si="112"/>
        <v>0</v>
      </c>
      <c r="BG352">
        <f t="shared" si="112"/>
        <v>0</v>
      </c>
      <c r="BH352">
        <f t="shared" si="112"/>
        <v>0</v>
      </c>
      <c r="BI352">
        <f t="shared" ref="BI352:BS361" si="113">IF(OR($V352=BI$1,$Y352=BI$1),BI$1,0)</f>
        <v>0</v>
      </c>
      <c r="BJ352">
        <f t="shared" si="113"/>
        <v>0</v>
      </c>
      <c r="BK352">
        <f t="shared" si="113"/>
        <v>0</v>
      </c>
      <c r="BL352">
        <f t="shared" si="113"/>
        <v>0</v>
      </c>
      <c r="BM352">
        <f t="shared" si="113"/>
        <v>0</v>
      </c>
      <c r="BN352">
        <f t="shared" si="113"/>
        <v>0</v>
      </c>
      <c r="BO352">
        <f t="shared" si="113"/>
        <v>0</v>
      </c>
      <c r="BP352">
        <f t="shared" si="113"/>
        <v>0</v>
      </c>
      <c r="BQ352">
        <f t="shared" si="113"/>
        <v>0</v>
      </c>
      <c r="BR352">
        <f t="shared" si="113"/>
        <v>0</v>
      </c>
      <c r="BS352">
        <f t="shared" si="113"/>
        <v>0</v>
      </c>
    </row>
    <row r="353" spans="2:71" ht="15" customHeight="1" x14ac:dyDescent="0.2">
      <c r="B353" t="s">
        <v>245</v>
      </c>
      <c r="D353">
        <v>6</v>
      </c>
      <c r="E353" t="s">
        <v>332</v>
      </c>
      <c r="F353" t="s">
        <v>214</v>
      </c>
      <c r="G353" s="5">
        <v>43308</v>
      </c>
      <c r="H353" t="s">
        <v>97</v>
      </c>
      <c r="I353" t="s">
        <v>305</v>
      </c>
      <c r="J353" t="s">
        <v>216</v>
      </c>
      <c r="K353">
        <v>9</v>
      </c>
      <c r="L353" t="s">
        <v>76</v>
      </c>
      <c r="M353" t="s">
        <v>306</v>
      </c>
      <c r="N353" t="s">
        <v>78</v>
      </c>
      <c r="O353">
        <v>70.5</v>
      </c>
      <c r="P353">
        <v>134</v>
      </c>
      <c r="Q353">
        <v>6389</v>
      </c>
      <c r="R353" t="s">
        <v>248</v>
      </c>
      <c r="S353" t="s">
        <v>248</v>
      </c>
      <c r="T353" t="s">
        <v>83</v>
      </c>
      <c r="U353" t="s">
        <v>54</v>
      </c>
      <c r="V353" t="s">
        <v>42</v>
      </c>
      <c r="W353" t="s">
        <v>78</v>
      </c>
      <c r="AA353">
        <v>0.5</v>
      </c>
      <c r="AB353" t="s">
        <v>32</v>
      </c>
      <c r="AE353" t="str">
        <f t="shared" si="101"/>
        <v>Jackson</v>
      </c>
      <c r="AF353">
        <v>0.5</v>
      </c>
      <c r="AG353">
        <v>1</v>
      </c>
      <c r="AH353">
        <v>0</v>
      </c>
      <c r="AI353">
        <v>0</v>
      </c>
      <c r="AJ353">
        <v>1</v>
      </c>
      <c r="AO353">
        <f t="shared" si="111"/>
        <v>0</v>
      </c>
      <c r="AP353">
        <f t="shared" si="111"/>
        <v>0</v>
      </c>
      <c r="AQ353" t="str">
        <f t="shared" si="111"/>
        <v>Jackson</v>
      </c>
      <c r="AR353">
        <f t="shared" si="111"/>
        <v>0</v>
      </c>
      <c r="AS353">
        <f t="shared" si="111"/>
        <v>0</v>
      </c>
      <c r="AT353">
        <f t="shared" si="111"/>
        <v>0</v>
      </c>
      <c r="AU353">
        <f t="shared" si="111"/>
        <v>0</v>
      </c>
      <c r="AV353">
        <f t="shared" si="111"/>
        <v>0</v>
      </c>
      <c r="AW353">
        <f t="shared" si="111"/>
        <v>0</v>
      </c>
      <c r="AX353">
        <f t="shared" si="111"/>
        <v>0</v>
      </c>
      <c r="AY353">
        <f t="shared" si="112"/>
        <v>0</v>
      </c>
      <c r="AZ353">
        <f t="shared" si="112"/>
        <v>0</v>
      </c>
      <c r="BA353">
        <f t="shared" si="112"/>
        <v>0</v>
      </c>
      <c r="BB353">
        <f t="shared" si="112"/>
        <v>0</v>
      </c>
      <c r="BC353">
        <f t="shared" si="112"/>
        <v>0</v>
      </c>
      <c r="BD353">
        <f t="shared" si="112"/>
        <v>0</v>
      </c>
      <c r="BE353">
        <f t="shared" si="112"/>
        <v>0</v>
      </c>
      <c r="BF353">
        <f t="shared" si="112"/>
        <v>0</v>
      </c>
      <c r="BG353">
        <f t="shared" si="112"/>
        <v>0</v>
      </c>
      <c r="BH353">
        <f t="shared" si="112"/>
        <v>0</v>
      </c>
      <c r="BI353">
        <f t="shared" si="113"/>
        <v>0</v>
      </c>
      <c r="BJ353">
        <f t="shared" si="113"/>
        <v>0</v>
      </c>
      <c r="BK353">
        <f t="shared" si="113"/>
        <v>0</v>
      </c>
      <c r="BL353">
        <f t="shared" si="113"/>
        <v>0</v>
      </c>
      <c r="BM353">
        <f t="shared" si="113"/>
        <v>0</v>
      </c>
      <c r="BN353">
        <f t="shared" si="113"/>
        <v>0</v>
      </c>
      <c r="BO353">
        <f t="shared" si="113"/>
        <v>0</v>
      </c>
      <c r="BP353">
        <f t="shared" si="113"/>
        <v>0</v>
      </c>
      <c r="BQ353">
        <f t="shared" si="113"/>
        <v>0</v>
      </c>
      <c r="BR353">
        <f t="shared" si="113"/>
        <v>0</v>
      </c>
      <c r="BS353">
        <f t="shared" si="113"/>
        <v>0</v>
      </c>
    </row>
    <row r="354" spans="2:71" ht="15" customHeight="1" x14ac:dyDescent="0.2">
      <c r="B354" t="s">
        <v>245</v>
      </c>
      <c r="D354">
        <v>6</v>
      </c>
      <c r="E354" t="s">
        <v>332</v>
      </c>
      <c r="F354" t="s">
        <v>214</v>
      </c>
      <c r="G354" s="5">
        <v>43308</v>
      </c>
      <c r="H354" t="s">
        <v>97</v>
      </c>
      <c r="I354" t="s">
        <v>305</v>
      </c>
      <c r="J354" t="s">
        <v>216</v>
      </c>
      <c r="K354">
        <v>9</v>
      </c>
      <c r="L354" t="s">
        <v>76</v>
      </c>
      <c r="M354" t="s">
        <v>306</v>
      </c>
      <c r="N354" t="s">
        <v>78</v>
      </c>
      <c r="O354">
        <v>70.5</v>
      </c>
      <c r="P354">
        <v>134</v>
      </c>
      <c r="Q354">
        <v>6389</v>
      </c>
      <c r="R354" t="s">
        <v>248</v>
      </c>
      <c r="S354" t="s">
        <v>248</v>
      </c>
      <c r="T354" t="s">
        <v>83</v>
      </c>
      <c r="U354" t="s">
        <v>54</v>
      </c>
      <c r="V354" t="s">
        <v>46</v>
      </c>
      <c r="W354" t="s">
        <v>78</v>
      </c>
      <c r="AA354">
        <v>0.5</v>
      </c>
      <c r="AB354" t="s">
        <v>32</v>
      </c>
      <c r="AE354" t="str">
        <f t="shared" si="101"/>
        <v>Mangold</v>
      </c>
      <c r="AF354">
        <v>0.5</v>
      </c>
      <c r="AG354">
        <v>1</v>
      </c>
      <c r="AH354">
        <v>0</v>
      </c>
      <c r="AI354">
        <v>0</v>
      </c>
      <c r="AJ354">
        <v>1</v>
      </c>
      <c r="AO354">
        <f t="shared" si="111"/>
        <v>0</v>
      </c>
      <c r="AP354">
        <f t="shared" si="111"/>
        <v>0</v>
      </c>
      <c r="AQ354">
        <f t="shared" si="111"/>
        <v>0</v>
      </c>
      <c r="AR354">
        <f t="shared" si="111"/>
        <v>0</v>
      </c>
      <c r="AS354">
        <f t="shared" si="111"/>
        <v>0</v>
      </c>
      <c r="AT354">
        <f t="shared" si="111"/>
        <v>0</v>
      </c>
      <c r="AU354" t="str">
        <f t="shared" si="111"/>
        <v>Mangold</v>
      </c>
      <c r="AV354">
        <f t="shared" si="111"/>
        <v>0</v>
      </c>
      <c r="AW354">
        <f t="shared" si="111"/>
        <v>0</v>
      </c>
      <c r="AX354">
        <f t="shared" si="111"/>
        <v>0</v>
      </c>
      <c r="AY354">
        <f t="shared" si="112"/>
        <v>0</v>
      </c>
      <c r="AZ354">
        <f t="shared" si="112"/>
        <v>0</v>
      </c>
      <c r="BA354">
        <f t="shared" si="112"/>
        <v>0</v>
      </c>
      <c r="BB354">
        <f t="shared" si="112"/>
        <v>0</v>
      </c>
      <c r="BC354">
        <f t="shared" si="112"/>
        <v>0</v>
      </c>
      <c r="BD354">
        <f t="shared" si="112"/>
        <v>0</v>
      </c>
      <c r="BE354">
        <f t="shared" si="112"/>
        <v>0</v>
      </c>
      <c r="BF354">
        <f t="shared" si="112"/>
        <v>0</v>
      </c>
      <c r="BG354">
        <f t="shared" si="112"/>
        <v>0</v>
      </c>
      <c r="BH354">
        <f t="shared" si="112"/>
        <v>0</v>
      </c>
      <c r="BI354">
        <f t="shared" si="113"/>
        <v>0</v>
      </c>
      <c r="BJ354">
        <f t="shared" si="113"/>
        <v>0</v>
      </c>
      <c r="BK354">
        <f t="shared" si="113"/>
        <v>0</v>
      </c>
      <c r="BL354">
        <f t="shared" si="113"/>
        <v>0</v>
      </c>
      <c r="BM354">
        <f t="shared" si="113"/>
        <v>0</v>
      </c>
      <c r="BN354">
        <f t="shared" si="113"/>
        <v>0</v>
      </c>
      <c r="BO354">
        <f t="shared" si="113"/>
        <v>0</v>
      </c>
      <c r="BP354">
        <f t="shared" si="113"/>
        <v>0</v>
      </c>
      <c r="BQ354">
        <f t="shared" si="113"/>
        <v>0</v>
      </c>
      <c r="BR354">
        <f t="shared" si="113"/>
        <v>0</v>
      </c>
      <c r="BS354">
        <f t="shared" si="113"/>
        <v>0</v>
      </c>
    </row>
    <row r="355" spans="2:71" ht="15" customHeight="1" x14ac:dyDescent="0.2">
      <c r="B355" t="s">
        <v>245</v>
      </c>
      <c r="D355">
        <v>6</v>
      </c>
      <c r="E355" t="s">
        <v>332</v>
      </c>
      <c r="F355" t="s">
        <v>214</v>
      </c>
      <c r="G355" s="5">
        <v>43308</v>
      </c>
      <c r="H355" t="s">
        <v>97</v>
      </c>
      <c r="I355" t="s">
        <v>305</v>
      </c>
      <c r="J355" t="s">
        <v>216</v>
      </c>
      <c r="K355">
        <v>9</v>
      </c>
      <c r="L355" t="s">
        <v>76</v>
      </c>
      <c r="M355" t="s">
        <v>306</v>
      </c>
      <c r="N355" t="s">
        <v>78</v>
      </c>
      <c r="O355">
        <v>70.5</v>
      </c>
      <c r="P355">
        <v>134</v>
      </c>
      <c r="Q355">
        <v>6389</v>
      </c>
      <c r="R355" t="s">
        <v>248</v>
      </c>
      <c r="S355" t="s">
        <v>248</v>
      </c>
      <c r="T355" t="s">
        <v>83</v>
      </c>
      <c r="U355" t="s">
        <v>54</v>
      </c>
      <c r="V355" t="s">
        <v>49</v>
      </c>
      <c r="W355" t="s">
        <v>78</v>
      </c>
      <c r="AA355">
        <v>0.5</v>
      </c>
      <c r="AB355" t="s">
        <v>32</v>
      </c>
      <c r="AE355" t="str">
        <f t="shared" si="101"/>
        <v>Shively</v>
      </c>
      <c r="AF355">
        <v>0.5</v>
      </c>
      <c r="AG355">
        <v>1</v>
      </c>
      <c r="AH355">
        <v>0</v>
      </c>
      <c r="AI355">
        <v>0</v>
      </c>
      <c r="AJ355">
        <v>1</v>
      </c>
      <c r="AO355">
        <f t="shared" si="111"/>
        <v>0</v>
      </c>
      <c r="AP355">
        <f t="shared" si="111"/>
        <v>0</v>
      </c>
      <c r="AQ355">
        <f t="shared" si="111"/>
        <v>0</v>
      </c>
      <c r="AR355">
        <f t="shared" si="111"/>
        <v>0</v>
      </c>
      <c r="AS355">
        <f t="shared" si="111"/>
        <v>0</v>
      </c>
      <c r="AT355">
        <f t="shared" si="111"/>
        <v>0</v>
      </c>
      <c r="AU355">
        <f t="shared" si="111"/>
        <v>0</v>
      </c>
      <c r="AV355">
        <f t="shared" si="111"/>
        <v>0</v>
      </c>
      <c r="AW355">
        <f t="shared" si="111"/>
        <v>0</v>
      </c>
      <c r="AX355" t="str">
        <f t="shared" si="111"/>
        <v>Shively</v>
      </c>
      <c r="AY355">
        <f t="shared" si="112"/>
        <v>0</v>
      </c>
      <c r="AZ355">
        <f t="shared" si="112"/>
        <v>0</v>
      </c>
      <c r="BA355">
        <f t="shared" si="112"/>
        <v>0</v>
      </c>
      <c r="BB355">
        <f t="shared" si="112"/>
        <v>0</v>
      </c>
      <c r="BC355">
        <f t="shared" si="112"/>
        <v>0</v>
      </c>
      <c r="BD355">
        <f t="shared" si="112"/>
        <v>0</v>
      </c>
      <c r="BE355">
        <f t="shared" si="112"/>
        <v>0</v>
      </c>
      <c r="BF355">
        <f t="shared" si="112"/>
        <v>0</v>
      </c>
      <c r="BG355">
        <f t="shared" si="112"/>
        <v>0</v>
      </c>
      <c r="BH355">
        <f t="shared" si="112"/>
        <v>0</v>
      </c>
      <c r="BI355">
        <f t="shared" si="113"/>
        <v>0</v>
      </c>
      <c r="BJ355">
        <f t="shared" si="113"/>
        <v>0</v>
      </c>
      <c r="BK355">
        <f t="shared" si="113"/>
        <v>0</v>
      </c>
      <c r="BL355">
        <f t="shared" si="113"/>
        <v>0</v>
      </c>
      <c r="BM355">
        <f t="shared" si="113"/>
        <v>0</v>
      </c>
      <c r="BN355">
        <f t="shared" si="113"/>
        <v>0</v>
      </c>
      <c r="BO355">
        <f t="shared" si="113"/>
        <v>0</v>
      </c>
      <c r="BP355">
        <f t="shared" si="113"/>
        <v>0</v>
      </c>
      <c r="BQ355">
        <f t="shared" si="113"/>
        <v>0</v>
      </c>
      <c r="BR355">
        <f t="shared" si="113"/>
        <v>0</v>
      </c>
      <c r="BS355">
        <f t="shared" si="113"/>
        <v>0</v>
      </c>
    </row>
    <row r="356" spans="2:71" ht="15" customHeight="1" x14ac:dyDescent="0.2">
      <c r="B356" t="s">
        <v>245</v>
      </c>
      <c r="D356">
        <v>6</v>
      </c>
      <c r="E356" t="s">
        <v>332</v>
      </c>
      <c r="F356" t="s">
        <v>214</v>
      </c>
      <c r="G356" s="5">
        <v>43308</v>
      </c>
      <c r="H356" t="s">
        <v>97</v>
      </c>
      <c r="I356" t="s">
        <v>305</v>
      </c>
      <c r="J356" t="s">
        <v>216</v>
      </c>
      <c r="K356">
        <v>9</v>
      </c>
      <c r="L356" t="s">
        <v>76</v>
      </c>
      <c r="M356" t="s">
        <v>306</v>
      </c>
      <c r="N356" t="s">
        <v>78</v>
      </c>
      <c r="O356">
        <v>70.5</v>
      </c>
      <c r="P356">
        <v>134</v>
      </c>
      <c r="Q356">
        <v>6389</v>
      </c>
      <c r="R356" t="s">
        <v>248</v>
      </c>
      <c r="S356" t="s">
        <v>248</v>
      </c>
      <c r="T356" t="s">
        <v>81</v>
      </c>
      <c r="U356" t="s">
        <v>59</v>
      </c>
      <c r="V356" t="s">
        <v>44</v>
      </c>
      <c r="W356" t="s">
        <v>307</v>
      </c>
      <c r="AA356">
        <v>0.5</v>
      </c>
      <c r="AB356" t="s">
        <v>33</v>
      </c>
      <c r="AE356" t="str">
        <f t="shared" si="101"/>
        <v>Flanders</v>
      </c>
      <c r="AF356">
        <v>0</v>
      </c>
      <c r="AG356">
        <v>0</v>
      </c>
      <c r="AH356">
        <v>1</v>
      </c>
      <c r="AI356">
        <v>0</v>
      </c>
      <c r="AJ356">
        <v>0</v>
      </c>
      <c r="AO356">
        <f t="shared" si="111"/>
        <v>0</v>
      </c>
      <c r="AP356">
        <f t="shared" si="111"/>
        <v>0</v>
      </c>
      <c r="AQ356">
        <f t="shared" si="111"/>
        <v>0</v>
      </c>
      <c r="AR356">
        <f t="shared" si="111"/>
        <v>0</v>
      </c>
      <c r="AS356" t="str">
        <f t="shared" si="111"/>
        <v>Flanders</v>
      </c>
      <c r="AT356">
        <f t="shared" si="111"/>
        <v>0</v>
      </c>
      <c r="AU356">
        <f t="shared" si="111"/>
        <v>0</v>
      </c>
      <c r="AV356">
        <f t="shared" si="111"/>
        <v>0</v>
      </c>
      <c r="AW356">
        <f t="shared" si="111"/>
        <v>0</v>
      </c>
      <c r="AX356">
        <f t="shared" si="111"/>
        <v>0</v>
      </c>
      <c r="AY356">
        <f t="shared" si="112"/>
        <v>0</v>
      </c>
      <c r="AZ356">
        <f t="shared" si="112"/>
        <v>0</v>
      </c>
      <c r="BA356">
        <f t="shared" si="112"/>
        <v>0</v>
      </c>
      <c r="BB356">
        <f t="shared" si="112"/>
        <v>0</v>
      </c>
      <c r="BC356">
        <f t="shared" si="112"/>
        <v>0</v>
      </c>
      <c r="BD356">
        <f t="shared" si="112"/>
        <v>0</v>
      </c>
      <c r="BE356">
        <f t="shared" si="112"/>
        <v>0</v>
      </c>
      <c r="BF356">
        <f t="shared" si="112"/>
        <v>0</v>
      </c>
      <c r="BG356">
        <f t="shared" si="112"/>
        <v>0</v>
      </c>
      <c r="BH356">
        <f t="shared" si="112"/>
        <v>0</v>
      </c>
      <c r="BI356">
        <f t="shared" si="113"/>
        <v>0</v>
      </c>
      <c r="BJ356">
        <f t="shared" si="113"/>
        <v>0</v>
      </c>
      <c r="BK356">
        <f t="shared" si="113"/>
        <v>0</v>
      </c>
      <c r="BL356">
        <f t="shared" si="113"/>
        <v>0</v>
      </c>
      <c r="BM356">
        <f t="shared" si="113"/>
        <v>0</v>
      </c>
      <c r="BN356">
        <f t="shared" si="113"/>
        <v>0</v>
      </c>
      <c r="BO356">
        <f t="shared" si="113"/>
        <v>0</v>
      </c>
      <c r="BP356">
        <f t="shared" si="113"/>
        <v>0</v>
      </c>
      <c r="BQ356">
        <f t="shared" si="113"/>
        <v>0</v>
      </c>
      <c r="BR356">
        <f t="shared" si="113"/>
        <v>0</v>
      </c>
      <c r="BS356">
        <f t="shared" si="113"/>
        <v>0</v>
      </c>
    </row>
    <row r="357" spans="2:71" ht="15" customHeight="1" x14ac:dyDescent="0.2">
      <c r="B357" t="s">
        <v>245</v>
      </c>
      <c r="D357">
        <v>6</v>
      </c>
      <c r="E357" t="s">
        <v>332</v>
      </c>
      <c r="F357" t="s">
        <v>214</v>
      </c>
      <c r="G357" s="5">
        <v>43308</v>
      </c>
      <c r="H357" t="s">
        <v>97</v>
      </c>
      <c r="I357" t="s">
        <v>305</v>
      </c>
      <c r="J357" t="s">
        <v>216</v>
      </c>
      <c r="K357">
        <v>9</v>
      </c>
      <c r="L357" t="s">
        <v>76</v>
      </c>
      <c r="M357" t="s">
        <v>306</v>
      </c>
      <c r="N357" t="s">
        <v>78</v>
      </c>
      <c r="O357">
        <v>70.5</v>
      </c>
      <c r="P357">
        <v>134</v>
      </c>
      <c r="Q357">
        <v>6389</v>
      </c>
      <c r="R357" t="s">
        <v>248</v>
      </c>
      <c r="S357" t="s">
        <v>248</v>
      </c>
      <c r="T357" t="s">
        <v>81</v>
      </c>
      <c r="U357" t="s">
        <v>59</v>
      </c>
      <c r="V357" t="s">
        <v>50</v>
      </c>
      <c r="W357" t="s">
        <v>307</v>
      </c>
      <c r="AA357">
        <v>0.5</v>
      </c>
      <c r="AB357" t="s">
        <v>33</v>
      </c>
      <c r="AE357" t="str">
        <f t="shared" si="101"/>
        <v>Ferrin</v>
      </c>
      <c r="AF357">
        <v>0</v>
      </c>
      <c r="AG357">
        <v>0</v>
      </c>
      <c r="AH357">
        <v>1</v>
      </c>
      <c r="AI357">
        <v>0</v>
      </c>
      <c r="AJ357">
        <v>0</v>
      </c>
      <c r="AO357">
        <f t="shared" si="111"/>
        <v>0</v>
      </c>
      <c r="AP357">
        <f t="shared" si="111"/>
        <v>0</v>
      </c>
      <c r="AQ357">
        <f t="shared" si="111"/>
        <v>0</v>
      </c>
      <c r="AR357">
        <f t="shared" si="111"/>
        <v>0</v>
      </c>
      <c r="AS357">
        <f t="shared" si="111"/>
        <v>0</v>
      </c>
      <c r="AT357">
        <f t="shared" si="111"/>
        <v>0</v>
      </c>
      <c r="AU357">
        <f t="shared" si="111"/>
        <v>0</v>
      </c>
      <c r="AV357">
        <f t="shared" si="111"/>
        <v>0</v>
      </c>
      <c r="AW357">
        <f t="shared" si="111"/>
        <v>0</v>
      </c>
      <c r="AX357">
        <f t="shared" si="111"/>
        <v>0</v>
      </c>
      <c r="AY357" t="str">
        <f t="shared" si="112"/>
        <v>Ferrin</v>
      </c>
      <c r="AZ357">
        <f t="shared" si="112"/>
        <v>0</v>
      </c>
      <c r="BA357">
        <f t="shared" si="112"/>
        <v>0</v>
      </c>
      <c r="BB357">
        <f t="shared" si="112"/>
        <v>0</v>
      </c>
      <c r="BC357">
        <f t="shared" si="112"/>
        <v>0</v>
      </c>
      <c r="BD357">
        <f t="shared" si="112"/>
        <v>0</v>
      </c>
      <c r="BE357">
        <f t="shared" si="112"/>
        <v>0</v>
      </c>
      <c r="BF357">
        <f t="shared" si="112"/>
        <v>0</v>
      </c>
      <c r="BG357">
        <f t="shared" si="112"/>
        <v>0</v>
      </c>
      <c r="BH357">
        <f t="shared" si="112"/>
        <v>0</v>
      </c>
      <c r="BI357">
        <f t="shared" si="113"/>
        <v>0</v>
      </c>
      <c r="BJ357">
        <f t="shared" si="113"/>
        <v>0</v>
      </c>
      <c r="BK357">
        <f t="shared" si="113"/>
        <v>0</v>
      </c>
      <c r="BL357">
        <f t="shared" si="113"/>
        <v>0</v>
      </c>
      <c r="BM357">
        <f t="shared" si="113"/>
        <v>0</v>
      </c>
      <c r="BN357">
        <f t="shared" si="113"/>
        <v>0</v>
      </c>
      <c r="BO357">
        <f t="shared" si="113"/>
        <v>0</v>
      </c>
      <c r="BP357">
        <f t="shared" si="113"/>
        <v>0</v>
      </c>
      <c r="BQ357">
        <f t="shared" si="113"/>
        <v>0</v>
      </c>
      <c r="BR357">
        <f t="shared" si="113"/>
        <v>0</v>
      </c>
      <c r="BS357">
        <f t="shared" si="113"/>
        <v>0</v>
      </c>
    </row>
    <row r="358" spans="2:71" ht="15" customHeight="1" x14ac:dyDescent="0.2">
      <c r="B358" t="s">
        <v>245</v>
      </c>
      <c r="D358">
        <v>6</v>
      </c>
      <c r="E358" t="s">
        <v>332</v>
      </c>
      <c r="F358" t="s">
        <v>214</v>
      </c>
      <c r="G358" s="5">
        <v>43308</v>
      </c>
      <c r="H358" t="s">
        <v>97</v>
      </c>
      <c r="I358" t="s">
        <v>305</v>
      </c>
      <c r="J358" t="s">
        <v>216</v>
      </c>
      <c r="K358">
        <v>9</v>
      </c>
      <c r="L358" t="s">
        <v>76</v>
      </c>
      <c r="M358" t="s">
        <v>306</v>
      </c>
      <c r="N358" t="s">
        <v>78</v>
      </c>
      <c r="O358">
        <v>70.5</v>
      </c>
      <c r="P358">
        <v>134</v>
      </c>
      <c r="Q358">
        <v>6389</v>
      </c>
      <c r="R358" t="s">
        <v>248</v>
      </c>
      <c r="S358" t="s">
        <v>248</v>
      </c>
      <c r="T358" t="s">
        <v>81</v>
      </c>
      <c r="U358" t="s">
        <v>59</v>
      </c>
      <c r="V358" t="s">
        <v>45</v>
      </c>
      <c r="W358" t="s">
        <v>307</v>
      </c>
      <c r="AA358">
        <v>0.5</v>
      </c>
      <c r="AB358" t="s">
        <v>33</v>
      </c>
      <c r="AE358" t="str">
        <f t="shared" si="101"/>
        <v>Connolly</v>
      </c>
      <c r="AF358">
        <v>0</v>
      </c>
      <c r="AG358">
        <v>0</v>
      </c>
      <c r="AH358">
        <v>1</v>
      </c>
      <c r="AI358">
        <v>0</v>
      </c>
      <c r="AJ358">
        <v>0</v>
      </c>
      <c r="AO358">
        <f t="shared" si="111"/>
        <v>0</v>
      </c>
      <c r="AP358">
        <f t="shared" si="111"/>
        <v>0</v>
      </c>
      <c r="AQ358">
        <f t="shared" si="111"/>
        <v>0</v>
      </c>
      <c r="AR358">
        <f t="shared" si="111"/>
        <v>0</v>
      </c>
      <c r="AS358">
        <f t="shared" si="111"/>
        <v>0</v>
      </c>
      <c r="AT358" t="str">
        <f t="shared" si="111"/>
        <v>Connolly</v>
      </c>
      <c r="AU358">
        <f t="shared" si="111"/>
        <v>0</v>
      </c>
      <c r="AV358">
        <f t="shared" si="111"/>
        <v>0</v>
      </c>
      <c r="AW358">
        <f t="shared" si="111"/>
        <v>0</v>
      </c>
      <c r="AX358">
        <f t="shared" si="111"/>
        <v>0</v>
      </c>
      <c r="AY358">
        <f t="shared" si="112"/>
        <v>0</v>
      </c>
      <c r="AZ358">
        <f t="shared" si="112"/>
        <v>0</v>
      </c>
      <c r="BA358">
        <f t="shared" si="112"/>
        <v>0</v>
      </c>
      <c r="BB358">
        <f t="shared" si="112"/>
        <v>0</v>
      </c>
      <c r="BC358">
        <f t="shared" si="112"/>
        <v>0</v>
      </c>
      <c r="BD358">
        <f t="shared" si="112"/>
        <v>0</v>
      </c>
      <c r="BE358">
        <f t="shared" si="112"/>
        <v>0</v>
      </c>
      <c r="BF358">
        <f t="shared" si="112"/>
        <v>0</v>
      </c>
      <c r="BG358">
        <f t="shared" si="112"/>
        <v>0</v>
      </c>
      <c r="BH358">
        <f t="shared" si="112"/>
        <v>0</v>
      </c>
      <c r="BI358">
        <f t="shared" si="113"/>
        <v>0</v>
      </c>
      <c r="BJ358">
        <f t="shared" si="113"/>
        <v>0</v>
      </c>
      <c r="BK358">
        <f t="shared" si="113"/>
        <v>0</v>
      </c>
      <c r="BL358">
        <f t="shared" si="113"/>
        <v>0</v>
      </c>
      <c r="BM358">
        <f t="shared" si="113"/>
        <v>0</v>
      </c>
      <c r="BN358">
        <f t="shared" si="113"/>
        <v>0</v>
      </c>
      <c r="BO358">
        <f t="shared" si="113"/>
        <v>0</v>
      </c>
      <c r="BP358">
        <f t="shared" si="113"/>
        <v>0</v>
      </c>
      <c r="BQ358">
        <f t="shared" si="113"/>
        <v>0</v>
      </c>
      <c r="BR358">
        <f t="shared" si="113"/>
        <v>0</v>
      </c>
      <c r="BS358">
        <f t="shared" si="113"/>
        <v>0</v>
      </c>
    </row>
    <row r="359" spans="2:71" ht="15" customHeight="1" x14ac:dyDescent="0.2">
      <c r="B359" t="s">
        <v>245</v>
      </c>
      <c r="D359">
        <v>6</v>
      </c>
      <c r="E359" t="s">
        <v>332</v>
      </c>
      <c r="F359" t="s">
        <v>214</v>
      </c>
      <c r="G359" s="5">
        <v>43308</v>
      </c>
      <c r="H359" t="s">
        <v>97</v>
      </c>
      <c r="I359" t="s">
        <v>305</v>
      </c>
      <c r="J359" t="s">
        <v>216</v>
      </c>
      <c r="K359">
        <v>9</v>
      </c>
      <c r="L359" t="s">
        <v>76</v>
      </c>
      <c r="M359" t="s">
        <v>306</v>
      </c>
      <c r="N359" t="s">
        <v>78</v>
      </c>
      <c r="O359">
        <v>70.5</v>
      </c>
      <c r="P359">
        <v>134</v>
      </c>
      <c r="Q359">
        <v>6389</v>
      </c>
      <c r="R359" t="s">
        <v>248</v>
      </c>
      <c r="S359" t="s">
        <v>248</v>
      </c>
      <c r="T359" t="s">
        <v>81</v>
      </c>
      <c r="U359" t="s">
        <v>59</v>
      </c>
      <c r="V359" t="s">
        <v>53</v>
      </c>
      <c r="W359" t="s">
        <v>307</v>
      </c>
      <c r="AA359">
        <v>0.5</v>
      </c>
      <c r="AB359" t="s">
        <v>33</v>
      </c>
      <c r="AE359" t="str">
        <f t="shared" si="101"/>
        <v>Forster</v>
      </c>
      <c r="AF359">
        <v>0</v>
      </c>
      <c r="AG359">
        <v>0</v>
      </c>
      <c r="AH359">
        <v>1</v>
      </c>
      <c r="AI359">
        <v>0</v>
      </c>
      <c r="AJ359">
        <v>0</v>
      </c>
      <c r="AO359">
        <f t="shared" si="111"/>
        <v>0</v>
      </c>
      <c r="AP359">
        <f t="shared" si="111"/>
        <v>0</v>
      </c>
      <c r="AQ359">
        <f t="shared" si="111"/>
        <v>0</v>
      </c>
      <c r="AR359">
        <f t="shared" si="111"/>
        <v>0</v>
      </c>
      <c r="AS359">
        <f t="shared" si="111"/>
        <v>0</v>
      </c>
      <c r="AT359">
        <f t="shared" si="111"/>
        <v>0</v>
      </c>
      <c r="AU359">
        <f t="shared" si="111"/>
        <v>0</v>
      </c>
      <c r="AV359">
        <f t="shared" si="111"/>
        <v>0</v>
      </c>
      <c r="AW359">
        <f t="shared" si="111"/>
        <v>0</v>
      </c>
      <c r="AX359">
        <f t="shared" si="111"/>
        <v>0</v>
      </c>
      <c r="AY359">
        <f t="shared" si="112"/>
        <v>0</v>
      </c>
      <c r="AZ359">
        <f t="shared" si="112"/>
        <v>0</v>
      </c>
      <c r="BA359">
        <f t="shared" si="112"/>
        <v>0</v>
      </c>
      <c r="BB359" t="str">
        <f t="shared" si="112"/>
        <v>Forster</v>
      </c>
      <c r="BC359">
        <f t="shared" si="112"/>
        <v>0</v>
      </c>
      <c r="BD359">
        <f t="shared" si="112"/>
        <v>0</v>
      </c>
      <c r="BE359">
        <f t="shared" si="112"/>
        <v>0</v>
      </c>
      <c r="BF359">
        <f t="shared" si="112"/>
        <v>0</v>
      </c>
      <c r="BG359">
        <f t="shared" si="112"/>
        <v>0</v>
      </c>
      <c r="BH359">
        <f t="shared" si="112"/>
        <v>0</v>
      </c>
      <c r="BI359">
        <f t="shared" si="113"/>
        <v>0</v>
      </c>
      <c r="BJ359">
        <f t="shared" si="113"/>
        <v>0</v>
      </c>
      <c r="BK359">
        <f t="shared" si="113"/>
        <v>0</v>
      </c>
      <c r="BL359">
        <f t="shared" si="113"/>
        <v>0</v>
      </c>
      <c r="BM359">
        <f t="shared" si="113"/>
        <v>0</v>
      </c>
      <c r="BN359">
        <f t="shared" si="113"/>
        <v>0</v>
      </c>
      <c r="BO359">
        <f t="shared" si="113"/>
        <v>0</v>
      </c>
      <c r="BP359">
        <f t="shared" si="113"/>
        <v>0</v>
      </c>
      <c r="BQ359">
        <f t="shared" si="113"/>
        <v>0</v>
      </c>
      <c r="BR359">
        <f t="shared" si="113"/>
        <v>0</v>
      </c>
      <c r="BS359">
        <f t="shared" si="113"/>
        <v>0</v>
      </c>
    </row>
    <row r="360" spans="2:71" ht="15" customHeight="1" x14ac:dyDescent="0.2">
      <c r="B360" t="s">
        <v>245</v>
      </c>
      <c r="D360">
        <v>6</v>
      </c>
      <c r="E360" t="s">
        <v>332</v>
      </c>
      <c r="F360" t="s">
        <v>214</v>
      </c>
      <c r="G360" s="5">
        <v>43308</v>
      </c>
      <c r="H360" t="s">
        <v>97</v>
      </c>
      <c r="I360" t="s">
        <v>305</v>
      </c>
      <c r="J360" t="s">
        <v>216</v>
      </c>
      <c r="K360">
        <v>9</v>
      </c>
      <c r="L360" t="s">
        <v>76</v>
      </c>
      <c r="M360" t="s">
        <v>306</v>
      </c>
      <c r="N360" t="s">
        <v>78</v>
      </c>
      <c r="O360">
        <v>70.5</v>
      </c>
      <c r="P360">
        <v>134</v>
      </c>
      <c r="Q360">
        <v>6389</v>
      </c>
      <c r="R360" t="s">
        <v>248</v>
      </c>
      <c r="S360" t="s">
        <v>248</v>
      </c>
      <c r="T360" t="s">
        <v>81</v>
      </c>
      <c r="U360" t="s">
        <v>59</v>
      </c>
      <c r="V360" t="s">
        <v>43</v>
      </c>
      <c r="W360" t="s">
        <v>307</v>
      </c>
      <c r="AA360">
        <v>0.5</v>
      </c>
      <c r="AB360" t="s">
        <v>33</v>
      </c>
      <c r="AE360" t="str">
        <f t="shared" si="101"/>
        <v>Poirier</v>
      </c>
      <c r="AF360">
        <v>0</v>
      </c>
      <c r="AG360">
        <v>0</v>
      </c>
      <c r="AH360">
        <v>1</v>
      </c>
      <c r="AI360">
        <v>0</v>
      </c>
      <c r="AJ360">
        <v>0</v>
      </c>
      <c r="AO360">
        <f t="shared" si="111"/>
        <v>0</v>
      </c>
      <c r="AP360">
        <f t="shared" si="111"/>
        <v>0</v>
      </c>
      <c r="AQ360">
        <f t="shared" si="111"/>
        <v>0</v>
      </c>
      <c r="AR360" t="str">
        <f t="shared" si="111"/>
        <v>Poirier</v>
      </c>
      <c r="AS360">
        <f t="shared" si="111"/>
        <v>0</v>
      </c>
      <c r="AT360">
        <f t="shared" si="111"/>
        <v>0</v>
      </c>
      <c r="AU360">
        <f t="shared" si="111"/>
        <v>0</v>
      </c>
      <c r="AV360">
        <f t="shared" si="111"/>
        <v>0</v>
      </c>
      <c r="AW360">
        <f t="shared" si="111"/>
        <v>0</v>
      </c>
      <c r="AX360">
        <f t="shared" si="111"/>
        <v>0</v>
      </c>
      <c r="AY360">
        <f t="shared" si="112"/>
        <v>0</v>
      </c>
      <c r="AZ360">
        <f t="shared" si="112"/>
        <v>0</v>
      </c>
      <c r="BA360">
        <f t="shared" si="112"/>
        <v>0</v>
      </c>
      <c r="BB360">
        <f t="shared" si="112"/>
        <v>0</v>
      </c>
      <c r="BC360">
        <f t="shared" si="112"/>
        <v>0</v>
      </c>
      <c r="BD360">
        <f t="shared" si="112"/>
        <v>0</v>
      </c>
      <c r="BE360">
        <f t="shared" si="112"/>
        <v>0</v>
      </c>
      <c r="BF360">
        <f t="shared" si="112"/>
        <v>0</v>
      </c>
      <c r="BG360">
        <f t="shared" si="112"/>
        <v>0</v>
      </c>
      <c r="BH360">
        <f t="shared" si="112"/>
        <v>0</v>
      </c>
      <c r="BI360">
        <f t="shared" si="113"/>
        <v>0</v>
      </c>
      <c r="BJ360">
        <f t="shared" si="113"/>
        <v>0</v>
      </c>
      <c r="BK360">
        <f t="shared" si="113"/>
        <v>0</v>
      </c>
      <c r="BL360">
        <f t="shared" si="113"/>
        <v>0</v>
      </c>
      <c r="BM360">
        <f t="shared" si="113"/>
        <v>0</v>
      </c>
      <c r="BN360">
        <f t="shared" si="113"/>
        <v>0</v>
      </c>
      <c r="BO360">
        <f t="shared" si="113"/>
        <v>0</v>
      </c>
      <c r="BP360">
        <f t="shared" si="113"/>
        <v>0</v>
      </c>
      <c r="BQ360">
        <f t="shared" si="113"/>
        <v>0</v>
      </c>
      <c r="BR360">
        <f t="shared" si="113"/>
        <v>0</v>
      </c>
      <c r="BS360">
        <f t="shared" si="113"/>
        <v>0</v>
      </c>
    </row>
    <row r="361" spans="2:71" ht="15" customHeight="1" x14ac:dyDescent="0.2">
      <c r="B361" t="s">
        <v>245</v>
      </c>
      <c r="D361">
        <v>6</v>
      </c>
      <c r="E361" t="s">
        <v>332</v>
      </c>
      <c r="F361" t="s">
        <v>214</v>
      </c>
      <c r="G361" s="5">
        <v>43308</v>
      </c>
      <c r="H361" t="s">
        <v>97</v>
      </c>
      <c r="I361" t="s">
        <v>305</v>
      </c>
      <c r="J361" t="s">
        <v>216</v>
      </c>
      <c r="K361">
        <v>9</v>
      </c>
      <c r="L361" t="s">
        <v>76</v>
      </c>
      <c r="M361" t="s">
        <v>306</v>
      </c>
      <c r="N361" t="s">
        <v>78</v>
      </c>
      <c r="O361">
        <v>70.5</v>
      </c>
      <c r="P361">
        <v>134</v>
      </c>
      <c r="Q361">
        <v>6389</v>
      </c>
      <c r="R361" t="s">
        <v>248</v>
      </c>
      <c r="S361" t="s">
        <v>248</v>
      </c>
      <c r="T361" t="s">
        <v>81</v>
      </c>
      <c r="U361" t="s">
        <v>59</v>
      </c>
      <c r="V361" t="s">
        <v>55</v>
      </c>
      <c r="W361" t="s">
        <v>307</v>
      </c>
      <c r="AA361">
        <v>0.5</v>
      </c>
      <c r="AB361" t="s">
        <v>33</v>
      </c>
      <c r="AE361" t="str">
        <f t="shared" si="101"/>
        <v>Cole</v>
      </c>
      <c r="AF361">
        <v>0</v>
      </c>
      <c r="AG361">
        <v>0</v>
      </c>
      <c r="AH361">
        <v>1</v>
      </c>
      <c r="AI361">
        <v>0</v>
      </c>
      <c r="AJ361">
        <v>0</v>
      </c>
      <c r="AO361">
        <f t="shared" si="111"/>
        <v>0</v>
      </c>
      <c r="AP361">
        <f t="shared" si="111"/>
        <v>0</v>
      </c>
      <c r="AQ361">
        <f t="shared" si="111"/>
        <v>0</v>
      </c>
      <c r="AR361">
        <f t="shared" si="111"/>
        <v>0</v>
      </c>
      <c r="AS361">
        <f t="shared" si="111"/>
        <v>0</v>
      </c>
      <c r="AT361">
        <f t="shared" si="111"/>
        <v>0</v>
      </c>
      <c r="AU361">
        <f t="shared" si="111"/>
        <v>0</v>
      </c>
      <c r="AV361">
        <f t="shared" si="111"/>
        <v>0</v>
      </c>
      <c r="AW361">
        <f t="shared" si="111"/>
        <v>0</v>
      </c>
      <c r="AX361">
        <f t="shared" si="111"/>
        <v>0</v>
      </c>
      <c r="AY361">
        <f t="shared" si="112"/>
        <v>0</v>
      </c>
      <c r="AZ361">
        <f t="shared" si="112"/>
        <v>0</v>
      </c>
      <c r="BA361">
        <f t="shared" si="112"/>
        <v>0</v>
      </c>
      <c r="BB361">
        <f t="shared" si="112"/>
        <v>0</v>
      </c>
      <c r="BC361">
        <f t="shared" si="112"/>
        <v>0</v>
      </c>
      <c r="BD361" t="str">
        <f t="shared" si="112"/>
        <v>Cole</v>
      </c>
      <c r="BE361">
        <f t="shared" si="112"/>
        <v>0</v>
      </c>
      <c r="BF361">
        <f t="shared" si="112"/>
        <v>0</v>
      </c>
      <c r="BG361">
        <f t="shared" si="112"/>
        <v>0</v>
      </c>
      <c r="BH361">
        <f t="shared" si="112"/>
        <v>0</v>
      </c>
      <c r="BI361">
        <f t="shared" si="113"/>
        <v>0</v>
      </c>
      <c r="BJ361">
        <f t="shared" si="113"/>
        <v>0</v>
      </c>
      <c r="BK361">
        <f t="shared" si="113"/>
        <v>0</v>
      </c>
      <c r="BL361">
        <f t="shared" si="113"/>
        <v>0</v>
      </c>
      <c r="BM361">
        <f t="shared" si="113"/>
        <v>0</v>
      </c>
      <c r="BN361">
        <f t="shared" si="113"/>
        <v>0</v>
      </c>
      <c r="BO361">
        <f t="shared" si="113"/>
        <v>0</v>
      </c>
      <c r="BP361">
        <f t="shared" si="113"/>
        <v>0</v>
      </c>
      <c r="BQ361">
        <f t="shared" si="113"/>
        <v>0</v>
      </c>
      <c r="BR361">
        <f t="shared" si="113"/>
        <v>0</v>
      </c>
      <c r="BS361">
        <f t="shared" si="113"/>
        <v>0</v>
      </c>
    </row>
    <row r="362" spans="2:71" ht="15" customHeight="1" x14ac:dyDescent="0.2">
      <c r="B362" t="s">
        <v>245</v>
      </c>
      <c r="D362">
        <v>6</v>
      </c>
      <c r="E362" t="s">
        <v>332</v>
      </c>
      <c r="F362" t="s">
        <v>214</v>
      </c>
      <c r="G362" s="5">
        <v>43308</v>
      </c>
      <c r="H362" t="s">
        <v>97</v>
      </c>
      <c r="I362" t="s">
        <v>305</v>
      </c>
      <c r="J362" t="s">
        <v>216</v>
      </c>
      <c r="K362">
        <v>9</v>
      </c>
      <c r="L362" t="s">
        <v>76</v>
      </c>
      <c r="M362" t="s">
        <v>306</v>
      </c>
      <c r="N362" t="s">
        <v>78</v>
      </c>
      <c r="O362">
        <v>70.5</v>
      </c>
      <c r="P362">
        <v>134</v>
      </c>
      <c r="Q362">
        <v>6389</v>
      </c>
      <c r="R362" t="s">
        <v>248</v>
      </c>
      <c r="S362" t="s">
        <v>248</v>
      </c>
      <c r="T362" t="s">
        <v>81</v>
      </c>
      <c r="U362" t="s">
        <v>59</v>
      </c>
      <c r="V362" t="s">
        <v>59</v>
      </c>
      <c r="W362" t="s">
        <v>307</v>
      </c>
      <c r="AA362">
        <v>0.5</v>
      </c>
      <c r="AB362" t="s">
        <v>33</v>
      </c>
      <c r="AE362" t="str">
        <f t="shared" si="101"/>
        <v>Norat</v>
      </c>
      <c r="AF362">
        <v>0</v>
      </c>
      <c r="AG362">
        <v>0</v>
      </c>
      <c r="AH362">
        <v>1</v>
      </c>
      <c r="AI362">
        <v>0</v>
      </c>
      <c r="AJ362">
        <v>0</v>
      </c>
      <c r="AO362">
        <f t="shared" ref="AO362:AX371" si="114">IF(OR($V362=AO$1,$Y362=AO$1),AO$1,0)</f>
        <v>0</v>
      </c>
      <c r="AP362">
        <f t="shared" si="114"/>
        <v>0</v>
      </c>
      <c r="AQ362">
        <f t="shared" si="114"/>
        <v>0</v>
      </c>
      <c r="AR362">
        <f t="shared" si="114"/>
        <v>0</v>
      </c>
      <c r="AS362">
        <f t="shared" si="114"/>
        <v>0</v>
      </c>
      <c r="AT362">
        <f t="shared" si="114"/>
        <v>0</v>
      </c>
      <c r="AU362">
        <f t="shared" si="114"/>
        <v>0</v>
      </c>
      <c r="AV362">
        <f t="shared" si="114"/>
        <v>0</v>
      </c>
      <c r="AW362">
        <f t="shared" si="114"/>
        <v>0</v>
      </c>
      <c r="AX362">
        <f t="shared" si="114"/>
        <v>0</v>
      </c>
      <c r="AY362">
        <f t="shared" ref="AY362:BH371" si="115">IF(OR($V362=AY$1,$Y362=AY$1),AY$1,0)</f>
        <v>0</v>
      </c>
      <c r="AZ362">
        <f t="shared" si="115"/>
        <v>0</v>
      </c>
      <c r="BA362">
        <f t="shared" si="115"/>
        <v>0</v>
      </c>
      <c r="BB362">
        <f t="shared" si="115"/>
        <v>0</v>
      </c>
      <c r="BC362">
        <f t="shared" si="115"/>
        <v>0</v>
      </c>
      <c r="BD362">
        <f t="shared" si="115"/>
        <v>0</v>
      </c>
      <c r="BE362">
        <f t="shared" si="115"/>
        <v>0</v>
      </c>
      <c r="BF362">
        <f t="shared" si="115"/>
        <v>0</v>
      </c>
      <c r="BG362">
        <f t="shared" si="115"/>
        <v>0</v>
      </c>
      <c r="BH362" t="str">
        <f t="shared" si="115"/>
        <v>Norat</v>
      </c>
      <c r="BI362">
        <f t="shared" ref="BI362:BS371" si="116">IF(OR($V362=BI$1,$Y362=BI$1),BI$1,0)</f>
        <v>0</v>
      </c>
      <c r="BJ362">
        <f t="shared" si="116"/>
        <v>0</v>
      </c>
      <c r="BK362">
        <f t="shared" si="116"/>
        <v>0</v>
      </c>
      <c r="BL362">
        <f t="shared" si="116"/>
        <v>0</v>
      </c>
      <c r="BM362">
        <f t="shared" si="116"/>
        <v>0</v>
      </c>
      <c r="BN362">
        <f t="shared" si="116"/>
        <v>0</v>
      </c>
      <c r="BO362">
        <f t="shared" si="116"/>
        <v>0</v>
      </c>
      <c r="BP362">
        <f t="shared" si="116"/>
        <v>0</v>
      </c>
      <c r="BQ362">
        <f t="shared" si="116"/>
        <v>0</v>
      </c>
      <c r="BR362">
        <f t="shared" si="116"/>
        <v>0</v>
      </c>
      <c r="BS362">
        <f t="shared" si="116"/>
        <v>0</v>
      </c>
    </row>
    <row r="363" spans="2:71" ht="15" customHeight="1" x14ac:dyDescent="0.2">
      <c r="B363" t="s">
        <v>245</v>
      </c>
      <c r="D363">
        <v>6</v>
      </c>
      <c r="E363" t="s">
        <v>332</v>
      </c>
      <c r="F363" t="s">
        <v>214</v>
      </c>
      <c r="G363" s="5">
        <v>43308</v>
      </c>
      <c r="H363" t="s">
        <v>97</v>
      </c>
      <c r="I363" t="s">
        <v>305</v>
      </c>
      <c r="J363" t="s">
        <v>216</v>
      </c>
      <c r="K363">
        <v>9</v>
      </c>
      <c r="L363" t="s">
        <v>76</v>
      </c>
      <c r="M363" t="s">
        <v>306</v>
      </c>
      <c r="N363" t="s">
        <v>78</v>
      </c>
      <c r="O363">
        <v>70.5</v>
      </c>
      <c r="P363">
        <v>134</v>
      </c>
      <c r="Q363">
        <v>6389</v>
      </c>
      <c r="R363" t="s">
        <v>248</v>
      </c>
      <c r="S363" t="s">
        <v>248</v>
      </c>
      <c r="T363" t="s">
        <v>81</v>
      </c>
      <c r="U363" t="s">
        <v>59</v>
      </c>
      <c r="V363" t="s">
        <v>62</v>
      </c>
      <c r="W363" t="s">
        <v>307</v>
      </c>
      <c r="AA363">
        <v>0.5</v>
      </c>
      <c r="AB363" t="s">
        <v>33</v>
      </c>
      <c r="AE363" t="str">
        <f t="shared" si="101"/>
        <v>Welker</v>
      </c>
      <c r="AF363">
        <v>0</v>
      </c>
      <c r="AG363">
        <v>0</v>
      </c>
      <c r="AH363">
        <v>1</v>
      </c>
      <c r="AI363">
        <v>0</v>
      </c>
      <c r="AJ363">
        <v>0</v>
      </c>
      <c r="AO363">
        <f t="shared" si="114"/>
        <v>0</v>
      </c>
      <c r="AP363">
        <f t="shared" si="114"/>
        <v>0</v>
      </c>
      <c r="AQ363">
        <f t="shared" si="114"/>
        <v>0</v>
      </c>
      <c r="AR363">
        <f t="shared" si="114"/>
        <v>0</v>
      </c>
      <c r="AS363">
        <f t="shared" si="114"/>
        <v>0</v>
      </c>
      <c r="AT363">
        <f t="shared" si="114"/>
        <v>0</v>
      </c>
      <c r="AU363">
        <f t="shared" si="114"/>
        <v>0</v>
      </c>
      <c r="AV363">
        <f t="shared" si="114"/>
        <v>0</v>
      </c>
      <c r="AW363">
        <f t="shared" si="114"/>
        <v>0</v>
      </c>
      <c r="AX363">
        <f t="shared" si="114"/>
        <v>0</v>
      </c>
      <c r="AY363">
        <f t="shared" si="115"/>
        <v>0</v>
      </c>
      <c r="AZ363">
        <f t="shared" si="115"/>
        <v>0</v>
      </c>
      <c r="BA363">
        <f t="shared" si="115"/>
        <v>0</v>
      </c>
      <c r="BB363">
        <f t="shared" si="115"/>
        <v>0</v>
      </c>
      <c r="BC363">
        <f t="shared" si="115"/>
        <v>0</v>
      </c>
      <c r="BD363">
        <f t="shared" si="115"/>
        <v>0</v>
      </c>
      <c r="BE363">
        <f t="shared" si="115"/>
        <v>0</v>
      </c>
      <c r="BF363">
        <f t="shared" si="115"/>
        <v>0</v>
      </c>
      <c r="BG363">
        <f t="shared" si="115"/>
        <v>0</v>
      </c>
      <c r="BH363">
        <f t="shared" si="115"/>
        <v>0</v>
      </c>
      <c r="BI363">
        <f t="shared" si="116"/>
        <v>0</v>
      </c>
      <c r="BJ363">
        <f t="shared" si="116"/>
        <v>0</v>
      </c>
      <c r="BK363" t="str">
        <f t="shared" si="116"/>
        <v>Welker</v>
      </c>
      <c r="BL363">
        <f t="shared" si="116"/>
        <v>0</v>
      </c>
      <c r="BM363">
        <f t="shared" si="116"/>
        <v>0</v>
      </c>
      <c r="BN363">
        <f t="shared" si="116"/>
        <v>0</v>
      </c>
      <c r="BO363">
        <f t="shared" si="116"/>
        <v>0</v>
      </c>
      <c r="BP363">
        <f t="shared" si="116"/>
        <v>0</v>
      </c>
      <c r="BQ363">
        <f t="shared" si="116"/>
        <v>0</v>
      </c>
      <c r="BR363">
        <f t="shared" si="116"/>
        <v>0</v>
      </c>
      <c r="BS363">
        <f t="shared" si="116"/>
        <v>0</v>
      </c>
    </row>
    <row r="364" spans="2:71" ht="15" customHeight="1" x14ac:dyDescent="0.2">
      <c r="B364" t="s">
        <v>245</v>
      </c>
      <c r="D364">
        <v>6</v>
      </c>
      <c r="E364" t="s">
        <v>332</v>
      </c>
      <c r="F364" t="s">
        <v>214</v>
      </c>
      <c r="G364" s="5">
        <v>43308</v>
      </c>
      <c r="H364" t="s">
        <v>97</v>
      </c>
      <c r="I364" t="s">
        <v>305</v>
      </c>
      <c r="J364" t="s">
        <v>216</v>
      </c>
      <c r="K364">
        <v>9</v>
      </c>
      <c r="L364" t="s">
        <v>76</v>
      </c>
      <c r="M364" t="s">
        <v>306</v>
      </c>
      <c r="N364" t="s">
        <v>78</v>
      </c>
      <c r="O364">
        <v>70.5</v>
      </c>
      <c r="P364">
        <v>134</v>
      </c>
      <c r="Q364">
        <v>6389</v>
      </c>
      <c r="R364" t="s">
        <v>248</v>
      </c>
      <c r="S364" t="s">
        <v>248</v>
      </c>
      <c r="T364" t="s">
        <v>81</v>
      </c>
      <c r="U364" t="s">
        <v>59</v>
      </c>
      <c r="V364" t="s">
        <v>60</v>
      </c>
      <c r="W364" t="s">
        <v>307</v>
      </c>
      <c r="AA364">
        <v>0.5</v>
      </c>
      <c r="AB364" t="s">
        <v>33</v>
      </c>
      <c r="AE364" t="str">
        <f t="shared" si="101"/>
        <v>Zimmer</v>
      </c>
      <c r="AF364">
        <v>0</v>
      </c>
      <c r="AG364">
        <v>0</v>
      </c>
      <c r="AH364">
        <v>1</v>
      </c>
      <c r="AI364">
        <v>0</v>
      </c>
      <c r="AJ364">
        <v>0</v>
      </c>
      <c r="AO364">
        <f t="shared" si="114"/>
        <v>0</v>
      </c>
      <c r="AP364">
        <f t="shared" si="114"/>
        <v>0</v>
      </c>
      <c r="AQ364">
        <f t="shared" si="114"/>
        <v>0</v>
      </c>
      <c r="AR364">
        <f t="shared" si="114"/>
        <v>0</v>
      </c>
      <c r="AS364">
        <f t="shared" si="114"/>
        <v>0</v>
      </c>
      <c r="AT364">
        <f t="shared" si="114"/>
        <v>0</v>
      </c>
      <c r="AU364">
        <f t="shared" si="114"/>
        <v>0</v>
      </c>
      <c r="AV364">
        <f t="shared" si="114"/>
        <v>0</v>
      </c>
      <c r="AW364">
        <f t="shared" si="114"/>
        <v>0</v>
      </c>
      <c r="AX364">
        <f t="shared" si="114"/>
        <v>0</v>
      </c>
      <c r="AY364">
        <f t="shared" si="115"/>
        <v>0</v>
      </c>
      <c r="AZ364">
        <f t="shared" si="115"/>
        <v>0</v>
      </c>
      <c r="BA364">
        <f t="shared" si="115"/>
        <v>0</v>
      </c>
      <c r="BB364">
        <f t="shared" si="115"/>
        <v>0</v>
      </c>
      <c r="BC364">
        <f t="shared" si="115"/>
        <v>0</v>
      </c>
      <c r="BD364">
        <f t="shared" si="115"/>
        <v>0</v>
      </c>
      <c r="BE364">
        <f t="shared" si="115"/>
        <v>0</v>
      </c>
      <c r="BF364">
        <f t="shared" si="115"/>
        <v>0</v>
      </c>
      <c r="BG364">
        <f t="shared" si="115"/>
        <v>0</v>
      </c>
      <c r="BH364">
        <f t="shared" si="115"/>
        <v>0</v>
      </c>
      <c r="BI364" t="str">
        <f t="shared" si="116"/>
        <v>Zimmer</v>
      </c>
      <c r="BJ364">
        <f t="shared" si="116"/>
        <v>0</v>
      </c>
      <c r="BK364">
        <f t="shared" si="116"/>
        <v>0</v>
      </c>
      <c r="BL364">
        <f t="shared" si="116"/>
        <v>0</v>
      </c>
      <c r="BM364">
        <f t="shared" si="116"/>
        <v>0</v>
      </c>
      <c r="BN364">
        <f t="shared" si="116"/>
        <v>0</v>
      </c>
      <c r="BO364">
        <f t="shared" si="116"/>
        <v>0</v>
      </c>
      <c r="BP364">
        <f t="shared" si="116"/>
        <v>0</v>
      </c>
      <c r="BQ364">
        <f t="shared" si="116"/>
        <v>0</v>
      </c>
      <c r="BR364">
        <f t="shared" si="116"/>
        <v>0</v>
      </c>
      <c r="BS364">
        <f t="shared" si="116"/>
        <v>0</v>
      </c>
    </row>
    <row r="365" spans="2:71" ht="15" customHeight="1" x14ac:dyDescent="0.2">
      <c r="B365" t="s">
        <v>245</v>
      </c>
      <c r="D365">
        <v>6</v>
      </c>
      <c r="E365" t="s">
        <v>332</v>
      </c>
      <c r="F365" t="s">
        <v>214</v>
      </c>
      <c r="G365" s="5">
        <v>43308</v>
      </c>
      <c r="H365" t="s">
        <v>97</v>
      </c>
      <c r="I365" t="s">
        <v>305</v>
      </c>
      <c r="J365" t="s">
        <v>216</v>
      </c>
      <c r="K365">
        <v>9</v>
      </c>
      <c r="L365" t="s">
        <v>76</v>
      </c>
      <c r="M365" t="s">
        <v>306</v>
      </c>
      <c r="N365" t="s">
        <v>78</v>
      </c>
      <c r="O365">
        <v>70.5</v>
      </c>
      <c r="P365">
        <v>134</v>
      </c>
      <c r="Q365">
        <v>6389</v>
      </c>
      <c r="R365" t="s">
        <v>248</v>
      </c>
      <c r="S365" t="s">
        <v>248</v>
      </c>
      <c r="T365" t="s">
        <v>81</v>
      </c>
      <c r="U365" t="s">
        <v>59</v>
      </c>
      <c r="V365" t="s">
        <v>52</v>
      </c>
      <c r="W365" t="s">
        <v>307</v>
      </c>
      <c r="AA365">
        <v>0.5</v>
      </c>
      <c r="AB365" t="s">
        <v>33</v>
      </c>
      <c r="AE365" t="str">
        <f t="shared" si="101"/>
        <v>Connors</v>
      </c>
      <c r="AF365">
        <v>0</v>
      </c>
      <c r="AG365">
        <v>0</v>
      </c>
      <c r="AH365">
        <v>1</v>
      </c>
      <c r="AI365">
        <v>0</v>
      </c>
      <c r="AJ365">
        <v>0</v>
      </c>
      <c r="AO365">
        <f t="shared" si="114"/>
        <v>0</v>
      </c>
      <c r="AP365">
        <f t="shared" si="114"/>
        <v>0</v>
      </c>
      <c r="AQ365">
        <f t="shared" si="114"/>
        <v>0</v>
      </c>
      <c r="AR365">
        <f t="shared" si="114"/>
        <v>0</v>
      </c>
      <c r="AS365">
        <f t="shared" si="114"/>
        <v>0</v>
      </c>
      <c r="AT365">
        <f t="shared" si="114"/>
        <v>0</v>
      </c>
      <c r="AU365">
        <f t="shared" si="114"/>
        <v>0</v>
      </c>
      <c r="AV365">
        <f t="shared" si="114"/>
        <v>0</v>
      </c>
      <c r="AW365">
        <f t="shared" si="114"/>
        <v>0</v>
      </c>
      <c r="AX365">
        <f t="shared" si="114"/>
        <v>0</v>
      </c>
      <c r="AY365">
        <f t="shared" si="115"/>
        <v>0</v>
      </c>
      <c r="AZ365">
        <f t="shared" si="115"/>
        <v>0</v>
      </c>
      <c r="BA365" t="str">
        <f t="shared" si="115"/>
        <v>Connors</v>
      </c>
      <c r="BB365">
        <f t="shared" si="115"/>
        <v>0</v>
      </c>
      <c r="BC365">
        <f t="shared" si="115"/>
        <v>0</v>
      </c>
      <c r="BD365">
        <f t="shared" si="115"/>
        <v>0</v>
      </c>
      <c r="BE365">
        <f t="shared" si="115"/>
        <v>0</v>
      </c>
      <c r="BF365">
        <f t="shared" si="115"/>
        <v>0</v>
      </c>
      <c r="BG365">
        <f t="shared" si="115"/>
        <v>0</v>
      </c>
      <c r="BH365">
        <f t="shared" si="115"/>
        <v>0</v>
      </c>
      <c r="BI365">
        <f t="shared" si="116"/>
        <v>0</v>
      </c>
      <c r="BJ365">
        <f t="shared" si="116"/>
        <v>0</v>
      </c>
      <c r="BK365">
        <f t="shared" si="116"/>
        <v>0</v>
      </c>
      <c r="BL365">
        <f t="shared" si="116"/>
        <v>0</v>
      </c>
      <c r="BM365">
        <f t="shared" si="116"/>
        <v>0</v>
      </c>
      <c r="BN365">
        <f t="shared" si="116"/>
        <v>0</v>
      </c>
      <c r="BO365">
        <f t="shared" si="116"/>
        <v>0</v>
      </c>
      <c r="BP365">
        <f t="shared" si="116"/>
        <v>0</v>
      </c>
      <c r="BQ365">
        <f t="shared" si="116"/>
        <v>0</v>
      </c>
      <c r="BR365">
        <f t="shared" si="116"/>
        <v>0</v>
      </c>
      <c r="BS365">
        <f t="shared" si="116"/>
        <v>0</v>
      </c>
    </row>
    <row r="366" spans="2:71" ht="15" customHeight="1" x14ac:dyDescent="0.2">
      <c r="B366">
        <v>21</v>
      </c>
      <c r="C366">
        <v>1</v>
      </c>
      <c r="D366">
        <v>6</v>
      </c>
      <c r="E366" t="s">
        <v>333</v>
      </c>
      <c r="F366" t="s">
        <v>72</v>
      </c>
      <c r="G366" s="5">
        <v>43309</v>
      </c>
      <c r="H366" t="s">
        <v>73</v>
      </c>
      <c r="I366" t="s">
        <v>305</v>
      </c>
      <c r="J366" t="s">
        <v>216</v>
      </c>
      <c r="K366">
        <v>18</v>
      </c>
      <c r="L366" t="s">
        <v>107</v>
      </c>
      <c r="M366" t="s">
        <v>306</v>
      </c>
      <c r="N366" t="s">
        <v>78</v>
      </c>
      <c r="O366">
        <v>70.5</v>
      </c>
      <c r="P366">
        <v>134</v>
      </c>
      <c r="Q366">
        <v>6389</v>
      </c>
      <c r="R366" t="s">
        <v>110</v>
      </c>
      <c r="S366" t="s">
        <v>111</v>
      </c>
      <c r="T366" t="s">
        <v>83</v>
      </c>
      <c r="U366" t="s">
        <v>54</v>
      </c>
      <c r="V366" t="s">
        <v>54</v>
      </c>
      <c r="W366" t="s">
        <v>334</v>
      </c>
      <c r="AA366">
        <v>2</v>
      </c>
      <c r="AB366" t="s">
        <v>33</v>
      </c>
      <c r="AC366" t="s">
        <v>171</v>
      </c>
      <c r="AD366" t="s">
        <v>59</v>
      </c>
      <c r="AE366" t="str">
        <f t="shared" si="101"/>
        <v>Fogan</v>
      </c>
      <c r="AF366">
        <v>0</v>
      </c>
      <c r="AG366">
        <v>0</v>
      </c>
      <c r="AH366">
        <v>1</v>
      </c>
      <c r="AI366">
        <v>0</v>
      </c>
      <c r="AJ366">
        <v>0</v>
      </c>
      <c r="AK366" t="s">
        <v>59</v>
      </c>
      <c r="AL366">
        <v>0.52777777777777801</v>
      </c>
      <c r="AO366">
        <f t="shared" si="114"/>
        <v>0</v>
      </c>
      <c r="AP366">
        <f t="shared" si="114"/>
        <v>0</v>
      </c>
      <c r="AQ366">
        <f t="shared" si="114"/>
        <v>0</v>
      </c>
      <c r="AR366">
        <f t="shared" si="114"/>
        <v>0</v>
      </c>
      <c r="AS366">
        <f t="shared" si="114"/>
        <v>0</v>
      </c>
      <c r="AT366">
        <f t="shared" si="114"/>
        <v>0</v>
      </c>
      <c r="AU366">
        <f t="shared" si="114"/>
        <v>0</v>
      </c>
      <c r="AV366">
        <f t="shared" si="114"/>
        <v>0</v>
      </c>
      <c r="AW366">
        <f t="shared" si="114"/>
        <v>0</v>
      </c>
      <c r="AX366">
        <f t="shared" si="114"/>
        <v>0</v>
      </c>
      <c r="AY366">
        <f t="shared" si="115"/>
        <v>0</v>
      </c>
      <c r="AZ366">
        <f t="shared" si="115"/>
        <v>0</v>
      </c>
      <c r="BA366">
        <f t="shared" si="115"/>
        <v>0</v>
      </c>
      <c r="BB366">
        <f t="shared" si="115"/>
        <v>0</v>
      </c>
      <c r="BC366" t="str">
        <f t="shared" si="115"/>
        <v>Fogan</v>
      </c>
      <c r="BD366">
        <f t="shared" si="115"/>
        <v>0</v>
      </c>
      <c r="BE366">
        <f t="shared" si="115"/>
        <v>0</v>
      </c>
      <c r="BF366">
        <f t="shared" si="115"/>
        <v>0</v>
      </c>
      <c r="BG366">
        <f t="shared" si="115"/>
        <v>0</v>
      </c>
      <c r="BH366">
        <f t="shared" si="115"/>
        <v>0</v>
      </c>
      <c r="BI366">
        <f t="shared" si="116"/>
        <v>0</v>
      </c>
      <c r="BJ366">
        <f t="shared" si="116"/>
        <v>0</v>
      </c>
      <c r="BK366">
        <f t="shared" si="116"/>
        <v>0</v>
      </c>
      <c r="BL366">
        <f t="shared" si="116"/>
        <v>0</v>
      </c>
      <c r="BM366">
        <f t="shared" si="116"/>
        <v>0</v>
      </c>
      <c r="BN366">
        <f t="shared" si="116"/>
        <v>0</v>
      </c>
      <c r="BO366">
        <f t="shared" si="116"/>
        <v>0</v>
      </c>
      <c r="BP366">
        <f t="shared" si="116"/>
        <v>0</v>
      </c>
      <c r="BQ366">
        <f t="shared" si="116"/>
        <v>0</v>
      </c>
      <c r="BR366">
        <f t="shared" si="116"/>
        <v>0</v>
      </c>
      <c r="BS366">
        <f t="shared" si="116"/>
        <v>0</v>
      </c>
    </row>
    <row r="367" spans="2:71" ht="15" customHeight="1" x14ac:dyDescent="0.2">
      <c r="B367">
        <v>21</v>
      </c>
      <c r="C367">
        <v>2</v>
      </c>
      <c r="D367">
        <v>6</v>
      </c>
      <c r="E367" t="s">
        <v>335</v>
      </c>
      <c r="F367" t="s">
        <v>72</v>
      </c>
      <c r="G367" s="5">
        <v>43309</v>
      </c>
      <c r="H367" t="s">
        <v>73</v>
      </c>
      <c r="I367" t="s">
        <v>305</v>
      </c>
      <c r="J367" t="s">
        <v>216</v>
      </c>
      <c r="K367">
        <v>18</v>
      </c>
      <c r="L367" t="s">
        <v>107</v>
      </c>
      <c r="M367" t="s">
        <v>306</v>
      </c>
      <c r="N367" t="s">
        <v>78</v>
      </c>
      <c r="O367">
        <v>70.5</v>
      </c>
      <c r="P367">
        <v>134</v>
      </c>
      <c r="Q367">
        <v>6389</v>
      </c>
      <c r="R367" t="s">
        <v>110</v>
      </c>
      <c r="S367" t="s">
        <v>111</v>
      </c>
      <c r="T367" t="s">
        <v>83</v>
      </c>
      <c r="U367" t="s">
        <v>54</v>
      </c>
      <c r="V367" t="s">
        <v>48</v>
      </c>
      <c r="W367" t="s">
        <v>334</v>
      </c>
      <c r="AA367">
        <v>2</v>
      </c>
      <c r="AB367" t="s">
        <v>33</v>
      </c>
      <c r="AC367" t="s">
        <v>184</v>
      </c>
      <c r="AD367" t="s">
        <v>53</v>
      </c>
      <c r="AE367" t="str">
        <f t="shared" si="101"/>
        <v>Lynch</v>
      </c>
      <c r="AF367">
        <v>0</v>
      </c>
      <c r="AG367">
        <v>0</v>
      </c>
      <c r="AH367">
        <v>1</v>
      </c>
      <c r="AI367">
        <v>0</v>
      </c>
      <c r="AJ367">
        <v>0</v>
      </c>
      <c r="AK367" t="s">
        <v>53</v>
      </c>
      <c r="AL367">
        <v>0.59649122807017496</v>
      </c>
      <c r="AO367">
        <f t="shared" si="114"/>
        <v>0</v>
      </c>
      <c r="AP367">
        <f t="shared" si="114"/>
        <v>0</v>
      </c>
      <c r="AQ367">
        <f t="shared" si="114"/>
        <v>0</v>
      </c>
      <c r="AR367">
        <f t="shared" si="114"/>
        <v>0</v>
      </c>
      <c r="AS367">
        <f t="shared" si="114"/>
        <v>0</v>
      </c>
      <c r="AT367">
        <f t="shared" si="114"/>
        <v>0</v>
      </c>
      <c r="AU367">
        <f t="shared" si="114"/>
        <v>0</v>
      </c>
      <c r="AV367">
        <f t="shared" si="114"/>
        <v>0</v>
      </c>
      <c r="AW367" t="str">
        <f t="shared" si="114"/>
        <v>Lynch</v>
      </c>
      <c r="AX367">
        <f t="shared" si="114"/>
        <v>0</v>
      </c>
      <c r="AY367">
        <f t="shared" si="115"/>
        <v>0</v>
      </c>
      <c r="AZ367">
        <f t="shared" si="115"/>
        <v>0</v>
      </c>
      <c r="BA367">
        <f t="shared" si="115"/>
        <v>0</v>
      </c>
      <c r="BB367">
        <f t="shared" si="115"/>
        <v>0</v>
      </c>
      <c r="BC367">
        <f t="shared" si="115"/>
        <v>0</v>
      </c>
      <c r="BD367">
        <f t="shared" si="115"/>
        <v>0</v>
      </c>
      <c r="BE367">
        <f t="shared" si="115"/>
        <v>0</v>
      </c>
      <c r="BF367">
        <f t="shared" si="115"/>
        <v>0</v>
      </c>
      <c r="BG367">
        <f t="shared" si="115"/>
        <v>0</v>
      </c>
      <c r="BH367">
        <f t="shared" si="115"/>
        <v>0</v>
      </c>
      <c r="BI367">
        <f t="shared" si="116"/>
        <v>0</v>
      </c>
      <c r="BJ367">
        <f t="shared" si="116"/>
        <v>0</v>
      </c>
      <c r="BK367">
        <f t="shared" si="116"/>
        <v>0</v>
      </c>
      <c r="BL367">
        <f t="shared" si="116"/>
        <v>0</v>
      </c>
      <c r="BM367">
        <f t="shared" si="116"/>
        <v>0</v>
      </c>
      <c r="BN367">
        <f t="shared" si="116"/>
        <v>0</v>
      </c>
      <c r="BO367">
        <f t="shared" si="116"/>
        <v>0</v>
      </c>
      <c r="BP367">
        <f t="shared" si="116"/>
        <v>0</v>
      </c>
      <c r="BQ367">
        <f t="shared" si="116"/>
        <v>0</v>
      </c>
      <c r="BR367">
        <f t="shared" si="116"/>
        <v>0</v>
      </c>
      <c r="BS367">
        <f t="shared" si="116"/>
        <v>0</v>
      </c>
    </row>
    <row r="368" spans="2:71" ht="15" customHeight="1" x14ac:dyDescent="0.2">
      <c r="B368">
        <v>22</v>
      </c>
      <c r="C368">
        <v>3</v>
      </c>
      <c r="D368">
        <v>6</v>
      </c>
      <c r="E368" t="s">
        <v>336</v>
      </c>
      <c r="F368" t="s">
        <v>72</v>
      </c>
      <c r="G368" s="5">
        <v>43309</v>
      </c>
      <c r="H368" t="s">
        <v>73</v>
      </c>
      <c r="I368" t="s">
        <v>305</v>
      </c>
      <c r="J368" t="s">
        <v>216</v>
      </c>
      <c r="K368">
        <v>18</v>
      </c>
      <c r="L368" t="s">
        <v>107</v>
      </c>
      <c r="M368" t="s">
        <v>306</v>
      </c>
      <c r="N368" t="s">
        <v>78</v>
      </c>
      <c r="O368">
        <v>70.5</v>
      </c>
      <c r="P368">
        <v>134</v>
      </c>
      <c r="Q368">
        <v>6389</v>
      </c>
      <c r="R368" t="s">
        <v>110</v>
      </c>
      <c r="S368" t="s">
        <v>111</v>
      </c>
      <c r="T368" t="s">
        <v>83</v>
      </c>
      <c r="U368" t="s">
        <v>54</v>
      </c>
      <c r="V368" t="s">
        <v>41</v>
      </c>
      <c r="W368" t="s">
        <v>334</v>
      </c>
      <c r="AA368">
        <v>2</v>
      </c>
      <c r="AB368" t="s">
        <v>32</v>
      </c>
      <c r="AC368" t="s">
        <v>184</v>
      </c>
      <c r="AD368" t="s">
        <v>43</v>
      </c>
      <c r="AE368" t="str">
        <f t="shared" si="101"/>
        <v>Hilts</v>
      </c>
      <c r="AF368">
        <v>2</v>
      </c>
      <c r="AG368">
        <v>1</v>
      </c>
      <c r="AH368">
        <v>0</v>
      </c>
      <c r="AI368">
        <v>0</v>
      </c>
      <c r="AJ368">
        <v>1</v>
      </c>
      <c r="AK368" t="s">
        <v>43</v>
      </c>
      <c r="AL368">
        <v>0.48611111111111099</v>
      </c>
      <c r="AO368">
        <f t="shared" si="114"/>
        <v>0</v>
      </c>
      <c r="AP368" t="str">
        <f t="shared" si="114"/>
        <v>Hilts</v>
      </c>
      <c r="AQ368">
        <f t="shared" si="114"/>
        <v>0</v>
      </c>
      <c r="AR368">
        <f t="shared" si="114"/>
        <v>0</v>
      </c>
      <c r="AS368">
        <f t="shared" si="114"/>
        <v>0</v>
      </c>
      <c r="AT368">
        <f t="shared" si="114"/>
        <v>0</v>
      </c>
      <c r="AU368">
        <f t="shared" si="114"/>
        <v>0</v>
      </c>
      <c r="AV368">
        <f t="shared" si="114"/>
        <v>0</v>
      </c>
      <c r="AW368">
        <f t="shared" si="114"/>
        <v>0</v>
      </c>
      <c r="AX368">
        <f t="shared" si="114"/>
        <v>0</v>
      </c>
      <c r="AY368">
        <f t="shared" si="115"/>
        <v>0</v>
      </c>
      <c r="AZ368">
        <f t="shared" si="115"/>
        <v>0</v>
      </c>
      <c r="BA368">
        <f t="shared" si="115"/>
        <v>0</v>
      </c>
      <c r="BB368">
        <f t="shared" si="115"/>
        <v>0</v>
      </c>
      <c r="BC368">
        <f t="shared" si="115"/>
        <v>0</v>
      </c>
      <c r="BD368">
        <f t="shared" si="115"/>
        <v>0</v>
      </c>
      <c r="BE368">
        <f t="shared" si="115"/>
        <v>0</v>
      </c>
      <c r="BF368">
        <f t="shared" si="115"/>
        <v>0</v>
      </c>
      <c r="BG368">
        <f t="shared" si="115"/>
        <v>0</v>
      </c>
      <c r="BH368">
        <f t="shared" si="115"/>
        <v>0</v>
      </c>
      <c r="BI368">
        <f t="shared" si="116"/>
        <v>0</v>
      </c>
      <c r="BJ368">
        <f t="shared" si="116"/>
        <v>0</v>
      </c>
      <c r="BK368">
        <f t="shared" si="116"/>
        <v>0</v>
      </c>
      <c r="BL368">
        <f t="shared" si="116"/>
        <v>0</v>
      </c>
      <c r="BM368">
        <f t="shared" si="116"/>
        <v>0</v>
      </c>
      <c r="BN368">
        <f t="shared" si="116"/>
        <v>0</v>
      </c>
      <c r="BO368">
        <f t="shared" si="116"/>
        <v>0</v>
      </c>
      <c r="BP368">
        <f t="shared" si="116"/>
        <v>0</v>
      </c>
      <c r="BQ368">
        <f t="shared" si="116"/>
        <v>0</v>
      </c>
      <c r="BR368">
        <f t="shared" si="116"/>
        <v>0</v>
      </c>
      <c r="BS368">
        <f t="shared" si="116"/>
        <v>0</v>
      </c>
    </row>
    <row r="369" spans="2:71" ht="15" customHeight="1" x14ac:dyDescent="0.2">
      <c r="B369">
        <v>22</v>
      </c>
      <c r="C369">
        <v>4</v>
      </c>
      <c r="D369">
        <v>6</v>
      </c>
      <c r="E369" t="s">
        <v>337</v>
      </c>
      <c r="F369" t="s">
        <v>72</v>
      </c>
      <c r="G369" s="5">
        <v>43309</v>
      </c>
      <c r="H369" t="s">
        <v>73</v>
      </c>
      <c r="I369" t="s">
        <v>305</v>
      </c>
      <c r="J369" t="s">
        <v>216</v>
      </c>
      <c r="K369">
        <v>18</v>
      </c>
      <c r="L369" t="s">
        <v>107</v>
      </c>
      <c r="M369" t="s">
        <v>306</v>
      </c>
      <c r="N369" t="s">
        <v>78</v>
      </c>
      <c r="O369">
        <v>70.5</v>
      </c>
      <c r="P369">
        <v>134</v>
      </c>
      <c r="Q369">
        <v>6389</v>
      </c>
      <c r="R369" t="s">
        <v>110</v>
      </c>
      <c r="S369" t="s">
        <v>111</v>
      </c>
      <c r="T369" t="s">
        <v>83</v>
      </c>
      <c r="U369" t="s">
        <v>54</v>
      </c>
      <c r="V369" t="s">
        <v>40</v>
      </c>
      <c r="W369" t="s">
        <v>334</v>
      </c>
      <c r="AA369">
        <v>2</v>
      </c>
      <c r="AB369" t="s">
        <v>32</v>
      </c>
      <c r="AC369" t="s">
        <v>174</v>
      </c>
      <c r="AD369" t="s">
        <v>50</v>
      </c>
      <c r="AE369" t="str">
        <f t="shared" si="101"/>
        <v>Grise</v>
      </c>
      <c r="AF369">
        <v>2</v>
      </c>
      <c r="AG369">
        <v>1</v>
      </c>
      <c r="AH369">
        <v>0</v>
      </c>
      <c r="AI369">
        <v>0</v>
      </c>
      <c r="AJ369">
        <v>1</v>
      </c>
      <c r="AK369" t="s">
        <v>50</v>
      </c>
      <c r="AL369">
        <v>0.59523809523809501</v>
      </c>
      <c r="AO369" t="str">
        <f t="shared" si="114"/>
        <v>Grise</v>
      </c>
      <c r="AP369">
        <f t="shared" si="114"/>
        <v>0</v>
      </c>
      <c r="AQ369">
        <f t="shared" si="114"/>
        <v>0</v>
      </c>
      <c r="AR369">
        <f t="shared" si="114"/>
        <v>0</v>
      </c>
      <c r="AS369">
        <f t="shared" si="114"/>
        <v>0</v>
      </c>
      <c r="AT369">
        <f t="shared" si="114"/>
        <v>0</v>
      </c>
      <c r="AU369">
        <f t="shared" si="114"/>
        <v>0</v>
      </c>
      <c r="AV369">
        <f t="shared" si="114"/>
        <v>0</v>
      </c>
      <c r="AW369">
        <f t="shared" si="114"/>
        <v>0</v>
      </c>
      <c r="AX369">
        <f t="shared" si="114"/>
        <v>0</v>
      </c>
      <c r="AY369">
        <f t="shared" si="115"/>
        <v>0</v>
      </c>
      <c r="AZ369">
        <f t="shared" si="115"/>
        <v>0</v>
      </c>
      <c r="BA369">
        <f t="shared" si="115"/>
        <v>0</v>
      </c>
      <c r="BB369">
        <f t="shared" si="115"/>
        <v>0</v>
      </c>
      <c r="BC369">
        <f t="shared" si="115"/>
        <v>0</v>
      </c>
      <c r="BD369">
        <f t="shared" si="115"/>
        <v>0</v>
      </c>
      <c r="BE369">
        <f t="shared" si="115"/>
        <v>0</v>
      </c>
      <c r="BF369">
        <f t="shared" si="115"/>
        <v>0</v>
      </c>
      <c r="BG369">
        <f t="shared" si="115"/>
        <v>0</v>
      </c>
      <c r="BH369">
        <f t="shared" si="115"/>
        <v>0</v>
      </c>
      <c r="BI369">
        <f t="shared" si="116"/>
        <v>0</v>
      </c>
      <c r="BJ369">
        <f t="shared" si="116"/>
        <v>0</v>
      </c>
      <c r="BK369">
        <f t="shared" si="116"/>
        <v>0</v>
      </c>
      <c r="BL369">
        <f t="shared" si="116"/>
        <v>0</v>
      </c>
      <c r="BM369">
        <f t="shared" si="116"/>
        <v>0</v>
      </c>
      <c r="BN369">
        <f t="shared" si="116"/>
        <v>0</v>
      </c>
      <c r="BO369">
        <f t="shared" si="116"/>
        <v>0</v>
      </c>
      <c r="BP369">
        <f t="shared" si="116"/>
        <v>0</v>
      </c>
      <c r="BQ369">
        <f t="shared" si="116"/>
        <v>0</v>
      </c>
      <c r="BR369">
        <f t="shared" si="116"/>
        <v>0</v>
      </c>
      <c r="BS369">
        <f t="shared" si="116"/>
        <v>0</v>
      </c>
    </row>
    <row r="370" spans="2:71" ht="15" customHeight="1" x14ac:dyDescent="0.2">
      <c r="B370">
        <v>23</v>
      </c>
      <c r="C370">
        <v>5</v>
      </c>
      <c r="D370">
        <v>6</v>
      </c>
      <c r="E370" t="s">
        <v>338</v>
      </c>
      <c r="F370" t="s">
        <v>72</v>
      </c>
      <c r="G370" s="5">
        <v>43309</v>
      </c>
      <c r="H370" t="s">
        <v>73</v>
      </c>
      <c r="I370" t="s">
        <v>305</v>
      </c>
      <c r="J370" t="s">
        <v>216</v>
      </c>
      <c r="K370">
        <v>18</v>
      </c>
      <c r="L370" t="s">
        <v>107</v>
      </c>
      <c r="M370" t="s">
        <v>306</v>
      </c>
      <c r="N370" t="s">
        <v>78</v>
      </c>
      <c r="O370">
        <v>70.5</v>
      </c>
      <c r="P370">
        <v>134</v>
      </c>
      <c r="Q370">
        <v>6389</v>
      </c>
      <c r="R370" t="s">
        <v>110</v>
      </c>
      <c r="S370" t="s">
        <v>111</v>
      </c>
      <c r="T370" t="s">
        <v>83</v>
      </c>
      <c r="U370" t="s">
        <v>54</v>
      </c>
      <c r="V370" t="s">
        <v>49</v>
      </c>
      <c r="W370" t="s">
        <v>334</v>
      </c>
      <c r="AA370">
        <v>2</v>
      </c>
      <c r="AB370" t="s">
        <v>32</v>
      </c>
      <c r="AC370" t="s">
        <v>171</v>
      </c>
      <c r="AD370" t="s">
        <v>52</v>
      </c>
      <c r="AE370" t="str">
        <f t="shared" si="101"/>
        <v>Shively</v>
      </c>
      <c r="AF370">
        <v>2</v>
      </c>
      <c r="AG370">
        <v>1</v>
      </c>
      <c r="AH370">
        <v>0</v>
      </c>
      <c r="AI370">
        <v>0</v>
      </c>
      <c r="AJ370">
        <v>1</v>
      </c>
      <c r="AK370" t="s">
        <v>52</v>
      </c>
      <c r="AL370">
        <v>0.34745762711864397</v>
      </c>
      <c r="AO370">
        <f t="shared" si="114"/>
        <v>0</v>
      </c>
      <c r="AP370">
        <f t="shared" si="114"/>
        <v>0</v>
      </c>
      <c r="AQ370">
        <f t="shared" si="114"/>
        <v>0</v>
      </c>
      <c r="AR370">
        <f t="shared" si="114"/>
        <v>0</v>
      </c>
      <c r="AS370">
        <f t="shared" si="114"/>
        <v>0</v>
      </c>
      <c r="AT370">
        <f t="shared" si="114"/>
        <v>0</v>
      </c>
      <c r="AU370">
        <f t="shared" si="114"/>
        <v>0</v>
      </c>
      <c r="AV370">
        <f t="shared" si="114"/>
        <v>0</v>
      </c>
      <c r="AW370">
        <f t="shared" si="114"/>
        <v>0</v>
      </c>
      <c r="AX370" t="str">
        <f t="shared" si="114"/>
        <v>Shively</v>
      </c>
      <c r="AY370">
        <f t="shared" si="115"/>
        <v>0</v>
      </c>
      <c r="AZ370">
        <f t="shared" si="115"/>
        <v>0</v>
      </c>
      <c r="BA370">
        <f t="shared" si="115"/>
        <v>0</v>
      </c>
      <c r="BB370">
        <f t="shared" si="115"/>
        <v>0</v>
      </c>
      <c r="BC370">
        <f t="shared" si="115"/>
        <v>0</v>
      </c>
      <c r="BD370">
        <f t="shared" si="115"/>
        <v>0</v>
      </c>
      <c r="BE370">
        <f t="shared" si="115"/>
        <v>0</v>
      </c>
      <c r="BF370">
        <f t="shared" si="115"/>
        <v>0</v>
      </c>
      <c r="BG370">
        <f t="shared" si="115"/>
        <v>0</v>
      </c>
      <c r="BH370">
        <f t="shared" si="115"/>
        <v>0</v>
      </c>
      <c r="BI370">
        <f t="shared" si="116"/>
        <v>0</v>
      </c>
      <c r="BJ370">
        <f t="shared" si="116"/>
        <v>0</v>
      </c>
      <c r="BK370">
        <f t="shared" si="116"/>
        <v>0</v>
      </c>
      <c r="BL370">
        <f t="shared" si="116"/>
        <v>0</v>
      </c>
      <c r="BM370">
        <f t="shared" si="116"/>
        <v>0</v>
      </c>
      <c r="BN370">
        <f t="shared" si="116"/>
        <v>0</v>
      </c>
      <c r="BO370">
        <f t="shared" si="116"/>
        <v>0</v>
      </c>
      <c r="BP370">
        <f t="shared" si="116"/>
        <v>0</v>
      </c>
      <c r="BQ370">
        <f t="shared" si="116"/>
        <v>0</v>
      </c>
      <c r="BR370">
        <f t="shared" si="116"/>
        <v>0</v>
      </c>
      <c r="BS370">
        <f t="shared" si="116"/>
        <v>0</v>
      </c>
    </row>
    <row r="371" spans="2:71" ht="15" customHeight="1" x14ac:dyDescent="0.2">
      <c r="B371">
        <v>23</v>
      </c>
      <c r="C371">
        <v>6</v>
      </c>
      <c r="D371">
        <v>6</v>
      </c>
      <c r="E371" t="s">
        <v>339</v>
      </c>
      <c r="F371" t="s">
        <v>72</v>
      </c>
      <c r="G371" s="5">
        <v>43309</v>
      </c>
      <c r="H371" t="s">
        <v>73</v>
      </c>
      <c r="I371" t="s">
        <v>305</v>
      </c>
      <c r="J371" t="s">
        <v>216</v>
      </c>
      <c r="K371">
        <v>18</v>
      </c>
      <c r="L371" t="s">
        <v>107</v>
      </c>
      <c r="M371" t="s">
        <v>306</v>
      </c>
      <c r="N371" t="s">
        <v>78</v>
      </c>
      <c r="O371">
        <v>70.5</v>
      </c>
      <c r="P371">
        <v>134</v>
      </c>
      <c r="Q371">
        <v>6389</v>
      </c>
      <c r="R371" t="s">
        <v>110</v>
      </c>
      <c r="S371" t="s">
        <v>111</v>
      </c>
      <c r="T371" t="s">
        <v>83</v>
      </c>
      <c r="U371" t="s">
        <v>54</v>
      </c>
      <c r="V371" t="s">
        <v>57</v>
      </c>
      <c r="W371" t="s">
        <v>334</v>
      </c>
      <c r="AA371">
        <v>2</v>
      </c>
      <c r="AB371" t="s">
        <v>33</v>
      </c>
      <c r="AC371" t="s">
        <v>258</v>
      </c>
      <c r="AD371" t="s">
        <v>62</v>
      </c>
      <c r="AE371" t="str">
        <f t="shared" si="101"/>
        <v>Buss</v>
      </c>
      <c r="AF371">
        <v>0</v>
      </c>
      <c r="AG371">
        <v>0</v>
      </c>
      <c r="AH371">
        <v>1</v>
      </c>
      <c r="AI371">
        <v>0</v>
      </c>
      <c r="AJ371">
        <v>0</v>
      </c>
      <c r="AK371" t="s">
        <v>62</v>
      </c>
      <c r="AL371">
        <v>0.51041666666666696</v>
      </c>
      <c r="AO371">
        <f t="shared" si="114"/>
        <v>0</v>
      </c>
      <c r="AP371">
        <f t="shared" si="114"/>
        <v>0</v>
      </c>
      <c r="AQ371">
        <f t="shared" si="114"/>
        <v>0</v>
      </c>
      <c r="AR371">
        <f t="shared" si="114"/>
        <v>0</v>
      </c>
      <c r="AS371">
        <f t="shared" si="114"/>
        <v>0</v>
      </c>
      <c r="AT371">
        <f t="shared" si="114"/>
        <v>0</v>
      </c>
      <c r="AU371">
        <f t="shared" si="114"/>
        <v>0</v>
      </c>
      <c r="AV371">
        <f t="shared" si="114"/>
        <v>0</v>
      </c>
      <c r="AW371">
        <f t="shared" si="114"/>
        <v>0</v>
      </c>
      <c r="AX371">
        <f t="shared" si="114"/>
        <v>0</v>
      </c>
      <c r="AY371">
        <f t="shared" si="115"/>
        <v>0</v>
      </c>
      <c r="AZ371">
        <f t="shared" si="115"/>
        <v>0</v>
      </c>
      <c r="BA371">
        <f t="shared" si="115"/>
        <v>0</v>
      </c>
      <c r="BB371">
        <f t="shared" si="115"/>
        <v>0</v>
      </c>
      <c r="BC371">
        <f t="shared" si="115"/>
        <v>0</v>
      </c>
      <c r="BD371">
        <f t="shared" si="115"/>
        <v>0</v>
      </c>
      <c r="BE371">
        <f t="shared" si="115"/>
        <v>0</v>
      </c>
      <c r="BF371" t="str">
        <f t="shared" si="115"/>
        <v>Buss</v>
      </c>
      <c r="BG371">
        <f t="shared" si="115"/>
        <v>0</v>
      </c>
      <c r="BH371">
        <f t="shared" si="115"/>
        <v>0</v>
      </c>
      <c r="BI371">
        <f t="shared" si="116"/>
        <v>0</v>
      </c>
      <c r="BJ371">
        <f t="shared" si="116"/>
        <v>0</v>
      </c>
      <c r="BK371">
        <f t="shared" si="116"/>
        <v>0</v>
      </c>
      <c r="BL371">
        <f t="shared" si="116"/>
        <v>0</v>
      </c>
      <c r="BM371">
        <f t="shared" si="116"/>
        <v>0</v>
      </c>
      <c r="BN371">
        <f t="shared" si="116"/>
        <v>0</v>
      </c>
      <c r="BO371">
        <f t="shared" si="116"/>
        <v>0</v>
      </c>
      <c r="BP371">
        <f t="shared" si="116"/>
        <v>0</v>
      </c>
      <c r="BQ371">
        <f t="shared" si="116"/>
        <v>0</v>
      </c>
      <c r="BR371">
        <f t="shared" si="116"/>
        <v>0</v>
      </c>
      <c r="BS371">
        <f t="shared" si="116"/>
        <v>0</v>
      </c>
    </row>
    <row r="372" spans="2:71" ht="15" customHeight="1" x14ac:dyDescent="0.2">
      <c r="B372">
        <v>24</v>
      </c>
      <c r="C372">
        <v>7</v>
      </c>
      <c r="D372">
        <v>6</v>
      </c>
      <c r="E372" t="s">
        <v>340</v>
      </c>
      <c r="F372" t="s">
        <v>72</v>
      </c>
      <c r="G372" s="5">
        <v>43309</v>
      </c>
      <c r="H372" t="s">
        <v>73</v>
      </c>
      <c r="I372" t="s">
        <v>305</v>
      </c>
      <c r="J372" t="s">
        <v>216</v>
      </c>
      <c r="K372">
        <v>18</v>
      </c>
      <c r="L372" t="s">
        <v>107</v>
      </c>
      <c r="M372" t="s">
        <v>306</v>
      </c>
      <c r="N372" t="s">
        <v>78</v>
      </c>
      <c r="O372">
        <v>70.5</v>
      </c>
      <c r="P372">
        <v>134</v>
      </c>
      <c r="Q372">
        <v>6389</v>
      </c>
      <c r="R372" t="s">
        <v>110</v>
      </c>
      <c r="S372" t="s">
        <v>111</v>
      </c>
      <c r="T372" t="s">
        <v>83</v>
      </c>
      <c r="U372" t="s">
        <v>54</v>
      </c>
      <c r="V372" t="s">
        <v>42</v>
      </c>
      <c r="W372" t="s">
        <v>334</v>
      </c>
      <c r="AA372">
        <v>2</v>
      </c>
      <c r="AB372" t="s">
        <v>32</v>
      </c>
      <c r="AC372" t="s">
        <v>171</v>
      </c>
      <c r="AD372" t="s">
        <v>60</v>
      </c>
      <c r="AE372" t="str">
        <f t="shared" si="101"/>
        <v>Jackson</v>
      </c>
      <c r="AF372">
        <v>2</v>
      </c>
      <c r="AG372">
        <v>1</v>
      </c>
      <c r="AH372">
        <v>0</v>
      </c>
      <c r="AI372">
        <v>0</v>
      </c>
      <c r="AJ372">
        <v>1</v>
      </c>
      <c r="AK372" t="s">
        <v>60</v>
      </c>
      <c r="AL372">
        <v>0.5</v>
      </c>
      <c r="AO372">
        <f t="shared" ref="AO372:AX381" si="117">IF(OR($V372=AO$1,$Y372=AO$1),AO$1,0)</f>
        <v>0</v>
      </c>
      <c r="AP372">
        <f t="shared" si="117"/>
        <v>0</v>
      </c>
      <c r="AQ372" t="str">
        <f t="shared" si="117"/>
        <v>Jackson</v>
      </c>
      <c r="AR372">
        <f t="shared" si="117"/>
        <v>0</v>
      </c>
      <c r="AS372">
        <f t="shared" si="117"/>
        <v>0</v>
      </c>
      <c r="AT372">
        <f t="shared" si="117"/>
        <v>0</v>
      </c>
      <c r="AU372">
        <f t="shared" si="117"/>
        <v>0</v>
      </c>
      <c r="AV372">
        <f t="shared" si="117"/>
        <v>0</v>
      </c>
      <c r="AW372">
        <f t="shared" si="117"/>
        <v>0</v>
      </c>
      <c r="AX372">
        <f t="shared" si="117"/>
        <v>0</v>
      </c>
      <c r="AY372">
        <f t="shared" ref="AY372:BH381" si="118">IF(OR($V372=AY$1,$Y372=AY$1),AY$1,0)</f>
        <v>0</v>
      </c>
      <c r="AZ372">
        <f t="shared" si="118"/>
        <v>0</v>
      </c>
      <c r="BA372">
        <f t="shared" si="118"/>
        <v>0</v>
      </c>
      <c r="BB372">
        <f t="shared" si="118"/>
        <v>0</v>
      </c>
      <c r="BC372">
        <f t="shared" si="118"/>
        <v>0</v>
      </c>
      <c r="BD372">
        <f t="shared" si="118"/>
        <v>0</v>
      </c>
      <c r="BE372">
        <f t="shared" si="118"/>
        <v>0</v>
      </c>
      <c r="BF372">
        <f t="shared" si="118"/>
        <v>0</v>
      </c>
      <c r="BG372">
        <f t="shared" si="118"/>
        <v>0</v>
      </c>
      <c r="BH372">
        <f t="shared" si="118"/>
        <v>0</v>
      </c>
      <c r="BI372">
        <f t="shared" ref="BI372:BS381" si="119">IF(OR($V372=BI$1,$Y372=BI$1),BI$1,0)</f>
        <v>0</v>
      </c>
      <c r="BJ372">
        <f t="shared" si="119"/>
        <v>0</v>
      </c>
      <c r="BK372">
        <f t="shared" si="119"/>
        <v>0</v>
      </c>
      <c r="BL372">
        <f t="shared" si="119"/>
        <v>0</v>
      </c>
      <c r="BM372">
        <f t="shared" si="119"/>
        <v>0</v>
      </c>
      <c r="BN372">
        <f t="shared" si="119"/>
        <v>0</v>
      </c>
      <c r="BO372">
        <f t="shared" si="119"/>
        <v>0</v>
      </c>
      <c r="BP372">
        <f t="shared" si="119"/>
        <v>0</v>
      </c>
      <c r="BQ372">
        <f t="shared" si="119"/>
        <v>0</v>
      </c>
      <c r="BR372">
        <f t="shared" si="119"/>
        <v>0</v>
      </c>
      <c r="BS372">
        <f t="shared" si="119"/>
        <v>0</v>
      </c>
    </row>
    <row r="373" spans="2:71" ht="15" customHeight="1" x14ac:dyDescent="0.2">
      <c r="B373">
        <v>24</v>
      </c>
      <c r="C373">
        <v>8</v>
      </c>
      <c r="D373">
        <v>6</v>
      </c>
      <c r="E373" t="s">
        <v>341</v>
      </c>
      <c r="F373" t="s">
        <v>72</v>
      </c>
      <c r="G373" s="5">
        <v>43309</v>
      </c>
      <c r="H373" t="s">
        <v>73</v>
      </c>
      <c r="I373" t="s">
        <v>305</v>
      </c>
      <c r="J373" t="s">
        <v>216</v>
      </c>
      <c r="K373">
        <v>18</v>
      </c>
      <c r="L373" t="s">
        <v>107</v>
      </c>
      <c r="M373" t="s">
        <v>306</v>
      </c>
      <c r="N373" t="s">
        <v>78</v>
      </c>
      <c r="O373">
        <v>70.5</v>
      </c>
      <c r="P373">
        <v>134</v>
      </c>
      <c r="Q373">
        <v>6389</v>
      </c>
      <c r="R373" t="s">
        <v>110</v>
      </c>
      <c r="S373" t="s">
        <v>111</v>
      </c>
      <c r="T373" t="s">
        <v>83</v>
      </c>
      <c r="U373" t="s">
        <v>54</v>
      </c>
      <c r="V373" t="s">
        <v>46</v>
      </c>
      <c r="W373" t="s">
        <v>334</v>
      </c>
      <c r="AA373">
        <v>2</v>
      </c>
      <c r="AB373" t="s">
        <v>33</v>
      </c>
      <c r="AC373" t="s">
        <v>342</v>
      </c>
      <c r="AD373" t="s">
        <v>55</v>
      </c>
      <c r="AE373" t="str">
        <f t="shared" si="101"/>
        <v>Mangold</v>
      </c>
      <c r="AF373">
        <v>0</v>
      </c>
      <c r="AG373">
        <v>0</v>
      </c>
      <c r="AH373">
        <v>1</v>
      </c>
      <c r="AI373">
        <v>0</v>
      </c>
      <c r="AJ373">
        <v>0</v>
      </c>
      <c r="AK373" t="s">
        <v>55</v>
      </c>
      <c r="AL373">
        <v>0.44067796610169502</v>
      </c>
      <c r="AO373">
        <f t="shared" si="117"/>
        <v>0</v>
      </c>
      <c r="AP373">
        <f t="shared" si="117"/>
        <v>0</v>
      </c>
      <c r="AQ373">
        <f t="shared" si="117"/>
        <v>0</v>
      </c>
      <c r="AR373">
        <f t="shared" si="117"/>
        <v>0</v>
      </c>
      <c r="AS373">
        <f t="shared" si="117"/>
        <v>0</v>
      </c>
      <c r="AT373">
        <f t="shared" si="117"/>
        <v>0</v>
      </c>
      <c r="AU373" t="str">
        <f t="shared" si="117"/>
        <v>Mangold</v>
      </c>
      <c r="AV373">
        <f t="shared" si="117"/>
        <v>0</v>
      </c>
      <c r="AW373">
        <f t="shared" si="117"/>
        <v>0</v>
      </c>
      <c r="AX373">
        <f t="shared" si="117"/>
        <v>0</v>
      </c>
      <c r="AY373">
        <f t="shared" si="118"/>
        <v>0</v>
      </c>
      <c r="AZ373">
        <f t="shared" si="118"/>
        <v>0</v>
      </c>
      <c r="BA373">
        <f t="shared" si="118"/>
        <v>0</v>
      </c>
      <c r="BB373">
        <f t="shared" si="118"/>
        <v>0</v>
      </c>
      <c r="BC373">
        <f t="shared" si="118"/>
        <v>0</v>
      </c>
      <c r="BD373">
        <f t="shared" si="118"/>
        <v>0</v>
      </c>
      <c r="BE373">
        <f t="shared" si="118"/>
        <v>0</v>
      </c>
      <c r="BF373">
        <f t="shared" si="118"/>
        <v>0</v>
      </c>
      <c r="BG373">
        <f t="shared" si="118"/>
        <v>0</v>
      </c>
      <c r="BH373">
        <f t="shared" si="118"/>
        <v>0</v>
      </c>
      <c r="BI373">
        <f t="shared" si="119"/>
        <v>0</v>
      </c>
      <c r="BJ373">
        <f t="shared" si="119"/>
        <v>0</v>
      </c>
      <c r="BK373">
        <f t="shared" si="119"/>
        <v>0</v>
      </c>
      <c r="BL373">
        <f t="shared" si="119"/>
        <v>0</v>
      </c>
      <c r="BM373">
        <f t="shared" si="119"/>
        <v>0</v>
      </c>
      <c r="BN373">
        <f t="shared" si="119"/>
        <v>0</v>
      </c>
      <c r="BO373">
        <f t="shared" si="119"/>
        <v>0</v>
      </c>
      <c r="BP373">
        <f t="shared" si="119"/>
        <v>0</v>
      </c>
      <c r="BQ373">
        <f t="shared" si="119"/>
        <v>0</v>
      </c>
      <c r="BR373">
        <f t="shared" si="119"/>
        <v>0</v>
      </c>
      <c r="BS373">
        <f t="shared" si="119"/>
        <v>0</v>
      </c>
    </row>
    <row r="374" spans="2:71" ht="15" customHeight="1" x14ac:dyDescent="0.2">
      <c r="B374">
        <v>25</v>
      </c>
      <c r="C374">
        <v>9</v>
      </c>
      <c r="D374">
        <v>6</v>
      </c>
      <c r="E374" t="s">
        <v>343</v>
      </c>
      <c r="F374" t="s">
        <v>72</v>
      </c>
      <c r="G374" s="5">
        <v>43309</v>
      </c>
      <c r="H374" t="s">
        <v>73</v>
      </c>
      <c r="I374" t="s">
        <v>305</v>
      </c>
      <c r="J374" t="s">
        <v>216</v>
      </c>
      <c r="K374">
        <v>18</v>
      </c>
      <c r="L374" t="s">
        <v>107</v>
      </c>
      <c r="M374" t="s">
        <v>306</v>
      </c>
      <c r="N374" t="s">
        <v>78</v>
      </c>
      <c r="O374">
        <v>70.5</v>
      </c>
      <c r="P374">
        <v>134</v>
      </c>
      <c r="Q374">
        <v>6389</v>
      </c>
      <c r="R374" t="s">
        <v>110</v>
      </c>
      <c r="S374" t="s">
        <v>111</v>
      </c>
      <c r="T374" t="s">
        <v>83</v>
      </c>
      <c r="U374" t="s">
        <v>54</v>
      </c>
      <c r="V374" t="s">
        <v>58</v>
      </c>
      <c r="W374" t="s">
        <v>334</v>
      </c>
      <c r="AA374">
        <v>2</v>
      </c>
      <c r="AB374" t="s">
        <v>32</v>
      </c>
      <c r="AC374" t="s">
        <v>171</v>
      </c>
      <c r="AD374" t="s">
        <v>45</v>
      </c>
      <c r="AE374" t="str">
        <f t="shared" si="101"/>
        <v>Gray</v>
      </c>
      <c r="AF374">
        <v>2</v>
      </c>
      <c r="AG374">
        <v>1</v>
      </c>
      <c r="AH374">
        <v>0</v>
      </c>
      <c r="AI374">
        <v>0</v>
      </c>
      <c r="AJ374">
        <v>1</v>
      </c>
      <c r="AK374" t="s">
        <v>45</v>
      </c>
      <c r="AL374">
        <v>0.59375</v>
      </c>
      <c r="AO374">
        <f t="shared" si="117"/>
        <v>0</v>
      </c>
      <c r="AP374">
        <f t="shared" si="117"/>
        <v>0</v>
      </c>
      <c r="AQ374">
        <f t="shared" si="117"/>
        <v>0</v>
      </c>
      <c r="AR374">
        <f t="shared" si="117"/>
        <v>0</v>
      </c>
      <c r="AS374">
        <f t="shared" si="117"/>
        <v>0</v>
      </c>
      <c r="AT374">
        <f t="shared" si="117"/>
        <v>0</v>
      </c>
      <c r="AU374">
        <f t="shared" si="117"/>
        <v>0</v>
      </c>
      <c r="AV374">
        <f t="shared" si="117"/>
        <v>0</v>
      </c>
      <c r="AW374">
        <f t="shared" si="117"/>
        <v>0</v>
      </c>
      <c r="AX374">
        <f t="shared" si="117"/>
        <v>0</v>
      </c>
      <c r="AY374">
        <f t="shared" si="118"/>
        <v>0</v>
      </c>
      <c r="AZ374">
        <f t="shared" si="118"/>
        <v>0</v>
      </c>
      <c r="BA374">
        <f t="shared" si="118"/>
        <v>0</v>
      </c>
      <c r="BB374">
        <f t="shared" si="118"/>
        <v>0</v>
      </c>
      <c r="BC374">
        <f t="shared" si="118"/>
        <v>0</v>
      </c>
      <c r="BD374">
        <f t="shared" si="118"/>
        <v>0</v>
      </c>
      <c r="BE374">
        <f t="shared" si="118"/>
        <v>0</v>
      </c>
      <c r="BF374">
        <f t="shared" si="118"/>
        <v>0</v>
      </c>
      <c r="BG374" t="str">
        <f t="shared" si="118"/>
        <v>Gray</v>
      </c>
      <c r="BH374">
        <f t="shared" si="118"/>
        <v>0</v>
      </c>
      <c r="BI374">
        <f t="shared" si="119"/>
        <v>0</v>
      </c>
      <c r="BJ374">
        <f t="shared" si="119"/>
        <v>0</v>
      </c>
      <c r="BK374">
        <f t="shared" si="119"/>
        <v>0</v>
      </c>
      <c r="BL374">
        <f t="shared" si="119"/>
        <v>0</v>
      </c>
      <c r="BM374">
        <f t="shared" si="119"/>
        <v>0</v>
      </c>
      <c r="BN374">
        <f t="shared" si="119"/>
        <v>0</v>
      </c>
      <c r="BO374">
        <f t="shared" si="119"/>
        <v>0</v>
      </c>
      <c r="BP374">
        <f t="shared" si="119"/>
        <v>0</v>
      </c>
      <c r="BQ374">
        <f t="shared" si="119"/>
        <v>0</v>
      </c>
      <c r="BR374">
        <f t="shared" si="119"/>
        <v>0</v>
      </c>
      <c r="BS374">
        <f t="shared" si="119"/>
        <v>0</v>
      </c>
    </row>
    <row r="375" spans="2:71" ht="15" customHeight="1" x14ac:dyDescent="0.2">
      <c r="B375">
        <v>25</v>
      </c>
      <c r="C375">
        <v>10</v>
      </c>
      <c r="D375">
        <v>6</v>
      </c>
      <c r="E375" t="s">
        <v>344</v>
      </c>
      <c r="F375" t="s">
        <v>72</v>
      </c>
      <c r="G375" s="5">
        <v>43309</v>
      </c>
      <c r="H375" t="s">
        <v>73</v>
      </c>
      <c r="I375" t="s">
        <v>305</v>
      </c>
      <c r="J375" t="s">
        <v>216</v>
      </c>
      <c r="K375">
        <v>18</v>
      </c>
      <c r="L375" t="s">
        <v>107</v>
      </c>
      <c r="M375" t="s">
        <v>306</v>
      </c>
      <c r="N375" t="s">
        <v>78</v>
      </c>
      <c r="O375">
        <v>70.5</v>
      </c>
      <c r="P375">
        <v>134</v>
      </c>
      <c r="Q375">
        <v>6389</v>
      </c>
      <c r="R375" t="s">
        <v>110</v>
      </c>
      <c r="S375" t="s">
        <v>111</v>
      </c>
      <c r="T375" t="s">
        <v>83</v>
      </c>
      <c r="U375" t="s">
        <v>54</v>
      </c>
      <c r="V375" t="s">
        <v>61</v>
      </c>
      <c r="W375" t="s">
        <v>334</v>
      </c>
      <c r="AA375">
        <v>2</v>
      </c>
      <c r="AB375" t="s">
        <v>34</v>
      </c>
      <c r="AC375" t="s">
        <v>92</v>
      </c>
      <c r="AD375" t="s">
        <v>44</v>
      </c>
      <c r="AE375" t="str">
        <f t="shared" si="101"/>
        <v>McInerney</v>
      </c>
      <c r="AF375">
        <v>1</v>
      </c>
      <c r="AG375">
        <v>0</v>
      </c>
      <c r="AH375">
        <v>0</v>
      </c>
      <c r="AI375">
        <v>1</v>
      </c>
      <c r="AJ375">
        <v>0.5</v>
      </c>
      <c r="AK375" t="s">
        <v>44</v>
      </c>
      <c r="AL375">
        <v>0.4296875</v>
      </c>
      <c r="AO375">
        <f t="shared" si="117"/>
        <v>0</v>
      </c>
      <c r="AP375">
        <f t="shared" si="117"/>
        <v>0</v>
      </c>
      <c r="AQ375">
        <f t="shared" si="117"/>
        <v>0</v>
      </c>
      <c r="AR375">
        <f t="shared" si="117"/>
        <v>0</v>
      </c>
      <c r="AS375">
        <f t="shared" si="117"/>
        <v>0</v>
      </c>
      <c r="AT375">
        <f t="shared" si="117"/>
        <v>0</v>
      </c>
      <c r="AU375">
        <f t="shared" si="117"/>
        <v>0</v>
      </c>
      <c r="AV375">
        <f t="shared" si="117"/>
        <v>0</v>
      </c>
      <c r="AW375">
        <f t="shared" si="117"/>
        <v>0</v>
      </c>
      <c r="AX375">
        <f t="shared" si="117"/>
        <v>0</v>
      </c>
      <c r="AY375">
        <f t="shared" si="118"/>
        <v>0</v>
      </c>
      <c r="AZ375">
        <f t="shared" si="118"/>
        <v>0</v>
      </c>
      <c r="BA375">
        <f t="shared" si="118"/>
        <v>0</v>
      </c>
      <c r="BB375">
        <f t="shared" si="118"/>
        <v>0</v>
      </c>
      <c r="BC375">
        <f t="shared" si="118"/>
        <v>0</v>
      </c>
      <c r="BD375">
        <f t="shared" si="118"/>
        <v>0</v>
      </c>
      <c r="BE375">
        <f t="shared" si="118"/>
        <v>0</v>
      </c>
      <c r="BF375">
        <f t="shared" si="118"/>
        <v>0</v>
      </c>
      <c r="BG375">
        <f t="shared" si="118"/>
        <v>0</v>
      </c>
      <c r="BH375">
        <f t="shared" si="118"/>
        <v>0</v>
      </c>
      <c r="BI375">
        <f t="shared" si="119"/>
        <v>0</v>
      </c>
      <c r="BJ375" t="str">
        <f t="shared" si="119"/>
        <v>McInerney</v>
      </c>
      <c r="BK375">
        <f t="shared" si="119"/>
        <v>0</v>
      </c>
      <c r="BL375">
        <f t="shared" si="119"/>
        <v>0</v>
      </c>
      <c r="BM375">
        <f t="shared" si="119"/>
        <v>0</v>
      </c>
      <c r="BN375">
        <f t="shared" si="119"/>
        <v>0</v>
      </c>
      <c r="BO375">
        <f t="shared" si="119"/>
        <v>0</v>
      </c>
      <c r="BP375">
        <f t="shared" si="119"/>
        <v>0</v>
      </c>
      <c r="BQ375">
        <f t="shared" si="119"/>
        <v>0</v>
      </c>
      <c r="BR375">
        <f t="shared" si="119"/>
        <v>0</v>
      </c>
      <c r="BS375">
        <f t="shared" si="119"/>
        <v>0</v>
      </c>
    </row>
    <row r="376" spans="2:71" ht="15" customHeight="1" x14ac:dyDescent="0.2">
      <c r="B376">
        <v>26</v>
      </c>
      <c r="C376">
        <v>1</v>
      </c>
      <c r="D376">
        <v>6</v>
      </c>
      <c r="E376" t="s">
        <v>333</v>
      </c>
      <c r="F376" t="s">
        <v>72</v>
      </c>
      <c r="G376" s="5">
        <v>43309</v>
      </c>
      <c r="H376" t="s">
        <v>73</v>
      </c>
      <c r="I376" t="s">
        <v>305</v>
      </c>
      <c r="J376" t="s">
        <v>216</v>
      </c>
      <c r="K376">
        <v>18</v>
      </c>
      <c r="L376" t="s">
        <v>107</v>
      </c>
      <c r="M376" t="s">
        <v>306</v>
      </c>
      <c r="N376" t="s">
        <v>78</v>
      </c>
      <c r="O376">
        <v>70.5</v>
      </c>
      <c r="P376">
        <v>134</v>
      </c>
      <c r="Q376">
        <v>6389</v>
      </c>
      <c r="R376" t="s">
        <v>110</v>
      </c>
      <c r="S376" t="s">
        <v>111</v>
      </c>
      <c r="T376" t="s">
        <v>81</v>
      </c>
      <c r="U376" t="s">
        <v>59</v>
      </c>
      <c r="V376" t="s">
        <v>59</v>
      </c>
      <c r="W376" t="s">
        <v>307</v>
      </c>
      <c r="AA376">
        <v>2</v>
      </c>
      <c r="AB376" t="s">
        <v>32</v>
      </c>
      <c r="AC376" t="s">
        <v>171</v>
      </c>
      <c r="AD376" t="s">
        <v>54</v>
      </c>
      <c r="AE376" t="str">
        <f t="shared" si="101"/>
        <v>Norat</v>
      </c>
      <c r="AF376">
        <v>2</v>
      </c>
      <c r="AG376">
        <v>1</v>
      </c>
      <c r="AH376">
        <v>0</v>
      </c>
      <c r="AI376">
        <v>0</v>
      </c>
      <c r="AJ376">
        <v>1</v>
      </c>
      <c r="AK376" t="s">
        <v>54</v>
      </c>
      <c r="AL376">
        <v>0.37288135593220301</v>
      </c>
      <c r="AO376">
        <f t="shared" si="117"/>
        <v>0</v>
      </c>
      <c r="AP376">
        <f t="shared" si="117"/>
        <v>0</v>
      </c>
      <c r="AQ376">
        <f t="shared" si="117"/>
        <v>0</v>
      </c>
      <c r="AR376">
        <f t="shared" si="117"/>
        <v>0</v>
      </c>
      <c r="AS376">
        <f t="shared" si="117"/>
        <v>0</v>
      </c>
      <c r="AT376">
        <f t="shared" si="117"/>
        <v>0</v>
      </c>
      <c r="AU376">
        <f t="shared" si="117"/>
        <v>0</v>
      </c>
      <c r="AV376">
        <f t="shared" si="117"/>
        <v>0</v>
      </c>
      <c r="AW376">
        <f t="shared" si="117"/>
        <v>0</v>
      </c>
      <c r="AX376">
        <f t="shared" si="117"/>
        <v>0</v>
      </c>
      <c r="AY376">
        <f t="shared" si="118"/>
        <v>0</v>
      </c>
      <c r="AZ376">
        <f t="shared" si="118"/>
        <v>0</v>
      </c>
      <c r="BA376">
        <f t="shared" si="118"/>
        <v>0</v>
      </c>
      <c r="BB376">
        <f t="shared" si="118"/>
        <v>0</v>
      </c>
      <c r="BC376">
        <f t="shared" si="118"/>
        <v>0</v>
      </c>
      <c r="BD376">
        <f t="shared" si="118"/>
        <v>0</v>
      </c>
      <c r="BE376">
        <f t="shared" si="118"/>
        <v>0</v>
      </c>
      <c r="BF376">
        <f t="shared" si="118"/>
        <v>0</v>
      </c>
      <c r="BG376">
        <f t="shared" si="118"/>
        <v>0</v>
      </c>
      <c r="BH376" t="str">
        <f t="shared" si="118"/>
        <v>Norat</v>
      </c>
      <c r="BI376">
        <f t="shared" si="119"/>
        <v>0</v>
      </c>
      <c r="BJ376">
        <f t="shared" si="119"/>
        <v>0</v>
      </c>
      <c r="BK376">
        <f t="shared" si="119"/>
        <v>0</v>
      </c>
      <c r="BL376">
        <f t="shared" si="119"/>
        <v>0</v>
      </c>
      <c r="BM376">
        <f t="shared" si="119"/>
        <v>0</v>
      </c>
      <c r="BN376">
        <f t="shared" si="119"/>
        <v>0</v>
      </c>
      <c r="BO376">
        <f t="shared" si="119"/>
        <v>0</v>
      </c>
      <c r="BP376">
        <f t="shared" si="119"/>
        <v>0</v>
      </c>
      <c r="BQ376">
        <f t="shared" si="119"/>
        <v>0</v>
      </c>
      <c r="BR376">
        <f t="shared" si="119"/>
        <v>0</v>
      </c>
      <c r="BS376">
        <f t="shared" si="119"/>
        <v>0</v>
      </c>
    </row>
    <row r="377" spans="2:71" ht="15" customHeight="1" x14ac:dyDescent="0.2">
      <c r="B377">
        <v>26</v>
      </c>
      <c r="C377">
        <v>2</v>
      </c>
      <c r="D377">
        <v>6</v>
      </c>
      <c r="E377" t="s">
        <v>335</v>
      </c>
      <c r="F377" t="s">
        <v>72</v>
      </c>
      <c r="G377" s="5">
        <v>43309</v>
      </c>
      <c r="H377" t="s">
        <v>73</v>
      </c>
      <c r="I377" t="s">
        <v>305</v>
      </c>
      <c r="J377" t="s">
        <v>216</v>
      </c>
      <c r="K377">
        <v>18</v>
      </c>
      <c r="L377" t="s">
        <v>107</v>
      </c>
      <c r="M377" t="s">
        <v>306</v>
      </c>
      <c r="N377" t="s">
        <v>78</v>
      </c>
      <c r="O377">
        <v>70.5</v>
      </c>
      <c r="P377">
        <v>134</v>
      </c>
      <c r="Q377">
        <v>6389</v>
      </c>
      <c r="R377" t="s">
        <v>110</v>
      </c>
      <c r="S377" t="s">
        <v>111</v>
      </c>
      <c r="T377" t="s">
        <v>81</v>
      </c>
      <c r="U377" t="s">
        <v>59</v>
      </c>
      <c r="V377" t="s">
        <v>53</v>
      </c>
      <c r="W377" t="s">
        <v>307</v>
      </c>
      <c r="AA377">
        <v>2</v>
      </c>
      <c r="AB377" t="s">
        <v>32</v>
      </c>
      <c r="AC377" t="s">
        <v>184</v>
      </c>
      <c r="AD377" t="s">
        <v>48</v>
      </c>
      <c r="AE377" t="str">
        <f t="shared" si="101"/>
        <v>Forster</v>
      </c>
      <c r="AF377">
        <v>2</v>
      </c>
      <c r="AG377">
        <v>1</v>
      </c>
      <c r="AH377">
        <v>0</v>
      </c>
      <c r="AI377">
        <v>0</v>
      </c>
      <c r="AJ377">
        <v>1</v>
      </c>
      <c r="AK377" t="s">
        <v>48</v>
      </c>
      <c r="AL377">
        <v>0.5546875</v>
      </c>
      <c r="AO377">
        <f t="shared" si="117"/>
        <v>0</v>
      </c>
      <c r="AP377">
        <f t="shared" si="117"/>
        <v>0</v>
      </c>
      <c r="AQ377">
        <f t="shared" si="117"/>
        <v>0</v>
      </c>
      <c r="AR377">
        <f t="shared" si="117"/>
        <v>0</v>
      </c>
      <c r="AS377">
        <f t="shared" si="117"/>
        <v>0</v>
      </c>
      <c r="AT377">
        <f t="shared" si="117"/>
        <v>0</v>
      </c>
      <c r="AU377">
        <f t="shared" si="117"/>
        <v>0</v>
      </c>
      <c r="AV377">
        <f t="shared" si="117"/>
        <v>0</v>
      </c>
      <c r="AW377">
        <f t="shared" si="117"/>
        <v>0</v>
      </c>
      <c r="AX377">
        <f t="shared" si="117"/>
        <v>0</v>
      </c>
      <c r="AY377">
        <f t="shared" si="118"/>
        <v>0</v>
      </c>
      <c r="AZ377">
        <f t="shared" si="118"/>
        <v>0</v>
      </c>
      <c r="BA377">
        <f t="shared" si="118"/>
        <v>0</v>
      </c>
      <c r="BB377" t="str">
        <f t="shared" si="118"/>
        <v>Forster</v>
      </c>
      <c r="BC377">
        <f t="shared" si="118"/>
        <v>0</v>
      </c>
      <c r="BD377">
        <f t="shared" si="118"/>
        <v>0</v>
      </c>
      <c r="BE377">
        <f t="shared" si="118"/>
        <v>0</v>
      </c>
      <c r="BF377">
        <f t="shared" si="118"/>
        <v>0</v>
      </c>
      <c r="BG377">
        <f t="shared" si="118"/>
        <v>0</v>
      </c>
      <c r="BH377">
        <f t="shared" si="118"/>
        <v>0</v>
      </c>
      <c r="BI377">
        <f t="shared" si="119"/>
        <v>0</v>
      </c>
      <c r="BJ377">
        <f t="shared" si="119"/>
        <v>0</v>
      </c>
      <c r="BK377">
        <f t="shared" si="119"/>
        <v>0</v>
      </c>
      <c r="BL377">
        <f t="shared" si="119"/>
        <v>0</v>
      </c>
      <c r="BM377">
        <f t="shared" si="119"/>
        <v>0</v>
      </c>
      <c r="BN377">
        <f t="shared" si="119"/>
        <v>0</v>
      </c>
      <c r="BO377">
        <f t="shared" si="119"/>
        <v>0</v>
      </c>
      <c r="BP377">
        <f t="shared" si="119"/>
        <v>0</v>
      </c>
      <c r="BQ377">
        <f t="shared" si="119"/>
        <v>0</v>
      </c>
      <c r="BR377">
        <f t="shared" si="119"/>
        <v>0</v>
      </c>
      <c r="BS377">
        <f t="shared" si="119"/>
        <v>0</v>
      </c>
    </row>
    <row r="378" spans="2:71" ht="15" customHeight="1" x14ac:dyDescent="0.2">
      <c r="B378">
        <v>27</v>
      </c>
      <c r="C378">
        <v>3</v>
      </c>
      <c r="D378">
        <v>6</v>
      </c>
      <c r="E378" t="s">
        <v>336</v>
      </c>
      <c r="F378" t="s">
        <v>72</v>
      </c>
      <c r="G378" s="5">
        <v>43309</v>
      </c>
      <c r="H378" t="s">
        <v>73</v>
      </c>
      <c r="I378" t="s">
        <v>305</v>
      </c>
      <c r="J378" t="s">
        <v>216</v>
      </c>
      <c r="K378">
        <v>18</v>
      </c>
      <c r="L378" t="s">
        <v>107</v>
      </c>
      <c r="M378" t="s">
        <v>306</v>
      </c>
      <c r="N378" t="s">
        <v>78</v>
      </c>
      <c r="O378">
        <v>70.5</v>
      </c>
      <c r="P378">
        <v>134</v>
      </c>
      <c r="Q378">
        <v>6389</v>
      </c>
      <c r="R378" t="s">
        <v>110</v>
      </c>
      <c r="S378" t="s">
        <v>111</v>
      </c>
      <c r="T378" t="s">
        <v>81</v>
      </c>
      <c r="U378" t="s">
        <v>59</v>
      </c>
      <c r="V378" t="s">
        <v>43</v>
      </c>
      <c r="W378" t="s">
        <v>307</v>
      </c>
      <c r="AA378">
        <v>2</v>
      </c>
      <c r="AB378" t="s">
        <v>33</v>
      </c>
      <c r="AC378" t="s">
        <v>184</v>
      </c>
      <c r="AD378" t="s">
        <v>41</v>
      </c>
      <c r="AE378" t="str">
        <f t="shared" si="101"/>
        <v>Poirier</v>
      </c>
      <c r="AF378">
        <v>0</v>
      </c>
      <c r="AG378">
        <v>0</v>
      </c>
      <c r="AH378">
        <v>1</v>
      </c>
      <c r="AI378">
        <v>0</v>
      </c>
      <c r="AJ378">
        <v>0</v>
      </c>
      <c r="AK378" t="s">
        <v>41</v>
      </c>
      <c r="AL378">
        <v>0.47321428571428598</v>
      </c>
      <c r="AO378">
        <f t="shared" si="117"/>
        <v>0</v>
      </c>
      <c r="AP378">
        <f t="shared" si="117"/>
        <v>0</v>
      </c>
      <c r="AQ378">
        <f t="shared" si="117"/>
        <v>0</v>
      </c>
      <c r="AR378" t="str">
        <f t="shared" si="117"/>
        <v>Poirier</v>
      </c>
      <c r="AS378">
        <f t="shared" si="117"/>
        <v>0</v>
      </c>
      <c r="AT378">
        <f t="shared" si="117"/>
        <v>0</v>
      </c>
      <c r="AU378">
        <f t="shared" si="117"/>
        <v>0</v>
      </c>
      <c r="AV378">
        <f t="shared" si="117"/>
        <v>0</v>
      </c>
      <c r="AW378">
        <f t="shared" si="117"/>
        <v>0</v>
      </c>
      <c r="AX378">
        <f t="shared" si="117"/>
        <v>0</v>
      </c>
      <c r="AY378">
        <f t="shared" si="118"/>
        <v>0</v>
      </c>
      <c r="AZ378">
        <f t="shared" si="118"/>
        <v>0</v>
      </c>
      <c r="BA378">
        <f t="shared" si="118"/>
        <v>0</v>
      </c>
      <c r="BB378">
        <f t="shared" si="118"/>
        <v>0</v>
      </c>
      <c r="BC378">
        <f t="shared" si="118"/>
        <v>0</v>
      </c>
      <c r="BD378">
        <f t="shared" si="118"/>
        <v>0</v>
      </c>
      <c r="BE378">
        <f t="shared" si="118"/>
        <v>0</v>
      </c>
      <c r="BF378">
        <f t="shared" si="118"/>
        <v>0</v>
      </c>
      <c r="BG378">
        <f t="shared" si="118"/>
        <v>0</v>
      </c>
      <c r="BH378">
        <f t="shared" si="118"/>
        <v>0</v>
      </c>
      <c r="BI378">
        <f t="shared" si="119"/>
        <v>0</v>
      </c>
      <c r="BJ378">
        <f t="shared" si="119"/>
        <v>0</v>
      </c>
      <c r="BK378">
        <f t="shared" si="119"/>
        <v>0</v>
      </c>
      <c r="BL378">
        <f t="shared" si="119"/>
        <v>0</v>
      </c>
      <c r="BM378">
        <f t="shared" si="119"/>
        <v>0</v>
      </c>
      <c r="BN378">
        <f t="shared" si="119"/>
        <v>0</v>
      </c>
      <c r="BO378">
        <f t="shared" si="119"/>
        <v>0</v>
      </c>
      <c r="BP378">
        <f t="shared" si="119"/>
        <v>0</v>
      </c>
      <c r="BQ378">
        <f t="shared" si="119"/>
        <v>0</v>
      </c>
      <c r="BR378">
        <f t="shared" si="119"/>
        <v>0</v>
      </c>
      <c r="BS378">
        <f t="shared" si="119"/>
        <v>0</v>
      </c>
    </row>
    <row r="379" spans="2:71" ht="15" customHeight="1" x14ac:dyDescent="0.2">
      <c r="B379">
        <v>27</v>
      </c>
      <c r="C379">
        <v>4</v>
      </c>
      <c r="D379">
        <v>6</v>
      </c>
      <c r="E379" t="s">
        <v>337</v>
      </c>
      <c r="F379" t="s">
        <v>72</v>
      </c>
      <c r="G379" s="5">
        <v>43309</v>
      </c>
      <c r="H379" t="s">
        <v>73</v>
      </c>
      <c r="I379" t="s">
        <v>305</v>
      </c>
      <c r="J379" t="s">
        <v>216</v>
      </c>
      <c r="K379">
        <v>18</v>
      </c>
      <c r="L379" t="s">
        <v>107</v>
      </c>
      <c r="M379" t="s">
        <v>306</v>
      </c>
      <c r="N379" t="s">
        <v>78</v>
      </c>
      <c r="O379">
        <v>70.5</v>
      </c>
      <c r="P379">
        <v>134</v>
      </c>
      <c r="Q379">
        <v>6389</v>
      </c>
      <c r="R379" t="s">
        <v>110</v>
      </c>
      <c r="S379" t="s">
        <v>111</v>
      </c>
      <c r="T379" t="s">
        <v>81</v>
      </c>
      <c r="U379" t="s">
        <v>59</v>
      </c>
      <c r="V379" t="s">
        <v>50</v>
      </c>
      <c r="W379" t="s">
        <v>307</v>
      </c>
      <c r="AA379">
        <v>2</v>
      </c>
      <c r="AB379" t="s">
        <v>33</v>
      </c>
      <c r="AC379" t="s">
        <v>174</v>
      </c>
      <c r="AD379" t="s">
        <v>40</v>
      </c>
      <c r="AE379" t="str">
        <f t="shared" si="101"/>
        <v>Ferrin</v>
      </c>
      <c r="AF379">
        <v>0</v>
      </c>
      <c r="AG379">
        <v>0</v>
      </c>
      <c r="AH379">
        <v>1</v>
      </c>
      <c r="AI379">
        <v>0</v>
      </c>
      <c r="AJ379">
        <v>0</v>
      </c>
      <c r="AK379" t="s">
        <v>40</v>
      </c>
      <c r="AL379">
        <v>0.546875</v>
      </c>
      <c r="AO379">
        <f t="shared" si="117"/>
        <v>0</v>
      </c>
      <c r="AP379">
        <f t="shared" si="117"/>
        <v>0</v>
      </c>
      <c r="AQ379">
        <f t="shared" si="117"/>
        <v>0</v>
      </c>
      <c r="AR379">
        <f t="shared" si="117"/>
        <v>0</v>
      </c>
      <c r="AS379">
        <f t="shared" si="117"/>
        <v>0</v>
      </c>
      <c r="AT379">
        <f t="shared" si="117"/>
        <v>0</v>
      </c>
      <c r="AU379">
        <f t="shared" si="117"/>
        <v>0</v>
      </c>
      <c r="AV379">
        <f t="shared" si="117"/>
        <v>0</v>
      </c>
      <c r="AW379">
        <f t="shared" si="117"/>
        <v>0</v>
      </c>
      <c r="AX379">
        <f t="shared" si="117"/>
        <v>0</v>
      </c>
      <c r="AY379" t="str">
        <f t="shared" si="118"/>
        <v>Ferrin</v>
      </c>
      <c r="AZ379">
        <f t="shared" si="118"/>
        <v>0</v>
      </c>
      <c r="BA379">
        <f t="shared" si="118"/>
        <v>0</v>
      </c>
      <c r="BB379">
        <f t="shared" si="118"/>
        <v>0</v>
      </c>
      <c r="BC379">
        <f t="shared" si="118"/>
        <v>0</v>
      </c>
      <c r="BD379">
        <f t="shared" si="118"/>
        <v>0</v>
      </c>
      <c r="BE379">
        <f t="shared" si="118"/>
        <v>0</v>
      </c>
      <c r="BF379">
        <f t="shared" si="118"/>
        <v>0</v>
      </c>
      <c r="BG379">
        <f t="shared" si="118"/>
        <v>0</v>
      </c>
      <c r="BH379">
        <f t="shared" si="118"/>
        <v>0</v>
      </c>
      <c r="BI379">
        <f t="shared" si="119"/>
        <v>0</v>
      </c>
      <c r="BJ379">
        <f t="shared" si="119"/>
        <v>0</v>
      </c>
      <c r="BK379">
        <f t="shared" si="119"/>
        <v>0</v>
      </c>
      <c r="BL379">
        <f t="shared" si="119"/>
        <v>0</v>
      </c>
      <c r="BM379">
        <f t="shared" si="119"/>
        <v>0</v>
      </c>
      <c r="BN379">
        <f t="shared" si="119"/>
        <v>0</v>
      </c>
      <c r="BO379">
        <f t="shared" si="119"/>
        <v>0</v>
      </c>
      <c r="BP379">
        <f t="shared" si="119"/>
        <v>0</v>
      </c>
      <c r="BQ379">
        <f t="shared" si="119"/>
        <v>0</v>
      </c>
      <c r="BR379">
        <f t="shared" si="119"/>
        <v>0</v>
      </c>
      <c r="BS379">
        <f t="shared" si="119"/>
        <v>0</v>
      </c>
    </row>
    <row r="380" spans="2:71" ht="15" customHeight="1" x14ac:dyDescent="0.2">
      <c r="B380">
        <v>28</v>
      </c>
      <c r="C380">
        <v>5</v>
      </c>
      <c r="D380">
        <v>6</v>
      </c>
      <c r="E380" t="s">
        <v>338</v>
      </c>
      <c r="F380" t="s">
        <v>72</v>
      </c>
      <c r="G380" s="5">
        <v>43309</v>
      </c>
      <c r="H380" t="s">
        <v>73</v>
      </c>
      <c r="I380" t="s">
        <v>305</v>
      </c>
      <c r="J380" t="s">
        <v>216</v>
      </c>
      <c r="K380">
        <v>18</v>
      </c>
      <c r="L380" t="s">
        <v>107</v>
      </c>
      <c r="M380" t="s">
        <v>306</v>
      </c>
      <c r="N380" t="s">
        <v>78</v>
      </c>
      <c r="O380">
        <v>70.5</v>
      </c>
      <c r="P380">
        <v>134</v>
      </c>
      <c r="Q380">
        <v>6389</v>
      </c>
      <c r="R380" t="s">
        <v>110</v>
      </c>
      <c r="S380" t="s">
        <v>111</v>
      </c>
      <c r="T380" t="s">
        <v>81</v>
      </c>
      <c r="U380" t="s">
        <v>59</v>
      </c>
      <c r="V380" t="s">
        <v>52</v>
      </c>
      <c r="W380" t="s">
        <v>307</v>
      </c>
      <c r="AA380">
        <v>2</v>
      </c>
      <c r="AB380" t="s">
        <v>33</v>
      </c>
      <c r="AC380" t="s">
        <v>171</v>
      </c>
      <c r="AD380" t="s">
        <v>49</v>
      </c>
      <c r="AE380" t="str">
        <f t="shared" si="101"/>
        <v>Connors</v>
      </c>
      <c r="AF380">
        <v>0</v>
      </c>
      <c r="AG380">
        <v>0</v>
      </c>
      <c r="AH380">
        <v>1</v>
      </c>
      <c r="AI380">
        <v>0</v>
      </c>
      <c r="AJ380">
        <v>0</v>
      </c>
      <c r="AK380" t="s">
        <v>49</v>
      </c>
      <c r="AO380">
        <f t="shared" si="117"/>
        <v>0</v>
      </c>
      <c r="AP380">
        <f t="shared" si="117"/>
        <v>0</v>
      </c>
      <c r="AQ380">
        <f t="shared" si="117"/>
        <v>0</v>
      </c>
      <c r="AR380">
        <f t="shared" si="117"/>
        <v>0</v>
      </c>
      <c r="AS380">
        <f t="shared" si="117"/>
        <v>0</v>
      </c>
      <c r="AT380">
        <f t="shared" si="117"/>
        <v>0</v>
      </c>
      <c r="AU380">
        <f t="shared" si="117"/>
        <v>0</v>
      </c>
      <c r="AV380">
        <f t="shared" si="117"/>
        <v>0</v>
      </c>
      <c r="AW380">
        <f t="shared" si="117"/>
        <v>0</v>
      </c>
      <c r="AX380">
        <f t="shared" si="117"/>
        <v>0</v>
      </c>
      <c r="AY380">
        <f t="shared" si="118"/>
        <v>0</v>
      </c>
      <c r="AZ380">
        <f t="shared" si="118"/>
        <v>0</v>
      </c>
      <c r="BA380" t="str">
        <f t="shared" si="118"/>
        <v>Connors</v>
      </c>
      <c r="BB380">
        <f t="shared" si="118"/>
        <v>0</v>
      </c>
      <c r="BC380">
        <f t="shared" si="118"/>
        <v>0</v>
      </c>
      <c r="BD380">
        <f t="shared" si="118"/>
        <v>0</v>
      </c>
      <c r="BE380">
        <f t="shared" si="118"/>
        <v>0</v>
      </c>
      <c r="BF380">
        <f t="shared" si="118"/>
        <v>0</v>
      </c>
      <c r="BG380">
        <f t="shared" si="118"/>
        <v>0</v>
      </c>
      <c r="BH380">
        <f t="shared" si="118"/>
        <v>0</v>
      </c>
      <c r="BI380">
        <f t="shared" si="119"/>
        <v>0</v>
      </c>
      <c r="BJ380">
        <f t="shared" si="119"/>
        <v>0</v>
      </c>
      <c r="BK380">
        <f t="shared" si="119"/>
        <v>0</v>
      </c>
      <c r="BL380">
        <f t="shared" si="119"/>
        <v>0</v>
      </c>
      <c r="BM380">
        <f t="shared" si="119"/>
        <v>0</v>
      </c>
      <c r="BN380">
        <f t="shared" si="119"/>
        <v>0</v>
      </c>
      <c r="BO380">
        <f t="shared" si="119"/>
        <v>0</v>
      </c>
      <c r="BP380">
        <f t="shared" si="119"/>
        <v>0</v>
      </c>
      <c r="BQ380">
        <f t="shared" si="119"/>
        <v>0</v>
      </c>
      <c r="BR380">
        <f t="shared" si="119"/>
        <v>0</v>
      </c>
      <c r="BS380">
        <f t="shared" si="119"/>
        <v>0</v>
      </c>
    </row>
    <row r="381" spans="2:71" ht="15" customHeight="1" x14ac:dyDescent="0.2">
      <c r="B381">
        <v>28</v>
      </c>
      <c r="C381">
        <v>6</v>
      </c>
      <c r="D381">
        <v>6</v>
      </c>
      <c r="E381" t="s">
        <v>339</v>
      </c>
      <c r="F381" t="s">
        <v>72</v>
      </c>
      <c r="G381" s="5">
        <v>43309</v>
      </c>
      <c r="H381" t="s">
        <v>73</v>
      </c>
      <c r="I381" t="s">
        <v>305</v>
      </c>
      <c r="J381" t="s">
        <v>216</v>
      </c>
      <c r="K381">
        <v>18</v>
      </c>
      <c r="L381" t="s">
        <v>107</v>
      </c>
      <c r="M381" t="s">
        <v>306</v>
      </c>
      <c r="N381" t="s">
        <v>78</v>
      </c>
      <c r="O381">
        <v>70.5</v>
      </c>
      <c r="P381">
        <v>134</v>
      </c>
      <c r="Q381">
        <v>6389</v>
      </c>
      <c r="R381" t="s">
        <v>110</v>
      </c>
      <c r="S381" t="s">
        <v>111</v>
      </c>
      <c r="T381" t="s">
        <v>81</v>
      </c>
      <c r="U381" t="s">
        <v>59</v>
      </c>
      <c r="V381" t="s">
        <v>62</v>
      </c>
      <c r="W381" t="s">
        <v>307</v>
      </c>
      <c r="AA381">
        <v>2</v>
      </c>
      <c r="AB381" t="s">
        <v>32</v>
      </c>
      <c r="AC381" t="s">
        <v>258</v>
      </c>
      <c r="AD381" t="s">
        <v>57</v>
      </c>
      <c r="AE381" t="str">
        <f t="shared" si="101"/>
        <v>Welker</v>
      </c>
      <c r="AF381">
        <v>2</v>
      </c>
      <c r="AG381">
        <v>1</v>
      </c>
      <c r="AH381">
        <v>0</v>
      </c>
      <c r="AI381">
        <v>0</v>
      </c>
      <c r="AJ381">
        <v>1</v>
      </c>
      <c r="AK381" t="s">
        <v>57</v>
      </c>
      <c r="AL381">
        <v>0.44827586206896602</v>
      </c>
      <c r="AO381">
        <f t="shared" si="117"/>
        <v>0</v>
      </c>
      <c r="AP381">
        <f t="shared" si="117"/>
        <v>0</v>
      </c>
      <c r="AQ381">
        <f t="shared" si="117"/>
        <v>0</v>
      </c>
      <c r="AR381">
        <f t="shared" si="117"/>
        <v>0</v>
      </c>
      <c r="AS381">
        <f t="shared" si="117"/>
        <v>0</v>
      </c>
      <c r="AT381">
        <f t="shared" si="117"/>
        <v>0</v>
      </c>
      <c r="AU381">
        <f t="shared" si="117"/>
        <v>0</v>
      </c>
      <c r="AV381">
        <f t="shared" si="117"/>
        <v>0</v>
      </c>
      <c r="AW381">
        <f t="shared" si="117"/>
        <v>0</v>
      </c>
      <c r="AX381">
        <f t="shared" si="117"/>
        <v>0</v>
      </c>
      <c r="AY381">
        <f t="shared" si="118"/>
        <v>0</v>
      </c>
      <c r="AZ381">
        <f t="shared" si="118"/>
        <v>0</v>
      </c>
      <c r="BA381">
        <f t="shared" si="118"/>
        <v>0</v>
      </c>
      <c r="BB381">
        <f t="shared" si="118"/>
        <v>0</v>
      </c>
      <c r="BC381">
        <f t="shared" si="118"/>
        <v>0</v>
      </c>
      <c r="BD381">
        <f t="shared" si="118"/>
        <v>0</v>
      </c>
      <c r="BE381">
        <f t="shared" si="118"/>
        <v>0</v>
      </c>
      <c r="BF381">
        <f t="shared" si="118"/>
        <v>0</v>
      </c>
      <c r="BG381">
        <f t="shared" si="118"/>
        <v>0</v>
      </c>
      <c r="BH381">
        <f t="shared" si="118"/>
        <v>0</v>
      </c>
      <c r="BI381">
        <f t="shared" si="119"/>
        <v>0</v>
      </c>
      <c r="BJ381">
        <f t="shared" si="119"/>
        <v>0</v>
      </c>
      <c r="BK381" t="str">
        <f t="shared" si="119"/>
        <v>Welker</v>
      </c>
      <c r="BL381">
        <f t="shared" si="119"/>
        <v>0</v>
      </c>
      <c r="BM381">
        <f t="shared" si="119"/>
        <v>0</v>
      </c>
      <c r="BN381">
        <f t="shared" si="119"/>
        <v>0</v>
      </c>
      <c r="BO381">
        <f t="shared" si="119"/>
        <v>0</v>
      </c>
      <c r="BP381">
        <f t="shared" si="119"/>
        <v>0</v>
      </c>
      <c r="BQ381">
        <f t="shared" si="119"/>
        <v>0</v>
      </c>
      <c r="BR381">
        <f t="shared" si="119"/>
        <v>0</v>
      </c>
      <c r="BS381">
        <f t="shared" si="119"/>
        <v>0</v>
      </c>
    </row>
    <row r="382" spans="2:71" ht="15" customHeight="1" x14ac:dyDescent="0.2">
      <c r="B382">
        <v>29</v>
      </c>
      <c r="C382">
        <v>7</v>
      </c>
      <c r="D382">
        <v>6</v>
      </c>
      <c r="E382" t="s">
        <v>340</v>
      </c>
      <c r="F382" t="s">
        <v>72</v>
      </c>
      <c r="G382" s="5">
        <v>43309</v>
      </c>
      <c r="H382" t="s">
        <v>73</v>
      </c>
      <c r="I382" t="s">
        <v>305</v>
      </c>
      <c r="J382" t="s">
        <v>216</v>
      </c>
      <c r="K382">
        <v>18</v>
      </c>
      <c r="L382" t="s">
        <v>107</v>
      </c>
      <c r="M382" t="s">
        <v>306</v>
      </c>
      <c r="N382" t="s">
        <v>78</v>
      </c>
      <c r="O382">
        <v>70.5</v>
      </c>
      <c r="P382">
        <v>134</v>
      </c>
      <c r="Q382">
        <v>6389</v>
      </c>
      <c r="R382" t="s">
        <v>110</v>
      </c>
      <c r="S382" t="s">
        <v>111</v>
      </c>
      <c r="T382" t="s">
        <v>81</v>
      </c>
      <c r="U382" t="s">
        <v>59</v>
      </c>
      <c r="V382" t="s">
        <v>60</v>
      </c>
      <c r="W382" t="s">
        <v>307</v>
      </c>
      <c r="AA382">
        <v>2</v>
      </c>
      <c r="AB382" t="s">
        <v>33</v>
      </c>
      <c r="AC382" t="s">
        <v>171</v>
      </c>
      <c r="AD382" t="s">
        <v>42</v>
      </c>
      <c r="AE382" t="str">
        <f t="shared" si="101"/>
        <v>Zimmer</v>
      </c>
      <c r="AF382">
        <v>0</v>
      </c>
      <c r="AG382">
        <v>0</v>
      </c>
      <c r="AH382">
        <v>1</v>
      </c>
      <c r="AI382">
        <v>0</v>
      </c>
      <c r="AJ382">
        <v>0</v>
      </c>
      <c r="AK382" t="s">
        <v>42</v>
      </c>
      <c r="AL382">
        <v>0.6171875</v>
      </c>
      <c r="AO382">
        <f t="shared" ref="AO382:AX391" si="120">IF(OR($V382=AO$1,$Y382=AO$1),AO$1,0)</f>
        <v>0</v>
      </c>
      <c r="AP382">
        <f t="shared" si="120"/>
        <v>0</v>
      </c>
      <c r="AQ382">
        <f t="shared" si="120"/>
        <v>0</v>
      </c>
      <c r="AR382">
        <f t="shared" si="120"/>
        <v>0</v>
      </c>
      <c r="AS382">
        <f t="shared" si="120"/>
        <v>0</v>
      </c>
      <c r="AT382">
        <f t="shared" si="120"/>
        <v>0</v>
      </c>
      <c r="AU382">
        <f t="shared" si="120"/>
        <v>0</v>
      </c>
      <c r="AV382">
        <f t="shared" si="120"/>
        <v>0</v>
      </c>
      <c r="AW382">
        <f t="shared" si="120"/>
        <v>0</v>
      </c>
      <c r="AX382">
        <f t="shared" si="120"/>
        <v>0</v>
      </c>
      <c r="AY382">
        <f t="shared" ref="AY382:BH391" si="121">IF(OR($V382=AY$1,$Y382=AY$1),AY$1,0)</f>
        <v>0</v>
      </c>
      <c r="AZ382">
        <f t="shared" si="121"/>
        <v>0</v>
      </c>
      <c r="BA382">
        <f t="shared" si="121"/>
        <v>0</v>
      </c>
      <c r="BB382">
        <f t="shared" si="121"/>
        <v>0</v>
      </c>
      <c r="BC382">
        <f t="shared" si="121"/>
        <v>0</v>
      </c>
      <c r="BD382">
        <f t="shared" si="121"/>
        <v>0</v>
      </c>
      <c r="BE382">
        <f t="shared" si="121"/>
        <v>0</v>
      </c>
      <c r="BF382">
        <f t="shared" si="121"/>
        <v>0</v>
      </c>
      <c r="BG382">
        <f t="shared" si="121"/>
        <v>0</v>
      </c>
      <c r="BH382">
        <f t="shared" si="121"/>
        <v>0</v>
      </c>
      <c r="BI382" t="str">
        <f t="shared" ref="BI382:BS391" si="122">IF(OR($V382=BI$1,$Y382=BI$1),BI$1,0)</f>
        <v>Zimmer</v>
      </c>
      <c r="BJ382">
        <f t="shared" si="122"/>
        <v>0</v>
      </c>
      <c r="BK382">
        <f t="shared" si="122"/>
        <v>0</v>
      </c>
      <c r="BL382">
        <f t="shared" si="122"/>
        <v>0</v>
      </c>
      <c r="BM382">
        <f t="shared" si="122"/>
        <v>0</v>
      </c>
      <c r="BN382">
        <f t="shared" si="122"/>
        <v>0</v>
      </c>
      <c r="BO382">
        <f t="shared" si="122"/>
        <v>0</v>
      </c>
      <c r="BP382">
        <f t="shared" si="122"/>
        <v>0</v>
      </c>
      <c r="BQ382">
        <f t="shared" si="122"/>
        <v>0</v>
      </c>
      <c r="BR382">
        <f t="shared" si="122"/>
        <v>0</v>
      </c>
      <c r="BS382">
        <f t="shared" si="122"/>
        <v>0</v>
      </c>
    </row>
    <row r="383" spans="2:71" ht="15" customHeight="1" x14ac:dyDescent="0.2">
      <c r="B383">
        <v>29</v>
      </c>
      <c r="C383">
        <v>8</v>
      </c>
      <c r="D383">
        <v>6</v>
      </c>
      <c r="E383" t="s">
        <v>341</v>
      </c>
      <c r="F383" t="s">
        <v>72</v>
      </c>
      <c r="G383" s="5">
        <v>43309</v>
      </c>
      <c r="H383" t="s">
        <v>73</v>
      </c>
      <c r="I383" t="s">
        <v>305</v>
      </c>
      <c r="J383" t="s">
        <v>216</v>
      </c>
      <c r="K383">
        <v>18</v>
      </c>
      <c r="L383" t="s">
        <v>107</v>
      </c>
      <c r="M383" t="s">
        <v>306</v>
      </c>
      <c r="N383" t="s">
        <v>78</v>
      </c>
      <c r="O383">
        <v>70.5</v>
      </c>
      <c r="P383">
        <v>134</v>
      </c>
      <c r="Q383">
        <v>6389</v>
      </c>
      <c r="R383" t="s">
        <v>110</v>
      </c>
      <c r="S383" t="s">
        <v>111</v>
      </c>
      <c r="T383" t="s">
        <v>81</v>
      </c>
      <c r="U383" t="s">
        <v>59</v>
      </c>
      <c r="V383" t="s">
        <v>55</v>
      </c>
      <c r="W383" t="s">
        <v>307</v>
      </c>
      <c r="AA383">
        <v>2</v>
      </c>
      <c r="AB383" t="s">
        <v>32</v>
      </c>
      <c r="AC383" t="s">
        <v>342</v>
      </c>
      <c r="AD383" t="s">
        <v>46</v>
      </c>
      <c r="AE383" t="str">
        <f t="shared" si="101"/>
        <v>Cole</v>
      </c>
      <c r="AF383">
        <v>2</v>
      </c>
      <c r="AG383">
        <v>1</v>
      </c>
      <c r="AH383">
        <v>0</v>
      </c>
      <c r="AI383">
        <v>0</v>
      </c>
      <c r="AJ383">
        <v>1</v>
      </c>
      <c r="AK383" t="s">
        <v>46</v>
      </c>
      <c r="AL383">
        <v>0.38392857142857201</v>
      </c>
      <c r="AO383">
        <f t="shared" si="120"/>
        <v>0</v>
      </c>
      <c r="AP383">
        <f t="shared" si="120"/>
        <v>0</v>
      </c>
      <c r="AQ383">
        <f t="shared" si="120"/>
        <v>0</v>
      </c>
      <c r="AR383">
        <f t="shared" si="120"/>
        <v>0</v>
      </c>
      <c r="AS383">
        <f t="shared" si="120"/>
        <v>0</v>
      </c>
      <c r="AT383">
        <f t="shared" si="120"/>
        <v>0</v>
      </c>
      <c r="AU383">
        <f t="shared" si="120"/>
        <v>0</v>
      </c>
      <c r="AV383">
        <f t="shared" si="120"/>
        <v>0</v>
      </c>
      <c r="AW383">
        <f t="shared" si="120"/>
        <v>0</v>
      </c>
      <c r="AX383">
        <f t="shared" si="120"/>
        <v>0</v>
      </c>
      <c r="AY383">
        <f t="shared" si="121"/>
        <v>0</v>
      </c>
      <c r="AZ383">
        <f t="shared" si="121"/>
        <v>0</v>
      </c>
      <c r="BA383">
        <f t="shared" si="121"/>
        <v>0</v>
      </c>
      <c r="BB383">
        <f t="shared" si="121"/>
        <v>0</v>
      </c>
      <c r="BC383">
        <f t="shared" si="121"/>
        <v>0</v>
      </c>
      <c r="BD383" t="str">
        <f t="shared" si="121"/>
        <v>Cole</v>
      </c>
      <c r="BE383">
        <f t="shared" si="121"/>
        <v>0</v>
      </c>
      <c r="BF383">
        <f t="shared" si="121"/>
        <v>0</v>
      </c>
      <c r="BG383">
        <f t="shared" si="121"/>
        <v>0</v>
      </c>
      <c r="BH383">
        <f t="shared" si="121"/>
        <v>0</v>
      </c>
      <c r="BI383">
        <f t="shared" si="122"/>
        <v>0</v>
      </c>
      <c r="BJ383">
        <f t="shared" si="122"/>
        <v>0</v>
      </c>
      <c r="BK383">
        <f t="shared" si="122"/>
        <v>0</v>
      </c>
      <c r="BL383">
        <f t="shared" si="122"/>
        <v>0</v>
      </c>
      <c r="BM383">
        <f t="shared" si="122"/>
        <v>0</v>
      </c>
      <c r="BN383">
        <f t="shared" si="122"/>
        <v>0</v>
      </c>
      <c r="BO383">
        <f t="shared" si="122"/>
        <v>0</v>
      </c>
      <c r="BP383">
        <f t="shared" si="122"/>
        <v>0</v>
      </c>
      <c r="BQ383">
        <f t="shared" si="122"/>
        <v>0</v>
      </c>
      <c r="BR383">
        <f t="shared" si="122"/>
        <v>0</v>
      </c>
      <c r="BS383">
        <f t="shared" si="122"/>
        <v>0</v>
      </c>
    </row>
    <row r="384" spans="2:71" ht="15" customHeight="1" x14ac:dyDescent="0.2">
      <c r="B384">
        <v>30</v>
      </c>
      <c r="C384">
        <v>9</v>
      </c>
      <c r="D384">
        <v>6</v>
      </c>
      <c r="E384" t="s">
        <v>343</v>
      </c>
      <c r="F384" t="s">
        <v>72</v>
      </c>
      <c r="G384" s="5">
        <v>43309</v>
      </c>
      <c r="H384" t="s">
        <v>73</v>
      </c>
      <c r="I384" t="s">
        <v>305</v>
      </c>
      <c r="J384" t="s">
        <v>216</v>
      </c>
      <c r="K384">
        <v>18</v>
      </c>
      <c r="L384" t="s">
        <v>107</v>
      </c>
      <c r="M384" t="s">
        <v>306</v>
      </c>
      <c r="N384" t="s">
        <v>78</v>
      </c>
      <c r="O384">
        <v>70.5</v>
      </c>
      <c r="P384">
        <v>134</v>
      </c>
      <c r="Q384">
        <v>6389</v>
      </c>
      <c r="R384" t="s">
        <v>110</v>
      </c>
      <c r="S384" t="s">
        <v>111</v>
      </c>
      <c r="T384" t="s">
        <v>81</v>
      </c>
      <c r="U384" t="s">
        <v>59</v>
      </c>
      <c r="V384" t="s">
        <v>45</v>
      </c>
      <c r="W384" t="s">
        <v>307</v>
      </c>
      <c r="AA384">
        <v>2</v>
      </c>
      <c r="AB384" t="s">
        <v>33</v>
      </c>
      <c r="AC384" t="s">
        <v>171</v>
      </c>
      <c r="AD384" t="s">
        <v>58</v>
      </c>
      <c r="AE384" t="str">
        <f t="shared" si="101"/>
        <v>Connolly</v>
      </c>
      <c r="AF384">
        <v>0</v>
      </c>
      <c r="AG384">
        <v>0</v>
      </c>
      <c r="AH384">
        <v>1</v>
      </c>
      <c r="AI384">
        <v>0</v>
      </c>
      <c r="AJ384">
        <v>0</v>
      </c>
      <c r="AK384" t="s">
        <v>58</v>
      </c>
      <c r="AL384">
        <v>0.65476190476190499</v>
      </c>
      <c r="AO384">
        <f t="shared" si="120"/>
        <v>0</v>
      </c>
      <c r="AP384">
        <f t="shared" si="120"/>
        <v>0</v>
      </c>
      <c r="AQ384">
        <f t="shared" si="120"/>
        <v>0</v>
      </c>
      <c r="AR384">
        <f t="shared" si="120"/>
        <v>0</v>
      </c>
      <c r="AS384">
        <f t="shared" si="120"/>
        <v>0</v>
      </c>
      <c r="AT384" t="str">
        <f t="shared" si="120"/>
        <v>Connolly</v>
      </c>
      <c r="AU384">
        <f t="shared" si="120"/>
        <v>0</v>
      </c>
      <c r="AV384">
        <f t="shared" si="120"/>
        <v>0</v>
      </c>
      <c r="AW384">
        <f t="shared" si="120"/>
        <v>0</v>
      </c>
      <c r="AX384">
        <f t="shared" si="120"/>
        <v>0</v>
      </c>
      <c r="AY384">
        <f t="shared" si="121"/>
        <v>0</v>
      </c>
      <c r="AZ384">
        <f t="shared" si="121"/>
        <v>0</v>
      </c>
      <c r="BA384">
        <f t="shared" si="121"/>
        <v>0</v>
      </c>
      <c r="BB384">
        <f t="shared" si="121"/>
        <v>0</v>
      </c>
      <c r="BC384">
        <f t="shared" si="121"/>
        <v>0</v>
      </c>
      <c r="BD384">
        <f t="shared" si="121"/>
        <v>0</v>
      </c>
      <c r="BE384">
        <f t="shared" si="121"/>
        <v>0</v>
      </c>
      <c r="BF384">
        <f t="shared" si="121"/>
        <v>0</v>
      </c>
      <c r="BG384">
        <f t="shared" si="121"/>
        <v>0</v>
      </c>
      <c r="BH384">
        <f t="shared" si="121"/>
        <v>0</v>
      </c>
      <c r="BI384">
        <f t="shared" si="122"/>
        <v>0</v>
      </c>
      <c r="BJ384">
        <f t="shared" si="122"/>
        <v>0</v>
      </c>
      <c r="BK384">
        <f t="shared" si="122"/>
        <v>0</v>
      </c>
      <c r="BL384">
        <f t="shared" si="122"/>
        <v>0</v>
      </c>
      <c r="BM384">
        <f t="shared" si="122"/>
        <v>0</v>
      </c>
      <c r="BN384">
        <f t="shared" si="122"/>
        <v>0</v>
      </c>
      <c r="BO384">
        <f t="shared" si="122"/>
        <v>0</v>
      </c>
      <c r="BP384">
        <f t="shared" si="122"/>
        <v>0</v>
      </c>
      <c r="BQ384">
        <f t="shared" si="122"/>
        <v>0</v>
      </c>
      <c r="BR384">
        <f t="shared" si="122"/>
        <v>0</v>
      </c>
      <c r="BS384">
        <f t="shared" si="122"/>
        <v>0</v>
      </c>
    </row>
    <row r="385" spans="2:71" ht="15" customHeight="1" x14ac:dyDescent="0.2">
      <c r="B385">
        <v>30</v>
      </c>
      <c r="C385">
        <v>10</v>
      </c>
      <c r="D385">
        <v>6</v>
      </c>
      <c r="E385" t="s">
        <v>344</v>
      </c>
      <c r="F385" t="s">
        <v>72</v>
      </c>
      <c r="G385" s="5">
        <v>43309</v>
      </c>
      <c r="H385" t="s">
        <v>73</v>
      </c>
      <c r="I385" t="s">
        <v>305</v>
      </c>
      <c r="J385" t="s">
        <v>216</v>
      </c>
      <c r="K385">
        <v>18</v>
      </c>
      <c r="L385" t="s">
        <v>107</v>
      </c>
      <c r="M385" t="s">
        <v>306</v>
      </c>
      <c r="N385" t="s">
        <v>78</v>
      </c>
      <c r="O385">
        <v>70.5</v>
      </c>
      <c r="P385">
        <v>134</v>
      </c>
      <c r="Q385">
        <v>6389</v>
      </c>
      <c r="R385" t="s">
        <v>110</v>
      </c>
      <c r="S385" t="s">
        <v>111</v>
      </c>
      <c r="T385" t="s">
        <v>81</v>
      </c>
      <c r="U385" t="s">
        <v>59</v>
      </c>
      <c r="V385" t="s">
        <v>44</v>
      </c>
      <c r="W385" t="s">
        <v>307</v>
      </c>
      <c r="AA385">
        <v>2</v>
      </c>
      <c r="AB385" t="s">
        <v>34</v>
      </c>
      <c r="AC385" t="s">
        <v>92</v>
      </c>
      <c r="AD385" t="s">
        <v>61</v>
      </c>
      <c r="AE385" t="str">
        <f t="shared" si="101"/>
        <v>Flanders</v>
      </c>
      <c r="AF385">
        <v>1</v>
      </c>
      <c r="AG385">
        <v>0</v>
      </c>
      <c r="AH385">
        <v>0</v>
      </c>
      <c r="AI385">
        <v>1</v>
      </c>
      <c r="AJ385">
        <v>0.5</v>
      </c>
      <c r="AK385" t="s">
        <v>61</v>
      </c>
      <c r="AL385">
        <v>0.5</v>
      </c>
      <c r="AO385">
        <f t="shared" si="120"/>
        <v>0</v>
      </c>
      <c r="AP385">
        <f t="shared" si="120"/>
        <v>0</v>
      </c>
      <c r="AQ385">
        <f t="shared" si="120"/>
        <v>0</v>
      </c>
      <c r="AR385">
        <f t="shared" si="120"/>
        <v>0</v>
      </c>
      <c r="AS385" t="str">
        <f t="shared" si="120"/>
        <v>Flanders</v>
      </c>
      <c r="AT385">
        <f t="shared" si="120"/>
        <v>0</v>
      </c>
      <c r="AU385">
        <f t="shared" si="120"/>
        <v>0</v>
      </c>
      <c r="AV385">
        <f t="shared" si="120"/>
        <v>0</v>
      </c>
      <c r="AW385">
        <f t="shared" si="120"/>
        <v>0</v>
      </c>
      <c r="AX385">
        <f t="shared" si="120"/>
        <v>0</v>
      </c>
      <c r="AY385">
        <f t="shared" si="121"/>
        <v>0</v>
      </c>
      <c r="AZ385">
        <f t="shared" si="121"/>
        <v>0</v>
      </c>
      <c r="BA385">
        <f t="shared" si="121"/>
        <v>0</v>
      </c>
      <c r="BB385">
        <f t="shared" si="121"/>
        <v>0</v>
      </c>
      <c r="BC385">
        <f t="shared" si="121"/>
        <v>0</v>
      </c>
      <c r="BD385">
        <f t="shared" si="121"/>
        <v>0</v>
      </c>
      <c r="BE385">
        <f t="shared" si="121"/>
        <v>0</v>
      </c>
      <c r="BF385">
        <f t="shared" si="121"/>
        <v>0</v>
      </c>
      <c r="BG385">
        <f t="shared" si="121"/>
        <v>0</v>
      </c>
      <c r="BH385">
        <f t="shared" si="121"/>
        <v>0</v>
      </c>
      <c r="BI385">
        <f t="shared" si="122"/>
        <v>0</v>
      </c>
      <c r="BJ385">
        <f t="shared" si="122"/>
        <v>0</v>
      </c>
      <c r="BK385">
        <f t="shared" si="122"/>
        <v>0</v>
      </c>
      <c r="BL385">
        <f t="shared" si="122"/>
        <v>0</v>
      </c>
      <c r="BM385">
        <f t="shared" si="122"/>
        <v>0</v>
      </c>
      <c r="BN385">
        <f t="shared" si="122"/>
        <v>0</v>
      </c>
      <c r="BO385">
        <f t="shared" si="122"/>
        <v>0</v>
      </c>
      <c r="BP385">
        <f t="shared" si="122"/>
        <v>0</v>
      </c>
      <c r="BQ385">
        <f t="shared" si="122"/>
        <v>0</v>
      </c>
      <c r="BR385">
        <f t="shared" si="122"/>
        <v>0</v>
      </c>
      <c r="BS385">
        <f t="shared" si="122"/>
        <v>0</v>
      </c>
    </row>
    <row r="386" spans="2:71" ht="15" customHeight="1" x14ac:dyDescent="0.2">
      <c r="B386">
        <v>1</v>
      </c>
      <c r="C386">
        <v>1</v>
      </c>
      <c r="D386">
        <v>7</v>
      </c>
      <c r="E386" t="s">
        <v>345</v>
      </c>
      <c r="F386" t="s">
        <v>346</v>
      </c>
      <c r="G386" s="5">
        <v>43685</v>
      </c>
      <c r="H386" t="s">
        <v>97</v>
      </c>
      <c r="I386" t="s">
        <v>347</v>
      </c>
      <c r="J386" t="s">
        <v>348</v>
      </c>
      <c r="K386">
        <v>9</v>
      </c>
      <c r="L386" t="s">
        <v>76</v>
      </c>
      <c r="M386" t="s">
        <v>349</v>
      </c>
      <c r="N386" t="s">
        <v>350</v>
      </c>
      <c r="O386">
        <v>73.400000000000006</v>
      </c>
      <c r="P386">
        <v>138</v>
      </c>
      <c r="Q386">
        <v>6454</v>
      </c>
      <c r="R386" t="s">
        <v>79</v>
      </c>
      <c r="S386" t="s">
        <v>80</v>
      </c>
      <c r="T386" t="s">
        <v>351</v>
      </c>
      <c r="U386" t="s">
        <v>352</v>
      </c>
      <c r="V386" t="s">
        <v>40</v>
      </c>
      <c r="W386" t="s">
        <v>78</v>
      </c>
      <c r="Y386" t="s">
        <v>42</v>
      </c>
      <c r="AA386">
        <v>1</v>
      </c>
      <c r="AB386" t="s">
        <v>32</v>
      </c>
      <c r="AC386" t="s">
        <v>184</v>
      </c>
      <c r="AE386" t="str">
        <f t="shared" ref="AE386:AE449" si="123">$V386&amp;$Y386</f>
        <v>GriseJackson</v>
      </c>
      <c r="AF386">
        <v>1</v>
      </c>
      <c r="AG386">
        <v>1</v>
      </c>
      <c r="AH386">
        <v>0</v>
      </c>
      <c r="AI386">
        <v>0</v>
      </c>
      <c r="AJ386">
        <v>1</v>
      </c>
      <c r="AK386" t="s">
        <v>45</v>
      </c>
      <c r="AL386">
        <v>0.59375</v>
      </c>
      <c r="AM386" t="s">
        <v>54</v>
      </c>
      <c r="AN386">
        <v>0.37288135593220301</v>
      </c>
      <c r="AO386" t="str">
        <f t="shared" si="120"/>
        <v>Grise</v>
      </c>
      <c r="AP386">
        <f t="shared" si="120"/>
        <v>0</v>
      </c>
      <c r="AQ386" t="str">
        <f t="shared" si="120"/>
        <v>Jackson</v>
      </c>
      <c r="AR386">
        <f t="shared" si="120"/>
        <v>0</v>
      </c>
      <c r="AS386">
        <f t="shared" si="120"/>
        <v>0</v>
      </c>
      <c r="AT386">
        <f t="shared" si="120"/>
        <v>0</v>
      </c>
      <c r="AU386">
        <f t="shared" si="120"/>
        <v>0</v>
      </c>
      <c r="AV386">
        <f t="shared" si="120"/>
        <v>0</v>
      </c>
      <c r="AW386">
        <f t="shared" si="120"/>
        <v>0</v>
      </c>
      <c r="AX386">
        <f t="shared" si="120"/>
        <v>0</v>
      </c>
      <c r="AY386">
        <f t="shared" si="121"/>
        <v>0</v>
      </c>
      <c r="AZ386">
        <f t="shared" si="121"/>
        <v>0</v>
      </c>
      <c r="BA386">
        <f t="shared" si="121"/>
        <v>0</v>
      </c>
      <c r="BB386">
        <f t="shared" si="121"/>
        <v>0</v>
      </c>
      <c r="BC386">
        <f t="shared" si="121"/>
        <v>0</v>
      </c>
      <c r="BD386">
        <f t="shared" si="121"/>
        <v>0</v>
      </c>
      <c r="BE386">
        <f t="shared" si="121"/>
        <v>0</v>
      </c>
      <c r="BF386">
        <f t="shared" si="121"/>
        <v>0</v>
      </c>
      <c r="BG386">
        <f t="shared" si="121"/>
        <v>0</v>
      </c>
      <c r="BH386">
        <f t="shared" si="121"/>
        <v>0</v>
      </c>
      <c r="BI386">
        <f t="shared" si="122"/>
        <v>0</v>
      </c>
      <c r="BJ386">
        <f t="shared" si="122"/>
        <v>0</v>
      </c>
      <c r="BK386">
        <f t="shared" si="122"/>
        <v>0</v>
      </c>
      <c r="BL386">
        <f t="shared" si="122"/>
        <v>0</v>
      </c>
      <c r="BM386">
        <f t="shared" si="122"/>
        <v>0</v>
      </c>
      <c r="BN386">
        <f t="shared" si="122"/>
        <v>0</v>
      </c>
      <c r="BO386">
        <f t="shared" si="122"/>
        <v>0</v>
      </c>
      <c r="BP386">
        <f t="shared" si="122"/>
        <v>0</v>
      </c>
      <c r="BQ386">
        <f t="shared" si="122"/>
        <v>0</v>
      </c>
      <c r="BR386">
        <f t="shared" si="122"/>
        <v>0</v>
      </c>
      <c r="BS386">
        <f t="shared" si="122"/>
        <v>0</v>
      </c>
    </row>
    <row r="387" spans="2:71" ht="15" customHeight="1" x14ac:dyDescent="0.2">
      <c r="B387">
        <v>1</v>
      </c>
      <c r="C387">
        <v>1</v>
      </c>
      <c r="D387">
        <v>7</v>
      </c>
      <c r="E387" t="s">
        <v>345</v>
      </c>
      <c r="F387" t="s">
        <v>346</v>
      </c>
      <c r="G387" s="5">
        <v>43685</v>
      </c>
      <c r="H387" t="s">
        <v>97</v>
      </c>
      <c r="I387" t="s">
        <v>347</v>
      </c>
      <c r="J387" t="s">
        <v>348</v>
      </c>
      <c r="K387">
        <v>9</v>
      </c>
      <c r="L387" t="s">
        <v>76</v>
      </c>
      <c r="M387" t="s">
        <v>349</v>
      </c>
      <c r="N387" t="s">
        <v>350</v>
      </c>
      <c r="O387">
        <v>73.400000000000006</v>
      </c>
      <c r="P387">
        <v>138</v>
      </c>
      <c r="Q387">
        <v>6454</v>
      </c>
      <c r="R387" t="s">
        <v>79</v>
      </c>
      <c r="S387" t="s">
        <v>80</v>
      </c>
      <c r="T387" t="s">
        <v>353</v>
      </c>
      <c r="U387" t="s">
        <v>354</v>
      </c>
      <c r="V387" t="s">
        <v>45</v>
      </c>
      <c r="W387" t="s">
        <v>109</v>
      </c>
      <c r="Y387" t="s">
        <v>54</v>
      </c>
      <c r="AA387">
        <v>1</v>
      </c>
      <c r="AB387" t="s">
        <v>33</v>
      </c>
      <c r="AC387" t="s">
        <v>184</v>
      </c>
      <c r="AE387" t="str">
        <f t="shared" si="123"/>
        <v>ConnollyFogan</v>
      </c>
      <c r="AF387">
        <v>0</v>
      </c>
      <c r="AG387">
        <v>0</v>
      </c>
      <c r="AH387">
        <v>1</v>
      </c>
      <c r="AI387">
        <v>0</v>
      </c>
      <c r="AJ387">
        <v>0</v>
      </c>
      <c r="AK387" t="s">
        <v>40</v>
      </c>
      <c r="AL387">
        <v>0.546875</v>
      </c>
      <c r="AM387" t="s">
        <v>42</v>
      </c>
      <c r="AN387">
        <v>0.6171875</v>
      </c>
      <c r="AO387">
        <f t="shared" si="120"/>
        <v>0</v>
      </c>
      <c r="AP387">
        <f t="shared" si="120"/>
        <v>0</v>
      </c>
      <c r="AQ387">
        <f t="shared" si="120"/>
        <v>0</v>
      </c>
      <c r="AR387">
        <f t="shared" si="120"/>
        <v>0</v>
      </c>
      <c r="AS387">
        <f t="shared" si="120"/>
        <v>0</v>
      </c>
      <c r="AT387" t="str">
        <f t="shared" si="120"/>
        <v>Connolly</v>
      </c>
      <c r="AU387">
        <f t="shared" si="120"/>
        <v>0</v>
      </c>
      <c r="AV387">
        <f t="shared" si="120"/>
        <v>0</v>
      </c>
      <c r="AW387">
        <f t="shared" si="120"/>
        <v>0</v>
      </c>
      <c r="AX387">
        <f t="shared" si="120"/>
        <v>0</v>
      </c>
      <c r="AY387">
        <f t="shared" si="121"/>
        <v>0</v>
      </c>
      <c r="AZ387">
        <f t="shared" si="121"/>
        <v>0</v>
      </c>
      <c r="BA387">
        <f t="shared" si="121"/>
        <v>0</v>
      </c>
      <c r="BB387">
        <f t="shared" si="121"/>
        <v>0</v>
      </c>
      <c r="BC387" t="str">
        <f t="shared" si="121"/>
        <v>Fogan</v>
      </c>
      <c r="BD387">
        <f t="shared" si="121"/>
        <v>0</v>
      </c>
      <c r="BE387">
        <f t="shared" si="121"/>
        <v>0</v>
      </c>
      <c r="BF387">
        <f t="shared" si="121"/>
        <v>0</v>
      </c>
      <c r="BG387">
        <f t="shared" si="121"/>
        <v>0</v>
      </c>
      <c r="BH387">
        <f t="shared" si="121"/>
        <v>0</v>
      </c>
      <c r="BI387">
        <f t="shared" si="122"/>
        <v>0</v>
      </c>
      <c r="BJ387">
        <f t="shared" si="122"/>
        <v>0</v>
      </c>
      <c r="BK387">
        <f t="shared" si="122"/>
        <v>0</v>
      </c>
      <c r="BL387">
        <f t="shared" si="122"/>
        <v>0</v>
      </c>
      <c r="BM387">
        <f t="shared" si="122"/>
        <v>0</v>
      </c>
      <c r="BN387">
        <f t="shared" si="122"/>
        <v>0</v>
      </c>
      <c r="BO387">
        <f t="shared" si="122"/>
        <v>0</v>
      </c>
      <c r="BP387">
        <f t="shared" si="122"/>
        <v>0</v>
      </c>
      <c r="BQ387">
        <f t="shared" si="122"/>
        <v>0</v>
      </c>
      <c r="BR387">
        <f t="shared" si="122"/>
        <v>0</v>
      </c>
      <c r="BS387">
        <f t="shared" si="122"/>
        <v>0</v>
      </c>
    </row>
    <row r="388" spans="2:71" ht="15" customHeight="1" x14ac:dyDescent="0.2">
      <c r="B388">
        <v>2</v>
      </c>
      <c r="C388">
        <v>2</v>
      </c>
      <c r="D388">
        <v>7</v>
      </c>
      <c r="E388" t="s">
        <v>355</v>
      </c>
      <c r="F388" t="s">
        <v>346</v>
      </c>
      <c r="G388" s="5">
        <v>43685</v>
      </c>
      <c r="H388" t="s">
        <v>97</v>
      </c>
      <c r="I388" t="s">
        <v>347</v>
      </c>
      <c r="J388" t="s">
        <v>348</v>
      </c>
      <c r="K388">
        <v>9</v>
      </c>
      <c r="L388" t="s">
        <v>76</v>
      </c>
      <c r="M388" t="s">
        <v>349</v>
      </c>
      <c r="N388" t="s">
        <v>350</v>
      </c>
      <c r="O388">
        <v>73.400000000000006</v>
      </c>
      <c r="P388">
        <v>138</v>
      </c>
      <c r="Q388">
        <v>6454</v>
      </c>
      <c r="R388" t="s">
        <v>79</v>
      </c>
      <c r="S388" t="s">
        <v>80</v>
      </c>
      <c r="T388" t="s">
        <v>353</v>
      </c>
      <c r="U388" t="s">
        <v>354</v>
      </c>
      <c r="V388" t="s">
        <v>61</v>
      </c>
      <c r="W388" t="s">
        <v>109</v>
      </c>
      <c r="Y388" t="s">
        <v>49</v>
      </c>
      <c r="AA388">
        <v>1</v>
      </c>
      <c r="AB388" t="s">
        <v>33</v>
      </c>
      <c r="AC388" t="s">
        <v>356</v>
      </c>
      <c r="AE388" t="str">
        <f t="shared" si="123"/>
        <v>McInerneyShively</v>
      </c>
      <c r="AF388">
        <v>0</v>
      </c>
      <c r="AG388">
        <v>0</v>
      </c>
      <c r="AH388">
        <v>1</v>
      </c>
      <c r="AI388">
        <v>0</v>
      </c>
      <c r="AJ388">
        <v>0</v>
      </c>
      <c r="AK388" t="s">
        <v>50</v>
      </c>
      <c r="AL388">
        <v>0.59523809523809501</v>
      </c>
      <c r="AM388" t="s">
        <v>44</v>
      </c>
      <c r="AN388">
        <v>0.4296875</v>
      </c>
      <c r="AO388">
        <f t="shared" si="120"/>
        <v>0</v>
      </c>
      <c r="AP388">
        <f t="shared" si="120"/>
        <v>0</v>
      </c>
      <c r="AQ388">
        <f t="shared" si="120"/>
        <v>0</v>
      </c>
      <c r="AR388">
        <f t="shared" si="120"/>
        <v>0</v>
      </c>
      <c r="AS388">
        <f t="shared" si="120"/>
        <v>0</v>
      </c>
      <c r="AT388">
        <f t="shared" si="120"/>
        <v>0</v>
      </c>
      <c r="AU388">
        <f t="shared" si="120"/>
        <v>0</v>
      </c>
      <c r="AV388">
        <f t="shared" si="120"/>
        <v>0</v>
      </c>
      <c r="AW388">
        <f t="shared" si="120"/>
        <v>0</v>
      </c>
      <c r="AX388" t="str">
        <f t="shared" si="120"/>
        <v>Shively</v>
      </c>
      <c r="AY388">
        <f t="shared" si="121"/>
        <v>0</v>
      </c>
      <c r="AZ388">
        <f t="shared" si="121"/>
        <v>0</v>
      </c>
      <c r="BA388">
        <f t="shared" si="121"/>
        <v>0</v>
      </c>
      <c r="BB388">
        <f t="shared" si="121"/>
        <v>0</v>
      </c>
      <c r="BC388">
        <f t="shared" si="121"/>
        <v>0</v>
      </c>
      <c r="BD388">
        <f t="shared" si="121"/>
        <v>0</v>
      </c>
      <c r="BE388">
        <f t="shared" si="121"/>
        <v>0</v>
      </c>
      <c r="BF388">
        <f t="shared" si="121"/>
        <v>0</v>
      </c>
      <c r="BG388">
        <f t="shared" si="121"/>
        <v>0</v>
      </c>
      <c r="BH388">
        <f t="shared" si="121"/>
        <v>0</v>
      </c>
      <c r="BI388">
        <f t="shared" si="122"/>
        <v>0</v>
      </c>
      <c r="BJ388" t="str">
        <f t="shared" si="122"/>
        <v>McInerney</v>
      </c>
      <c r="BK388">
        <f t="shared" si="122"/>
        <v>0</v>
      </c>
      <c r="BL388">
        <f t="shared" si="122"/>
        <v>0</v>
      </c>
      <c r="BM388">
        <f t="shared" si="122"/>
        <v>0</v>
      </c>
      <c r="BN388">
        <f t="shared" si="122"/>
        <v>0</v>
      </c>
      <c r="BO388">
        <f t="shared" si="122"/>
        <v>0</v>
      </c>
      <c r="BP388">
        <f t="shared" si="122"/>
        <v>0</v>
      </c>
      <c r="BQ388">
        <f t="shared" si="122"/>
        <v>0</v>
      </c>
      <c r="BR388">
        <f t="shared" si="122"/>
        <v>0</v>
      </c>
      <c r="BS388">
        <f t="shared" si="122"/>
        <v>0</v>
      </c>
    </row>
    <row r="389" spans="2:71" ht="15" customHeight="1" x14ac:dyDescent="0.2">
      <c r="B389">
        <v>2</v>
      </c>
      <c r="C389">
        <v>2</v>
      </c>
      <c r="D389">
        <v>7</v>
      </c>
      <c r="E389" t="s">
        <v>355</v>
      </c>
      <c r="F389" t="s">
        <v>346</v>
      </c>
      <c r="G389" s="5">
        <v>43685</v>
      </c>
      <c r="H389" t="s">
        <v>97</v>
      </c>
      <c r="I389" t="s">
        <v>347</v>
      </c>
      <c r="J389" t="s">
        <v>348</v>
      </c>
      <c r="K389">
        <v>9</v>
      </c>
      <c r="L389" t="s">
        <v>76</v>
      </c>
      <c r="M389" t="s">
        <v>349</v>
      </c>
      <c r="N389" t="s">
        <v>350</v>
      </c>
      <c r="O389">
        <v>73.400000000000006</v>
      </c>
      <c r="P389">
        <v>138</v>
      </c>
      <c r="Q389">
        <v>6454</v>
      </c>
      <c r="R389" t="s">
        <v>79</v>
      </c>
      <c r="S389" t="s">
        <v>80</v>
      </c>
      <c r="T389" t="s">
        <v>351</v>
      </c>
      <c r="U389" t="s">
        <v>352</v>
      </c>
      <c r="V389" t="s">
        <v>50</v>
      </c>
      <c r="W389" t="s">
        <v>78</v>
      </c>
      <c r="Y389" t="s">
        <v>44</v>
      </c>
      <c r="AA389">
        <v>1</v>
      </c>
      <c r="AB389" t="s">
        <v>32</v>
      </c>
      <c r="AC389" t="s">
        <v>356</v>
      </c>
      <c r="AE389" t="str">
        <f t="shared" si="123"/>
        <v>FerrinFlanders</v>
      </c>
      <c r="AF389">
        <v>1</v>
      </c>
      <c r="AG389">
        <v>1</v>
      </c>
      <c r="AH389">
        <v>0</v>
      </c>
      <c r="AI389">
        <v>0</v>
      </c>
      <c r="AJ389">
        <v>1</v>
      </c>
      <c r="AK389" t="s">
        <v>61</v>
      </c>
      <c r="AL389">
        <v>0.5</v>
      </c>
      <c r="AM389" t="s">
        <v>49</v>
      </c>
      <c r="AO389">
        <f t="shared" si="120"/>
        <v>0</v>
      </c>
      <c r="AP389">
        <f t="shared" si="120"/>
        <v>0</v>
      </c>
      <c r="AQ389">
        <f t="shared" si="120"/>
        <v>0</v>
      </c>
      <c r="AR389">
        <f t="shared" si="120"/>
        <v>0</v>
      </c>
      <c r="AS389" t="str">
        <f t="shared" si="120"/>
        <v>Flanders</v>
      </c>
      <c r="AT389">
        <f t="shared" si="120"/>
        <v>0</v>
      </c>
      <c r="AU389">
        <f t="shared" si="120"/>
        <v>0</v>
      </c>
      <c r="AV389">
        <f t="shared" si="120"/>
        <v>0</v>
      </c>
      <c r="AW389">
        <f t="shared" si="120"/>
        <v>0</v>
      </c>
      <c r="AX389">
        <f t="shared" si="120"/>
        <v>0</v>
      </c>
      <c r="AY389" t="str">
        <f t="shared" si="121"/>
        <v>Ferrin</v>
      </c>
      <c r="AZ389">
        <f t="shared" si="121"/>
        <v>0</v>
      </c>
      <c r="BA389">
        <f t="shared" si="121"/>
        <v>0</v>
      </c>
      <c r="BB389">
        <f t="shared" si="121"/>
        <v>0</v>
      </c>
      <c r="BC389">
        <f t="shared" si="121"/>
        <v>0</v>
      </c>
      <c r="BD389">
        <f t="shared" si="121"/>
        <v>0</v>
      </c>
      <c r="BE389">
        <f t="shared" si="121"/>
        <v>0</v>
      </c>
      <c r="BF389">
        <f t="shared" si="121"/>
        <v>0</v>
      </c>
      <c r="BG389">
        <f t="shared" si="121"/>
        <v>0</v>
      </c>
      <c r="BH389">
        <f t="shared" si="121"/>
        <v>0</v>
      </c>
      <c r="BI389">
        <f t="shared" si="122"/>
        <v>0</v>
      </c>
      <c r="BJ389">
        <f t="shared" si="122"/>
        <v>0</v>
      </c>
      <c r="BK389">
        <f t="shared" si="122"/>
        <v>0</v>
      </c>
      <c r="BL389">
        <f t="shared" si="122"/>
        <v>0</v>
      </c>
      <c r="BM389">
        <f t="shared" si="122"/>
        <v>0</v>
      </c>
      <c r="BN389">
        <f t="shared" si="122"/>
        <v>0</v>
      </c>
      <c r="BO389">
        <f t="shared" si="122"/>
        <v>0</v>
      </c>
      <c r="BP389">
        <f t="shared" si="122"/>
        <v>0</v>
      </c>
      <c r="BQ389">
        <f t="shared" si="122"/>
        <v>0</v>
      </c>
      <c r="BR389">
        <f t="shared" si="122"/>
        <v>0</v>
      </c>
      <c r="BS389">
        <f t="shared" si="122"/>
        <v>0</v>
      </c>
    </row>
    <row r="390" spans="2:71" ht="15" customHeight="1" x14ac:dyDescent="0.2">
      <c r="B390">
        <v>3</v>
      </c>
      <c r="C390">
        <v>3</v>
      </c>
      <c r="D390">
        <v>7</v>
      </c>
      <c r="E390" t="s">
        <v>357</v>
      </c>
      <c r="F390" t="s">
        <v>346</v>
      </c>
      <c r="G390" s="5">
        <v>43685</v>
      </c>
      <c r="H390" t="s">
        <v>97</v>
      </c>
      <c r="I390" t="s">
        <v>347</v>
      </c>
      <c r="J390" t="s">
        <v>348</v>
      </c>
      <c r="K390">
        <v>9</v>
      </c>
      <c r="L390" t="s">
        <v>76</v>
      </c>
      <c r="M390" t="s">
        <v>349</v>
      </c>
      <c r="N390" t="s">
        <v>350</v>
      </c>
      <c r="O390">
        <v>73.400000000000006</v>
      </c>
      <c r="P390">
        <v>138</v>
      </c>
      <c r="Q390">
        <v>6454</v>
      </c>
      <c r="R390" t="s">
        <v>79</v>
      </c>
      <c r="S390" t="s">
        <v>80</v>
      </c>
      <c r="T390" t="s">
        <v>351</v>
      </c>
      <c r="U390" t="s">
        <v>352</v>
      </c>
      <c r="V390" t="s">
        <v>55</v>
      </c>
      <c r="W390" t="s">
        <v>78</v>
      </c>
      <c r="Y390" t="s">
        <v>48</v>
      </c>
      <c r="AA390">
        <v>1</v>
      </c>
      <c r="AB390" t="s">
        <v>32</v>
      </c>
      <c r="AC390" t="s">
        <v>204</v>
      </c>
      <c r="AE390" t="str">
        <f t="shared" si="123"/>
        <v>ColeLynch</v>
      </c>
      <c r="AF390">
        <v>1</v>
      </c>
      <c r="AG390">
        <v>1</v>
      </c>
      <c r="AH390">
        <v>0</v>
      </c>
      <c r="AI390">
        <v>0</v>
      </c>
      <c r="AJ390">
        <v>1</v>
      </c>
      <c r="AK390" t="s">
        <v>53</v>
      </c>
      <c r="AL390">
        <v>0.59649122807017496</v>
      </c>
      <c r="AM390" t="s">
        <v>41</v>
      </c>
      <c r="AN390">
        <v>0.47321428571428598</v>
      </c>
      <c r="AO390">
        <f t="shared" si="120"/>
        <v>0</v>
      </c>
      <c r="AP390">
        <f t="shared" si="120"/>
        <v>0</v>
      </c>
      <c r="AQ390">
        <f t="shared" si="120"/>
        <v>0</v>
      </c>
      <c r="AR390">
        <f t="shared" si="120"/>
        <v>0</v>
      </c>
      <c r="AS390">
        <f t="shared" si="120"/>
        <v>0</v>
      </c>
      <c r="AT390">
        <f t="shared" si="120"/>
        <v>0</v>
      </c>
      <c r="AU390">
        <f t="shared" si="120"/>
        <v>0</v>
      </c>
      <c r="AV390">
        <f t="shared" si="120"/>
        <v>0</v>
      </c>
      <c r="AW390" t="str">
        <f t="shared" si="120"/>
        <v>Lynch</v>
      </c>
      <c r="AX390">
        <f t="shared" si="120"/>
        <v>0</v>
      </c>
      <c r="AY390">
        <f t="shared" si="121"/>
        <v>0</v>
      </c>
      <c r="AZ390">
        <f t="shared" si="121"/>
        <v>0</v>
      </c>
      <c r="BA390">
        <f t="shared" si="121"/>
        <v>0</v>
      </c>
      <c r="BB390">
        <f t="shared" si="121"/>
        <v>0</v>
      </c>
      <c r="BC390">
        <f t="shared" si="121"/>
        <v>0</v>
      </c>
      <c r="BD390" t="str">
        <f t="shared" si="121"/>
        <v>Cole</v>
      </c>
      <c r="BE390">
        <f t="shared" si="121"/>
        <v>0</v>
      </c>
      <c r="BF390">
        <f t="shared" si="121"/>
        <v>0</v>
      </c>
      <c r="BG390">
        <f t="shared" si="121"/>
        <v>0</v>
      </c>
      <c r="BH390">
        <f t="shared" si="121"/>
        <v>0</v>
      </c>
      <c r="BI390">
        <f t="shared" si="122"/>
        <v>0</v>
      </c>
      <c r="BJ390">
        <f t="shared" si="122"/>
        <v>0</v>
      </c>
      <c r="BK390">
        <f t="shared" si="122"/>
        <v>0</v>
      </c>
      <c r="BL390">
        <f t="shared" si="122"/>
        <v>0</v>
      </c>
      <c r="BM390">
        <f t="shared" si="122"/>
        <v>0</v>
      </c>
      <c r="BN390">
        <f t="shared" si="122"/>
        <v>0</v>
      </c>
      <c r="BO390">
        <f t="shared" si="122"/>
        <v>0</v>
      </c>
      <c r="BP390">
        <f t="shared" si="122"/>
        <v>0</v>
      </c>
      <c r="BQ390">
        <f t="shared" si="122"/>
        <v>0</v>
      </c>
      <c r="BR390">
        <f t="shared" si="122"/>
        <v>0</v>
      </c>
      <c r="BS390">
        <f t="shared" si="122"/>
        <v>0</v>
      </c>
    </row>
    <row r="391" spans="2:71" ht="15" customHeight="1" x14ac:dyDescent="0.2">
      <c r="B391">
        <v>3</v>
      </c>
      <c r="C391">
        <v>3</v>
      </c>
      <c r="D391">
        <v>7</v>
      </c>
      <c r="E391" t="s">
        <v>357</v>
      </c>
      <c r="F391" t="s">
        <v>346</v>
      </c>
      <c r="G391" s="5">
        <v>43685</v>
      </c>
      <c r="H391" t="s">
        <v>97</v>
      </c>
      <c r="I391" t="s">
        <v>347</v>
      </c>
      <c r="J391" t="s">
        <v>348</v>
      </c>
      <c r="K391">
        <v>9</v>
      </c>
      <c r="L391" t="s">
        <v>76</v>
      </c>
      <c r="M391" t="s">
        <v>349</v>
      </c>
      <c r="N391" t="s">
        <v>350</v>
      </c>
      <c r="O391">
        <v>73.400000000000006</v>
      </c>
      <c r="P391">
        <v>138</v>
      </c>
      <c r="Q391">
        <v>6454</v>
      </c>
      <c r="R391" t="s">
        <v>79</v>
      </c>
      <c r="S391" t="s">
        <v>80</v>
      </c>
      <c r="T391" t="s">
        <v>353</v>
      </c>
      <c r="U391" t="s">
        <v>354</v>
      </c>
      <c r="V391" t="s">
        <v>53</v>
      </c>
      <c r="W391" t="s">
        <v>109</v>
      </c>
      <c r="Y391" t="s">
        <v>41</v>
      </c>
      <c r="AA391">
        <v>1</v>
      </c>
      <c r="AB391" t="s">
        <v>33</v>
      </c>
      <c r="AC391" t="s">
        <v>204</v>
      </c>
      <c r="AE391" t="str">
        <f t="shared" si="123"/>
        <v>ForsterHilts</v>
      </c>
      <c r="AF391">
        <v>0</v>
      </c>
      <c r="AG391">
        <v>0</v>
      </c>
      <c r="AH391">
        <v>1</v>
      </c>
      <c r="AI391">
        <v>0</v>
      </c>
      <c r="AJ391">
        <v>0</v>
      </c>
      <c r="AK391" t="s">
        <v>55</v>
      </c>
      <c r="AL391">
        <v>0.44067796610169502</v>
      </c>
      <c r="AM391" t="s">
        <v>48</v>
      </c>
      <c r="AN391">
        <v>0.5546875</v>
      </c>
      <c r="AO391">
        <f t="shared" si="120"/>
        <v>0</v>
      </c>
      <c r="AP391" t="str">
        <f t="shared" si="120"/>
        <v>Hilts</v>
      </c>
      <c r="AQ391">
        <f t="shared" si="120"/>
        <v>0</v>
      </c>
      <c r="AR391">
        <f t="shared" si="120"/>
        <v>0</v>
      </c>
      <c r="AS391">
        <f t="shared" si="120"/>
        <v>0</v>
      </c>
      <c r="AT391">
        <f t="shared" si="120"/>
        <v>0</v>
      </c>
      <c r="AU391">
        <f t="shared" si="120"/>
        <v>0</v>
      </c>
      <c r="AV391">
        <f t="shared" si="120"/>
        <v>0</v>
      </c>
      <c r="AW391">
        <f t="shared" si="120"/>
        <v>0</v>
      </c>
      <c r="AX391">
        <f t="shared" si="120"/>
        <v>0</v>
      </c>
      <c r="AY391">
        <f t="shared" si="121"/>
        <v>0</v>
      </c>
      <c r="AZ391">
        <f t="shared" si="121"/>
        <v>0</v>
      </c>
      <c r="BA391">
        <f t="shared" si="121"/>
        <v>0</v>
      </c>
      <c r="BB391" t="str">
        <f t="shared" si="121"/>
        <v>Forster</v>
      </c>
      <c r="BC391">
        <f t="shared" si="121"/>
        <v>0</v>
      </c>
      <c r="BD391">
        <f t="shared" si="121"/>
        <v>0</v>
      </c>
      <c r="BE391">
        <f t="shared" si="121"/>
        <v>0</v>
      </c>
      <c r="BF391">
        <f t="shared" si="121"/>
        <v>0</v>
      </c>
      <c r="BG391">
        <f t="shared" si="121"/>
        <v>0</v>
      </c>
      <c r="BH391">
        <f t="shared" si="121"/>
        <v>0</v>
      </c>
      <c r="BI391">
        <f t="shared" si="122"/>
        <v>0</v>
      </c>
      <c r="BJ391">
        <f t="shared" si="122"/>
        <v>0</v>
      </c>
      <c r="BK391">
        <f t="shared" si="122"/>
        <v>0</v>
      </c>
      <c r="BL391">
        <f t="shared" si="122"/>
        <v>0</v>
      </c>
      <c r="BM391">
        <f t="shared" si="122"/>
        <v>0</v>
      </c>
      <c r="BN391">
        <f t="shared" si="122"/>
        <v>0</v>
      </c>
      <c r="BO391">
        <f t="shared" si="122"/>
        <v>0</v>
      </c>
      <c r="BP391">
        <f t="shared" si="122"/>
        <v>0</v>
      </c>
      <c r="BQ391">
        <f t="shared" si="122"/>
        <v>0</v>
      </c>
      <c r="BR391">
        <f t="shared" si="122"/>
        <v>0</v>
      </c>
      <c r="BS391">
        <f t="shared" si="122"/>
        <v>0</v>
      </c>
    </row>
    <row r="392" spans="2:71" ht="15" customHeight="1" x14ac:dyDescent="0.2">
      <c r="B392">
        <v>4</v>
      </c>
      <c r="C392">
        <v>4</v>
      </c>
      <c r="D392">
        <v>7</v>
      </c>
      <c r="E392" t="s">
        <v>358</v>
      </c>
      <c r="F392" t="s">
        <v>346</v>
      </c>
      <c r="G392" s="5">
        <v>43685</v>
      </c>
      <c r="H392" t="s">
        <v>97</v>
      </c>
      <c r="I392" t="s">
        <v>347</v>
      </c>
      <c r="J392" t="s">
        <v>348</v>
      </c>
      <c r="K392">
        <v>9</v>
      </c>
      <c r="L392" t="s">
        <v>76</v>
      </c>
      <c r="M392" t="s">
        <v>349</v>
      </c>
      <c r="N392" t="s">
        <v>350</v>
      </c>
      <c r="O392">
        <v>73.400000000000006</v>
      </c>
      <c r="P392">
        <v>138</v>
      </c>
      <c r="Q392">
        <v>6454</v>
      </c>
      <c r="R392" t="s">
        <v>79</v>
      </c>
      <c r="S392" t="s">
        <v>80</v>
      </c>
      <c r="T392" t="s">
        <v>353</v>
      </c>
      <c r="U392" t="s">
        <v>354</v>
      </c>
      <c r="V392" t="s">
        <v>59</v>
      </c>
      <c r="W392" t="s">
        <v>109</v>
      </c>
      <c r="Y392" t="s">
        <v>62</v>
      </c>
      <c r="AA392">
        <v>1</v>
      </c>
      <c r="AB392" t="s">
        <v>33</v>
      </c>
      <c r="AC392" t="s">
        <v>174</v>
      </c>
      <c r="AE392" t="str">
        <f t="shared" si="123"/>
        <v>NoratWelker</v>
      </c>
      <c r="AF392">
        <v>0</v>
      </c>
      <c r="AG392">
        <v>0</v>
      </c>
      <c r="AH392">
        <v>1</v>
      </c>
      <c r="AI392">
        <v>0</v>
      </c>
      <c r="AJ392">
        <v>0</v>
      </c>
      <c r="AK392" t="s">
        <v>58</v>
      </c>
      <c r="AL392">
        <v>0.65476190476190499</v>
      </c>
      <c r="AM392" t="s">
        <v>60</v>
      </c>
      <c r="AN392">
        <v>0.5</v>
      </c>
      <c r="AO392">
        <f t="shared" ref="AO392:AX401" si="124">IF(OR($V392=AO$1,$Y392=AO$1),AO$1,0)</f>
        <v>0</v>
      </c>
      <c r="AP392">
        <f t="shared" si="124"/>
        <v>0</v>
      </c>
      <c r="AQ392">
        <f t="shared" si="124"/>
        <v>0</v>
      </c>
      <c r="AR392">
        <f t="shared" si="124"/>
        <v>0</v>
      </c>
      <c r="AS392">
        <f t="shared" si="124"/>
        <v>0</v>
      </c>
      <c r="AT392">
        <f t="shared" si="124"/>
        <v>0</v>
      </c>
      <c r="AU392">
        <f t="shared" si="124"/>
        <v>0</v>
      </c>
      <c r="AV392">
        <f t="shared" si="124"/>
        <v>0</v>
      </c>
      <c r="AW392">
        <f t="shared" si="124"/>
        <v>0</v>
      </c>
      <c r="AX392">
        <f t="shared" si="124"/>
        <v>0</v>
      </c>
      <c r="AY392">
        <f t="shared" ref="AY392:BH401" si="125">IF(OR($V392=AY$1,$Y392=AY$1),AY$1,0)</f>
        <v>0</v>
      </c>
      <c r="AZ392">
        <f t="shared" si="125"/>
        <v>0</v>
      </c>
      <c r="BA392">
        <f t="shared" si="125"/>
        <v>0</v>
      </c>
      <c r="BB392">
        <f t="shared" si="125"/>
        <v>0</v>
      </c>
      <c r="BC392">
        <f t="shared" si="125"/>
        <v>0</v>
      </c>
      <c r="BD392">
        <f t="shared" si="125"/>
        <v>0</v>
      </c>
      <c r="BE392">
        <f t="shared" si="125"/>
        <v>0</v>
      </c>
      <c r="BF392">
        <f t="shared" si="125"/>
        <v>0</v>
      </c>
      <c r="BG392">
        <f t="shared" si="125"/>
        <v>0</v>
      </c>
      <c r="BH392" t="str">
        <f t="shared" si="125"/>
        <v>Norat</v>
      </c>
      <c r="BI392">
        <f t="shared" ref="BI392:BS401" si="126">IF(OR($V392=BI$1,$Y392=BI$1),BI$1,0)</f>
        <v>0</v>
      </c>
      <c r="BJ392">
        <f t="shared" si="126"/>
        <v>0</v>
      </c>
      <c r="BK392" t="str">
        <f t="shared" si="126"/>
        <v>Welker</v>
      </c>
      <c r="BL392">
        <f t="shared" si="126"/>
        <v>0</v>
      </c>
      <c r="BM392">
        <f t="shared" si="126"/>
        <v>0</v>
      </c>
      <c r="BN392">
        <f t="shared" si="126"/>
        <v>0</v>
      </c>
      <c r="BO392">
        <f t="shared" si="126"/>
        <v>0</v>
      </c>
      <c r="BP392">
        <f t="shared" si="126"/>
        <v>0</v>
      </c>
      <c r="BQ392">
        <f t="shared" si="126"/>
        <v>0</v>
      </c>
      <c r="BR392">
        <f t="shared" si="126"/>
        <v>0</v>
      </c>
      <c r="BS392">
        <f t="shared" si="126"/>
        <v>0</v>
      </c>
    </row>
    <row r="393" spans="2:71" ht="15" customHeight="1" x14ac:dyDescent="0.2">
      <c r="B393">
        <v>4</v>
      </c>
      <c r="C393">
        <v>4</v>
      </c>
      <c r="D393">
        <v>7</v>
      </c>
      <c r="E393" t="s">
        <v>358</v>
      </c>
      <c r="F393" t="s">
        <v>346</v>
      </c>
      <c r="G393" s="5">
        <v>43685</v>
      </c>
      <c r="H393" t="s">
        <v>97</v>
      </c>
      <c r="I393" t="s">
        <v>347</v>
      </c>
      <c r="J393" t="s">
        <v>348</v>
      </c>
      <c r="K393">
        <v>9</v>
      </c>
      <c r="L393" t="s">
        <v>76</v>
      </c>
      <c r="M393" t="s">
        <v>349</v>
      </c>
      <c r="N393" t="s">
        <v>350</v>
      </c>
      <c r="O393">
        <v>73.400000000000006</v>
      </c>
      <c r="P393">
        <v>138</v>
      </c>
      <c r="Q393">
        <v>6454</v>
      </c>
      <c r="R393" t="s">
        <v>79</v>
      </c>
      <c r="S393" t="s">
        <v>80</v>
      </c>
      <c r="T393" t="s">
        <v>351</v>
      </c>
      <c r="U393" t="s">
        <v>352</v>
      </c>
      <c r="V393" t="s">
        <v>58</v>
      </c>
      <c r="W393" t="s">
        <v>78</v>
      </c>
      <c r="Y393" t="s">
        <v>60</v>
      </c>
      <c r="AA393">
        <v>1</v>
      </c>
      <c r="AB393" t="s">
        <v>32</v>
      </c>
      <c r="AC393" t="s">
        <v>174</v>
      </c>
      <c r="AE393" t="str">
        <f t="shared" si="123"/>
        <v>GrayZimmer</v>
      </c>
      <c r="AF393">
        <v>1</v>
      </c>
      <c r="AG393">
        <v>1</v>
      </c>
      <c r="AH393">
        <v>0</v>
      </c>
      <c r="AI393">
        <v>0</v>
      </c>
      <c r="AJ393">
        <v>1</v>
      </c>
      <c r="AK393" t="s">
        <v>59</v>
      </c>
      <c r="AL393">
        <v>0.52777777777777801</v>
      </c>
      <c r="AM393" t="s">
        <v>62</v>
      </c>
      <c r="AN393">
        <v>0.51041666666666696</v>
      </c>
      <c r="AO393">
        <f t="shared" si="124"/>
        <v>0</v>
      </c>
      <c r="AP393">
        <f t="shared" si="124"/>
        <v>0</v>
      </c>
      <c r="AQ393">
        <f t="shared" si="124"/>
        <v>0</v>
      </c>
      <c r="AR393">
        <f t="shared" si="124"/>
        <v>0</v>
      </c>
      <c r="AS393">
        <f t="shared" si="124"/>
        <v>0</v>
      </c>
      <c r="AT393">
        <f t="shared" si="124"/>
        <v>0</v>
      </c>
      <c r="AU393">
        <f t="shared" si="124"/>
        <v>0</v>
      </c>
      <c r="AV393">
        <f t="shared" si="124"/>
        <v>0</v>
      </c>
      <c r="AW393">
        <f t="shared" si="124"/>
        <v>0</v>
      </c>
      <c r="AX393">
        <f t="shared" si="124"/>
        <v>0</v>
      </c>
      <c r="AY393">
        <f t="shared" si="125"/>
        <v>0</v>
      </c>
      <c r="AZ393">
        <f t="shared" si="125"/>
        <v>0</v>
      </c>
      <c r="BA393">
        <f t="shared" si="125"/>
        <v>0</v>
      </c>
      <c r="BB393">
        <f t="shared" si="125"/>
        <v>0</v>
      </c>
      <c r="BC393">
        <f t="shared" si="125"/>
        <v>0</v>
      </c>
      <c r="BD393">
        <f t="shared" si="125"/>
        <v>0</v>
      </c>
      <c r="BE393">
        <f t="shared" si="125"/>
        <v>0</v>
      </c>
      <c r="BF393">
        <f t="shared" si="125"/>
        <v>0</v>
      </c>
      <c r="BG393" t="str">
        <f t="shared" si="125"/>
        <v>Gray</v>
      </c>
      <c r="BH393">
        <f t="shared" si="125"/>
        <v>0</v>
      </c>
      <c r="BI393" t="str">
        <f t="shared" si="126"/>
        <v>Zimmer</v>
      </c>
      <c r="BJ393">
        <f t="shared" si="126"/>
        <v>0</v>
      </c>
      <c r="BK393">
        <f t="shared" si="126"/>
        <v>0</v>
      </c>
      <c r="BL393">
        <f t="shared" si="126"/>
        <v>0</v>
      </c>
      <c r="BM393">
        <f t="shared" si="126"/>
        <v>0</v>
      </c>
      <c r="BN393">
        <f t="shared" si="126"/>
        <v>0</v>
      </c>
      <c r="BO393">
        <f t="shared" si="126"/>
        <v>0</v>
      </c>
      <c r="BP393">
        <f t="shared" si="126"/>
        <v>0</v>
      </c>
      <c r="BQ393">
        <f t="shared" si="126"/>
        <v>0</v>
      </c>
      <c r="BR393">
        <f t="shared" si="126"/>
        <v>0</v>
      </c>
      <c r="BS393">
        <f t="shared" si="126"/>
        <v>0</v>
      </c>
    </row>
    <row r="394" spans="2:71" ht="15" customHeight="1" x14ac:dyDescent="0.2">
      <c r="B394">
        <v>5</v>
      </c>
      <c r="C394">
        <v>5</v>
      </c>
      <c r="D394">
        <v>7</v>
      </c>
      <c r="E394" t="s">
        <v>359</v>
      </c>
      <c r="F394" t="s">
        <v>346</v>
      </c>
      <c r="G394" s="5">
        <v>43685</v>
      </c>
      <c r="H394" t="s">
        <v>97</v>
      </c>
      <c r="I394" t="s">
        <v>347</v>
      </c>
      <c r="J394" t="s">
        <v>348</v>
      </c>
      <c r="K394">
        <v>9</v>
      </c>
      <c r="L394" t="s">
        <v>76</v>
      </c>
      <c r="M394" t="s">
        <v>349</v>
      </c>
      <c r="N394" t="s">
        <v>350</v>
      </c>
      <c r="O394">
        <v>73.400000000000006</v>
      </c>
      <c r="P394">
        <v>138</v>
      </c>
      <c r="Q394">
        <v>6454</v>
      </c>
      <c r="R394" t="s">
        <v>79</v>
      </c>
      <c r="S394" t="s">
        <v>80</v>
      </c>
      <c r="T394" t="s">
        <v>351</v>
      </c>
      <c r="U394" t="s">
        <v>352</v>
      </c>
      <c r="V394" t="s">
        <v>57</v>
      </c>
      <c r="W394" t="s">
        <v>78</v>
      </c>
      <c r="Y394" t="s">
        <v>52</v>
      </c>
      <c r="AA394">
        <v>1</v>
      </c>
      <c r="AB394" t="s">
        <v>33</v>
      </c>
      <c r="AC394" t="s">
        <v>184</v>
      </c>
      <c r="AE394" t="str">
        <f t="shared" si="123"/>
        <v>BussConnors</v>
      </c>
      <c r="AF394">
        <v>0</v>
      </c>
      <c r="AG394">
        <v>0</v>
      </c>
      <c r="AH394">
        <v>1</v>
      </c>
      <c r="AI394">
        <v>0</v>
      </c>
      <c r="AJ394">
        <v>0</v>
      </c>
      <c r="AK394" t="s">
        <v>46</v>
      </c>
      <c r="AL394">
        <v>0.38392857142857201</v>
      </c>
      <c r="AM394" t="s">
        <v>43</v>
      </c>
      <c r="AN394">
        <v>0.48611111111111099</v>
      </c>
      <c r="AO394">
        <f t="shared" si="124"/>
        <v>0</v>
      </c>
      <c r="AP394">
        <f t="shared" si="124"/>
        <v>0</v>
      </c>
      <c r="AQ394">
        <f t="shared" si="124"/>
        <v>0</v>
      </c>
      <c r="AR394">
        <f t="shared" si="124"/>
        <v>0</v>
      </c>
      <c r="AS394">
        <f t="shared" si="124"/>
        <v>0</v>
      </c>
      <c r="AT394">
        <f t="shared" si="124"/>
        <v>0</v>
      </c>
      <c r="AU394">
        <f t="shared" si="124"/>
        <v>0</v>
      </c>
      <c r="AV394">
        <f t="shared" si="124"/>
        <v>0</v>
      </c>
      <c r="AW394">
        <f t="shared" si="124"/>
        <v>0</v>
      </c>
      <c r="AX394">
        <f t="shared" si="124"/>
        <v>0</v>
      </c>
      <c r="AY394">
        <f t="shared" si="125"/>
        <v>0</v>
      </c>
      <c r="AZ394">
        <f t="shared" si="125"/>
        <v>0</v>
      </c>
      <c r="BA394" t="str">
        <f t="shared" si="125"/>
        <v>Connors</v>
      </c>
      <c r="BB394">
        <f t="shared" si="125"/>
        <v>0</v>
      </c>
      <c r="BC394">
        <f t="shared" si="125"/>
        <v>0</v>
      </c>
      <c r="BD394">
        <f t="shared" si="125"/>
        <v>0</v>
      </c>
      <c r="BE394">
        <f t="shared" si="125"/>
        <v>0</v>
      </c>
      <c r="BF394" t="str">
        <f t="shared" si="125"/>
        <v>Buss</v>
      </c>
      <c r="BG394">
        <f t="shared" si="125"/>
        <v>0</v>
      </c>
      <c r="BH394">
        <f t="shared" si="125"/>
        <v>0</v>
      </c>
      <c r="BI394">
        <f t="shared" si="126"/>
        <v>0</v>
      </c>
      <c r="BJ394">
        <f t="shared" si="126"/>
        <v>0</v>
      </c>
      <c r="BK394">
        <f t="shared" si="126"/>
        <v>0</v>
      </c>
      <c r="BL394">
        <f t="shared" si="126"/>
        <v>0</v>
      </c>
      <c r="BM394">
        <f t="shared" si="126"/>
        <v>0</v>
      </c>
      <c r="BN394">
        <f t="shared" si="126"/>
        <v>0</v>
      </c>
      <c r="BO394">
        <f t="shared" si="126"/>
        <v>0</v>
      </c>
      <c r="BP394">
        <f t="shared" si="126"/>
        <v>0</v>
      </c>
      <c r="BQ394">
        <f t="shared" si="126"/>
        <v>0</v>
      </c>
      <c r="BR394">
        <f t="shared" si="126"/>
        <v>0</v>
      </c>
      <c r="BS394">
        <f t="shared" si="126"/>
        <v>0</v>
      </c>
    </row>
    <row r="395" spans="2:71" ht="15" customHeight="1" x14ac:dyDescent="0.2">
      <c r="B395">
        <v>5</v>
      </c>
      <c r="C395">
        <v>5</v>
      </c>
      <c r="D395">
        <v>7</v>
      </c>
      <c r="E395" t="s">
        <v>359</v>
      </c>
      <c r="F395" t="s">
        <v>346</v>
      </c>
      <c r="G395" s="5">
        <v>43685</v>
      </c>
      <c r="H395" t="s">
        <v>97</v>
      </c>
      <c r="I395" t="s">
        <v>347</v>
      </c>
      <c r="J395" t="s">
        <v>348</v>
      </c>
      <c r="K395">
        <v>9</v>
      </c>
      <c r="L395" t="s">
        <v>76</v>
      </c>
      <c r="M395" t="s">
        <v>349</v>
      </c>
      <c r="N395" t="s">
        <v>350</v>
      </c>
      <c r="O395">
        <v>73.400000000000006</v>
      </c>
      <c r="P395">
        <v>138</v>
      </c>
      <c r="Q395">
        <v>6454</v>
      </c>
      <c r="R395" t="s">
        <v>79</v>
      </c>
      <c r="S395" t="s">
        <v>80</v>
      </c>
      <c r="T395" t="s">
        <v>353</v>
      </c>
      <c r="U395" t="s">
        <v>354</v>
      </c>
      <c r="V395" t="s">
        <v>46</v>
      </c>
      <c r="W395" t="s">
        <v>109</v>
      </c>
      <c r="Y395" t="s">
        <v>43</v>
      </c>
      <c r="AA395">
        <v>1</v>
      </c>
      <c r="AB395" t="s">
        <v>32</v>
      </c>
      <c r="AC395" t="s">
        <v>184</v>
      </c>
      <c r="AE395" t="str">
        <f t="shared" si="123"/>
        <v>MangoldPoirier</v>
      </c>
      <c r="AF395">
        <v>1</v>
      </c>
      <c r="AG395">
        <v>1</v>
      </c>
      <c r="AH395">
        <v>0</v>
      </c>
      <c r="AI395">
        <v>0</v>
      </c>
      <c r="AJ395">
        <v>1</v>
      </c>
      <c r="AK395" t="s">
        <v>57</v>
      </c>
      <c r="AL395">
        <v>0.44827586206896602</v>
      </c>
      <c r="AM395" t="s">
        <v>52</v>
      </c>
      <c r="AN395">
        <v>0.34745762711864397</v>
      </c>
      <c r="AO395">
        <f t="shared" si="124"/>
        <v>0</v>
      </c>
      <c r="AP395">
        <f t="shared" si="124"/>
        <v>0</v>
      </c>
      <c r="AQ395">
        <f t="shared" si="124"/>
        <v>0</v>
      </c>
      <c r="AR395" t="str">
        <f t="shared" si="124"/>
        <v>Poirier</v>
      </c>
      <c r="AS395">
        <f t="shared" si="124"/>
        <v>0</v>
      </c>
      <c r="AT395">
        <f t="shared" si="124"/>
        <v>0</v>
      </c>
      <c r="AU395" t="str">
        <f t="shared" si="124"/>
        <v>Mangold</v>
      </c>
      <c r="AV395">
        <f t="shared" si="124"/>
        <v>0</v>
      </c>
      <c r="AW395">
        <f t="shared" si="124"/>
        <v>0</v>
      </c>
      <c r="AX395">
        <f t="shared" si="124"/>
        <v>0</v>
      </c>
      <c r="AY395">
        <f t="shared" si="125"/>
        <v>0</v>
      </c>
      <c r="AZ395">
        <f t="shared" si="125"/>
        <v>0</v>
      </c>
      <c r="BA395">
        <f t="shared" si="125"/>
        <v>0</v>
      </c>
      <c r="BB395">
        <f t="shared" si="125"/>
        <v>0</v>
      </c>
      <c r="BC395">
        <f t="shared" si="125"/>
        <v>0</v>
      </c>
      <c r="BD395">
        <f t="shared" si="125"/>
        <v>0</v>
      </c>
      <c r="BE395">
        <f t="shared" si="125"/>
        <v>0</v>
      </c>
      <c r="BF395">
        <f t="shared" si="125"/>
        <v>0</v>
      </c>
      <c r="BG395">
        <f t="shared" si="125"/>
        <v>0</v>
      </c>
      <c r="BH395">
        <f t="shared" si="125"/>
        <v>0</v>
      </c>
      <c r="BI395">
        <f t="shared" si="126"/>
        <v>0</v>
      </c>
      <c r="BJ395">
        <f t="shared" si="126"/>
        <v>0</v>
      </c>
      <c r="BK395">
        <f t="shared" si="126"/>
        <v>0</v>
      </c>
      <c r="BL395">
        <f t="shared" si="126"/>
        <v>0</v>
      </c>
      <c r="BM395">
        <f t="shared" si="126"/>
        <v>0</v>
      </c>
      <c r="BN395">
        <f t="shared" si="126"/>
        <v>0</v>
      </c>
      <c r="BO395">
        <f t="shared" si="126"/>
        <v>0</v>
      </c>
      <c r="BP395">
        <f t="shared" si="126"/>
        <v>0</v>
      </c>
      <c r="BQ395">
        <f t="shared" si="126"/>
        <v>0</v>
      </c>
      <c r="BR395">
        <f t="shared" si="126"/>
        <v>0</v>
      </c>
      <c r="BS395">
        <f t="shared" si="126"/>
        <v>0</v>
      </c>
    </row>
    <row r="396" spans="2:71" ht="15" customHeight="1" x14ac:dyDescent="0.2">
      <c r="B396">
        <v>6</v>
      </c>
      <c r="C396">
        <v>1</v>
      </c>
      <c r="D396">
        <v>7</v>
      </c>
      <c r="E396" t="s">
        <v>360</v>
      </c>
      <c r="F396" t="s">
        <v>346</v>
      </c>
      <c r="G396" s="5">
        <v>43685</v>
      </c>
      <c r="H396" t="s">
        <v>97</v>
      </c>
      <c r="I396" t="s">
        <v>347</v>
      </c>
      <c r="J396" t="s">
        <v>348</v>
      </c>
      <c r="K396">
        <v>9</v>
      </c>
      <c r="L396" t="s">
        <v>90</v>
      </c>
      <c r="M396" t="s">
        <v>349</v>
      </c>
      <c r="N396" t="s">
        <v>350</v>
      </c>
      <c r="O396">
        <v>73.400000000000006</v>
      </c>
      <c r="P396">
        <v>138</v>
      </c>
      <c r="Q396">
        <v>6454</v>
      </c>
      <c r="R396" t="s">
        <v>313</v>
      </c>
      <c r="S396" t="s">
        <v>80</v>
      </c>
      <c r="T396" t="s">
        <v>351</v>
      </c>
      <c r="U396" t="s">
        <v>352</v>
      </c>
      <c r="V396" t="s">
        <v>40</v>
      </c>
      <c r="W396" t="s">
        <v>78</v>
      </c>
      <c r="Y396" t="s">
        <v>42</v>
      </c>
      <c r="AA396">
        <v>1</v>
      </c>
      <c r="AB396" t="s">
        <v>32</v>
      </c>
      <c r="AC396" t="s">
        <v>184</v>
      </c>
      <c r="AE396" t="str">
        <f t="shared" si="123"/>
        <v>GriseJackson</v>
      </c>
      <c r="AF396">
        <v>1</v>
      </c>
      <c r="AG396">
        <v>1</v>
      </c>
      <c r="AH396">
        <v>0</v>
      </c>
      <c r="AI396">
        <v>0</v>
      </c>
      <c r="AJ396">
        <v>1</v>
      </c>
      <c r="AK396" t="s">
        <v>45</v>
      </c>
      <c r="AL396">
        <v>0.59375</v>
      </c>
      <c r="AM396" t="s">
        <v>54</v>
      </c>
      <c r="AN396">
        <v>0.37288135593220301</v>
      </c>
      <c r="AO396" t="str">
        <f t="shared" si="124"/>
        <v>Grise</v>
      </c>
      <c r="AP396">
        <f t="shared" si="124"/>
        <v>0</v>
      </c>
      <c r="AQ396" t="str">
        <f t="shared" si="124"/>
        <v>Jackson</v>
      </c>
      <c r="AR396">
        <f t="shared" si="124"/>
        <v>0</v>
      </c>
      <c r="AS396">
        <f t="shared" si="124"/>
        <v>0</v>
      </c>
      <c r="AT396">
        <f t="shared" si="124"/>
        <v>0</v>
      </c>
      <c r="AU396">
        <f t="shared" si="124"/>
        <v>0</v>
      </c>
      <c r="AV396">
        <f t="shared" si="124"/>
        <v>0</v>
      </c>
      <c r="AW396">
        <f t="shared" si="124"/>
        <v>0</v>
      </c>
      <c r="AX396">
        <f t="shared" si="124"/>
        <v>0</v>
      </c>
      <c r="AY396">
        <f t="shared" si="125"/>
        <v>0</v>
      </c>
      <c r="AZ396">
        <f t="shared" si="125"/>
        <v>0</v>
      </c>
      <c r="BA396">
        <f t="shared" si="125"/>
        <v>0</v>
      </c>
      <c r="BB396">
        <f t="shared" si="125"/>
        <v>0</v>
      </c>
      <c r="BC396">
        <f t="shared" si="125"/>
        <v>0</v>
      </c>
      <c r="BD396">
        <f t="shared" si="125"/>
        <v>0</v>
      </c>
      <c r="BE396">
        <f t="shared" si="125"/>
        <v>0</v>
      </c>
      <c r="BF396">
        <f t="shared" si="125"/>
        <v>0</v>
      </c>
      <c r="BG396">
        <f t="shared" si="125"/>
        <v>0</v>
      </c>
      <c r="BH396">
        <f t="shared" si="125"/>
        <v>0</v>
      </c>
      <c r="BI396">
        <f t="shared" si="126"/>
        <v>0</v>
      </c>
      <c r="BJ396">
        <f t="shared" si="126"/>
        <v>0</v>
      </c>
      <c r="BK396">
        <f t="shared" si="126"/>
        <v>0</v>
      </c>
      <c r="BL396">
        <f t="shared" si="126"/>
        <v>0</v>
      </c>
      <c r="BM396">
        <f t="shared" si="126"/>
        <v>0</v>
      </c>
      <c r="BN396">
        <f t="shared" si="126"/>
        <v>0</v>
      </c>
      <c r="BO396">
        <f t="shared" si="126"/>
        <v>0</v>
      </c>
      <c r="BP396">
        <f t="shared" si="126"/>
        <v>0</v>
      </c>
      <c r="BQ396">
        <f t="shared" si="126"/>
        <v>0</v>
      </c>
      <c r="BR396">
        <f t="shared" si="126"/>
        <v>0</v>
      </c>
      <c r="BS396">
        <f t="shared" si="126"/>
        <v>0</v>
      </c>
    </row>
    <row r="397" spans="2:71" ht="15" customHeight="1" x14ac:dyDescent="0.2">
      <c r="B397">
        <v>6</v>
      </c>
      <c r="C397">
        <v>1</v>
      </c>
      <c r="D397">
        <v>7</v>
      </c>
      <c r="E397" t="s">
        <v>360</v>
      </c>
      <c r="F397" t="s">
        <v>346</v>
      </c>
      <c r="G397" s="5">
        <v>43685</v>
      </c>
      <c r="H397" t="s">
        <v>97</v>
      </c>
      <c r="I397" t="s">
        <v>347</v>
      </c>
      <c r="J397" t="s">
        <v>348</v>
      </c>
      <c r="K397">
        <v>9</v>
      </c>
      <c r="L397" t="s">
        <v>90</v>
      </c>
      <c r="M397" t="s">
        <v>349</v>
      </c>
      <c r="N397" t="s">
        <v>350</v>
      </c>
      <c r="O397">
        <v>73.400000000000006</v>
      </c>
      <c r="P397">
        <v>138</v>
      </c>
      <c r="Q397">
        <v>6454</v>
      </c>
      <c r="R397" t="s">
        <v>313</v>
      </c>
      <c r="S397" t="s">
        <v>80</v>
      </c>
      <c r="T397" t="s">
        <v>353</v>
      </c>
      <c r="U397" t="s">
        <v>354</v>
      </c>
      <c r="V397" t="s">
        <v>45</v>
      </c>
      <c r="W397" t="s">
        <v>109</v>
      </c>
      <c r="Y397" t="s">
        <v>54</v>
      </c>
      <c r="AA397">
        <v>1</v>
      </c>
      <c r="AB397" t="s">
        <v>33</v>
      </c>
      <c r="AC397" t="s">
        <v>184</v>
      </c>
      <c r="AE397" t="str">
        <f t="shared" si="123"/>
        <v>ConnollyFogan</v>
      </c>
      <c r="AF397">
        <v>0</v>
      </c>
      <c r="AG397">
        <v>0</v>
      </c>
      <c r="AH397">
        <v>1</v>
      </c>
      <c r="AI397">
        <v>0</v>
      </c>
      <c r="AJ397">
        <v>0</v>
      </c>
      <c r="AK397" t="s">
        <v>40</v>
      </c>
      <c r="AL397">
        <v>0.546875</v>
      </c>
      <c r="AM397" t="s">
        <v>42</v>
      </c>
      <c r="AN397">
        <v>0.6171875</v>
      </c>
      <c r="AO397">
        <f t="shared" si="124"/>
        <v>0</v>
      </c>
      <c r="AP397">
        <f t="shared" si="124"/>
        <v>0</v>
      </c>
      <c r="AQ397">
        <f t="shared" si="124"/>
        <v>0</v>
      </c>
      <c r="AR397">
        <f t="shared" si="124"/>
        <v>0</v>
      </c>
      <c r="AS397">
        <f t="shared" si="124"/>
        <v>0</v>
      </c>
      <c r="AT397" t="str">
        <f t="shared" si="124"/>
        <v>Connolly</v>
      </c>
      <c r="AU397">
        <f t="shared" si="124"/>
        <v>0</v>
      </c>
      <c r="AV397">
        <f t="shared" si="124"/>
        <v>0</v>
      </c>
      <c r="AW397">
        <f t="shared" si="124"/>
        <v>0</v>
      </c>
      <c r="AX397">
        <f t="shared" si="124"/>
        <v>0</v>
      </c>
      <c r="AY397">
        <f t="shared" si="125"/>
        <v>0</v>
      </c>
      <c r="AZ397">
        <f t="shared" si="125"/>
        <v>0</v>
      </c>
      <c r="BA397">
        <f t="shared" si="125"/>
        <v>0</v>
      </c>
      <c r="BB397">
        <f t="shared" si="125"/>
        <v>0</v>
      </c>
      <c r="BC397" t="str">
        <f t="shared" si="125"/>
        <v>Fogan</v>
      </c>
      <c r="BD397">
        <f t="shared" si="125"/>
        <v>0</v>
      </c>
      <c r="BE397">
        <f t="shared" si="125"/>
        <v>0</v>
      </c>
      <c r="BF397">
        <f t="shared" si="125"/>
        <v>0</v>
      </c>
      <c r="BG397">
        <f t="shared" si="125"/>
        <v>0</v>
      </c>
      <c r="BH397">
        <f t="shared" si="125"/>
        <v>0</v>
      </c>
      <c r="BI397">
        <f t="shared" si="126"/>
        <v>0</v>
      </c>
      <c r="BJ397">
        <f t="shared" si="126"/>
        <v>0</v>
      </c>
      <c r="BK397">
        <f t="shared" si="126"/>
        <v>0</v>
      </c>
      <c r="BL397">
        <f t="shared" si="126"/>
        <v>0</v>
      </c>
      <c r="BM397">
        <f t="shared" si="126"/>
        <v>0</v>
      </c>
      <c r="BN397">
        <f t="shared" si="126"/>
        <v>0</v>
      </c>
      <c r="BO397">
        <f t="shared" si="126"/>
        <v>0</v>
      </c>
      <c r="BP397">
        <f t="shared" si="126"/>
        <v>0</v>
      </c>
      <c r="BQ397">
        <f t="shared" si="126"/>
        <v>0</v>
      </c>
      <c r="BR397">
        <f t="shared" si="126"/>
        <v>0</v>
      </c>
      <c r="BS397">
        <f t="shared" si="126"/>
        <v>0</v>
      </c>
    </row>
    <row r="398" spans="2:71" ht="15" customHeight="1" x14ac:dyDescent="0.2">
      <c r="B398">
        <v>7</v>
      </c>
      <c r="C398">
        <v>2</v>
      </c>
      <c r="D398">
        <v>7</v>
      </c>
      <c r="E398" t="s">
        <v>361</v>
      </c>
      <c r="F398" t="s">
        <v>346</v>
      </c>
      <c r="G398" s="5">
        <v>43685</v>
      </c>
      <c r="H398" t="s">
        <v>97</v>
      </c>
      <c r="I398" t="s">
        <v>347</v>
      </c>
      <c r="J398" t="s">
        <v>348</v>
      </c>
      <c r="K398">
        <v>9</v>
      </c>
      <c r="L398" t="s">
        <v>90</v>
      </c>
      <c r="M398" t="s">
        <v>349</v>
      </c>
      <c r="N398" t="s">
        <v>350</v>
      </c>
      <c r="O398">
        <v>73.400000000000006</v>
      </c>
      <c r="P398">
        <v>138</v>
      </c>
      <c r="Q398">
        <v>6454</v>
      </c>
      <c r="R398" t="s">
        <v>313</v>
      </c>
      <c r="S398" t="s">
        <v>80</v>
      </c>
      <c r="T398" t="s">
        <v>353</v>
      </c>
      <c r="U398" t="s">
        <v>354</v>
      </c>
      <c r="V398" t="s">
        <v>61</v>
      </c>
      <c r="W398" t="s">
        <v>109</v>
      </c>
      <c r="Y398" t="s">
        <v>49</v>
      </c>
      <c r="AA398">
        <v>1</v>
      </c>
      <c r="AB398" t="s">
        <v>33</v>
      </c>
      <c r="AC398" t="s">
        <v>184</v>
      </c>
      <c r="AE398" t="str">
        <f t="shared" si="123"/>
        <v>McInerneyShively</v>
      </c>
      <c r="AF398">
        <v>0</v>
      </c>
      <c r="AG398">
        <v>0</v>
      </c>
      <c r="AH398">
        <v>1</v>
      </c>
      <c r="AI398">
        <v>0</v>
      </c>
      <c r="AJ398">
        <v>0</v>
      </c>
      <c r="AK398" t="s">
        <v>50</v>
      </c>
      <c r="AL398">
        <v>0.59523809523809501</v>
      </c>
      <c r="AM398" t="s">
        <v>44</v>
      </c>
      <c r="AN398">
        <v>0.4296875</v>
      </c>
      <c r="AO398">
        <f t="shared" si="124"/>
        <v>0</v>
      </c>
      <c r="AP398">
        <f t="shared" si="124"/>
        <v>0</v>
      </c>
      <c r="AQ398">
        <f t="shared" si="124"/>
        <v>0</v>
      </c>
      <c r="AR398">
        <f t="shared" si="124"/>
        <v>0</v>
      </c>
      <c r="AS398">
        <f t="shared" si="124"/>
        <v>0</v>
      </c>
      <c r="AT398">
        <f t="shared" si="124"/>
        <v>0</v>
      </c>
      <c r="AU398">
        <f t="shared" si="124"/>
        <v>0</v>
      </c>
      <c r="AV398">
        <f t="shared" si="124"/>
        <v>0</v>
      </c>
      <c r="AW398">
        <f t="shared" si="124"/>
        <v>0</v>
      </c>
      <c r="AX398" t="str">
        <f t="shared" si="124"/>
        <v>Shively</v>
      </c>
      <c r="AY398">
        <f t="shared" si="125"/>
        <v>0</v>
      </c>
      <c r="AZ398">
        <f t="shared" si="125"/>
        <v>0</v>
      </c>
      <c r="BA398">
        <f t="shared" si="125"/>
        <v>0</v>
      </c>
      <c r="BB398">
        <f t="shared" si="125"/>
        <v>0</v>
      </c>
      <c r="BC398">
        <f t="shared" si="125"/>
        <v>0</v>
      </c>
      <c r="BD398">
        <f t="shared" si="125"/>
        <v>0</v>
      </c>
      <c r="BE398">
        <f t="shared" si="125"/>
        <v>0</v>
      </c>
      <c r="BF398">
        <f t="shared" si="125"/>
        <v>0</v>
      </c>
      <c r="BG398">
        <f t="shared" si="125"/>
        <v>0</v>
      </c>
      <c r="BH398">
        <f t="shared" si="125"/>
        <v>0</v>
      </c>
      <c r="BI398">
        <f t="shared" si="126"/>
        <v>0</v>
      </c>
      <c r="BJ398" t="str">
        <f t="shared" si="126"/>
        <v>McInerney</v>
      </c>
      <c r="BK398">
        <f t="shared" si="126"/>
        <v>0</v>
      </c>
      <c r="BL398">
        <f t="shared" si="126"/>
        <v>0</v>
      </c>
      <c r="BM398">
        <f t="shared" si="126"/>
        <v>0</v>
      </c>
      <c r="BN398">
        <f t="shared" si="126"/>
        <v>0</v>
      </c>
      <c r="BO398">
        <f t="shared" si="126"/>
        <v>0</v>
      </c>
      <c r="BP398">
        <f t="shared" si="126"/>
        <v>0</v>
      </c>
      <c r="BQ398">
        <f t="shared" si="126"/>
        <v>0</v>
      </c>
      <c r="BR398">
        <f t="shared" si="126"/>
        <v>0</v>
      </c>
      <c r="BS398">
        <f t="shared" si="126"/>
        <v>0</v>
      </c>
    </row>
    <row r="399" spans="2:71" ht="15" customHeight="1" x14ac:dyDescent="0.2">
      <c r="B399">
        <v>7</v>
      </c>
      <c r="C399">
        <v>2</v>
      </c>
      <c r="D399">
        <v>7</v>
      </c>
      <c r="E399" t="s">
        <v>361</v>
      </c>
      <c r="F399" t="s">
        <v>346</v>
      </c>
      <c r="G399" s="5">
        <v>43685</v>
      </c>
      <c r="H399" t="s">
        <v>97</v>
      </c>
      <c r="I399" t="s">
        <v>347</v>
      </c>
      <c r="J399" t="s">
        <v>348</v>
      </c>
      <c r="K399">
        <v>9</v>
      </c>
      <c r="L399" t="s">
        <v>90</v>
      </c>
      <c r="M399" t="s">
        <v>349</v>
      </c>
      <c r="N399" t="s">
        <v>350</v>
      </c>
      <c r="O399">
        <v>73.400000000000006</v>
      </c>
      <c r="P399">
        <v>138</v>
      </c>
      <c r="Q399">
        <v>6454</v>
      </c>
      <c r="R399" t="s">
        <v>313</v>
      </c>
      <c r="S399" t="s">
        <v>80</v>
      </c>
      <c r="T399" t="s">
        <v>351</v>
      </c>
      <c r="U399" t="s">
        <v>352</v>
      </c>
      <c r="V399" t="s">
        <v>50</v>
      </c>
      <c r="W399" t="s">
        <v>78</v>
      </c>
      <c r="Y399" t="s">
        <v>44</v>
      </c>
      <c r="AA399">
        <v>1</v>
      </c>
      <c r="AB399" t="s">
        <v>32</v>
      </c>
      <c r="AC399" t="s">
        <v>184</v>
      </c>
      <c r="AE399" t="str">
        <f t="shared" si="123"/>
        <v>FerrinFlanders</v>
      </c>
      <c r="AF399">
        <v>1</v>
      </c>
      <c r="AG399">
        <v>1</v>
      </c>
      <c r="AH399">
        <v>0</v>
      </c>
      <c r="AI399">
        <v>0</v>
      </c>
      <c r="AJ399">
        <v>1</v>
      </c>
      <c r="AK399" t="s">
        <v>61</v>
      </c>
      <c r="AL399">
        <v>0.5</v>
      </c>
      <c r="AM399" t="s">
        <v>49</v>
      </c>
      <c r="AO399">
        <f t="shared" si="124"/>
        <v>0</v>
      </c>
      <c r="AP399">
        <f t="shared" si="124"/>
        <v>0</v>
      </c>
      <c r="AQ399">
        <f t="shared" si="124"/>
        <v>0</v>
      </c>
      <c r="AR399">
        <f t="shared" si="124"/>
        <v>0</v>
      </c>
      <c r="AS399" t="str">
        <f t="shared" si="124"/>
        <v>Flanders</v>
      </c>
      <c r="AT399">
        <f t="shared" si="124"/>
        <v>0</v>
      </c>
      <c r="AU399">
        <f t="shared" si="124"/>
        <v>0</v>
      </c>
      <c r="AV399">
        <f t="shared" si="124"/>
        <v>0</v>
      </c>
      <c r="AW399">
        <f t="shared" si="124"/>
        <v>0</v>
      </c>
      <c r="AX399">
        <f t="shared" si="124"/>
        <v>0</v>
      </c>
      <c r="AY399" t="str">
        <f t="shared" si="125"/>
        <v>Ferrin</v>
      </c>
      <c r="AZ399">
        <f t="shared" si="125"/>
        <v>0</v>
      </c>
      <c r="BA399">
        <f t="shared" si="125"/>
        <v>0</v>
      </c>
      <c r="BB399">
        <f t="shared" si="125"/>
        <v>0</v>
      </c>
      <c r="BC399">
        <f t="shared" si="125"/>
        <v>0</v>
      </c>
      <c r="BD399">
        <f t="shared" si="125"/>
        <v>0</v>
      </c>
      <c r="BE399">
        <f t="shared" si="125"/>
        <v>0</v>
      </c>
      <c r="BF399">
        <f t="shared" si="125"/>
        <v>0</v>
      </c>
      <c r="BG399">
        <f t="shared" si="125"/>
        <v>0</v>
      </c>
      <c r="BH399">
        <f t="shared" si="125"/>
        <v>0</v>
      </c>
      <c r="BI399">
        <f t="shared" si="126"/>
        <v>0</v>
      </c>
      <c r="BJ399">
        <f t="shared" si="126"/>
        <v>0</v>
      </c>
      <c r="BK399">
        <f t="shared" si="126"/>
        <v>0</v>
      </c>
      <c r="BL399">
        <f t="shared" si="126"/>
        <v>0</v>
      </c>
      <c r="BM399">
        <f t="shared" si="126"/>
        <v>0</v>
      </c>
      <c r="BN399">
        <f t="shared" si="126"/>
        <v>0</v>
      </c>
      <c r="BO399">
        <f t="shared" si="126"/>
        <v>0</v>
      </c>
      <c r="BP399">
        <f t="shared" si="126"/>
        <v>0</v>
      </c>
      <c r="BQ399">
        <f t="shared" si="126"/>
        <v>0</v>
      </c>
      <c r="BR399">
        <f t="shared" si="126"/>
        <v>0</v>
      </c>
      <c r="BS399">
        <f t="shared" si="126"/>
        <v>0</v>
      </c>
    </row>
    <row r="400" spans="2:71" ht="15" customHeight="1" x14ac:dyDescent="0.2">
      <c r="B400">
        <v>8</v>
      </c>
      <c r="C400">
        <v>3</v>
      </c>
      <c r="D400">
        <v>7</v>
      </c>
      <c r="E400" t="s">
        <v>362</v>
      </c>
      <c r="F400" t="s">
        <v>346</v>
      </c>
      <c r="G400" s="5">
        <v>43685</v>
      </c>
      <c r="H400" t="s">
        <v>97</v>
      </c>
      <c r="I400" t="s">
        <v>347</v>
      </c>
      <c r="J400" t="s">
        <v>348</v>
      </c>
      <c r="K400">
        <v>9</v>
      </c>
      <c r="L400" t="s">
        <v>90</v>
      </c>
      <c r="M400" t="s">
        <v>349</v>
      </c>
      <c r="N400" t="s">
        <v>350</v>
      </c>
      <c r="O400">
        <v>73.400000000000006</v>
      </c>
      <c r="P400">
        <v>138</v>
      </c>
      <c r="Q400">
        <v>6454</v>
      </c>
      <c r="R400" t="s">
        <v>313</v>
      </c>
      <c r="S400" t="s">
        <v>80</v>
      </c>
      <c r="T400" t="s">
        <v>351</v>
      </c>
      <c r="U400" t="s">
        <v>352</v>
      </c>
      <c r="V400" t="s">
        <v>55</v>
      </c>
      <c r="W400" t="s">
        <v>78</v>
      </c>
      <c r="Y400" t="s">
        <v>48</v>
      </c>
      <c r="AA400">
        <v>1</v>
      </c>
      <c r="AB400" t="s">
        <v>33</v>
      </c>
      <c r="AC400" t="s">
        <v>171</v>
      </c>
      <c r="AE400" t="str">
        <f t="shared" si="123"/>
        <v>ColeLynch</v>
      </c>
      <c r="AF400">
        <v>0</v>
      </c>
      <c r="AG400">
        <v>0</v>
      </c>
      <c r="AH400">
        <v>1</v>
      </c>
      <c r="AI400">
        <v>0</v>
      </c>
      <c r="AJ400">
        <v>0</v>
      </c>
      <c r="AK400" t="s">
        <v>53</v>
      </c>
      <c r="AL400">
        <v>0.59649122807017496</v>
      </c>
      <c r="AM400" t="s">
        <v>41</v>
      </c>
      <c r="AN400">
        <v>0.47321428571428598</v>
      </c>
      <c r="AO400">
        <f t="shared" si="124"/>
        <v>0</v>
      </c>
      <c r="AP400">
        <f t="shared" si="124"/>
        <v>0</v>
      </c>
      <c r="AQ400">
        <f t="shared" si="124"/>
        <v>0</v>
      </c>
      <c r="AR400">
        <f t="shared" si="124"/>
        <v>0</v>
      </c>
      <c r="AS400">
        <f t="shared" si="124"/>
        <v>0</v>
      </c>
      <c r="AT400">
        <f t="shared" si="124"/>
        <v>0</v>
      </c>
      <c r="AU400">
        <f t="shared" si="124"/>
        <v>0</v>
      </c>
      <c r="AV400">
        <f t="shared" si="124"/>
        <v>0</v>
      </c>
      <c r="AW400" t="str">
        <f t="shared" si="124"/>
        <v>Lynch</v>
      </c>
      <c r="AX400">
        <f t="shared" si="124"/>
        <v>0</v>
      </c>
      <c r="AY400">
        <f t="shared" si="125"/>
        <v>0</v>
      </c>
      <c r="AZ400">
        <f t="shared" si="125"/>
        <v>0</v>
      </c>
      <c r="BA400">
        <f t="shared" si="125"/>
        <v>0</v>
      </c>
      <c r="BB400">
        <f t="shared" si="125"/>
        <v>0</v>
      </c>
      <c r="BC400">
        <f t="shared" si="125"/>
        <v>0</v>
      </c>
      <c r="BD400" t="str">
        <f t="shared" si="125"/>
        <v>Cole</v>
      </c>
      <c r="BE400">
        <f t="shared" si="125"/>
        <v>0</v>
      </c>
      <c r="BF400">
        <f t="shared" si="125"/>
        <v>0</v>
      </c>
      <c r="BG400">
        <f t="shared" si="125"/>
        <v>0</v>
      </c>
      <c r="BH400">
        <f t="shared" si="125"/>
        <v>0</v>
      </c>
      <c r="BI400">
        <f t="shared" si="126"/>
        <v>0</v>
      </c>
      <c r="BJ400">
        <f t="shared" si="126"/>
        <v>0</v>
      </c>
      <c r="BK400">
        <f t="shared" si="126"/>
        <v>0</v>
      </c>
      <c r="BL400">
        <f t="shared" si="126"/>
        <v>0</v>
      </c>
      <c r="BM400">
        <f t="shared" si="126"/>
        <v>0</v>
      </c>
      <c r="BN400">
        <f t="shared" si="126"/>
        <v>0</v>
      </c>
      <c r="BO400">
        <f t="shared" si="126"/>
        <v>0</v>
      </c>
      <c r="BP400">
        <f t="shared" si="126"/>
        <v>0</v>
      </c>
      <c r="BQ400">
        <f t="shared" si="126"/>
        <v>0</v>
      </c>
      <c r="BR400">
        <f t="shared" si="126"/>
        <v>0</v>
      </c>
      <c r="BS400">
        <f t="shared" si="126"/>
        <v>0</v>
      </c>
    </row>
    <row r="401" spans="2:71" ht="15" customHeight="1" x14ac:dyDescent="0.2">
      <c r="B401">
        <v>8</v>
      </c>
      <c r="C401">
        <v>3</v>
      </c>
      <c r="D401">
        <v>7</v>
      </c>
      <c r="E401" t="s">
        <v>362</v>
      </c>
      <c r="F401" t="s">
        <v>346</v>
      </c>
      <c r="G401" s="5">
        <v>43685</v>
      </c>
      <c r="H401" t="s">
        <v>97</v>
      </c>
      <c r="I401" t="s">
        <v>347</v>
      </c>
      <c r="J401" t="s">
        <v>348</v>
      </c>
      <c r="K401">
        <v>9</v>
      </c>
      <c r="L401" t="s">
        <v>90</v>
      </c>
      <c r="M401" t="s">
        <v>349</v>
      </c>
      <c r="N401" t="s">
        <v>350</v>
      </c>
      <c r="O401">
        <v>73.400000000000006</v>
      </c>
      <c r="P401">
        <v>138</v>
      </c>
      <c r="Q401">
        <v>6454</v>
      </c>
      <c r="R401" t="s">
        <v>313</v>
      </c>
      <c r="S401" t="s">
        <v>80</v>
      </c>
      <c r="T401" t="s">
        <v>353</v>
      </c>
      <c r="U401" t="s">
        <v>354</v>
      </c>
      <c r="V401" t="s">
        <v>53</v>
      </c>
      <c r="W401" t="s">
        <v>109</v>
      </c>
      <c r="Y401" t="s">
        <v>41</v>
      </c>
      <c r="AA401">
        <v>1</v>
      </c>
      <c r="AB401" t="s">
        <v>32</v>
      </c>
      <c r="AC401" t="s">
        <v>171</v>
      </c>
      <c r="AE401" t="str">
        <f t="shared" si="123"/>
        <v>ForsterHilts</v>
      </c>
      <c r="AF401">
        <v>1</v>
      </c>
      <c r="AG401">
        <v>1</v>
      </c>
      <c r="AH401">
        <v>0</v>
      </c>
      <c r="AI401">
        <v>0</v>
      </c>
      <c r="AJ401">
        <v>1</v>
      </c>
      <c r="AK401" t="s">
        <v>55</v>
      </c>
      <c r="AL401">
        <v>0.44067796610169502</v>
      </c>
      <c r="AM401" t="s">
        <v>48</v>
      </c>
      <c r="AN401">
        <v>0.5546875</v>
      </c>
      <c r="AO401">
        <f t="shared" si="124"/>
        <v>0</v>
      </c>
      <c r="AP401" t="str">
        <f t="shared" si="124"/>
        <v>Hilts</v>
      </c>
      <c r="AQ401">
        <f t="shared" si="124"/>
        <v>0</v>
      </c>
      <c r="AR401">
        <f t="shared" si="124"/>
        <v>0</v>
      </c>
      <c r="AS401">
        <f t="shared" si="124"/>
        <v>0</v>
      </c>
      <c r="AT401">
        <f t="shared" si="124"/>
        <v>0</v>
      </c>
      <c r="AU401">
        <f t="shared" si="124"/>
        <v>0</v>
      </c>
      <c r="AV401">
        <f t="shared" si="124"/>
        <v>0</v>
      </c>
      <c r="AW401">
        <f t="shared" si="124"/>
        <v>0</v>
      </c>
      <c r="AX401">
        <f t="shared" si="124"/>
        <v>0</v>
      </c>
      <c r="AY401">
        <f t="shared" si="125"/>
        <v>0</v>
      </c>
      <c r="AZ401">
        <f t="shared" si="125"/>
        <v>0</v>
      </c>
      <c r="BA401">
        <f t="shared" si="125"/>
        <v>0</v>
      </c>
      <c r="BB401" t="str">
        <f t="shared" si="125"/>
        <v>Forster</v>
      </c>
      <c r="BC401">
        <f t="shared" si="125"/>
        <v>0</v>
      </c>
      <c r="BD401">
        <f t="shared" si="125"/>
        <v>0</v>
      </c>
      <c r="BE401">
        <f t="shared" si="125"/>
        <v>0</v>
      </c>
      <c r="BF401">
        <f t="shared" si="125"/>
        <v>0</v>
      </c>
      <c r="BG401">
        <f t="shared" si="125"/>
        <v>0</v>
      </c>
      <c r="BH401">
        <f t="shared" si="125"/>
        <v>0</v>
      </c>
      <c r="BI401">
        <f t="shared" si="126"/>
        <v>0</v>
      </c>
      <c r="BJ401">
        <f t="shared" si="126"/>
        <v>0</v>
      </c>
      <c r="BK401">
        <f t="shared" si="126"/>
        <v>0</v>
      </c>
      <c r="BL401">
        <f t="shared" si="126"/>
        <v>0</v>
      </c>
      <c r="BM401">
        <f t="shared" si="126"/>
        <v>0</v>
      </c>
      <c r="BN401">
        <f t="shared" si="126"/>
        <v>0</v>
      </c>
      <c r="BO401">
        <f t="shared" si="126"/>
        <v>0</v>
      </c>
      <c r="BP401">
        <f t="shared" si="126"/>
        <v>0</v>
      </c>
      <c r="BQ401">
        <f t="shared" si="126"/>
        <v>0</v>
      </c>
      <c r="BR401">
        <f t="shared" si="126"/>
        <v>0</v>
      </c>
      <c r="BS401">
        <f t="shared" si="126"/>
        <v>0</v>
      </c>
    </row>
    <row r="402" spans="2:71" ht="15" customHeight="1" x14ac:dyDescent="0.2">
      <c r="B402">
        <v>9</v>
      </c>
      <c r="C402">
        <v>4</v>
      </c>
      <c r="D402">
        <v>7</v>
      </c>
      <c r="E402" t="s">
        <v>363</v>
      </c>
      <c r="F402" t="s">
        <v>346</v>
      </c>
      <c r="G402" s="5">
        <v>43685</v>
      </c>
      <c r="H402" t="s">
        <v>97</v>
      </c>
      <c r="I402" t="s">
        <v>347</v>
      </c>
      <c r="J402" t="s">
        <v>348</v>
      </c>
      <c r="K402">
        <v>9</v>
      </c>
      <c r="L402" t="s">
        <v>90</v>
      </c>
      <c r="M402" t="s">
        <v>349</v>
      </c>
      <c r="N402" t="s">
        <v>350</v>
      </c>
      <c r="O402">
        <v>73.400000000000006</v>
      </c>
      <c r="P402">
        <v>138</v>
      </c>
      <c r="Q402">
        <v>6454</v>
      </c>
      <c r="R402" t="s">
        <v>313</v>
      </c>
      <c r="S402" t="s">
        <v>80</v>
      </c>
      <c r="T402" t="s">
        <v>353</v>
      </c>
      <c r="U402" t="s">
        <v>354</v>
      </c>
      <c r="V402" t="s">
        <v>59</v>
      </c>
      <c r="W402" t="s">
        <v>109</v>
      </c>
      <c r="Y402" t="s">
        <v>62</v>
      </c>
      <c r="AA402">
        <v>1</v>
      </c>
      <c r="AB402" t="s">
        <v>34</v>
      </c>
      <c r="AC402" t="s">
        <v>92</v>
      </c>
      <c r="AE402" t="str">
        <f t="shared" si="123"/>
        <v>NoratWelker</v>
      </c>
      <c r="AF402">
        <v>0.5</v>
      </c>
      <c r="AG402">
        <v>0</v>
      </c>
      <c r="AH402">
        <v>0</v>
      </c>
      <c r="AI402">
        <v>1</v>
      </c>
      <c r="AJ402">
        <v>0.5</v>
      </c>
      <c r="AK402" t="s">
        <v>58</v>
      </c>
      <c r="AL402">
        <v>0.65476190476190499</v>
      </c>
      <c r="AM402" t="s">
        <v>60</v>
      </c>
      <c r="AN402">
        <v>0.5</v>
      </c>
      <c r="AO402">
        <f t="shared" ref="AO402:AX411" si="127">IF(OR($V402=AO$1,$Y402=AO$1),AO$1,0)</f>
        <v>0</v>
      </c>
      <c r="AP402">
        <f t="shared" si="127"/>
        <v>0</v>
      </c>
      <c r="AQ402">
        <f t="shared" si="127"/>
        <v>0</v>
      </c>
      <c r="AR402">
        <f t="shared" si="127"/>
        <v>0</v>
      </c>
      <c r="AS402">
        <f t="shared" si="127"/>
        <v>0</v>
      </c>
      <c r="AT402">
        <f t="shared" si="127"/>
        <v>0</v>
      </c>
      <c r="AU402">
        <f t="shared" si="127"/>
        <v>0</v>
      </c>
      <c r="AV402">
        <f t="shared" si="127"/>
        <v>0</v>
      </c>
      <c r="AW402">
        <f t="shared" si="127"/>
        <v>0</v>
      </c>
      <c r="AX402">
        <f t="shared" si="127"/>
        <v>0</v>
      </c>
      <c r="AY402">
        <f t="shared" ref="AY402:BH411" si="128">IF(OR($V402=AY$1,$Y402=AY$1),AY$1,0)</f>
        <v>0</v>
      </c>
      <c r="AZ402">
        <f t="shared" si="128"/>
        <v>0</v>
      </c>
      <c r="BA402">
        <f t="shared" si="128"/>
        <v>0</v>
      </c>
      <c r="BB402">
        <f t="shared" si="128"/>
        <v>0</v>
      </c>
      <c r="BC402">
        <f t="shared" si="128"/>
        <v>0</v>
      </c>
      <c r="BD402">
        <f t="shared" si="128"/>
        <v>0</v>
      </c>
      <c r="BE402">
        <f t="shared" si="128"/>
        <v>0</v>
      </c>
      <c r="BF402">
        <f t="shared" si="128"/>
        <v>0</v>
      </c>
      <c r="BG402">
        <f t="shared" si="128"/>
        <v>0</v>
      </c>
      <c r="BH402" t="str">
        <f t="shared" si="128"/>
        <v>Norat</v>
      </c>
      <c r="BI402">
        <f t="shared" ref="BI402:BS411" si="129">IF(OR($V402=BI$1,$Y402=BI$1),BI$1,0)</f>
        <v>0</v>
      </c>
      <c r="BJ402">
        <f t="shared" si="129"/>
        <v>0</v>
      </c>
      <c r="BK402" t="str">
        <f t="shared" si="129"/>
        <v>Welker</v>
      </c>
      <c r="BL402">
        <f t="shared" si="129"/>
        <v>0</v>
      </c>
      <c r="BM402">
        <f t="shared" si="129"/>
        <v>0</v>
      </c>
      <c r="BN402">
        <f t="shared" si="129"/>
        <v>0</v>
      </c>
      <c r="BO402">
        <f t="shared" si="129"/>
        <v>0</v>
      </c>
      <c r="BP402">
        <f t="shared" si="129"/>
        <v>0</v>
      </c>
      <c r="BQ402">
        <f t="shared" si="129"/>
        <v>0</v>
      </c>
      <c r="BR402">
        <f t="shared" si="129"/>
        <v>0</v>
      </c>
      <c r="BS402">
        <f t="shared" si="129"/>
        <v>0</v>
      </c>
    </row>
    <row r="403" spans="2:71" ht="15" customHeight="1" x14ac:dyDescent="0.2">
      <c r="B403">
        <v>9</v>
      </c>
      <c r="C403">
        <v>4</v>
      </c>
      <c r="D403">
        <v>7</v>
      </c>
      <c r="E403" t="s">
        <v>363</v>
      </c>
      <c r="F403" t="s">
        <v>346</v>
      </c>
      <c r="G403" s="5">
        <v>43685</v>
      </c>
      <c r="H403" t="s">
        <v>97</v>
      </c>
      <c r="I403" t="s">
        <v>347</v>
      </c>
      <c r="J403" t="s">
        <v>348</v>
      </c>
      <c r="K403">
        <v>9</v>
      </c>
      <c r="L403" t="s">
        <v>90</v>
      </c>
      <c r="M403" t="s">
        <v>349</v>
      </c>
      <c r="N403" t="s">
        <v>350</v>
      </c>
      <c r="O403">
        <v>73.400000000000006</v>
      </c>
      <c r="P403">
        <v>138</v>
      </c>
      <c r="Q403">
        <v>6454</v>
      </c>
      <c r="R403" t="s">
        <v>313</v>
      </c>
      <c r="S403" t="s">
        <v>80</v>
      </c>
      <c r="T403" t="s">
        <v>351</v>
      </c>
      <c r="U403" t="s">
        <v>352</v>
      </c>
      <c r="V403" t="s">
        <v>58</v>
      </c>
      <c r="W403" t="s">
        <v>78</v>
      </c>
      <c r="Y403" t="s">
        <v>60</v>
      </c>
      <c r="AA403">
        <v>1</v>
      </c>
      <c r="AB403" t="s">
        <v>34</v>
      </c>
      <c r="AC403" t="s">
        <v>92</v>
      </c>
      <c r="AE403" t="str">
        <f t="shared" si="123"/>
        <v>GrayZimmer</v>
      </c>
      <c r="AF403">
        <v>0.5</v>
      </c>
      <c r="AG403">
        <v>0</v>
      </c>
      <c r="AH403">
        <v>0</v>
      </c>
      <c r="AI403">
        <v>1</v>
      </c>
      <c r="AJ403">
        <v>0.5</v>
      </c>
      <c r="AK403" t="s">
        <v>59</v>
      </c>
      <c r="AL403">
        <v>0.52777777777777801</v>
      </c>
      <c r="AM403" t="s">
        <v>62</v>
      </c>
      <c r="AN403">
        <v>0.51041666666666696</v>
      </c>
      <c r="AO403">
        <f t="shared" si="127"/>
        <v>0</v>
      </c>
      <c r="AP403">
        <f t="shared" si="127"/>
        <v>0</v>
      </c>
      <c r="AQ403">
        <f t="shared" si="127"/>
        <v>0</v>
      </c>
      <c r="AR403">
        <f t="shared" si="127"/>
        <v>0</v>
      </c>
      <c r="AS403">
        <f t="shared" si="127"/>
        <v>0</v>
      </c>
      <c r="AT403">
        <f t="shared" si="127"/>
        <v>0</v>
      </c>
      <c r="AU403">
        <f t="shared" si="127"/>
        <v>0</v>
      </c>
      <c r="AV403">
        <f t="shared" si="127"/>
        <v>0</v>
      </c>
      <c r="AW403">
        <f t="shared" si="127"/>
        <v>0</v>
      </c>
      <c r="AX403">
        <f t="shared" si="127"/>
        <v>0</v>
      </c>
      <c r="AY403">
        <f t="shared" si="128"/>
        <v>0</v>
      </c>
      <c r="AZ403">
        <f t="shared" si="128"/>
        <v>0</v>
      </c>
      <c r="BA403">
        <f t="shared" si="128"/>
        <v>0</v>
      </c>
      <c r="BB403">
        <f t="shared" si="128"/>
        <v>0</v>
      </c>
      <c r="BC403">
        <f t="shared" si="128"/>
        <v>0</v>
      </c>
      <c r="BD403">
        <f t="shared" si="128"/>
        <v>0</v>
      </c>
      <c r="BE403">
        <f t="shared" si="128"/>
        <v>0</v>
      </c>
      <c r="BF403">
        <f t="shared" si="128"/>
        <v>0</v>
      </c>
      <c r="BG403" t="str">
        <f t="shared" si="128"/>
        <v>Gray</v>
      </c>
      <c r="BH403">
        <f t="shared" si="128"/>
        <v>0</v>
      </c>
      <c r="BI403" t="str">
        <f t="shared" si="129"/>
        <v>Zimmer</v>
      </c>
      <c r="BJ403">
        <f t="shared" si="129"/>
        <v>0</v>
      </c>
      <c r="BK403">
        <f t="shared" si="129"/>
        <v>0</v>
      </c>
      <c r="BL403">
        <f t="shared" si="129"/>
        <v>0</v>
      </c>
      <c r="BM403">
        <f t="shared" si="129"/>
        <v>0</v>
      </c>
      <c r="BN403">
        <f t="shared" si="129"/>
        <v>0</v>
      </c>
      <c r="BO403">
        <f t="shared" si="129"/>
        <v>0</v>
      </c>
      <c r="BP403">
        <f t="shared" si="129"/>
        <v>0</v>
      </c>
      <c r="BQ403">
        <f t="shared" si="129"/>
        <v>0</v>
      </c>
      <c r="BR403">
        <f t="shared" si="129"/>
        <v>0</v>
      </c>
      <c r="BS403">
        <f t="shared" si="129"/>
        <v>0</v>
      </c>
    </row>
    <row r="404" spans="2:71" ht="15" customHeight="1" x14ac:dyDescent="0.2">
      <c r="B404">
        <v>10</v>
      </c>
      <c r="C404">
        <v>5</v>
      </c>
      <c r="D404">
        <v>7</v>
      </c>
      <c r="E404" t="s">
        <v>364</v>
      </c>
      <c r="F404" t="s">
        <v>346</v>
      </c>
      <c r="G404" s="5">
        <v>43685</v>
      </c>
      <c r="H404" t="s">
        <v>97</v>
      </c>
      <c r="I404" t="s">
        <v>347</v>
      </c>
      <c r="J404" t="s">
        <v>348</v>
      </c>
      <c r="K404">
        <v>9</v>
      </c>
      <c r="L404" t="s">
        <v>90</v>
      </c>
      <c r="M404" t="s">
        <v>349</v>
      </c>
      <c r="N404" t="s">
        <v>350</v>
      </c>
      <c r="O404">
        <v>73.400000000000006</v>
      </c>
      <c r="P404">
        <v>138</v>
      </c>
      <c r="Q404">
        <v>6454</v>
      </c>
      <c r="R404" t="s">
        <v>313</v>
      </c>
      <c r="S404" t="s">
        <v>80</v>
      </c>
      <c r="T404" t="s">
        <v>351</v>
      </c>
      <c r="U404" t="s">
        <v>352</v>
      </c>
      <c r="V404" t="s">
        <v>57</v>
      </c>
      <c r="W404" t="s">
        <v>78</v>
      </c>
      <c r="Y404" t="s">
        <v>52</v>
      </c>
      <c r="AA404">
        <v>1</v>
      </c>
      <c r="AB404" t="s">
        <v>34</v>
      </c>
      <c r="AC404" t="s">
        <v>92</v>
      </c>
      <c r="AE404" t="str">
        <f t="shared" si="123"/>
        <v>BussConnors</v>
      </c>
      <c r="AF404">
        <v>0.5</v>
      </c>
      <c r="AG404">
        <v>0</v>
      </c>
      <c r="AH404">
        <v>0</v>
      </c>
      <c r="AI404">
        <v>1</v>
      </c>
      <c r="AJ404">
        <v>0.5</v>
      </c>
      <c r="AK404" t="s">
        <v>46</v>
      </c>
      <c r="AL404">
        <v>0.38392857142857201</v>
      </c>
      <c r="AM404" t="s">
        <v>43</v>
      </c>
      <c r="AN404">
        <v>0.48611111111111099</v>
      </c>
      <c r="AO404">
        <f t="shared" si="127"/>
        <v>0</v>
      </c>
      <c r="AP404">
        <f t="shared" si="127"/>
        <v>0</v>
      </c>
      <c r="AQ404">
        <f t="shared" si="127"/>
        <v>0</v>
      </c>
      <c r="AR404">
        <f t="shared" si="127"/>
        <v>0</v>
      </c>
      <c r="AS404">
        <f t="shared" si="127"/>
        <v>0</v>
      </c>
      <c r="AT404">
        <f t="shared" si="127"/>
        <v>0</v>
      </c>
      <c r="AU404">
        <f t="shared" si="127"/>
        <v>0</v>
      </c>
      <c r="AV404">
        <f t="shared" si="127"/>
        <v>0</v>
      </c>
      <c r="AW404">
        <f t="shared" si="127"/>
        <v>0</v>
      </c>
      <c r="AX404">
        <f t="shared" si="127"/>
        <v>0</v>
      </c>
      <c r="AY404">
        <f t="shared" si="128"/>
        <v>0</v>
      </c>
      <c r="AZ404">
        <f t="shared" si="128"/>
        <v>0</v>
      </c>
      <c r="BA404" t="str">
        <f t="shared" si="128"/>
        <v>Connors</v>
      </c>
      <c r="BB404">
        <f t="shared" si="128"/>
        <v>0</v>
      </c>
      <c r="BC404">
        <f t="shared" si="128"/>
        <v>0</v>
      </c>
      <c r="BD404">
        <f t="shared" si="128"/>
        <v>0</v>
      </c>
      <c r="BE404">
        <f t="shared" si="128"/>
        <v>0</v>
      </c>
      <c r="BF404" t="str">
        <f t="shared" si="128"/>
        <v>Buss</v>
      </c>
      <c r="BG404">
        <f t="shared" si="128"/>
        <v>0</v>
      </c>
      <c r="BH404">
        <f t="shared" si="128"/>
        <v>0</v>
      </c>
      <c r="BI404">
        <f t="shared" si="129"/>
        <v>0</v>
      </c>
      <c r="BJ404">
        <f t="shared" si="129"/>
        <v>0</v>
      </c>
      <c r="BK404">
        <f t="shared" si="129"/>
        <v>0</v>
      </c>
      <c r="BL404">
        <f t="shared" si="129"/>
        <v>0</v>
      </c>
      <c r="BM404">
        <f t="shared" si="129"/>
        <v>0</v>
      </c>
      <c r="BN404">
        <f t="shared" si="129"/>
        <v>0</v>
      </c>
      <c r="BO404">
        <f t="shared" si="129"/>
        <v>0</v>
      </c>
      <c r="BP404">
        <f t="shared" si="129"/>
        <v>0</v>
      </c>
      <c r="BQ404">
        <f t="shared" si="129"/>
        <v>0</v>
      </c>
      <c r="BR404">
        <f t="shared" si="129"/>
        <v>0</v>
      </c>
      <c r="BS404">
        <f t="shared" si="129"/>
        <v>0</v>
      </c>
    </row>
    <row r="405" spans="2:71" ht="15" customHeight="1" x14ac:dyDescent="0.2">
      <c r="B405">
        <v>10</v>
      </c>
      <c r="C405">
        <v>5</v>
      </c>
      <c r="D405">
        <v>7</v>
      </c>
      <c r="E405" t="s">
        <v>364</v>
      </c>
      <c r="F405" t="s">
        <v>346</v>
      </c>
      <c r="G405" s="5">
        <v>43685</v>
      </c>
      <c r="H405" t="s">
        <v>97</v>
      </c>
      <c r="I405" t="s">
        <v>347</v>
      </c>
      <c r="J405" t="s">
        <v>348</v>
      </c>
      <c r="K405">
        <v>9</v>
      </c>
      <c r="L405" t="s">
        <v>90</v>
      </c>
      <c r="M405" t="s">
        <v>349</v>
      </c>
      <c r="N405" t="s">
        <v>350</v>
      </c>
      <c r="O405">
        <v>73.400000000000006</v>
      </c>
      <c r="P405">
        <v>138</v>
      </c>
      <c r="Q405">
        <v>6454</v>
      </c>
      <c r="R405" t="s">
        <v>313</v>
      </c>
      <c r="S405" t="s">
        <v>80</v>
      </c>
      <c r="T405" t="s">
        <v>353</v>
      </c>
      <c r="U405" t="s">
        <v>354</v>
      </c>
      <c r="V405" t="s">
        <v>46</v>
      </c>
      <c r="W405" t="s">
        <v>109</v>
      </c>
      <c r="Y405" t="s">
        <v>43</v>
      </c>
      <c r="AA405">
        <v>1</v>
      </c>
      <c r="AB405" t="s">
        <v>34</v>
      </c>
      <c r="AC405" t="s">
        <v>92</v>
      </c>
      <c r="AE405" t="str">
        <f t="shared" si="123"/>
        <v>MangoldPoirier</v>
      </c>
      <c r="AF405">
        <v>0.5</v>
      </c>
      <c r="AG405">
        <v>0</v>
      </c>
      <c r="AH405">
        <v>0</v>
      </c>
      <c r="AI405">
        <v>1</v>
      </c>
      <c r="AJ405">
        <v>0.5</v>
      </c>
      <c r="AK405" t="s">
        <v>57</v>
      </c>
      <c r="AL405">
        <v>0.44827586206896602</v>
      </c>
      <c r="AM405" t="s">
        <v>52</v>
      </c>
      <c r="AN405">
        <v>0.34745762711864397</v>
      </c>
      <c r="AO405">
        <f t="shared" si="127"/>
        <v>0</v>
      </c>
      <c r="AP405">
        <f t="shared" si="127"/>
        <v>0</v>
      </c>
      <c r="AQ405">
        <f t="shared" si="127"/>
        <v>0</v>
      </c>
      <c r="AR405" t="str">
        <f t="shared" si="127"/>
        <v>Poirier</v>
      </c>
      <c r="AS405">
        <f t="shared" si="127"/>
        <v>0</v>
      </c>
      <c r="AT405">
        <f t="shared" si="127"/>
        <v>0</v>
      </c>
      <c r="AU405" t="str">
        <f t="shared" si="127"/>
        <v>Mangold</v>
      </c>
      <c r="AV405">
        <f t="shared" si="127"/>
        <v>0</v>
      </c>
      <c r="AW405">
        <f t="shared" si="127"/>
        <v>0</v>
      </c>
      <c r="AX405">
        <f t="shared" si="127"/>
        <v>0</v>
      </c>
      <c r="AY405">
        <f t="shared" si="128"/>
        <v>0</v>
      </c>
      <c r="AZ405">
        <f t="shared" si="128"/>
        <v>0</v>
      </c>
      <c r="BA405">
        <f t="shared" si="128"/>
        <v>0</v>
      </c>
      <c r="BB405">
        <f t="shared" si="128"/>
        <v>0</v>
      </c>
      <c r="BC405">
        <f t="shared" si="128"/>
        <v>0</v>
      </c>
      <c r="BD405">
        <f t="shared" si="128"/>
        <v>0</v>
      </c>
      <c r="BE405">
        <f t="shared" si="128"/>
        <v>0</v>
      </c>
      <c r="BF405">
        <f t="shared" si="128"/>
        <v>0</v>
      </c>
      <c r="BG405">
        <f t="shared" si="128"/>
        <v>0</v>
      </c>
      <c r="BH405">
        <f t="shared" si="128"/>
        <v>0</v>
      </c>
      <c r="BI405">
        <f t="shared" si="129"/>
        <v>0</v>
      </c>
      <c r="BJ405">
        <f t="shared" si="129"/>
        <v>0</v>
      </c>
      <c r="BK405">
        <f t="shared" si="129"/>
        <v>0</v>
      </c>
      <c r="BL405">
        <f t="shared" si="129"/>
        <v>0</v>
      </c>
      <c r="BM405">
        <f t="shared" si="129"/>
        <v>0</v>
      </c>
      <c r="BN405">
        <f t="shared" si="129"/>
        <v>0</v>
      </c>
      <c r="BO405">
        <f t="shared" si="129"/>
        <v>0</v>
      </c>
      <c r="BP405">
        <f t="shared" si="129"/>
        <v>0</v>
      </c>
      <c r="BQ405">
        <f t="shared" si="129"/>
        <v>0</v>
      </c>
      <c r="BR405">
        <f t="shared" si="129"/>
        <v>0</v>
      </c>
      <c r="BS405">
        <f t="shared" si="129"/>
        <v>0</v>
      </c>
    </row>
    <row r="406" spans="2:71" ht="15" customHeight="1" x14ac:dyDescent="0.2">
      <c r="B406">
        <v>11</v>
      </c>
      <c r="C406">
        <v>1</v>
      </c>
      <c r="D406">
        <v>7</v>
      </c>
      <c r="E406" t="s">
        <v>365</v>
      </c>
      <c r="F406" t="s">
        <v>214</v>
      </c>
      <c r="G406" s="5">
        <v>43686</v>
      </c>
      <c r="H406" t="s">
        <v>73</v>
      </c>
      <c r="I406" t="s">
        <v>347</v>
      </c>
      <c r="J406" t="s">
        <v>348</v>
      </c>
      <c r="K406">
        <v>9</v>
      </c>
      <c r="L406" t="s">
        <v>76</v>
      </c>
      <c r="M406" t="s">
        <v>366</v>
      </c>
      <c r="N406" t="s">
        <v>78</v>
      </c>
      <c r="O406">
        <v>71.599999999999994</v>
      </c>
      <c r="P406">
        <v>133</v>
      </c>
      <c r="Q406">
        <v>6123</v>
      </c>
      <c r="R406" t="s">
        <v>79</v>
      </c>
      <c r="S406" t="s">
        <v>80</v>
      </c>
      <c r="T406" t="s">
        <v>351</v>
      </c>
      <c r="U406" t="s">
        <v>352</v>
      </c>
      <c r="V406" t="s">
        <v>55</v>
      </c>
      <c r="W406" t="s">
        <v>109</v>
      </c>
      <c r="Y406" t="s">
        <v>50</v>
      </c>
      <c r="AA406">
        <v>1</v>
      </c>
      <c r="AB406" t="s">
        <v>32</v>
      </c>
      <c r="AC406" t="s">
        <v>356</v>
      </c>
      <c r="AE406" t="str">
        <f t="shared" si="123"/>
        <v>ColeFerrin</v>
      </c>
      <c r="AF406">
        <v>1</v>
      </c>
      <c r="AG406">
        <v>1</v>
      </c>
      <c r="AH406">
        <v>0</v>
      </c>
      <c r="AI406">
        <v>0</v>
      </c>
      <c r="AJ406">
        <v>1</v>
      </c>
      <c r="AK406" t="s">
        <v>41</v>
      </c>
      <c r="AL406">
        <v>0.47321428571428598</v>
      </c>
      <c r="AM406" t="s">
        <v>43</v>
      </c>
      <c r="AN406">
        <v>0.48611111111111099</v>
      </c>
      <c r="AO406">
        <f t="shared" si="127"/>
        <v>0</v>
      </c>
      <c r="AP406">
        <f t="shared" si="127"/>
        <v>0</v>
      </c>
      <c r="AQ406">
        <f t="shared" si="127"/>
        <v>0</v>
      </c>
      <c r="AR406">
        <f t="shared" si="127"/>
        <v>0</v>
      </c>
      <c r="AS406">
        <f t="shared" si="127"/>
        <v>0</v>
      </c>
      <c r="AT406">
        <f t="shared" si="127"/>
        <v>0</v>
      </c>
      <c r="AU406">
        <f t="shared" si="127"/>
        <v>0</v>
      </c>
      <c r="AV406">
        <f t="shared" si="127"/>
        <v>0</v>
      </c>
      <c r="AW406">
        <f t="shared" si="127"/>
        <v>0</v>
      </c>
      <c r="AX406">
        <f t="shared" si="127"/>
        <v>0</v>
      </c>
      <c r="AY406" t="str">
        <f t="shared" si="128"/>
        <v>Ferrin</v>
      </c>
      <c r="AZ406">
        <f t="shared" si="128"/>
        <v>0</v>
      </c>
      <c r="BA406">
        <f t="shared" si="128"/>
        <v>0</v>
      </c>
      <c r="BB406">
        <f t="shared" si="128"/>
        <v>0</v>
      </c>
      <c r="BC406">
        <f t="shared" si="128"/>
        <v>0</v>
      </c>
      <c r="BD406" t="str">
        <f t="shared" si="128"/>
        <v>Cole</v>
      </c>
      <c r="BE406">
        <f t="shared" si="128"/>
        <v>0</v>
      </c>
      <c r="BF406">
        <f t="shared" si="128"/>
        <v>0</v>
      </c>
      <c r="BG406">
        <f t="shared" si="128"/>
        <v>0</v>
      </c>
      <c r="BH406">
        <f t="shared" si="128"/>
        <v>0</v>
      </c>
      <c r="BI406">
        <f t="shared" si="129"/>
        <v>0</v>
      </c>
      <c r="BJ406">
        <f t="shared" si="129"/>
        <v>0</v>
      </c>
      <c r="BK406">
        <f t="shared" si="129"/>
        <v>0</v>
      </c>
      <c r="BL406">
        <f t="shared" si="129"/>
        <v>0</v>
      </c>
      <c r="BM406">
        <f t="shared" si="129"/>
        <v>0</v>
      </c>
      <c r="BN406">
        <f t="shared" si="129"/>
        <v>0</v>
      </c>
      <c r="BO406">
        <f t="shared" si="129"/>
        <v>0</v>
      </c>
      <c r="BP406">
        <f t="shared" si="129"/>
        <v>0</v>
      </c>
      <c r="BQ406">
        <f t="shared" si="129"/>
        <v>0</v>
      </c>
      <c r="BR406">
        <f t="shared" si="129"/>
        <v>0</v>
      </c>
      <c r="BS406">
        <f t="shared" si="129"/>
        <v>0</v>
      </c>
    </row>
    <row r="407" spans="2:71" ht="15" customHeight="1" x14ac:dyDescent="0.2">
      <c r="B407">
        <v>11</v>
      </c>
      <c r="C407">
        <v>1</v>
      </c>
      <c r="D407">
        <v>7</v>
      </c>
      <c r="E407" t="s">
        <v>365</v>
      </c>
      <c r="F407" t="s">
        <v>214</v>
      </c>
      <c r="G407" s="5">
        <v>43686</v>
      </c>
      <c r="H407" t="s">
        <v>73</v>
      </c>
      <c r="I407" t="s">
        <v>347</v>
      </c>
      <c r="J407" t="s">
        <v>348</v>
      </c>
      <c r="K407">
        <v>9</v>
      </c>
      <c r="L407" t="s">
        <v>76</v>
      </c>
      <c r="M407" t="s">
        <v>366</v>
      </c>
      <c r="N407" t="s">
        <v>78</v>
      </c>
      <c r="O407">
        <v>71.599999999999994</v>
      </c>
      <c r="P407">
        <v>133</v>
      </c>
      <c r="Q407">
        <v>6123</v>
      </c>
      <c r="R407" t="s">
        <v>79</v>
      </c>
      <c r="S407" t="s">
        <v>80</v>
      </c>
      <c r="T407" t="s">
        <v>353</v>
      </c>
      <c r="U407" t="s">
        <v>354</v>
      </c>
      <c r="V407" t="s">
        <v>41</v>
      </c>
      <c r="W407" t="s">
        <v>78</v>
      </c>
      <c r="Y407" t="s">
        <v>43</v>
      </c>
      <c r="AA407">
        <v>1</v>
      </c>
      <c r="AB407" t="s">
        <v>33</v>
      </c>
      <c r="AC407" t="s">
        <v>356</v>
      </c>
      <c r="AE407" t="str">
        <f t="shared" si="123"/>
        <v>HiltsPoirier</v>
      </c>
      <c r="AF407">
        <v>0</v>
      </c>
      <c r="AG407">
        <v>0</v>
      </c>
      <c r="AH407">
        <v>1</v>
      </c>
      <c r="AI407">
        <v>0</v>
      </c>
      <c r="AJ407">
        <v>0</v>
      </c>
      <c r="AK407" t="s">
        <v>55</v>
      </c>
      <c r="AL407">
        <v>0.44067796610169502</v>
      </c>
      <c r="AM407" t="s">
        <v>50</v>
      </c>
      <c r="AN407">
        <v>0.59523809523809501</v>
      </c>
      <c r="AO407">
        <f t="shared" si="127"/>
        <v>0</v>
      </c>
      <c r="AP407" t="str">
        <f t="shared" si="127"/>
        <v>Hilts</v>
      </c>
      <c r="AQ407">
        <f t="shared" si="127"/>
        <v>0</v>
      </c>
      <c r="AR407" t="str">
        <f t="shared" si="127"/>
        <v>Poirier</v>
      </c>
      <c r="AS407">
        <f t="shared" si="127"/>
        <v>0</v>
      </c>
      <c r="AT407">
        <f t="shared" si="127"/>
        <v>0</v>
      </c>
      <c r="AU407">
        <f t="shared" si="127"/>
        <v>0</v>
      </c>
      <c r="AV407">
        <f t="shared" si="127"/>
        <v>0</v>
      </c>
      <c r="AW407">
        <f t="shared" si="127"/>
        <v>0</v>
      </c>
      <c r="AX407">
        <f t="shared" si="127"/>
        <v>0</v>
      </c>
      <c r="AY407">
        <f t="shared" si="128"/>
        <v>0</v>
      </c>
      <c r="AZ407">
        <f t="shared" si="128"/>
        <v>0</v>
      </c>
      <c r="BA407">
        <f t="shared" si="128"/>
        <v>0</v>
      </c>
      <c r="BB407">
        <f t="shared" si="128"/>
        <v>0</v>
      </c>
      <c r="BC407">
        <f t="shared" si="128"/>
        <v>0</v>
      </c>
      <c r="BD407">
        <f t="shared" si="128"/>
        <v>0</v>
      </c>
      <c r="BE407">
        <f t="shared" si="128"/>
        <v>0</v>
      </c>
      <c r="BF407">
        <f t="shared" si="128"/>
        <v>0</v>
      </c>
      <c r="BG407">
        <f t="shared" si="128"/>
        <v>0</v>
      </c>
      <c r="BH407">
        <f t="shared" si="128"/>
        <v>0</v>
      </c>
      <c r="BI407">
        <f t="shared" si="129"/>
        <v>0</v>
      </c>
      <c r="BJ407">
        <f t="shared" si="129"/>
        <v>0</v>
      </c>
      <c r="BK407">
        <f t="shared" si="129"/>
        <v>0</v>
      </c>
      <c r="BL407">
        <f t="shared" si="129"/>
        <v>0</v>
      </c>
      <c r="BM407">
        <f t="shared" si="129"/>
        <v>0</v>
      </c>
      <c r="BN407">
        <f t="shared" si="129"/>
        <v>0</v>
      </c>
      <c r="BO407">
        <f t="shared" si="129"/>
        <v>0</v>
      </c>
      <c r="BP407">
        <f t="shared" si="129"/>
        <v>0</v>
      </c>
      <c r="BQ407">
        <f t="shared" si="129"/>
        <v>0</v>
      </c>
      <c r="BR407">
        <f t="shared" si="129"/>
        <v>0</v>
      </c>
      <c r="BS407">
        <f t="shared" si="129"/>
        <v>0</v>
      </c>
    </row>
    <row r="408" spans="2:71" ht="15" customHeight="1" x14ac:dyDescent="0.2">
      <c r="B408">
        <v>12</v>
      </c>
      <c r="C408">
        <v>2</v>
      </c>
      <c r="D408">
        <v>7</v>
      </c>
      <c r="E408" t="s">
        <v>367</v>
      </c>
      <c r="F408" t="s">
        <v>214</v>
      </c>
      <c r="G408" s="5">
        <v>43686</v>
      </c>
      <c r="H408" t="s">
        <v>73</v>
      </c>
      <c r="I408" t="s">
        <v>347</v>
      </c>
      <c r="J408" t="s">
        <v>348</v>
      </c>
      <c r="K408">
        <v>9</v>
      </c>
      <c r="L408" t="s">
        <v>76</v>
      </c>
      <c r="M408" t="s">
        <v>366</v>
      </c>
      <c r="N408" t="s">
        <v>78</v>
      </c>
      <c r="O408">
        <v>71.599999999999994</v>
      </c>
      <c r="P408">
        <v>133</v>
      </c>
      <c r="Q408">
        <v>6123</v>
      </c>
      <c r="R408" t="s">
        <v>79</v>
      </c>
      <c r="S408" t="s">
        <v>80</v>
      </c>
      <c r="T408" t="s">
        <v>353</v>
      </c>
      <c r="U408" t="s">
        <v>354</v>
      </c>
      <c r="V408" t="s">
        <v>45</v>
      </c>
      <c r="W408" t="s">
        <v>78</v>
      </c>
      <c r="Y408" t="s">
        <v>46</v>
      </c>
      <c r="AA408">
        <v>1</v>
      </c>
      <c r="AB408" t="s">
        <v>33</v>
      </c>
      <c r="AC408" t="s">
        <v>171</v>
      </c>
      <c r="AE408" t="str">
        <f t="shared" si="123"/>
        <v>ConnollyMangold</v>
      </c>
      <c r="AF408">
        <v>0</v>
      </c>
      <c r="AG408">
        <v>0</v>
      </c>
      <c r="AH408">
        <v>1</v>
      </c>
      <c r="AI408">
        <v>0</v>
      </c>
      <c r="AJ408">
        <v>0</v>
      </c>
      <c r="AK408" t="s">
        <v>58</v>
      </c>
      <c r="AL408">
        <v>0.65476190476190499</v>
      </c>
      <c r="AM408" t="s">
        <v>40</v>
      </c>
      <c r="AN408">
        <v>0.546875</v>
      </c>
      <c r="AO408">
        <f t="shared" si="127"/>
        <v>0</v>
      </c>
      <c r="AP408">
        <f t="shared" si="127"/>
        <v>0</v>
      </c>
      <c r="AQ408">
        <f t="shared" si="127"/>
        <v>0</v>
      </c>
      <c r="AR408">
        <f t="shared" si="127"/>
        <v>0</v>
      </c>
      <c r="AS408">
        <f t="shared" si="127"/>
        <v>0</v>
      </c>
      <c r="AT408" t="str">
        <f t="shared" si="127"/>
        <v>Connolly</v>
      </c>
      <c r="AU408" t="str">
        <f t="shared" si="127"/>
        <v>Mangold</v>
      </c>
      <c r="AV408">
        <f t="shared" si="127"/>
        <v>0</v>
      </c>
      <c r="AW408">
        <f t="shared" si="127"/>
        <v>0</v>
      </c>
      <c r="AX408">
        <f t="shared" si="127"/>
        <v>0</v>
      </c>
      <c r="AY408">
        <f t="shared" si="128"/>
        <v>0</v>
      </c>
      <c r="AZ408">
        <f t="shared" si="128"/>
        <v>0</v>
      </c>
      <c r="BA408">
        <f t="shared" si="128"/>
        <v>0</v>
      </c>
      <c r="BB408">
        <f t="shared" si="128"/>
        <v>0</v>
      </c>
      <c r="BC408">
        <f t="shared" si="128"/>
        <v>0</v>
      </c>
      <c r="BD408">
        <f t="shared" si="128"/>
        <v>0</v>
      </c>
      <c r="BE408">
        <f t="shared" si="128"/>
        <v>0</v>
      </c>
      <c r="BF408">
        <f t="shared" si="128"/>
        <v>0</v>
      </c>
      <c r="BG408">
        <f t="shared" si="128"/>
        <v>0</v>
      </c>
      <c r="BH408">
        <f t="shared" si="128"/>
        <v>0</v>
      </c>
      <c r="BI408">
        <f t="shared" si="129"/>
        <v>0</v>
      </c>
      <c r="BJ408">
        <f t="shared" si="129"/>
        <v>0</v>
      </c>
      <c r="BK408">
        <f t="shared" si="129"/>
        <v>0</v>
      </c>
      <c r="BL408">
        <f t="shared" si="129"/>
        <v>0</v>
      </c>
      <c r="BM408">
        <f t="shared" si="129"/>
        <v>0</v>
      </c>
      <c r="BN408">
        <f t="shared" si="129"/>
        <v>0</v>
      </c>
      <c r="BO408">
        <f t="shared" si="129"/>
        <v>0</v>
      </c>
      <c r="BP408">
        <f t="shared" si="129"/>
        <v>0</v>
      </c>
      <c r="BQ408">
        <f t="shared" si="129"/>
        <v>0</v>
      </c>
      <c r="BR408">
        <f t="shared" si="129"/>
        <v>0</v>
      </c>
      <c r="BS408">
        <f t="shared" si="129"/>
        <v>0</v>
      </c>
    </row>
    <row r="409" spans="2:71" ht="15" customHeight="1" x14ac:dyDescent="0.2">
      <c r="B409">
        <v>12</v>
      </c>
      <c r="C409">
        <v>2</v>
      </c>
      <c r="D409">
        <v>7</v>
      </c>
      <c r="E409" t="s">
        <v>367</v>
      </c>
      <c r="F409" t="s">
        <v>214</v>
      </c>
      <c r="G409" s="5">
        <v>43686</v>
      </c>
      <c r="H409" t="s">
        <v>73</v>
      </c>
      <c r="I409" t="s">
        <v>347</v>
      </c>
      <c r="J409" t="s">
        <v>348</v>
      </c>
      <c r="K409">
        <v>9</v>
      </c>
      <c r="L409" t="s">
        <v>76</v>
      </c>
      <c r="M409" t="s">
        <v>366</v>
      </c>
      <c r="N409" t="s">
        <v>78</v>
      </c>
      <c r="O409">
        <v>71.599999999999994</v>
      </c>
      <c r="P409">
        <v>133</v>
      </c>
      <c r="Q409">
        <v>6123</v>
      </c>
      <c r="R409" t="s">
        <v>79</v>
      </c>
      <c r="S409" t="s">
        <v>80</v>
      </c>
      <c r="T409" t="s">
        <v>351</v>
      </c>
      <c r="U409" t="s">
        <v>352</v>
      </c>
      <c r="V409" t="s">
        <v>58</v>
      </c>
      <c r="W409" t="s">
        <v>109</v>
      </c>
      <c r="Y409" t="s">
        <v>40</v>
      </c>
      <c r="AA409">
        <v>1</v>
      </c>
      <c r="AB409" t="s">
        <v>32</v>
      </c>
      <c r="AC409" t="s">
        <v>171</v>
      </c>
      <c r="AE409" t="str">
        <f t="shared" si="123"/>
        <v>GrayGrise</v>
      </c>
      <c r="AF409">
        <v>1</v>
      </c>
      <c r="AG409">
        <v>1</v>
      </c>
      <c r="AH409">
        <v>0</v>
      </c>
      <c r="AI409">
        <v>0</v>
      </c>
      <c r="AJ409">
        <v>1</v>
      </c>
      <c r="AK409" t="s">
        <v>45</v>
      </c>
      <c r="AL409">
        <v>0.59375</v>
      </c>
      <c r="AM409" t="s">
        <v>46</v>
      </c>
      <c r="AN409">
        <v>0.38392857142857201</v>
      </c>
      <c r="AO409" t="str">
        <f t="shared" si="127"/>
        <v>Grise</v>
      </c>
      <c r="AP409">
        <f t="shared" si="127"/>
        <v>0</v>
      </c>
      <c r="AQ409">
        <f t="shared" si="127"/>
        <v>0</v>
      </c>
      <c r="AR409">
        <f t="shared" si="127"/>
        <v>0</v>
      </c>
      <c r="AS409">
        <f t="shared" si="127"/>
        <v>0</v>
      </c>
      <c r="AT409">
        <f t="shared" si="127"/>
        <v>0</v>
      </c>
      <c r="AU409">
        <f t="shared" si="127"/>
        <v>0</v>
      </c>
      <c r="AV409">
        <f t="shared" si="127"/>
        <v>0</v>
      </c>
      <c r="AW409">
        <f t="shared" si="127"/>
        <v>0</v>
      </c>
      <c r="AX409">
        <f t="shared" si="127"/>
        <v>0</v>
      </c>
      <c r="AY409">
        <f t="shared" si="128"/>
        <v>0</v>
      </c>
      <c r="AZ409">
        <f t="shared" si="128"/>
        <v>0</v>
      </c>
      <c r="BA409">
        <f t="shared" si="128"/>
        <v>0</v>
      </c>
      <c r="BB409">
        <f t="shared" si="128"/>
        <v>0</v>
      </c>
      <c r="BC409">
        <f t="shared" si="128"/>
        <v>0</v>
      </c>
      <c r="BD409">
        <f t="shared" si="128"/>
        <v>0</v>
      </c>
      <c r="BE409">
        <f t="shared" si="128"/>
        <v>0</v>
      </c>
      <c r="BF409">
        <f t="shared" si="128"/>
        <v>0</v>
      </c>
      <c r="BG409" t="str">
        <f t="shared" si="128"/>
        <v>Gray</v>
      </c>
      <c r="BH409">
        <f t="shared" si="128"/>
        <v>0</v>
      </c>
      <c r="BI409">
        <f t="shared" si="129"/>
        <v>0</v>
      </c>
      <c r="BJ409">
        <f t="shared" si="129"/>
        <v>0</v>
      </c>
      <c r="BK409">
        <f t="shared" si="129"/>
        <v>0</v>
      </c>
      <c r="BL409">
        <f t="shared" si="129"/>
        <v>0</v>
      </c>
      <c r="BM409">
        <f t="shared" si="129"/>
        <v>0</v>
      </c>
      <c r="BN409">
        <f t="shared" si="129"/>
        <v>0</v>
      </c>
      <c r="BO409">
        <f t="shared" si="129"/>
        <v>0</v>
      </c>
      <c r="BP409">
        <f t="shared" si="129"/>
        <v>0</v>
      </c>
      <c r="BQ409">
        <f t="shared" si="129"/>
        <v>0</v>
      </c>
      <c r="BR409">
        <f t="shared" si="129"/>
        <v>0</v>
      </c>
      <c r="BS409">
        <f t="shared" si="129"/>
        <v>0</v>
      </c>
    </row>
    <row r="410" spans="2:71" ht="15" customHeight="1" x14ac:dyDescent="0.2">
      <c r="B410">
        <v>13</v>
      </c>
      <c r="C410">
        <v>3</v>
      </c>
      <c r="D410">
        <v>7</v>
      </c>
      <c r="E410" t="s">
        <v>368</v>
      </c>
      <c r="F410" t="s">
        <v>214</v>
      </c>
      <c r="G410" s="5">
        <v>43686</v>
      </c>
      <c r="H410" t="s">
        <v>73</v>
      </c>
      <c r="I410" t="s">
        <v>347</v>
      </c>
      <c r="J410" t="s">
        <v>348</v>
      </c>
      <c r="K410">
        <v>9</v>
      </c>
      <c r="L410" t="s">
        <v>76</v>
      </c>
      <c r="M410" t="s">
        <v>366</v>
      </c>
      <c r="N410" t="s">
        <v>78</v>
      </c>
      <c r="O410">
        <v>71.599999999999994</v>
      </c>
      <c r="P410">
        <v>133</v>
      </c>
      <c r="Q410">
        <v>6123</v>
      </c>
      <c r="R410" t="s">
        <v>79</v>
      </c>
      <c r="S410" t="s">
        <v>80</v>
      </c>
      <c r="T410" t="s">
        <v>351</v>
      </c>
      <c r="U410" t="s">
        <v>352</v>
      </c>
      <c r="V410" t="s">
        <v>57</v>
      </c>
      <c r="W410" t="s">
        <v>109</v>
      </c>
      <c r="Y410" t="s">
        <v>44</v>
      </c>
      <c r="AA410">
        <v>1</v>
      </c>
      <c r="AB410" t="s">
        <v>34</v>
      </c>
      <c r="AC410" t="s">
        <v>92</v>
      </c>
      <c r="AE410" t="str">
        <f t="shared" si="123"/>
        <v>BussFlanders</v>
      </c>
      <c r="AF410">
        <v>0.5</v>
      </c>
      <c r="AG410">
        <v>0</v>
      </c>
      <c r="AH410">
        <v>0</v>
      </c>
      <c r="AI410">
        <v>1</v>
      </c>
      <c r="AJ410">
        <v>0.5</v>
      </c>
      <c r="AK410" t="s">
        <v>53</v>
      </c>
      <c r="AL410">
        <v>0.59649122807017496</v>
      </c>
      <c r="AM410" t="s">
        <v>59</v>
      </c>
      <c r="AN410">
        <v>0.52777777777777801</v>
      </c>
      <c r="AO410">
        <f t="shared" si="127"/>
        <v>0</v>
      </c>
      <c r="AP410">
        <f t="shared" si="127"/>
        <v>0</v>
      </c>
      <c r="AQ410">
        <f t="shared" si="127"/>
        <v>0</v>
      </c>
      <c r="AR410">
        <f t="shared" si="127"/>
        <v>0</v>
      </c>
      <c r="AS410" t="str">
        <f t="shared" si="127"/>
        <v>Flanders</v>
      </c>
      <c r="AT410">
        <f t="shared" si="127"/>
        <v>0</v>
      </c>
      <c r="AU410">
        <f t="shared" si="127"/>
        <v>0</v>
      </c>
      <c r="AV410">
        <f t="shared" si="127"/>
        <v>0</v>
      </c>
      <c r="AW410">
        <f t="shared" si="127"/>
        <v>0</v>
      </c>
      <c r="AX410">
        <f t="shared" si="127"/>
        <v>0</v>
      </c>
      <c r="AY410">
        <f t="shared" si="128"/>
        <v>0</v>
      </c>
      <c r="AZ410">
        <f t="shared" si="128"/>
        <v>0</v>
      </c>
      <c r="BA410">
        <f t="shared" si="128"/>
        <v>0</v>
      </c>
      <c r="BB410">
        <f t="shared" si="128"/>
        <v>0</v>
      </c>
      <c r="BC410">
        <f t="shared" si="128"/>
        <v>0</v>
      </c>
      <c r="BD410">
        <f t="shared" si="128"/>
        <v>0</v>
      </c>
      <c r="BE410">
        <f t="shared" si="128"/>
        <v>0</v>
      </c>
      <c r="BF410" t="str">
        <f t="shared" si="128"/>
        <v>Buss</v>
      </c>
      <c r="BG410">
        <f t="shared" si="128"/>
        <v>0</v>
      </c>
      <c r="BH410">
        <f t="shared" si="128"/>
        <v>0</v>
      </c>
      <c r="BI410">
        <f t="shared" si="129"/>
        <v>0</v>
      </c>
      <c r="BJ410">
        <f t="shared" si="129"/>
        <v>0</v>
      </c>
      <c r="BK410">
        <f t="shared" si="129"/>
        <v>0</v>
      </c>
      <c r="BL410">
        <f t="shared" si="129"/>
        <v>0</v>
      </c>
      <c r="BM410">
        <f t="shared" si="129"/>
        <v>0</v>
      </c>
      <c r="BN410">
        <f t="shared" si="129"/>
        <v>0</v>
      </c>
      <c r="BO410">
        <f t="shared" si="129"/>
        <v>0</v>
      </c>
      <c r="BP410">
        <f t="shared" si="129"/>
        <v>0</v>
      </c>
      <c r="BQ410">
        <f t="shared" si="129"/>
        <v>0</v>
      </c>
      <c r="BR410">
        <f t="shared" si="129"/>
        <v>0</v>
      </c>
      <c r="BS410">
        <f t="shared" si="129"/>
        <v>0</v>
      </c>
    </row>
    <row r="411" spans="2:71" ht="15" customHeight="1" x14ac:dyDescent="0.2">
      <c r="B411">
        <v>13</v>
      </c>
      <c r="C411">
        <v>3</v>
      </c>
      <c r="D411">
        <v>7</v>
      </c>
      <c r="E411" t="s">
        <v>368</v>
      </c>
      <c r="F411" t="s">
        <v>214</v>
      </c>
      <c r="G411" s="5">
        <v>43686</v>
      </c>
      <c r="H411" t="s">
        <v>73</v>
      </c>
      <c r="I411" t="s">
        <v>347</v>
      </c>
      <c r="J411" t="s">
        <v>348</v>
      </c>
      <c r="K411">
        <v>9</v>
      </c>
      <c r="L411" t="s">
        <v>76</v>
      </c>
      <c r="M411" t="s">
        <v>366</v>
      </c>
      <c r="N411" t="s">
        <v>78</v>
      </c>
      <c r="O411">
        <v>71.599999999999994</v>
      </c>
      <c r="P411">
        <v>133</v>
      </c>
      <c r="Q411">
        <v>6123</v>
      </c>
      <c r="R411" t="s">
        <v>79</v>
      </c>
      <c r="S411" t="s">
        <v>80</v>
      </c>
      <c r="T411" t="s">
        <v>353</v>
      </c>
      <c r="U411" t="s">
        <v>354</v>
      </c>
      <c r="V411" t="s">
        <v>53</v>
      </c>
      <c r="W411" t="s">
        <v>78</v>
      </c>
      <c r="Y411" t="s">
        <v>59</v>
      </c>
      <c r="AA411">
        <v>1</v>
      </c>
      <c r="AB411" t="s">
        <v>34</v>
      </c>
      <c r="AC411" t="s">
        <v>92</v>
      </c>
      <c r="AE411" t="str">
        <f t="shared" si="123"/>
        <v>ForsterNorat</v>
      </c>
      <c r="AF411">
        <v>0.5</v>
      </c>
      <c r="AG411">
        <v>0</v>
      </c>
      <c r="AH411">
        <v>0</v>
      </c>
      <c r="AI411">
        <v>1</v>
      </c>
      <c r="AJ411">
        <v>0.5</v>
      </c>
      <c r="AK411" t="s">
        <v>57</v>
      </c>
      <c r="AL411">
        <v>0.44827586206896602</v>
      </c>
      <c r="AM411" t="s">
        <v>44</v>
      </c>
      <c r="AN411">
        <v>0.4296875</v>
      </c>
      <c r="AO411">
        <f t="shared" si="127"/>
        <v>0</v>
      </c>
      <c r="AP411">
        <f t="shared" si="127"/>
        <v>0</v>
      </c>
      <c r="AQ411">
        <f t="shared" si="127"/>
        <v>0</v>
      </c>
      <c r="AR411">
        <f t="shared" si="127"/>
        <v>0</v>
      </c>
      <c r="AS411">
        <f t="shared" si="127"/>
        <v>0</v>
      </c>
      <c r="AT411">
        <f t="shared" si="127"/>
        <v>0</v>
      </c>
      <c r="AU411">
        <f t="shared" si="127"/>
        <v>0</v>
      </c>
      <c r="AV411">
        <f t="shared" si="127"/>
        <v>0</v>
      </c>
      <c r="AW411">
        <f t="shared" si="127"/>
        <v>0</v>
      </c>
      <c r="AX411">
        <f t="shared" si="127"/>
        <v>0</v>
      </c>
      <c r="AY411">
        <f t="shared" si="128"/>
        <v>0</v>
      </c>
      <c r="AZ411">
        <f t="shared" si="128"/>
        <v>0</v>
      </c>
      <c r="BA411">
        <f t="shared" si="128"/>
        <v>0</v>
      </c>
      <c r="BB411" t="str">
        <f t="shared" si="128"/>
        <v>Forster</v>
      </c>
      <c r="BC411">
        <f t="shared" si="128"/>
        <v>0</v>
      </c>
      <c r="BD411">
        <f t="shared" si="128"/>
        <v>0</v>
      </c>
      <c r="BE411">
        <f t="shared" si="128"/>
        <v>0</v>
      </c>
      <c r="BF411">
        <f t="shared" si="128"/>
        <v>0</v>
      </c>
      <c r="BG411">
        <f t="shared" si="128"/>
        <v>0</v>
      </c>
      <c r="BH411" t="str">
        <f t="shared" si="128"/>
        <v>Norat</v>
      </c>
      <c r="BI411">
        <f t="shared" si="129"/>
        <v>0</v>
      </c>
      <c r="BJ411">
        <f t="shared" si="129"/>
        <v>0</v>
      </c>
      <c r="BK411">
        <f t="shared" si="129"/>
        <v>0</v>
      </c>
      <c r="BL411">
        <f t="shared" si="129"/>
        <v>0</v>
      </c>
      <c r="BM411">
        <f t="shared" si="129"/>
        <v>0</v>
      </c>
      <c r="BN411">
        <f t="shared" si="129"/>
        <v>0</v>
      </c>
      <c r="BO411">
        <f t="shared" si="129"/>
        <v>0</v>
      </c>
      <c r="BP411">
        <f t="shared" si="129"/>
        <v>0</v>
      </c>
      <c r="BQ411">
        <f t="shared" si="129"/>
        <v>0</v>
      </c>
      <c r="BR411">
        <f t="shared" si="129"/>
        <v>0</v>
      </c>
      <c r="BS411">
        <f t="shared" si="129"/>
        <v>0</v>
      </c>
    </row>
    <row r="412" spans="2:71" ht="15" customHeight="1" x14ac:dyDescent="0.2">
      <c r="B412">
        <v>14</v>
      </c>
      <c r="C412">
        <v>4</v>
      </c>
      <c r="D412">
        <v>7</v>
      </c>
      <c r="E412" t="s">
        <v>369</v>
      </c>
      <c r="F412" t="s">
        <v>214</v>
      </c>
      <c r="G412" s="5">
        <v>43686</v>
      </c>
      <c r="H412" t="s">
        <v>73</v>
      </c>
      <c r="I412" t="s">
        <v>347</v>
      </c>
      <c r="J412" t="s">
        <v>348</v>
      </c>
      <c r="K412">
        <v>9</v>
      </c>
      <c r="L412" t="s">
        <v>76</v>
      </c>
      <c r="M412" t="s">
        <v>366</v>
      </c>
      <c r="N412" t="s">
        <v>78</v>
      </c>
      <c r="O412">
        <v>71.599999999999994</v>
      </c>
      <c r="P412">
        <v>133</v>
      </c>
      <c r="Q412">
        <v>6123</v>
      </c>
      <c r="R412" t="s">
        <v>79</v>
      </c>
      <c r="S412" t="s">
        <v>80</v>
      </c>
      <c r="T412" t="s">
        <v>353</v>
      </c>
      <c r="U412" t="s">
        <v>354</v>
      </c>
      <c r="V412" t="s">
        <v>49</v>
      </c>
      <c r="W412" t="s">
        <v>78</v>
      </c>
      <c r="Y412" t="s">
        <v>62</v>
      </c>
      <c r="AA412">
        <v>1</v>
      </c>
      <c r="AB412" t="s">
        <v>32</v>
      </c>
      <c r="AC412" t="s">
        <v>184</v>
      </c>
      <c r="AE412" t="str">
        <f t="shared" si="123"/>
        <v>ShivelyWelker</v>
      </c>
      <c r="AF412">
        <v>1</v>
      </c>
      <c r="AG412">
        <v>1</v>
      </c>
      <c r="AH412">
        <v>0</v>
      </c>
      <c r="AI412">
        <v>0</v>
      </c>
      <c r="AJ412">
        <v>1</v>
      </c>
      <c r="AK412" t="s">
        <v>52</v>
      </c>
      <c r="AL412">
        <v>0.34745762711864397</v>
      </c>
      <c r="AM412" t="s">
        <v>42</v>
      </c>
      <c r="AN412">
        <v>0.6171875</v>
      </c>
      <c r="AO412">
        <f t="shared" ref="AO412:AX421" si="130">IF(OR($V412=AO$1,$Y412=AO$1),AO$1,0)</f>
        <v>0</v>
      </c>
      <c r="AP412">
        <f t="shared" si="130"/>
        <v>0</v>
      </c>
      <c r="AQ412">
        <f t="shared" si="130"/>
        <v>0</v>
      </c>
      <c r="AR412">
        <f t="shared" si="130"/>
        <v>0</v>
      </c>
      <c r="AS412">
        <f t="shared" si="130"/>
        <v>0</v>
      </c>
      <c r="AT412">
        <f t="shared" si="130"/>
        <v>0</v>
      </c>
      <c r="AU412">
        <f t="shared" si="130"/>
        <v>0</v>
      </c>
      <c r="AV412">
        <f t="shared" si="130"/>
        <v>0</v>
      </c>
      <c r="AW412">
        <f t="shared" si="130"/>
        <v>0</v>
      </c>
      <c r="AX412" t="str">
        <f t="shared" si="130"/>
        <v>Shively</v>
      </c>
      <c r="AY412">
        <f t="shared" ref="AY412:BH421" si="131">IF(OR($V412=AY$1,$Y412=AY$1),AY$1,0)</f>
        <v>0</v>
      </c>
      <c r="AZ412">
        <f t="shared" si="131"/>
        <v>0</v>
      </c>
      <c r="BA412">
        <f t="shared" si="131"/>
        <v>0</v>
      </c>
      <c r="BB412">
        <f t="shared" si="131"/>
        <v>0</v>
      </c>
      <c r="BC412">
        <f t="shared" si="131"/>
        <v>0</v>
      </c>
      <c r="BD412">
        <f t="shared" si="131"/>
        <v>0</v>
      </c>
      <c r="BE412">
        <f t="shared" si="131"/>
        <v>0</v>
      </c>
      <c r="BF412">
        <f t="shared" si="131"/>
        <v>0</v>
      </c>
      <c r="BG412">
        <f t="shared" si="131"/>
        <v>0</v>
      </c>
      <c r="BH412">
        <f t="shared" si="131"/>
        <v>0</v>
      </c>
      <c r="BI412">
        <f t="shared" ref="BI412:BS421" si="132">IF(OR($V412=BI$1,$Y412=BI$1),BI$1,0)</f>
        <v>0</v>
      </c>
      <c r="BJ412">
        <f t="shared" si="132"/>
        <v>0</v>
      </c>
      <c r="BK412" t="str">
        <f t="shared" si="132"/>
        <v>Welker</v>
      </c>
      <c r="BL412">
        <f t="shared" si="132"/>
        <v>0</v>
      </c>
      <c r="BM412">
        <f t="shared" si="132"/>
        <v>0</v>
      </c>
      <c r="BN412">
        <f t="shared" si="132"/>
        <v>0</v>
      </c>
      <c r="BO412">
        <f t="shared" si="132"/>
        <v>0</v>
      </c>
      <c r="BP412">
        <f t="shared" si="132"/>
        <v>0</v>
      </c>
      <c r="BQ412">
        <f t="shared" si="132"/>
        <v>0</v>
      </c>
      <c r="BR412">
        <f t="shared" si="132"/>
        <v>0</v>
      </c>
      <c r="BS412">
        <f t="shared" si="132"/>
        <v>0</v>
      </c>
    </row>
    <row r="413" spans="2:71" ht="15" customHeight="1" x14ac:dyDescent="0.2">
      <c r="B413">
        <v>14</v>
      </c>
      <c r="C413">
        <v>4</v>
      </c>
      <c r="D413">
        <v>7</v>
      </c>
      <c r="E413" t="s">
        <v>369</v>
      </c>
      <c r="F413" t="s">
        <v>214</v>
      </c>
      <c r="G413" s="5">
        <v>43686</v>
      </c>
      <c r="H413" t="s">
        <v>73</v>
      </c>
      <c r="I413" t="s">
        <v>347</v>
      </c>
      <c r="J413" t="s">
        <v>348</v>
      </c>
      <c r="K413">
        <v>9</v>
      </c>
      <c r="L413" t="s">
        <v>76</v>
      </c>
      <c r="M413" t="s">
        <v>366</v>
      </c>
      <c r="N413" t="s">
        <v>78</v>
      </c>
      <c r="O413">
        <v>71.599999999999994</v>
      </c>
      <c r="P413">
        <v>133</v>
      </c>
      <c r="Q413">
        <v>6123</v>
      </c>
      <c r="R413" t="s">
        <v>79</v>
      </c>
      <c r="S413" t="s">
        <v>80</v>
      </c>
      <c r="T413" t="s">
        <v>351</v>
      </c>
      <c r="U413" t="s">
        <v>352</v>
      </c>
      <c r="V413" t="s">
        <v>52</v>
      </c>
      <c r="W413" t="s">
        <v>109</v>
      </c>
      <c r="Y413" t="s">
        <v>42</v>
      </c>
      <c r="AA413">
        <v>1</v>
      </c>
      <c r="AB413" t="s">
        <v>33</v>
      </c>
      <c r="AC413" t="s">
        <v>221</v>
      </c>
      <c r="AE413" t="str">
        <f t="shared" si="123"/>
        <v>ConnorsJackson</v>
      </c>
      <c r="AF413">
        <v>0</v>
      </c>
      <c r="AG413">
        <v>0</v>
      </c>
      <c r="AH413">
        <v>1</v>
      </c>
      <c r="AI413">
        <v>0</v>
      </c>
      <c r="AJ413">
        <v>0</v>
      </c>
      <c r="AK413" t="s">
        <v>49</v>
      </c>
      <c r="AM413" t="s">
        <v>62</v>
      </c>
      <c r="AN413">
        <v>0.51041666666666696</v>
      </c>
      <c r="AO413">
        <f t="shared" si="130"/>
        <v>0</v>
      </c>
      <c r="AP413">
        <f t="shared" si="130"/>
        <v>0</v>
      </c>
      <c r="AQ413" t="str">
        <f t="shared" si="130"/>
        <v>Jackson</v>
      </c>
      <c r="AR413">
        <f t="shared" si="130"/>
        <v>0</v>
      </c>
      <c r="AS413">
        <f t="shared" si="130"/>
        <v>0</v>
      </c>
      <c r="AT413">
        <f t="shared" si="130"/>
        <v>0</v>
      </c>
      <c r="AU413">
        <f t="shared" si="130"/>
        <v>0</v>
      </c>
      <c r="AV413">
        <f t="shared" si="130"/>
        <v>0</v>
      </c>
      <c r="AW413">
        <f t="shared" si="130"/>
        <v>0</v>
      </c>
      <c r="AX413">
        <f t="shared" si="130"/>
        <v>0</v>
      </c>
      <c r="AY413">
        <f t="shared" si="131"/>
        <v>0</v>
      </c>
      <c r="AZ413">
        <f t="shared" si="131"/>
        <v>0</v>
      </c>
      <c r="BA413" t="str">
        <f t="shared" si="131"/>
        <v>Connors</v>
      </c>
      <c r="BB413">
        <f t="shared" si="131"/>
        <v>0</v>
      </c>
      <c r="BC413">
        <f t="shared" si="131"/>
        <v>0</v>
      </c>
      <c r="BD413">
        <f t="shared" si="131"/>
        <v>0</v>
      </c>
      <c r="BE413">
        <f t="shared" si="131"/>
        <v>0</v>
      </c>
      <c r="BF413">
        <f t="shared" si="131"/>
        <v>0</v>
      </c>
      <c r="BG413">
        <f t="shared" si="131"/>
        <v>0</v>
      </c>
      <c r="BH413">
        <f t="shared" si="131"/>
        <v>0</v>
      </c>
      <c r="BI413">
        <f t="shared" si="132"/>
        <v>0</v>
      </c>
      <c r="BJ413">
        <f t="shared" si="132"/>
        <v>0</v>
      </c>
      <c r="BK413">
        <f t="shared" si="132"/>
        <v>0</v>
      </c>
      <c r="BL413">
        <f t="shared" si="132"/>
        <v>0</v>
      </c>
      <c r="BM413">
        <f t="shared" si="132"/>
        <v>0</v>
      </c>
      <c r="BN413">
        <f t="shared" si="132"/>
        <v>0</v>
      </c>
      <c r="BO413">
        <f t="shared" si="132"/>
        <v>0</v>
      </c>
      <c r="BP413">
        <f t="shared" si="132"/>
        <v>0</v>
      </c>
      <c r="BQ413">
        <f t="shared" si="132"/>
        <v>0</v>
      </c>
      <c r="BR413">
        <f t="shared" si="132"/>
        <v>0</v>
      </c>
      <c r="BS413">
        <f t="shared" si="132"/>
        <v>0</v>
      </c>
    </row>
    <row r="414" spans="2:71" ht="15" customHeight="1" x14ac:dyDescent="0.2">
      <c r="B414">
        <v>15</v>
      </c>
      <c r="C414">
        <v>5</v>
      </c>
      <c r="D414">
        <v>7</v>
      </c>
      <c r="E414" t="s">
        <v>370</v>
      </c>
      <c r="F414" t="s">
        <v>214</v>
      </c>
      <c r="G414" s="5">
        <v>43686</v>
      </c>
      <c r="H414" t="s">
        <v>73</v>
      </c>
      <c r="I414" t="s">
        <v>347</v>
      </c>
      <c r="J414" t="s">
        <v>348</v>
      </c>
      <c r="K414">
        <v>9</v>
      </c>
      <c r="L414" t="s">
        <v>76</v>
      </c>
      <c r="M414" t="s">
        <v>366</v>
      </c>
      <c r="N414" t="s">
        <v>78</v>
      </c>
      <c r="O414">
        <v>71.599999999999994</v>
      </c>
      <c r="P414">
        <v>133</v>
      </c>
      <c r="Q414">
        <v>6123</v>
      </c>
      <c r="R414" t="s">
        <v>79</v>
      </c>
      <c r="S414" t="s">
        <v>80</v>
      </c>
      <c r="T414" t="s">
        <v>351</v>
      </c>
      <c r="U414" t="s">
        <v>352</v>
      </c>
      <c r="V414" t="s">
        <v>48</v>
      </c>
      <c r="W414" t="s">
        <v>109</v>
      </c>
      <c r="Y414" t="s">
        <v>60</v>
      </c>
      <c r="AA414">
        <v>1</v>
      </c>
      <c r="AB414" t="s">
        <v>32</v>
      </c>
      <c r="AC414" t="s">
        <v>371</v>
      </c>
      <c r="AE414" t="str">
        <f t="shared" si="123"/>
        <v>LynchZimmer</v>
      </c>
      <c r="AF414">
        <v>1</v>
      </c>
      <c r="AG414">
        <v>1</v>
      </c>
      <c r="AH414">
        <v>0</v>
      </c>
      <c r="AI414">
        <v>0</v>
      </c>
      <c r="AJ414">
        <v>1</v>
      </c>
      <c r="AK414" t="s">
        <v>54</v>
      </c>
      <c r="AL414">
        <v>0.37288135593220301</v>
      </c>
      <c r="AM414" t="s">
        <v>61</v>
      </c>
      <c r="AN414">
        <v>0.5</v>
      </c>
      <c r="AO414">
        <f t="shared" si="130"/>
        <v>0</v>
      </c>
      <c r="AP414">
        <f t="shared" si="130"/>
        <v>0</v>
      </c>
      <c r="AQ414">
        <f t="shared" si="130"/>
        <v>0</v>
      </c>
      <c r="AR414">
        <f t="shared" si="130"/>
        <v>0</v>
      </c>
      <c r="AS414">
        <f t="shared" si="130"/>
        <v>0</v>
      </c>
      <c r="AT414">
        <f t="shared" si="130"/>
        <v>0</v>
      </c>
      <c r="AU414">
        <f t="shared" si="130"/>
        <v>0</v>
      </c>
      <c r="AV414">
        <f t="shared" si="130"/>
        <v>0</v>
      </c>
      <c r="AW414" t="str">
        <f t="shared" si="130"/>
        <v>Lynch</v>
      </c>
      <c r="AX414">
        <f t="shared" si="130"/>
        <v>0</v>
      </c>
      <c r="AY414">
        <f t="shared" si="131"/>
        <v>0</v>
      </c>
      <c r="AZ414">
        <f t="shared" si="131"/>
        <v>0</v>
      </c>
      <c r="BA414">
        <f t="shared" si="131"/>
        <v>0</v>
      </c>
      <c r="BB414">
        <f t="shared" si="131"/>
        <v>0</v>
      </c>
      <c r="BC414">
        <f t="shared" si="131"/>
        <v>0</v>
      </c>
      <c r="BD414">
        <f t="shared" si="131"/>
        <v>0</v>
      </c>
      <c r="BE414">
        <f t="shared" si="131"/>
        <v>0</v>
      </c>
      <c r="BF414">
        <f t="shared" si="131"/>
        <v>0</v>
      </c>
      <c r="BG414">
        <f t="shared" si="131"/>
        <v>0</v>
      </c>
      <c r="BH414">
        <f t="shared" si="131"/>
        <v>0</v>
      </c>
      <c r="BI414" t="str">
        <f t="shared" si="132"/>
        <v>Zimmer</v>
      </c>
      <c r="BJ414">
        <f t="shared" si="132"/>
        <v>0</v>
      </c>
      <c r="BK414">
        <f t="shared" si="132"/>
        <v>0</v>
      </c>
      <c r="BL414">
        <f t="shared" si="132"/>
        <v>0</v>
      </c>
      <c r="BM414">
        <f t="shared" si="132"/>
        <v>0</v>
      </c>
      <c r="BN414">
        <f t="shared" si="132"/>
        <v>0</v>
      </c>
      <c r="BO414">
        <f t="shared" si="132"/>
        <v>0</v>
      </c>
      <c r="BP414">
        <f t="shared" si="132"/>
        <v>0</v>
      </c>
      <c r="BQ414">
        <f t="shared" si="132"/>
        <v>0</v>
      </c>
      <c r="BR414">
        <f t="shared" si="132"/>
        <v>0</v>
      </c>
      <c r="BS414">
        <f t="shared" si="132"/>
        <v>0</v>
      </c>
    </row>
    <row r="415" spans="2:71" ht="15" customHeight="1" x14ac:dyDescent="0.2">
      <c r="B415">
        <v>15</v>
      </c>
      <c r="C415">
        <v>5</v>
      </c>
      <c r="D415">
        <v>7</v>
      </c>
      <c r="E415" t="s">
        <v>370</v>
      </c>
      <c r="F415" t="s">
        <v>214</v>
      </c>
      <c r="G415" s="5">
        <v>43686</v>
      </c>
      <c r="H415" t="s">
        <v>73</v>
      </c>
      <c r="I415" t="s">
        <v>347</v>
      </c>
      <c r="J415" t="s">
        <v>348</v>
      </c>
      <c r="K415">
        <v>9</v>
      </c>
      <c r="L415" t="s">
        <v>76</v>
      </c>
      <c r="M415" t="s">
        <v>366</v>
      </c>
      <c r="N415" t="s">
        <v>78</v>
      </c>
      <c r="O415">
        <v>71.599999999999994</v>
      </c>
      <c r="P415">
        <v>133</v>
      </c>
      <c r="Q415">
        <v>6123</v>
      </c>
      <c r="R415" t="s">
        <v>79</v>
      </c>
      <c r="S415" t="s">
        <v>80</v>
      </c>
      <c r="T415" t="s">
        <v>353</v>
      </c>
      <c r="U415" t="s">
        <v>354</v>
      </c>
      <c r="V415" t="s">
        <v>54</v>
      </c>
      <c r="W415" t="s">
        <v>78</v>
      </c>
      <c r="Y415" t="s">
        <v>61</v>
      </c>
      <c r="AA415">
        <v>1</v>
      </c>
      <c r="AB415" t="s">
        <v>33</v>
      </c>
      <c r="AC415" t="s">
        <v>371</v>
      </c>
      <c r="AE415" t="str">
        <f t="shared" si="123"/>
        <v>FoganMcInerney</v>
      </c>
      <c r="AF415">
        <v>0</v>
      </c>
      <c r="AG415">
        <v>0</v>
      </c>
      <c r="AH415">
        <v>1</v>
      </c>
      <c r="AI415">
        <v>0</v>
      </c>
      <c r="AJ415">
        <v>0</v>
      </c>
      <c r="AK415" t="s">
        <v>48</v>
      </c>
      <c r="AL415">
        <v>0.5546875</v>
      </c>
      <c r="AM415" t="s">
        <v>60</v>
      </c>
      <c r="AN415">
        <v>0.5</v>
      </c>
      <c r="AO415">
        <f t="shared" si="130"/>
        <v>0</v>
      </c>
      <c r="AP415">
        <f t="shared" si="130"/>
        <v>0</v>
      </c>
      <c r="AQ415">
        <f t="shared" si="130"/>
        <v>0</v>
      </c>
      <c r="AR415">
        <f t="shared" si="130"/>
        <v>0</v>
      </c>
      <c r="AS415">
        <f t="shared" si="130"/>
        <v>0</v>
      </c>
      <c r="AT415">
        <f t="shared" si="130"/>
        <v>0</v>
      </c>
      <c r="AU415">
        <f t="shared" si="130"/>
        <v>0</v>
      </c>
      <c r="AV415">
        <f t="shared" si="130"/>
        <v>0</v>
      </c>
      <c r="AW415">
        <f t="shared" si="130"/>
        <v>0</v>
      </c>
      <c r="AX415">
        <f t="shared" si="130"/>
        <v>0</v>
      </c>
      <c r="AY415">
        <f t="shared" si="131"/>
        <v>0</v>
      </c>
      <c r="AZ415">
        <f t="shared" si="131"/>
        <v>0</v>
      </c>
      <c r="BA415">
        <f t="shared" si="131"/>
        <v>0</v>
      </c>
      <c r="BB415">
        <f t="shared" si="131"/>
        <v>0</v>
      </c>
      <c r="BC415" t="str">
        <f t="shared" si="131"/>
        <v>Fogan</v>
      </c>
      <c r="BD415">
        <f t="shared" si="131"/>
        <v>0</v>
      </c>
      <c r="BE415">
        <f t="shared" si="131"/>
        <v>0</v>
      </c>
      <c r="BF415">
        <f t="shared" si="131"/>
        <v>0</v>
      </c>
      <c r="BG415">
        <f t="shared" si="131"/>
        <v>0</v>
      </c>
      <c r="BH415">
        <f t="shared" si="131"/>
        <v>0</v>
      </c>
      <c r="BI415">
        <f t="shared" si="132"/>
        <v>0</v>
      </c>
      <c r="BJ415" t="str">
        <f t="shared" si="132"/>
        <v>McInerney</v>
      </c>
      <c r="BK415">
        <f t="shared" si="132"/>
        <v>0</v>
      </c>
      <c r="BL415">
        <f t="shared" si="132"/>
        <v>0</v>
      </c>
      <c r="BM415">
        <f t="shared" si="132"/>
        <v>0</v>
      </c>
      <c r="BN415">
        <f t="shared" si="132"/>
        <v>0</v>
      </c>
      <c r="BO415">
        <f t="shared" si="132"/>
        <v>0</v>
      </c>
      <c r="BP415">
        <f t="shared" si="132"/>
        <v>0</v>
      </c>
      <c r="BQ415">
        <f t="shared" si="132"/>
        <v>0</v>
      </c>
      <c r="BR415">
        <f t="shared" si="132"/>
        <v>0</v>
      </c>
      <c r="BS415">
        <f t="shared" si="132"/>
        <v>0</v>
      </c>
    </row>
    <row r="416" spans="2:71" ht="15" customHeight="1" x14ac:dyDescent="0.2">
      <c r="B416">
        <v>16</v>
      </c>
      <c r="C416">
        <v>1</v>
      </c>
      <c r="D416">
        <v>7</v>
      </c>
      <c r="E416" t="s">
        <v>372</v>
      </c>
      <c r="F416" t="s">
        <v>214</v>
      </c>
      <c r="G416" s="5">
        <v>43686</v>
      </c>
      <c r="H416" t="s">
        <v>73</v>
      </c>
      <c r="I416" t="s">
        <v>347</v>
      </c>
      <c r="J416" t="s">
        <v>348</v>
      </c>
      <c r="K416">
        <v>9</v>
      </c>
      <c r="L416" t="s">
        <v>90</v>
      </c>
      <c r="M416" t="s">
        <v>366</v>
      </c>
      <c r="N416" t="s">
        <v>78</v>
      </c>
      <c r="O416">
        <v>71.599999999999994</v>
      </c>
      <c r="P416">
        <v>133</v>
      </c>
      <c r="Q416">
        <v>6123</v>
      </c>
      <c r="R416" t="s">
        <v>313</v>
      </c>
      <c r="S416" t="s">
        <v>80</v>
      </c>
      <c r="T416" t="s">
        <v>351</v>
      </c>
      <c r="U416" t="s">
        <v>352</v>
      </c>
      <c r="V416" t="s">
        <v>55</v>
      </c>
      <c r="W416" t="s">
        <v>109</v>
      </c>
      <c r="Y416" t="s">
        <v>50</v>
      </c>
      <c r="AA416">
        <v>1</v>
      </c>
      <c r="AB416" t="s">
        <v>33</v>
      </c>
      <c r="AC416" t="s">
        <v>171</v>
      </c>
      <c r="AE416" t="str">
        <f t="shared" si="123"/>
        <v>ColeFerrin</v>
      </c>
      <c r="AF416">
        <v>0</v>
      </c>
      <c r="AG416">
        <v>0</v>
      </c>
      <c r="AH416">
        <v>1</v>
      </c>
      <c r="AI416">
        <v>0</v>
      </c>
      <c r="AJ416">
        <v>0</v>
      </c>
      <c r="AK416" t="s">
        <v>41</v>
      </c>
      <c r="AL416">
        <v>0.47321428571428598</v>
      </c>
      <c r="AM416" t="s">
        <v>43</v>
      </c>
      <c r="AN416">
        <v>0.48611111111111099</v>
      </c>
      <c r="AO416">
        <f t="shared" si="130"/>
        <v>0</v>
      </c>
      <c r="AP416">
        <f t="shared" si="130"/>
        <v>0</v>
      </c>
      <c r="AQ416">
        <f t="shared" si="130"/>
        <v>0</v>
      </c>
      <c r="AR416">
        <f t="shared" si="130"/>
        <v>0</v>
      </c>
      <c r="AS416">
        <f t="shared" si="130"/>
        <v>0</v>
      </c>
      <c r="AT416">
        <f t="shared" si="130"/>
        <v>0</v>
      </c>
      <c r="AU416">
        <f t="shared" si="130"/>
        <v>0</v>
      </c>
      <c r="AV416">
        <f t="shared" si="130"/>
        <v>0</v>
      </c>
      <c r="AW416">
        <f t="shared" si="130"/>
        <v>0</v>
      </c>
      <c r="AX416">
        <f t="shared" si="130"/>
        <v>0</v>
      </c>
      <c r="AY416" t="str">
        <f t="shared" si="131"/>
        <v>Ferrin</v>
      </c>
      <c r="AZ416">
        <f t="shared" si="131"/>
        <v>0</v>
      </c>
      <c r="BA416">
        <f t="shared" si="131"/>
        <v>0</v>
      </c>
      <c r="BB416">
        <f t="shared" si="131"/>
        <v>0</v>
      </c>
      <c r="BC416">
        <f t="shared" si="131"/>
        <v>0</v>
      </c>
      <c r="BD416" t="str">
        <f t="shared" si="131"/>
        <v>Cole</v>
      </c>
      <c r="BE416">
        <f t="shared" si="131"/>
        <v>0</v>
      </c>
      <c r="BF416">
        <f t="shared" si="131"/>
        <v>0</v>
      </c>
      <c r="BG416">
        <f t="shared" si="131"/>
        <v>0</v>
      </c>
      <c r="BH416">
        <f t="shared" si="131"/>
        <v>0</v>
      </c>
      <c r="BI416">
        <f t="shared" si="132"/>
        <v>0</v>
      </c>
      <c r="BJ416">
        <f t="shared" si="132"/>
        <v>0</v>
      </c>
      <c r="BK416">
        <f t="shared" si="132"/>
        <v>0</v>
      </c>
      <c r="BL416">
        <f t="shared" si="132"/>
        <v>0</v>
      </c>
      <c r="BM416">
        <f t="shared" si="132"/>
        <v>0</v>
      </c>
      <c r="BN416">
        <f t="shared" si="132"/>
        <v>0</v>
      </c>
      <c r="BO416">
        <f t="shared" si="132"/>
        <v>0</v>
      </c>
      <c r="BP416">
        <f t="shared" si="132"/>
        <v>0</v>
      </c>
      <c r="BQ416">
        <f t="shared" si="132"/>
        <v>0</v>
      </c>
      <c r="BR416">
        <f t="shared" si="132"/>
        <v>0</v>
      </c>
      <c r="BS416">
        <f t="shared" si="132"/>
        <v>0</v>
      </c>
    </row>
    <row r="417" spans="2:71" ht="15" customHeight="1" x14ac:dyDescent="0.2">
      <c r="B417">
        <v>16</v>
      </c>
      <c r="C417">
        <v>1</v>
      </c>
      <c r="D417">
        <v>7</v>
      </c>
      <c r="E417" t="s">
        <v>372</v>
      </c>
      <c r="F417" t="s">
        <v>214</v>
      </c>
      <c r="G417" s="5">
        <v>43686</v>
      </c>
      <c r="H417" t="s">
        <v>73</v>
      </c>
      <c r="I417" t="s">
        <v>347</v>
      </c>
      <c r="J417" t="s">
        <v>348</v>
      </c>
      <c r="K417">
        <v>9</v>
      </c>
      <c r="L417" t="s">
        <v>90</v>
      </c>
      <c r="M417" t="s">
        <v>366</v>
      </c>
      <c r="N417" t="s">
        <v>78</v>
      </c>
      <c r="O417">
        <v>71.599999999999994</v>
      </c>
      <c r="P417">
        <v>133</v>
      </c>
      <c r="Q417">
        <v>6123</v>
      </c>
      <c r="R417" t="s">
        <v>313</v>
      </c>
      <c r="S417" t="s">
        <v>80</v>
      </c>
      <c r="T417" t="s">
        <v>353</v>
      </c>
      <c r="U417" t="s">
        <v>354</v>
      </c>
      <c r="V417" t="s">
        <v>41</v>
      </c>
      <c r="W417" t="s">
        <v>78</v>
      </c>
      <c r="Y417" t="s">
        <v>43</v>
      </c>
      <c r="AA417">
        <v>1</v>
      </c>
      <c r="AB417" t="s">
        <v>32</v>
      </c>
      <c r="AC417" t="s">
        <v>171</v>
      </c>
      <c r="AE417" t="str">
        <f t="shared" si="123"/>
        <v>HiltsPoirier</v>
      </c>
      <c r="AF417">
        <v>1</v>
      </c>
      <c r="AG417">
        <v>1</v>
      </c>
      <c r="AH417">
        <v>0</v>
      </c>
      <c r="AI417">
        <v>0</v>
      </c>
      <c r="AJ417">
        <v>1</v>
      </c>
      <c r="AK417" t="s">
        <v>55</v>
      </c>
      <c r="AL417">
        <v>0.44067796610169502</v>
      </c>
      <c r="AM417" t="s">
        <v>50</v>
      </c>
      <c r="AN417">
        <v>0.59523809523809501</v>
      </c>
      <c r="AO417">
        <f t="shared" si="130"/>
        <v>0</v>
      </c>
      <c r="AP417" t="str">
        <f t="shared" si="130"/>
        <v>Hilts</v>
      </c>
      <c r="AQ417">
        <f t="shared" si="130"/>
        <v>0</v>
      </c>
      <c r="AR417" t="str">
        <f t="shared" si="130"/>
        <v>Poirier</v>
      </c>
      <c r="AS417">
        <f t="shared" si="130"/>
        <v>0</v>
      </c>
      <c r="AT417">
        <f t="shared" si="130"/>
        <v>0</v>
      </c>
      <c r="AU417">
        <f t="shared" si="130"/>
        <v>0</v>
      </c>
      <c r="AV417">
        <f t="shared" si="130"/>
        <v>0</v>
      </c>
      <c r="AW417">
        <f t="shared" si="130"/>
        <v>0</v>
      </c>
      <c r="AX417">
        <f t="shared" si="130"/>
        <v>0</v>
      </c>
      <c r="AY417">
        <f t="shared" si="131"/>
        <v>0</v>
      </c>
      <c r="AZ417">
        <f t="shared" si="131"/>
        <v>0</v>
      </c>
      <c r="BA417">
        <f t="shared" si="131"/>
        <v>0</v>
      </c>
      <c r="BB417">
        <f t="shared" si="131"/>
        <v>0</v>
      </c>
      <c r="BC417">
        <f t="shared" si="131"/>
        <v>0</v>
      </c>
      <c r="BD417">
        <f t="shared" si="131"/>
        <v>0</v>
      </c>
      <c r="BE417">
        <f t="shared" si="131"/>
        <v>0</v>
      </c>
      <c r="BF417">
        <f t="shared" si="131"/>
        <v>0</v>
      </c>
      <c r="BG417">
        <f t="shared" si="131"/>
        <v>0</v>
      </c>
      <c r="BH417">
        <f t="shared" si="131"/>
        <v>0</v>
      </c>
      <c r="BI417">
        <f t="shared" si="132"/>
        <v>0</v>
      </c>
      <c r="BJ417">
        <f t="shared" si="132"/>
        <v>0</v>
      </c>
      <c r="BK417">
        <f t="shared" si="132"/>
        <v>0</v>
      </c>
      <c r="BL417">
        <f t="shared" si="132"/>
        <v>0</v>
      </c>
      <c r="BM417">
        <f t="shared" si="132"/>
        <v>0</v>
      </c>
      <c r="BN417">
        <f t="shared" si="132"/>
        <v>0</v>
      </c>
      <c r="BO417">
        <f t="shared" si="132"/>
        <v>0</v>
      </c>
      <c r="BP417">
        <f t="shared" si="132"/>
        <v>0</v>
      </c>
      <c r="BQ417">
        <f t="shared" si="132"/>
        <v>0</v>
      </c>
      <c r="BR417">
        <f t="shared" si="132"/>
        <v>0</v>
      </c>
      <c r="BS417">
        <f t="shared" si="132"/>
        <v>0</v>
      </c>
    </row>
    <row r="418" spans="2:71" ht="15" customHeight="1" x14ac:dyDescent="0.2">
      <c r="B418">
        <v>17</v>
      </c>
      <c r="C418">
        <v>2</v>
      </c>
      <c r="D418">
        <v>7</v>
      </c>
      <c r="E418" t="s">
        <v>373</v>
      </c>
      <c r="F418" t="s">
        <v>214</v>
      </c>
      <c r="G418" s="5">
        <v>43686</v>
      </c>
      <c r="H418" t="s">
        <v>73</v>
      </c>
      <c r="I418" t="s">
        <v>347</v>
      </c>
      <c r="J418" t="s">
        <v>348</v>
      </c>
      <c r="K418">
        <v>9</v>
      </c>
      <c r="L418" t="s">
        <v>90</v>
      </c>
      <c r="M418" t="s">
        <v>366</v>
      </c>
      <c r="N418" t="s">
        <v>78</v>
      </c>
      <c r="O418">
        <v>71.599999999999994</v>
      </c>
      <c r="P418">
        <v>133</v>
      </c>
      <c r="Q418">
        <v>6123</v>
      </c>
      <c r="R418" t="s">
        <v>313</v>
      </c>
      <c r="S418" t="s">
        <v>80</v>
      </c>
      <c r="T418" t="s">
        <v>353</v>
      </c>
      <c r="U418" t="s">
        <v>354</v>
      </c>
      <c r="V418" t="s">
        <v>45</v>
      </c>
      <c r="W418" t="s">
        <v>78</v>
      </c>
      <c r="Y418" t="s">
        <v>46</v>
      </c>
      <c r="AA418">
        <v>1</v>
      </c>
      <c r="AB418" t="s">
        <v>33</v>
      </c>
      <c r="AC418" t="s">
        <v>174</v>
      </c>
      <c r="AE418" t="str">
        <f t="shared" si="123"/>
        <v>ConnollyMangold</v>
      </c>
      <c r="AF418">
        <v>0</v>
      </c>
      <c r="AG418">
        <v>0</v>
      </c>
      <c r="AH418">
        <v>1</v>
      </c>
      <c r="AI418">
        <v>0</v>
      </c>
      <c r="AJ418">
        <v>0</v>
      </c>
      <c r="AK418" t="s">
        <v>58</v>
      </c>
      <c r="AL418">
        <v>0.65476190476190499</v>
      </c>
      <c r="AM418" t="s">
        <v>40</v>
      </c>
      <c r="AN418">
        <v>0.546875</v>
      </c>
      <c r="AO418">
        <f t="shared" si="130"/>
        <v>0</v>
      </c>
      <c r="AP418">
        <f t="shared" si="130"/>
        <v>0</v>
      </c>
      <c r="AQ418">
        <f t="shared" si="130"/>
        <v>0</v>
      </c>
      <c r="AR418">
        <f t="shared" si="130"/>
        <v>0</v>
      </c>
      <c r="AS418">
        <f t="shared" si="130"/>
        <v>0</v>
      </c>
      <c r="AT418" t="str">
        <f t="shared" si="130"/>
        <v>Connolly</v>
      </c>
      <c r="AU418" t="str">
        <f t="shared" si="130"/>
        <v>Mangold</v>
      </c>
      <c r="AV418">
        <f t="shared" si="130"/>
        <v>0</v>
      </c>
      <c r="AW418">
        <f t="shared" si="130"/>
        <v>0</v>
      </c>
      <c r="AX418">
        <f t="shared" si="130"/>
        <v>0</v>
      </c>
      <c r="AY418">
        <f t="shared" si="131"/>
        <v>0</v>
      </c>
      <c r="AZ418">
        <f t="shared" si="131"/>
        <v>0</v>
      </c>
      <c r="BA418">
        <f t="shared" si="131"/>
        <v>0</v>
      </c>
      <c r="BB418">
        <f t="shared" si="131"/>
        <v>0</v>
      </c>
      <c r="BC418">
        <f t="shared" si="131"/>
        <v>0</v>
      </c>
      <c r="BD418">
        <f t="shared" si="131"/>
        <v>0</v>
      </c>
      <c r="BE418">
        <f t="shared" si="131"/>
        <v>0</v>
      </c>
      <c r="BF418">
        <f t="shared" si="131"/>
        <v>0</v>
      </c>
      <c r="BG418">
        <f t="shared" si="131"/>
        <v>0</v>
      </c>
      <c r="BH418">
        <f t="shared" si="131"/>
        <v>0</v>
      </c>
      <c r="BI418">
        <f t="shared" si="132"/>
        <v>0</v>
      </c>
      <c r="BJ418">
        <f t="shared" si="132"/>
        <v>0</v>
      </c>
      <c r="BK418">
        <f t="shared" si="132"/>
        <v>0</v>
      </c>
      <c r="BL418">
        <f t="shared" si="132"/>
        <v>0</v>
      </c>
      <c r="BM418">
        <f t="shared" si="132"/>
        <v>0</v>
      </c>
      <c r="BN418">
        <f t="shared" si="132"/>
        <v>0</v>
      </c>
      <c r="BO418">
        <f t="shared" si="132"/>
        <v>0</v>
      </c>
      <c r="BP418">
        <f t="shared" si="132"/>
        <v>0</v>
      </c>
      <c r="BQ418">
        <f t="shared" si="132"/>
        <v>0</v>
      </c>
      <c r="BR418">
        <f t="shared" si="132"/>
        <v>0</v>
      </c>
      <c r="BS418">
        <f t="shared" si="132"/>
        <v>0</v>
      </c>
    </row>
    <row r="419" spans="2:71" ht="15" customHeight="1" x14ac:dyDescent="0.2">
      <c r="B419">
        <v>17</v>
      </c>
      <c r="C419">
        <v>2</v>
      </c>
      <c r="D419">
        <v>7</v>
      </c>
      <c r="E419" t="s">
        <v>373</v>
      </c>
      <c r="F419" t="s">
        <v>214</v>
      </c>
      <c r="G419" s="5">
        <v>43686</v>
      </c>
      <c r="H419" t="s">
        <v>73</v>
      </c>
      <c r="I419" t="s">
        <v>347</v>
      </c>
      <c r="J419" t="s">
        <v>348</v>
      </c>
      <c r="K419">
        <v>9</v>
      </c>
      <c r="L419" t="s">
        <v>90</v>
      </c>
      <c r="M419" t="s">
        <v>366</v>
      </c>
      <c r="N419" t="s">
        <v>78</v>
      </c>
      <c r="O419">
        <v>71.599999999999994</v>
      </c>
      <c r="P419">
        <v>133</v>
      </c>
      <c r="Q419">
        <v>6123</v>
      </c>
      <c r="R419" t="s">
        <v>313</v>
      </c>
      <c r="S419" t="s">
        <v>80</v>
      </c>
      <c r="T419" t="s">
        <v>351</v>
      </c>
      <c r="U419" t="s">
        <v>352</v>
      </c>
      <c r="V419" t="s">
        <v>58</v>
      </c>
      <c r="W419" t="s">
        <v>109</v>
      </c>
      <c r="Y419" t="s">
        <v>40</v>
      </c>
      <c r="AA419">
        <v>1</v>
      </c>
      <c r="AB419" t="s">
        <v>32</v>
      </c>
      <c r="AC419" t="s">
        <v>174</v>
      </c>
      <c r="AE419" t="str">
        <f t="shared" si="123"/>
        <v>GrayGrise</v>
      </c>
      <c r="AF419">
        <v>1</v>
      </c>
      <c r="AG419">
        <v>1</v>
      </c>
      <c r="AH419">
        <v>0</v>
      </c>
      <c r="AI419">
        <v>0</v>
      </c>
      <c r="AJ419">
        <v>1</v>
      </c>
      <c r="AK419" t="s">
        <v>45</v>
      </c>
      <c r="AL419">
        <v>0.59375</v>
      </c>
      <c r="AM419" t="s">
        <v>46</v>
      </c>
      <c r="AN419">
        <v>0.38392857142857201</v>
      </c>
      <c r="AO419" t="str">
        <f t="shared" si="130"/>
        <v>Grise</v>
      </c>
      <c r="AP419">
        <f t="shared" si="130"/>
        <v>0</v>
      </c>
      <c r="AQ419">
        <f t="shared" si="130"/>
        <v>0</v>
      </c>
      <c r="AR419">
        <f t="shared" si="130"/>
        <v>0</v>
      </c>
      <c r="AS419">
        <f t="shared" si="130"/>
        <v>0</v>
      </c>
      <c r="AT419">
        <f t="shared" si="130"/>
        <v>0</v>
      </c>
      <c r="AU419">
        <f t="shared" si="130"/>
        <v>0</v>
      </c>
      <c r="AV419">
        <f t="shared" si="130"/>
        <v>0</v>
      </c>
      <c r="AW419">
        <f t="shared" si="130"/>
        <v>0</v>
      </c>
      <c r="AX419">
        <f t="shared" si="130"/>
        <v>0</v>
      </c>
      <c r="AY419">
        <f t="shared" si="131"/>
        <v>0</v>
      </c>
      <c r="AZ419">
        <f t="shared" si="131"/>
        <v>0</v>
      </c>
      <c r="BA419">
        <f t="shared" si="131"/>
        <v>0</v>
      </c>
      <c r="BB419">
        <f t="shared" si="131"/>
        <v>0</v>
      </c>
      <c r="BC419">
        <f t="shared" si="131"/>
        <v>0</v>
      </c>
      <c r="BD419">
        <f t="shared" si="131"/>
        <v>0</v>
      </c>
      <c r="BE419">
        <f t="shared" si="131"/>
        <v>0</v>
      </c>
      <c r="BF419">
        <f t="shared" si="131"/>
        <v>0</v>
      </c>
      <c r="BG419" t="str">
        <f t="shared" si="131"/>
        <v>Gray</v>
      </c>
      <c r="BH419">
        <f t="shared" si="131"/>
        <v>0</v>
      </c>
      <c r="BI419">
        <f t="shared" si="132"/>
        <v>0</v>
      </c>
      <c r="BJ419">
        <f t="shared" si="132"/>
        <v>0</v>
      </c>
      <c r="BK419">
        <f t="shared" si="132"/>
        <v>0</v>
      </c>
      <c r="BL419">
        <f t="shared" si="132"/>
        <v>0</v>
      </c>
      <c r="BM419">
        <f t="shared" si="132"/>
        <v>0</v>
      </c>
      <c r="BN419">
        <f t="shared" si="132"/>
        <v>0</v>
      </c>
      <c r="BO419">
        <f t="shared" si="132"/>
        <v>0</v>
      </c>
      <c r="BP419">
        <f t="shared" si="132"/>
        <v>0</v>
      </c>
      <c r="BQ419">
        <f t="shared" si="132"/>
        <v>0</v>
      </c>
      <c r="BR419">
        <f t="shared" si="132"/>
        <v>0</v>
      </c>
      <c r="BS419">
        <f t="shared" si="132"/>
        <v>0</v>
      </c>
    </row>
    <row r="420" spans="2:71" ht="15" customHeight="1" x14ac:dyDescent="0.2">
      <c r="B420">
        <v>18</v>
      </c>
      <c r="C420">
        <v>3</v>
      </c>
      <c r="D420">
        <v>7</v>
      </c>
      <c r="E420" t="s">
        <v>374</v>
      </c>
      <c r="F420" t="s">
        <v>214</v>
      </c>
      <c r="G420" s="5">
        <v>43686</v>
      </c>
      <c r="H420" t="s">
        <v>73</v>
      </c>
      <c r="I420" t="s">
        <v>347</v>
      </c>
      <c r="J420" t="s">
        <v>348</v>
      </c>
      <c r="K420">
        <v>9</v>
      </c>
      <c r="L420" t="s">
        <v>90</v>
      </c>
      <c r="M420" t="s">
        <v>366</v>
      </c>
      <c r="N420" t="s">
        <v>78</v>
      </c>
      <c r="O420">
        <v>71.599999999999994</v>
      </c>
      <c r="P420">
        <v>133</v>
      </c>
      <c r="Q420">
        <v>6123</v>
      </c>
      <c r="R420" t="s">
        <v>313</v>
      </c>
      <c r="S420" t="s">
        <v>80</v>
      </c>
      <c r="T420" t="s">
        <v>351</v>
      </c>
      <c r="U420" t="s">
        <v>352</v>
      </c>
      <c r="V420" t="s">
        <v>57</v>
      </c>
      <c r="W420" t="s">
        <v>109</v>
      </c>
      <c r="Y420" t="s">
        <v>44</v>
      </c>
      <c r="AA420">
        <v>1</v>
      </c>
      <c r="AB420" t="s">
        <v>32</v>
      </c>
      <c r="AC420" t="s">
        <v>184</v>
      </c>
      <c r="AE420" t="str">
        <f t="shared" si="123"/>
        <v>BussFlanders</v>
      </c>
      <c r="AF420">
        <v>1</v>
      </c>
      <c r="AG420">
        <v>1</v>
      </c>
      <c r="AH420">
        <v>0</v>
      </c>
      <c r="AI420">
        <v>0</v>
      </c>
      <c r="AJ420">
        <v>1</v>
      </c>
      <c r="AK420" t="s">
        <v>53</v>
      </c>
      <c r="AL420">
        <v>0.59649122807017496</v>
      </c>
      <c r="AM420" t="s">
        <v>59</v>
      </c>
      <c r="AN420">
        <v>0.52777777777777801</v>
      </c>
      <c r="AO420">
        <f t="shared" si="130"/>
        <v>0</v>
      </c>
      <c r="AP420">
        <f t="shared" si="130"/>
        <v>0</v>
      </c>
      <c r="AQ420">
        <f t="shared" si="130"/>
        <v>0</v>
      </c>
      <c r="AR420">
        <f t="shared" si="130"/>
        <v>0</v>
      </c>
      <c r="AS420" t="str">
        <f t="shared" si="130"/>
        <v>Flanders</v>
      </c>
      <c r="AT420">
        <f t="shared" si="130"/>
        <v>0</v>
      </c>
      <c r="AU420">
        <f t="shared" si="130"/>
        <v>0</v>
      </c>
      <c r="AV420">
        <f t="shared" si="130"/>
        <v>0</v>
      </c>
      <c r="AW420">
        <f t="shared" si="130"/>
        <v>0</v>
      </c>
      <c r="AX420">
        <f t="shared" si="130"/>
        <v>0</v>
      </c>
      <c r="AY420">
        <f t="shared" si="131"/>
        <v>0</v>
      </c>
      <c r="AZ420">
        <f t="shared" si="131"/>
        <v>0</v>
      </c>
      <c r="BA420">
        <f t="shared" si="131"/>
        <v>0</v>
      </c>
      <c r="BB420">
        <f t="shared" si="131"/>
        <v>0</v>
      </c>
      <c r="BC420">
        <f t="shared" si="131"/>
        <v>0</v>
      </c>
      <c r="BD420">
        <f t="shared" si="131"/>
        <v>0</v>
      </c>
      <c r="BE420">
        <f t="shared" si="131"/>
        <v>0</v>
      </c>
      <c r="BF420" t="str">
        <f t="shared" si="131"/>
        <v>Buss</v>
      </c>
      <c r="BG420">
        <f t="shared" si="131"/>
        <v>0</v>
      </c>
      <c r="BH420">
        <f t="shared" si="131"/>
        <v>0</v>
      </c>
      <c r="BI420">
        <f t="shared" si="132"/>
        <v>0</v>
      </c>
      <c r="BJ420">
        <f t="shared" si="132"/>
        <v>0</v>
      </c>
      <c r="BK420">
        <f t="shared" si="132"/>
        <v>0</v>
      </c>
      <c r="BL420">
        <f t="shared" si="132"/>
        <v>0</v>
      </c>
      <c r="BM420">
        <f t="shared" si="132"/>
        <v>0</v>
      </c>
      <c r="BN420">
        <f t="shared" si="132"/>
        <v>0</v>
      </c>
      <c r="BO420">
        <f t="shared" si="132"/>
        <v>0</v>
      </c>
      <c r="BP420">
        <f t="shared" si="132"/>
        <v>0</v>
      </c>
      <c r="BQ420">
        <f t="shared" si="132"/>
        <v>0</v>
      </c>
      <c r="BR420">
        <f t="shared" si="132"/>
        <v>0</v>
      </c>
      <c r="BS420">
        <f t="shared" si="132"/>
        <v>0</v>
      </c>
    </row>
    <row r="421" spans="2:71" ht="15" customHeight="1" x14ac:dyDescent="0.2">
      <c r="B421">
        <v>18</v>
      </c>
      <c r="C421">
        <v>3</v>
      </c>
      <c r="D421">
        <v>7</v>
      </c>
      <c r="E421" t="s">
        <v>374</v>
      </c>
      <c r="F421" t="s">
        <v>214</v>
      </c>
      <c r="G421" s="5">
        <v>43686</v>
      </c>
      <c r="H421" t="s">
        <v>73</v>
      </c>
      <c r="I421" t="s">
        <v>347</v>
      </c>
      <c r="J421" t="s">
        <v>348</v>
      </c>
      <c r="K421">
        <v>9</v>
      </c>
      <c r="L421" t="s">
        <v>90</v>
      </c>
      <c r="M421" t="s">
        <v>366</v>
      </c>
      <c r="N421" t="s">
        <v>78</v>
      </c>
      <c r="O421">
        <v>71.599999999999994</v>
      </c>
      <c r="P421">
        <v>133</v>
      </c>
      <c r="Q421">
        <v>6123</v>
      </c>
      <c r="R421" t="s">
        <v>313</v>
      </c>
      <c r="S421" t="s">
        <v>80</v>
      </c>
      <c r="T421" t="s">
        <v>353</v>
      </c>
      <c r="U421" t="s">
        <v>354</v>
      </c>
      <c r="V421" t="s">
        <v>53</v>
      </c>
      <c r="W421" t="s">
        <v>78</v>
      </c>
      <c r="Y421" t="s">
        <v>59</v>
      </c>
      <c r="AA421">
        <v>1</v>
      </c>
      <c r="AB421" t="s">
        <v>33</v>
      </c>
      <c r="AC421" t="s">
        <v>184</v>
      </c>
      <c r="AE421" t="str">
        <f t="shared" si="123"/>
        <v>ForsterNorat</v>
      </c>
      <c r="AF421">
        <v>0</v>
      </c>
      <c r="AG421">
        <v>0</v>
      </c>
      <c r="AH421">
        <v>1</v>
      </c>
      <c r="AI421">
        <v>0</v>
      </c>
      <c r="AJ421">
        <v>0</v>
      </c>
      <c r="AK421" t="s">
        <v>57</v>
      </c>
      <c r="AL421">
        <v>0.44827586206896602</v>
      </c>
      <c r="AM421" t="s">
        <v>44</v>
      </c>
      <c r="AN421">
        <v>0.4296875</v>
      </c>
      <c r="AO421">
        <f t="shared" si="130"/>
        <v>0</v>
      </c>
      <c r="AP421">
        <f t="shared" si="130"/>
        <v>0</v>
      </c>
      <c r="AQ421">
        <f t="shared" si="130"/>
        <v>0</v>
      </c>
      <c r="AR421">
        <f t="shared" si="130"/>
        <v>0</v>
      </c>
      <c r="AS421">
        <f t="shared" si="130"/>
        <v>0</v>
      </c>
      <c r="AT421">
        <f t="shared" si="130"/>
        <v>0</v>
      </c>
      <c r="AU421">
        <f t="shared" si="130"/>
        <v>0</v>
      </c>
      <c r="AV421">
        <f t="shared" si="130"/>
        <v>0</v>
      </c>
      <c r="AW421">
        <f t="shared" si="130"/>
        <v>0</v>
      </c>
      <c r="AX421">
        <f t="shared" si="130"/>
        <v>0</v>
      </c>
      <c r="AY421">
        <f t="shared" si="131"/>
        <v>0</v>
      </c>
      <c r="AZ421">
        <f t="shared" si="131"/>
        <v>0</v>
      </c>
      <c r="BA421">
        <f t="shared" si="131"/>
        <v>0</v>
      </c>
      <c r="BB421" t="str">
        <f t="shared" si="131"/>
        <v>Forster</v>
      </c>
      <c r="BC421">
        <f t="shared" si="131"/>
        <v>0</v>
      </c>
      <c r="BD421">
        <f t="shared" si="131"/>
        <v>0</v>
      </c>
      <c r="BE421">
        <f t="shared" si="131"/>
        <v>0</v>
      </c>
      <c r="BF421">
        <f t="shared" si="131"/>
        <v>0</v>
      </c>
      <c r="BG421">
        <f t="shared" si="131"/>
        <v>0</v>
      </c>
      <c r="BH421" t="str">
        <f t="shared" si="131"/>
        <v>Norat</v>
      </c>
      <c r="BI421">
        <f t="shared" si="132"/>
        <v>0</v>
      </c>
      <c r="BJ421">
        <f t="shared" si="132"/>
        <v>0</v>
      </c>
      <c r="BK421">
        <f t="shared" si="132"/>
        <v>0</v>
      </c>
      <c r="BL421">
        <f t="shared" si="132"/>
        <v>0</v>
      </c>
      <c r="BM421">
        <f t="shared" si="132"/>
        <v>0</v>
      </c>
      <c r="BN421">
        <f t="shared" si="132"/>
        <v>0</v>
      </c>
      <c r="BO421">
        <f t="shared" si="132"/>
        <v>0</v>
      </c>
      <c r="BP421">
        <f t="shared" si="132"/>
        <v>0</v>
      </c>
      <c r="BQ421">
        <f t="shared" si="132"/>
        <v>0</v>
      </c>
      <c r="BR421">
        <f t="shared" si="132"/>
        <v>0</v>
      </c>
      <c r="BS421">
        <f t="shared" si="132"/>
        <v>0</v>
      </c>
    </row>
    <row r="422" spans="2:71" ht="15" customHeight="1" x14ac:dyDescent="0.2">
      <c r="B422">
        <v>19</v>
      </c>
      <c r="C422">
        <v>4</v>
      </c>
      <c r="D422">
        <v>7</v>
      </c>
      <c r="E422" t="s">
        <v>375</v>
      </c>
      <c r="F422" t="s">
        <v>214</v>
      </c>
      <c r="G422" s="5">
        <v>43686</v>
      </c>
      <c r="H422" t="s">
        <v>73</v>
      </c>
      <c r="I422" t="s">
        <v>347</v>
      </c>
      <c r="J422" t="s">
        <v>348</v>
      </c>
      <c r="K422">
        <v>9</v>
      </c>
      <c r="L422" t="s">
        <v>90</v>
      </c>
      <c r="M422" t="s">
        <v>366</v>
      </c>
      <c r="N422" t="s">
        <v>78</v>
      </c>
      <c r="O422">
        <v>71.599999999999994</v>
      </c>
      <c r="P422">
        <v>133</v>
      </c>
      <c r="Q422">
        <v>6123</v>
      </c>
      <c r="R422" t="s">
        <v>313</v>
      </c>
      <c r="S422" t="s">
        <v>80</v>
      </c>
      <c r="T422" t="s">
        <v>353</v>
      </c>
      <c r="U422" t="s">
        <v>354</v>
      </c>
      <c r="V422" t="s">
        <v>49</v>
      </c>
      <c r="W422" t="s">
        <v>78</v>
      </c>
      <c r="Y422" t="s">
        <v>62</v>
      </c>
      <c r="AA422">
        <v>1</v>
      </c>
      <c r="AB422" t="s">
        <v>34</v>
      </c>
      <c r="AC422" t="s">
        <v>92</v>
      </c>
      <c r="AE422" t="str">
        <f t="shared" si="123"/>
        <v>ShivelyWelker</v>
      </c>
      <c r="AF422">
        <v>0.5</v>
      </c>
      <c r="AG422">
        <v>0</v>
      </c>
      <c r="AH422">
        <v>0</v>
      </c>
      <c r="AI422">
        <v>1</v>
      </c>
      <c r="AJ422">
        <v>0.5</v>
      </c>
      <c r="AK422" t="s">
        <v>52</v>
      </c>
      <c r="AL422">
        <v>0.34745762711864397</v>
      </c>
      <c r="AM422" t="s">
        <v>42</v>
      </c>
      <c r="AN422">
        <v>0.6171875</v>
      </c>
      <c r="AO422">
        <f t="shared" ref="AO422:AX431" si="133">IF(OR($V422=AO$1,$Y422=AO$1),AO$1,0)</f>
        <v>0</v>
      </c>
      <c r="AP422">
        <f t="shared" si="133"/>
        <v>0</v>
      </c>
      <c r="AQ422">
        <f t="shared" si="133"/>
        <v>0</v>
      </c>
      <c r="AR422">
        <f t="shared" si="133"/>
        <v>0</v>
      </c>
      <c r="AS422">
        <f t="shared" si="133"/>
        <v>0</v>
      </c>
      <c r="AT422">
        <f t="shared" si="133"/>
        <v>0</v>
      </c>
      <c r="AU422">
        <f t="shared" si="133"/>
        <v>0</v>
      </c>
      <c r="AV422">
        <f t="shared" si="133"/>
        <v>0</v>
      </c>
      <c r="AW422">
        <f t="shared" si="133"/>
        <v>0</v>
      </c>
      <c r="AX422" t="str">
        <f t="shared" si="133"/>
        <v>Shively</v>
      </c>
      <c r="AY422">
        <f t="shared" ref="AY422:BH431" si="134">IF(OR($V422=AY$1,$Y422=AY$1),AY$1,0)</f>
        <v>0</v>
      </c>
      <c r="AZ422">
        <f t="shared" si="134"/>
        <v>0</v>
      </c>
      <c r="BA422">
        <f t="shared" si="134"/>
        <v>0</v>
      </c>
      <c r="BB422">
        <f t="shared" si="134"/>
        <v>0</v>
      </c>
      <c r="BC422">
        <f t="shared" si="134"/>
        <v>0</v>
      </c>
      <c r="BD422">
        <f t="shared" si="134"/>
        <v>0</v>
      </c>
      <c r="BE422">
        <f t="shared" si="134"/>
        <v>0</v>
      </c>
      <c r="BF422">
        <f t="shared" si="134"/>
        <v>0</v>
      </c>
      <c r="BG422">
        <f t="shared" si="134"/>
        <v>0</v>
      </c>
      <c r="BH422">
        <f t="shared" si="134"/>
        <v>0</v>
      </c>
      <c r="BI422">
        <f t="shared" ref="BI422:BS431" si="135">IF(OR($V422=BI$1,$Y422=BI$1),BI$1,0)</f>
        <v>0</v>
      </c>
      <c r="BJ422">
        <f t="shared" si="135"/>
        <v>0</v>
      </c>
      <c r="BK422" t="str">
        <f t="shared" si="135"/>
        <v>Welker</v>
      </c>
      <c r="BL422">
        <f t="shared" si="135"/>
        <v>0</v>
      </c>
      <c r="BM422">
        <f t="shared" si="135"/>
        <v>0</v>
      </c>
      <c r="BN422">
        <f t="shared" si="135"/>
        <v>0</v>
      </c>
      <c r="BO422">
        <f t="shared" si="135"/>
        <v>0</v>
      </c>
      <c r="BP422">
        <f t="shared" si="135"/>
        <v>0</v>
      </c>
      <c r="BQ422">
        <f t="shared" si="135"/>
        <v>0</v>
      </c>
      <c r="BR422">
        <f t="shared" si="135"/>
        <v>0</v>
      </c>
      <c r="BS422">
        <f t="shared" si="135"/>
        <v>0</v>
      </c>
    </row>
    <row r="423" spans="2:71" ht="15" customHeight="1" x14ac:dyDescent="0.2">
      <c r="B423">
        <v>19</v>
      </c>
      <c r="C423">
        <v>4</v>
      </c>
      <c r="D423">
        <v>7</v>
      </c>
      <c r="E423" t="s">
        <v>375</v>
      </c>
      <c r="F423" t="s">
        <v>214</v>
      </c>
      <c r="G423" s="5">
        <v>43686</v>
      </c>
      <c r="H423" t="s">
        <v>73</v>
      </c>
      <c r="I423" t="s">
        <v>347</v>
      </c>
      <c r="J423" t="s">
        <v>348</v>
      </c>
      <c r="K423">
        <v>9</v>
      </c>
      <c r="L423" t="s">
        <v>90</v>
      </c>
      <c r="M423" t="s">
        <v>366</v>
      </c>
      <c r="N423" t="s">
        <v>78</v>
      </c>
      <c r="O423">
        <v>71.599999999999994</v>
      </c>
      <c r="P423">
        <v>133</v>
      </c>
      <c r="Q423">
        <v>6123</v>
      </c>
      <c r="R423" t="s">
        <v>313</v>
      </c>
      <c r="S423" t="s">
        <v>80</v>
      </c>
      <c r="T423" t="s">
        <v>351</v>
      </c>
      <c r="U423" t="s">
        <v>352</v>
      </c>
      <c r="V423" t="s">
        <v>52</v>
      </c>
      <c r="W423" t="s">
        <v>109</v>
      </c>
      <c r="Y423" t="s">
        <v>42</v>
      </c>
      <c r="AA423">
        <v>1</v>
      </c>
      <c r="AB423" t="s">
        <v>34</v>
      </c>
      <c r="AC423" t="s">
        <v>92</v>
      </c>
      <c r="AE423" t="str">
        <f t="shared" si="123"/>
        <v>ConnorsJackson</v>
      </c>
      <c r="AF423">
        <v>0.5</v>
      </c>
      <c r="AG423">
        <v>0</v>
      </c>
      <c r="AH423">
        <v>0</v>
      </c>
      <c r="AI423">
        <v>1</v>
      </c>
      <c r="AJ423">
        <v>0.5</v>
      </c>
      <c r="AK423" t="s">
        <v>49</v>
      </c>
      <c r="AM423" t="s">
        <v>62</v>
      </c>
      <c r="AN423">
        <v>0.51041666666666696</v>
      </c>
      <c r="AO423">
        <f t="shared" si="133"/>
        <v>0</v>
      </c>
      <c r="AP423">
        <f t="shared" si="133"/>
        <v>0</v>
      </c>
      <c r="AQ423" t="str">
        <f t="shared" si="133"/>
        <v>Jackson</v>
      </c>
      <c r="AR423">
        <f t="shared" si="133"/>
        <v>0</v>
      </c>
      <c r="AS423">
        <f t="shared" si="133"/>
        <v>0</v>
      </c>
      <c r="AT423">
        <f t="shared" si="133"/>
        <v>0</v>
      </c>
      <c r="AU423">
        <f t="shared" si="133"/>
        <v>0</v>
      </c>
      <c r="AV423">
        <f t="shared" si="133"/>
        <v>0</v>
      </c>
      <c r="AW423">
        <f t="shared" si="133"/>
        <v>0</v>
      </c>
      <c r="AX423">
        <f t="shared" si="133"/>
        <v>0</v>
      </c>
      <c r="AY423">
        <f t="shared" si="134"/>
        <v>0</v>
      </c>
      <c r="AZ423">
        <f t="shared" si="134"/>
        <v>0</v>
      </c>
      <c r="BA423" t="str">
        <f t="shared" si="134"/>
        <v>Connors</v>
      </c>
      <c r="BB423">
        <f t="shared" si="134"/>
        <v>0</v>
      </c>
      <c r="BC423">
        <f t="shared" si="134"/>
        <v>0</v>
      </c>
      <c r="BD423">
        <f t="shared" si="134"/>
        <v>0</v>
      </c>
      <c r="BE423">
        <f t="shared" si="134"/>
        <v>0</v>
      </c>
      <c r="BF423">
        <f t="shared" si="134"/>
        <v>0</v>
      </c>
      <c r="BG423">
        <f t="shared" si="134"/>
        <v>0</v>
      </c>
      <c r="BH423">
        <f t="shared" si="134"/>
        <v>0</v>
      </c>
      <c r="BI423">
        <f t="shared" si="135"/>
        <v>0</v>
      </c>
      <c r="BJ423">
        <f t="shared" si="135"/>
        <v>0</v>
      </c>
      <c r="BK423">
        <f t="shared" si="135"/>
        <v>0</v>
      </c>
      <c r="BL423">
        <f t="shared" si="135"/>
        <v>0</v>
      </c>
      <c r="BM423">
        <f t="shared" si="135"/>
        <v>0</v>
      </c>
      <c r="BN423">
        <f t="shared" si="135"/>
        <v>0</v>
      </c>
      <c r="BO423">
        <f t="shared" si="135"/>
        <v>0</v>
      </c>
      <c r="BP423">
        <f t="shared" si="135"/>
        <v>0</v>
      </c>
      <c r="BQ423">
        <f t="shared" si="135"/>
        <v>0</v>
      </c>
      <c r="BR423">
        <f t="shared" si="135"/>
        <v>0</v>
      </c>
      <c r="BS423">
        <f t="shared" si="135"/>
        <v>0</v>
      </c>
    </row>
    <row r="424" spans="2:71" ht="15" customHeight="1" x14ac:dyDescent="0.2">
      <c r="B424">
        <v>20</v>
      </c>
      <c r="C424">
        <v>5</v>
      </c>
      <c r="D424">
        <v>7</v>
      </c>
      <c r="E424" t="s">
        <v>376</v>
      </c>
      <c r="F424" t="s">
        <v>214</v>
      </c>
      <c r="G424" s="5">
        <v>43686</v>
      </c>
      <c r="H424" t="s">
        <v>73</v>
      </c>
      <c r="I424" t="s">
        <v>347</v>
      </c>
      <c r="J424" t="s">
        <v>348</v>
      </c>
      <c r="K424">
        <v>9</v>
      </c>
      <c r="L424" t="s">
        <v>90</v>
      </c>
      <c r="M424" t="s">
        <v>366</v>
      </c>
      <c r="N424" t="s">
        <v>78</v>
      </c>
      <c r="O424">
        <v>71.599999999999994</v>
      </c>
      <c r="P424">
        <v>133</v>
      </c>
      <c r="Q424">
        <v>6123</v>
      </c>
      <c r="R424" t="s">
        <v>313</v>
      </c>
      <c r="S424" t="s">
        <v>80</v>
      </c>
      <c r="T424" t="s">
        <v>351</v>
      </c>
      <c r="U424" t="s">
        <v>352</v>
      </c>
      <c r="V424" t="s">
        <v>48</v>
      </c>
      <c r="W424" t="s">
        <v>109</v>
      </c>
      <c r="Y424" t="s">
        <v>60</v>
      </c>
      <c r="AA424">
        <v>1</v>
      </c>
      <c r="AB424" t="s">
        <v>32</v>
      </c>
      <c r="AC424" t="s">
        <v>221</v>
      </c>
      <c r="AE424" t="str">
        <f t="shared" si="123"/>
        <v>LynchZimmer</v>
      </c>
      <c r="AF424">
        <v>1</v>
      </c>
      <c r="AG424">
        <v>1</v>
      </c>
      <c r="AH424">
        <v>0</v>
      </c>
      <c r="AI424">
        <v>0</v>
      </c>
      <c r="AJ424">
        <v>1</v>
      </c>
      <c r="AK424" t="s">
        <v>54</v>
      </c>
      <c r="AL424">
        <v>0.37288135593220301</v>
      </c>
      <c r="AM424" t="s">
        <v>61</v>
      </c>
      <c r="AN424">
        <v>0.5</v>
      </c>
      <c r="AO424">
        <f t="shared" si="133"/>
        <v>0</v>
      </c>
      <c r="AP424">
        <f t="shared" si="133"/>
        <v>0</v>
      </c>
      <c r="AQ424">
        <f t="shared" si="133"/>
        <v>0</v>
      </c>
      <c r="AR424">
        <f t="shared" si="133"/>
        <v>0</v>
      </c>
      <c r="AS424">
        <f t="shared" si="133"/>
        <v>0</v>
      </c>
      <c r="AT424">
        <f t="shared" si="133"/>
        <v>0</v>
      </c>
      <c r="AU424">
        <f t="shared" si="133"/>
        <v>0</v>
      </c>
      <c r="AV424">
        <f t="shared" si="133"/>
        <v>0</v>
      </c>
      <c r="AW424" t="str">
        <f t="shared" si="133"/>
        <v>Lynch</v>
      </c>
      <c r="AX424">
        <f t="shared" si="133"/>
        <v>0</v>
      </c>
      <c r="AY424">
        <f t="shared" si="134"/>
        <v>0</v>
      </c>
      <c r="AZ424">
        <f t="shared" si="134"/>
        <v>0</v>
      </c>
      <c r="BA424">
        <f t="shared" si="134"/>
        <v>0</v>
      </c>
      <c r="BB424">
        <f t="shared" si="134"/>
        <v>0</v>
      </c>
      <c r="BC424">
        <f t="shared" si="134"/>
        <v>0</v>
      </c>
      <c r="BD424">
        <f t="shared" si="134"/>
        <v>0</v>
      </c>
      <c r="BE424">
        <f t="shared" si="134"/>
        <v>0</v>
      </c>
      <c r="BF424">
        <f t="shared" si="134"/>
        <v>0</v>
      </c>
      <c r="BG424">
        <f t="shared" si="134"/>
        <v>0</v>
      </c>
      <c r="BH424">
        <f t="shared" si="134"/>
        <v>0</v>
      </c>
      <c r="BI424" t="str">
        <f t="shared" si="135"/>
        <v>Zimmer</v>
      </c>
      <c r="BJ424">
        <f t="shared" si="135"/>
        <v>0</v>
      </c>
      <c r="BK424">
        <f t="shared" si="135"/>
        <v>0</v>
      </c>
      <c r="BL424">
        <f t="shared" si="135"/>
        <v>0</v>
      </c>
      <c r="BM424">
        <f t="shared" si="135"/>
        <v>0</v>
      </c>
      <c r="BN424">
        <f t="shared" si="135"/>
        <v>0</v>
      </c>
      <c r="BO424">
        <f t="shared" si="135"/>
        <v>0</v>
      </c>
      <c r="BP424">
        <f t="shared" si="135"/>
        <v>0</v>
      </c>
      <c r="BQ424">
        <f t="shared" si="135"/>
        <v>0</v>
      </c>
      <c r="BR424">
        <f t="shared" si="135"/>
        <v>0</v>
      </c>
      <c r="BS424">
        <f t="shared" si="135"/>
        <v>0</v>
      </c>
    </row>
    <row r="425" spans="2:71" ht="15" customHeight="1" x14ac:dyDescent="0.2">
      <c r="B425">
        <v>20</v>
      </c>
      <c r="C425">
        <v>5</v>
      </c>
      <c r="D425">
        <v>7</v>
      </c>
      <c r="E425" t="s">
        <v>376</v>
      </c>
      <c r="F425" t="s">
        <v>214</v>
      </c>
      <c r="G425" s="5">
        <v>43686</v>
      </c>
      <c r="H425" t="s">
        <v>73</v>
      </c>
      <c r="I425" t="s">
        <v>347</v>
      </c>
      <c r="J425" t="s">
        <v>348</v>
      </c>
      <c r="K425">
        <v>9</v>
      </c>
      <c r="L425" t="s">
        <v>90</v>
      </c>
      <c r="M425" t="s">
        <v>366</v>
      </c>
      <c r="N425" t="s">
        <v>78</v>
      </c>
      <c r="O425">
        <v>71.599999999999994</v>
      </c>
      <c r="P425">
        <v>133</v>
      </c>
      <c r="Q425">
        <v>6123</v>
      </c>
      <c r="R425" t="s">
        <v>313</v>
      </c>
      <c r="S425" t="s">
        <v>80</v>
      </c>
      <c r="T425" t="s">
        <v>353</v>
      </c>
      <c r="U425" t="s">
        <v>354</v>
      </c>
      <c r="V425" t="s">
        <v>54</v>
      </c>
      <c r="W425" t="s">
        <v>78</v>
      </c>
      <c r="Y425" t="s">
        <v>61</v>
      </c>
      <c r="AA425">
        <v>1</v>
      </c>
      <c r="AB425" t="s">
        <v>33</v>
      </c>
      <c r="AC425" t="s">
        <v>221</v>
      </c>
      <c r="AE425" t="str">
        <f t="shared" si="123"/>
        <v>FoganMcInerney</v>
      </c>
      <c r="AF425">
        <v>0</v>
      </c>
      <c r="AG425">
        <v>0</v>
      </c>
      <c r="AH425">
        <v>1</v>
      </c>
      <c r="AI425">
        <v>0</v>
      </c>
      <c r="AJ425">
        <v>0</v>
      </c>
      <c r="AK425" t="s">
        <v>48</v>
      </c>
      <c r="AL425">
        <v>0.5546875</v>
      </c>
      <c r="AM425" t="s">
        <v>60</v>
      </c>
      <c r="AN425">
        <v>0.5</v>
      </c>
      <c r="AO425">
        <f t="shared" si="133"/>
        <v>0</v>
      </c>
      <c r="AP425">
        <f t="shared" si="133"/>
        <v>0</v>
      </c>
      <c r="AQ425">
        <f t="shared" si="133"/>
        <v>0</v>
      </c>
      <c r="AR425">
        <f t="shared" si="133"/>
        <v>0</v>
      </c>
      <c r="AS425">
        <f t="shared" si="133"/>
        <v>0</v>
      </c>
      <c r="AT425">
        <f t="shared" si="133"/>
        <v>0</v>
      </c>
      <c r="AU425">
        <f t="shared" si="133"/>
        <v>0</v>
      </c>
      <c r="AV425">
        <f t="shared" si="133"/>
        <v>0</v>
      </c>
      <c r="AW425">
        <f t="shared" si="133"/>
        <v>0</v>
      </c>
      <c r="AX425">
        <f t="shared" si="133"/>
        <v>0</v>
      </c>
      <c r="AY425">
        <f t="shared" si="134"/>
        <v>0</v>
      </c>
      <c r="AZ425">
        <f t="shared" si="134"/>
        <v>0</v>
      </c>
      <c r="BA425">
        <f t="shared" si="134"/>
        <v>0</v>
      </c>
      <c r="BB425">
        <f t="shared" si="134"/>
        <v>0</v>
      </c>
      <c r="BC425" t="str">
        <f t="shared" si="134"/>
        <v>Fogan</v>
      </c>
      <c r="BD425">
        <f t="shared" si="134"/>
        <v>0</v>
      </c>
      <c r="BE425">
        <f t="shared" si="134"/>
        <v>0</v>
      </c>
      <c r="BF425">
        <f t="shared" si="134"/>
        <v>0</v>
      </c>
      <c r="BG425">
        <f t="shared" si="134"/>
        <v>0</v>
      </c>
      <c r="BH425">
        <f t="shared" si="134"/>
        <v>0</v>
      </c>
      <c r="BI425">
        <f t="shared" si="135"/>
        <v>0</v>
      </c>
      <c r="BJ425" t="str">
        <f t="shared" si="135"/>
        <v>McInerney</v>
      </c>
      <c r="BK425">
        <f t="shared" si="135"/>
        <v>0</v>
      </c>
      <c r="BL425">
        <f t="shared" si="135"/>
        <v>0</v>
      </c>
      <c r="BM425">
        <f t="shared" si="135"/>
        <v>0</v>
      </c>
      <c r="BN425">
        <f t="shared" si="135"/>
        <v>0</v>
      </c>
      <c r="BO425">
        <f t="shared" si="135"/>
        <v>0</v>
      </c>
      <c r="BP425">
        <f t="shared" si="135"/>
        <v>0</v>
      </c>
      <c r="BQ425">
        <f t="shared" si="135"/>
        <v>0</v>
      </c>
      <c r="BR425">
        <f t="shared" si="135"/>
        <v>0</v>
      </c>
      <c r="BS425">
        <f t="shared" si="135"/>
        <v>0</v>
      </c>
    </row>
    <row r="426" spans="2:71" ht="15" customHeight="1" x14ac:dyDescent="0.2">
      <c r="B426">
        <v>21</v>
      </c>
      <c r="C426">
        <v>1</v>
      </c>
      <c r="D426">
        <v>7</v>
      </c>
      <c r="E426" t="s">
        <v>377</v>
      </c>
      <c r="F426" t="s">
        <v>214</v>
      </c>
      <c r="G426" s="5">
        <v>43686</v>
      </c>
      <c r="H426" t="s">
        <v>97</v>
      </c>
      <c r="I426" t="s">
        <v>347</v>
      </c>
      <c r="J426" t="s">
        <v>348</v>
      </c>
      <c r="K426">
        <v>9</v>
      </c>
      <c r="L426" t="s">
        <v>76</v>
      </c>
      <c r="M426" t="s">
        <v>378</v>
      </c>
      <c r="N426" t="s">
        <v>109</v>
      </c>
      <c r="O426">
        <v>68</v>
      </c>
      <c r="P426">
        <v>113</v>
      </c>
      <c r="Q426">
        <v>5727</v>
      </c>
      <c r="R426" t="s">
        <v>98</v>
      </c>
      <c r="S426" t="s">
        <v>80</v>
      </c>
      <c r="T426" t="s">
        <v>351</v>
      </c>
      <c r="U426" t="s">
        <v>352</v>
      </c>
      <c r="V426" t="s">
        <v>50</v>
      </c>
      <c r="W426" t="s">
        <v>109</v>
      </c>
      <c r="Y426" t="s">
        <v>42</v>
      </c>
      <c r="AA426">
        <v>1</v>
      </c>
      <c r="AB426" t="s">
        <v>32</v>
      </c>
      <c r="AC426" t="s">
        <v>233</v>
      </c>
      <c r="AE426" t="str">
        <f t="shared" si="123"/>
        <v>FerrinJackson</v>
      </c>
      <c r="AF426">
        <v>1</v>
      </c>
      <c r="AG426">
        <v>1</v>
      </c>
      <c r="AH426">
        <v>0</v>
      </c>
      <c r="AI426">
        <v>0</v>
      </c>
      <c r="AJ426">
        <v>1</v>
      </c>
      <c r="AK426" t="s">
        <v>45</v>
      </c>
      <c r="AL426">
        <v>0.59375</v>
      </c>
      <c r="AM426" t="s">
        <v>41</v>
      </c>
      <c r="AN426">
        <v>0.47321428571428598</v>
      </c>
      <c r="AO426">
        <f t="shared" si="133"/>
        <v>0</v>
      </c>
      <c r="AP426">
        <f t="shared" si="133"/>
        <v>0</v>
      </c>
      <c r="AQ426" t="str">
        <f t="shared" si="133"/>
        <v>Jackson</v>
      </c>
      <c r="AR426">
        <f t="shared" si="133"/>
        <v>0</v>
      </c>
      <c r="AS426">
        <f t="shared" si="133"/>
        <v>0</v>
      </c>
      <c r="AT426">
        <f t="shared" si="133"/>
        <v>0</v>
      </c>
      <c r="AU426">
        <f t="shared" si="133"/>
        <v>0</v>
      </c>
      <c r="AV426">
        <f t="shared" si="133"/>
        <v>0</v>
      </c>
      <c r="AW426">
        <f t="shared" si="133"/>
        <v>0</v>
      </c>
      <c r="AX426">
        <f t="shared" si="133"/>
        <v>0</v>
      </c>
      <c r="AY426" t="str">
        <f t="shared" si="134"/>
        <v>Ferrin</v>
      </c>
      <c r="AZ426">
        <f t="shared" si="134"/>
        <v>0</v>
      </c>
      <c r="BA426">
        <f t="shared" si="134"/>
        <v>0</v>
      </c>
      <c r="BB426">
        <f t="shared" si="134"/>
        <v>0</v>
      </c>
      <c r="BC426">
        <f t="shared" si="134"/>
        <v>0</v>
      </c>
      <c r="BD426">
        <f t="shared" si="134"/>
        <v>0</v>
      </c>
      <c r="BE426">
        <f t="shared" si="134"/>
        <v>0</v>
      </c>
      <c r="BF426">
        <f t="shared" si="134"/>
        <v>0</v>
      </c>
      <c r="BG426">
        <f t="shared" si="134"/>
        <v>0</v>
      </c>
      <c r="BH426">
        <f t="shared" si="134"/>
        <v>0</v>
      </c>
      <c r="BI426">
        <f t="shared" si="135"/>
        <v>0</v>
      </c>
      <c r="BJ426">
        <f t="shared" si="135"/>
        <v>0</v>
      </c>
      <c r="BK426">
        <f t="shared" si="135"/>
        <v>0</v>
      </c>
      <c r="BL426">
        <f t="shared" si="135"/>
        <v>0</v>
      </c>
      <c r="BM426">
        <f t="shared" si="135"/>
        <v>0</v>
      </c>
      <c r="BN426">
        <f t="shared" si="135"/>
        <v>0</v>
      </c>
      <c r="BO426">
        <f t="shared" si="135"/>
        <v>0</v>
      </c>
      <c r="BP426">
        <f t="shared" si="135"/>
        <v>0</v>
      </c>
      <c r="BQ426">
        <f t="shared" si="135"/>
        <v>0</v>
      </c>
      <c r="BR426">
        <f t="shared" si="135"/>
        <v>0</v>
      </c>
      <c r="BS426">
        <f t="shared" si="135"/>
        <v>0</v>
      </c>
    </row>
    <row r="427" spans="2:71" ht="15" customHeight="1" x14ac:dyDescent="0.2">
      <c r="B427">
        <v>21</v>
      </c>
      <c r="C427">
        <v>1</v>
      </c>
      <c r="D427">
        <v>7</v>
      </c>
      <c r="E427" t="s">
        <v>377</v>
      </c>
      <c r="F427" t="s">
        <v>214</v>
      </c>
      <c r="G427" s="5">
        <v>43686</v>
      </c>
      <c r="H427" t="s">
        <v>97</v>
      </c>
      <c r="I427" t="s">
        <v>347</v>
      </c>
      <c r="J427" t="s">
        <v>348</v>
      </c>
      <c r="K427">
        <v>9</v>
      </c>
      <c r="L427" t="s">
        <v>76</v>
      </c>
      <c r="M427" t="s">
        <v>378</v>
      </c>
      <c r="N427" t="s">
        <v>109</v>
      </c>
      <c r="O427">
        <v>68</v>
      </c>
      <c r="P427">
        <v>113</v>
      </c>
      <c r="Q427">
        <v>5727</v>
      </c>
      <c r="R427" t="s">
        <v>98</v>
      </c>
      <c r="S427" t="s">
        <v>80</v>
      </c>
      <c r="T427" t="s">
        <v>353</v>
      </c>
      <c r="U427" t="s">
        <v>354</v>
      </c>
      <c r="V427" t="s">
        <v>45</v>
      </c>
      <c r="W427" t="s">
        <v>78</v>
      </c>
      <c r="Y427" t="s">
        <v>41</v>
      </c>
      <c r="AA427">
        <v>1</v>
      </c>
      <c r="AB427" t="s">
        <v>33</v>
      </c>
      <c r="AC427" t="s">
        <v>233</v>
      </c>
      <c r="AE427" t="str">
        <f t="shared" si="123"/>
        <v>ConnollyHilts</v>
      </c>
      <c r="AF427">
        <v>0</v>
      </c>
      <c r="AG427">
        <v>0</v>
      </c>
      <c r="AH427">
        <v>1</v>
      </c>
      <c r="AI427">
        <v>0</v>
      </c>
      <c r="AJ427">
        <v>0</v>
      </c>
      <c r="AK427" t="s">
        <v>50</v>
      </c>
      <c r="AL427">
        <v>0.59523809523809501</v>
      </c>
      <c r="AM427" t="s">
        <v>42</v>
      </c>
      <c r="AN427">
        <v>0.6171875</v>
      </c>
      <c r="AO427">
        <f t="shared" si="133"/>
        <v>0</v>
      </c>
      <c r="AP427" t="str">
        <f t="shared" si="133"/>
        <v>Hilts</v>
      </c>
      <c r="AQ427">
        <f t="shared" si="133"/>
        <v>0</v>
      </c>
      <c r="AR427">
        <f t="shared" si="133"/>
        <v>0</v>
      </c>
      <c r="AS427">
        <f t="shared" si="133"/>
        <v>0</v>
      </c>
      <c r="AT427" t="str">
        <f t="shared" si="133"/>
        <v>Connolly</v>
      </c>
      <c r="AU427">
        <f t="shared" si="133"/>
        <v>0</v>
      </c>
      <c r="AV427">
        <f t="shared" si="133"/>
        <v>0</v>
      </c>
      <c r="AW427">
        <f t="shared" si="133"/>
        <v>0</v>
      </c>
      <c r="AX427">
        <f t="shared" si="133"/>
        <v>0</v>
      </c>
      <c r="AY427">
        <f t="shared" si="134"/>
        <v>0</v>
      </c>
      <c r="AZ427">
        <f t="shared" si="134"/>
        <v>0</v>
      </c>
      <c r="BA427">
        <f t="shared" si="134"/>
        <v>0</v>
      </c>
      <c r="BB427">
        <f t="shared" si="134"/>
        <v>0</v>
      </c>
      <c r="BC427">
        <f t="shared" si="134"/>
        <v>0</v>
      </c>
      <c r="BD427">
        <f t="shared" si="134"/>
        <v>0</v>
      </c>
      <c r="BE427">
        <f t="shared" si="134"/>
        <v>0</v>
      </c>
      <c r="BF427">
        <f t="shared" si="134"/>
        <v>0</v>
      </c>
      <c r="BG427">
        <f t="shared" si="134"/>
        <v>0</v>
      </c>
      <c r="BH427">
        <f t="shared" si="134"/>
        <v>0</v>
      </c>
      <c r="BI427">
        <f t="shared" si="135"/>
        <v>0</v>
      </c>
      <c r="BJ427">
        <f t="shared" si="135"/>
        <v>0</v>
      </c>
      <c r="BK427">
        <f t="shared" si="135"/>
        <v>0</v>
      </c>
      <c r="BL427">
        <f t="shared" si="135"/>
        <v>0</v>
      </c>
      <c r="BM427">
        <f t="shared" si="135"/>
        <v>0</v>
      </c>
      <c r="BN427">
        <f t="shared" si="135"/>
        <v>0</v>
      </c>
      <c r="BO427">
        <f t="shared" si="135"/>
        <v>0</v>
      </c>
      <c r="BP427">
        <f t="shared" si="135"/>
        <v>0</v>
      </c>
      <c r="BQ427">
        <f t="shared" si="135"/>
        <v>0</v>
      </c>
      <c r="BR427">
        <f t="shared" si="135"/>
        <v>0</v>
      </c>
      <c r="BS427">
        <f t="shared" si="135"/>
        <v>0</v>
      </c>
    </row>
    <row r="428" spans="2:71" ht="15" customHeight="1" x14ac:dyDescent="0.2">
      <c r="B428">
        <v>22</v>
      </c>
      <c r="C428">
        <v>2</v>
      </c>
      <c r="D428">
        <v>7</v>
      </c>
      <c r="E428" t="s">
        <v>379</v>
      </c>
      <c r="F428" t="s">
        <v>214</v>
      </c>
      <c r="G428" s="5">
        <v>43686</v>
      </c>
      <c r="H428" t="s">
        <v>97</v>
      </c>
      <c r="I428" t="s">
        <v>347</v>
      </c>
      <c r="J428" t="s">
        <v>348</v>
      </c>
      <c r="K428">
        <v>9</v>
      </c>
      <c r="L428" t="s">
        <v>76</v>
      </c>
      <c r="M428" t="s">
        <v>378</v>
      </c>
      <c r="N428" t="s">
        <v>109</v>
      </c>
      <c r="O428">
        <v>68</v>
      </c>
      <c r="P428">
        <v>113</v>
      </c>
      <c r="Q428">
        <v>5727</v>
      </c>
      <c r="R428" t="s">
        <v>98</v>
      </c>
      <c r="S428" t="s">
        <v>80</v>
      </c>
      <c r="T428" t="s">
        <v>353</v>
      </c>
      <c r="U428" t="s">
        <v>354</v>
      </c>
      <c r="V428" t="s">
        <v>43</v>
      </c>
      <c r="W428" t="s">
        <v>78</v>
      </c>
      <c r="Y428" t="s">
        <v>49</v>
      </c>
      <c r="AA428">
        <v>1</v>
      </c>
      <c r="AB428" t="s">
        <v>33</v>
      </c>
      <c r="AC428" t="s">
        <v>356</v>
      </c>
      <c r="AE428" t="str">
        <f t="shared" si="123"/>
        <v>PoirierShively</v>
      </c>
      <c r="AF428">
        <v>0</v>
      </c>
      <c r="AG428">
        <v>0</v>
      </c>
      <c r="AH428">
        <v>1</v>
      </c>
      <c r="AI428">
        <v>0</v>
      </c>
      <c r="AJ428">
        <v>0</v>
      </c>
      <c r="AK428" t="s">
        <v>58</v>
      </c>
      <c r="AL428">
        <v>0.65476190476190499</v>
      </c>
      <c r="AM428" t="s">
        <v>48</v>
      </c>
      <c r="AN428">
        <v>0.5546875</v>
      </c>
      <c r="AO428">
        <f t="shared" si="133"/>
        <v>0</v>
      </c>
      <c r="AP428">
        <f t="shared" si="133"/>
        <v>0</v>
      </c>
      <c r="AQ428">
        <f t="shared" si="133"/>
        <v>0</v>
      </c>
      <c r="AR428" t="str">
        <f t="shared" si="133"/>
        <v>Poirier</v>
      </c>
      <c r="AS428">
        <f t="shared" si="133"/>
        <v>0</v>
      </c>
      <c r="AT428">
        <f t="shared" si="133"/>
        <v>0</v>
      </c>
      <c r="AU428">
        <f t="shared" si="133"/>
        <v>0</v>
      </c>
      <c r="AV428">
        <f t="shared" si="133"/>
        <v>0</v>
      </c>
      <c r="AW428">
        <f t="shared" si="133"/>
        <v>0</v>
      </c>
      <c r="AX428" t="str">
        <f t="shared" si="133"/>
        <v>Shively</v>
      </c>
      <c r="AY428">
        <f t="shared" si="134"/>
        <v>0</v>
      </c>
      <c r="AZ428">
        <f t="shared" si="134"/>
        <v>0</v>
      </c>
      <c r="BA428">
        <f t="shared" si="134"/>
        <v>0</v>
      </c>
      <c r="BB428">
        <f t="shared" si="134"/>
        <v>0</v>
      </c>
      <c r="BC428">
        <f t="shared" si="134"/>
        <v>0</v>
      </c>
      <c r="BD428">
        <f t="shared" si="134"/>
        <v>0</v>
      </c>
      <c r="BE428">
        <f t="shared" si="134"/>
        <v>0</v>
      </c>
      <c r="BF428">
        <f t="shared" si="134"/>
        <v>0</v>
      </c>
      <c r="BG428">
        <f t="shared" si="134"/>
        <v>0</v>
      </c>
      <c r="BH428">
        <f t="shared" si="134"/>
        <v>0</v>
      </c>
      <c r="BI428">
        <f t="shared" si="135"/>
        <v>0</v>
      </c>
      <c r="BJ428">
        <f t="shared" si="135"/>
        <v>0</v>
      </c>
      <c r="BK428">
        <f t="shared" si="135"/>
        <v>0</v>
      </c>
      <c r="BL428">
        <f t="shared" si="135"/>
        <v>0</v>
      </c>
      <c r="BM428">
        <f t="shared" si="135"/>
        <v>0</v>
      </c>
      <c r="BN428">
        <f t="shared" si="135"/>
        <v>0</v>
      </c>
      <c r="BO428">
        <f t="shared" si="135"/>
        <v>0</v>
      </c>
      <c r="BP428">
        <f t="shared" si="135"/>
        <v>0</v>
      </c>
      <c r="BQ428">
        <f t="shared" si="135"/>
        <v>0</v>
      </c>
      <c r="BR428">
        <f t="shared" si="135"/>
        <v>0</v>
      </c>
      <c r="BS428">
        <f t="shared" si="135"/>
        <v>0</v>
      </c>
    </row>
    <row r="429" spans="2:71" ht="15" customHeight="1" x14ac:dyDescent="0.2">
      <c r="B429">
        <v>22</v>
      </c>
      <c r="C429">
        <v>2</v>
      </c>
      <c r="D429">
        <v>7</v>
      </c>
      <c r="E429" t="s">
        <v>379</v>
      </c>
      <c r="F429" t="s">
        <v>214</v>
      </c>
      <c r="G429" s="5">
        <v>43686</v>
      </c>
      <c r="H429" t="s">
        <v>97</v>
      </c>
      <c r="I429" t="s">
        <v>347</v>
      </c>
      <c r="J429" t="s">
        <v>348</v>
      </c>
      <c r="K429">
        <v>9</v>
      </c>
      <c r="L429" t="s">
        <v>76</v>
      </c>
      <c r="M429" t="s">
        <v>378</v>
      </c>
      <c r="N429" t="s">
        <v>109</v>
      </c>
      <c r="O429">
        <v>68</v>
      </c>
      <c r="P429">
        <v>113</v>
      </c>
      <c r="Q429">
        <v>5727</v>
      </c>
      <c r="R429" t="s">
        <v>98</v>
      </c>
      <c r="S429" t="s">
        <v>80</v>
      </c>
      <c r="T429" t="s">
        <v>351</v>
      </c>
      <c r="U429" t="s">
        <v>352</v>
      </c>
      <c r="V429" t="s">
        <v>58</v>
      </c>
      <c r="W429" t="s">
        <v>109</v>
      </c>
      <c r="Y429" t="s">
        <v>48</v>
      </c>
      <c r="AA429">
        <v>1</v>
      </c>
      <c r="AB429" t="s">
        <v>32</v>
      </c>
      <c r="AC429" t="s">
        <v>356</v>
      </c>
      <c r="AE429" t="str">
        <f t="shared" si="123"/>
        <v>GrayLynch</v>
      </c>
      <c r="AF429">
        <v>1</v>
      </c>
      <c r="AG429">
        <v>1</v>
      </c>
      <c r="AH429">
        <v>0</v>
      </c>
      <c r="AI429">
        <v>0</v>
      </c>
      <c r="AJ429">
        <v>1</v>
      </c>
      <c r="AK429" t="s">
        <v>43</v>
      </c>
      <c r="AL429">
        <v>0.48611111111111099</v>
      </c>
      <c r="AM429" t="s">
        <v>49</v>
      </c>
      <c r="AO429">
        <f t="shared" si="133"/>
        <v>0</v>
      </c>
      <c r="AP429">
        <f t="shared" si="133"/>
        <v>0</v>
      </c>
      <c r="AQ429">
        <f t="shared" si="133"/>
        <v>0</v>
      </c>
      <c r="AR429">
        <f t="shared" si="133"/>
        <v>0</v>
      </c>
      <c r="AS429">
        <f t="shared" si="133"/>
        <v>0</v>
      </c>
      <c r="AT429">
        <f t="shared" si="133"/>
        <v>0</v>
      </c>
      <c r="AU429">
        <f t="shared" si="133"/>
        <v>0</v>
      </c>
      <c r="AV429">
        <f t="shared" si="133"/>
        <v>0</v>
      </c>
      <c r="AW429" t="str">
        <f t="shared" si="133"/>
        <v>Lynch</v>
      </c>
      <c r="AX429">
        <f t="shared" si="133"/>
        <v>0</v>
      </c>
      <c r="AY429">
        <f t="shared" si="134"/>
        <v>0</v>
      </c>
      <c r="AZ429">
        <f t="shared" si="134"/>
        <v>0</v>
      </c>
      <c r="BA429">
        <f t="shared" si="134"/>
        <v>0</v>
      </c>
      <c r="BB429">
        <f t="shared" si="134"/>
        <v>0</v>
      </c>
      <c r="BC429">
        <f t="shared" si="134"/>
        <v>0</v>
      </c>
      <c r="BD429">
        <f t="shared" si="134"/>
        <v>0</v>
      </c>
      <c r="BE429">
        <f t="shared" si="134"/>
        <v>0</v>
      </c>
      <c r="BF429">
        <f t="shared" si="134"/>
        <v>0</v>
      </c>
      <c r="BG429" t="str">
        <f t="shared" si="134"/>
        <v>Gray</v>
      </c>
      <c r="BH429">
        <f t="shared" si="134"/>
        <v>0</v>
      </c>
      <c r="BI429">
        <f t="shared" si="135"/>
        <v>0</v>
      </c>
      <c r="BJ429">
        <f t="shared" si="135"/>
        <v>0</v>
      </c>
      <c r="BK429">
        <f t="shared" si="135"/>
        <v>0</v>
      </c>
      <c r="BL429">
        <f t="shared" si="135"/>
        <v>0</v>
      </c>
      <c r="BM429">
        <f t="shared" si="135"/>
        <v>0</v>
      </c>
      <c r="BN429">
        <f t="shared" si="135"/>
        <v>0</v>
      </c>
      <c r="BO429">
        <f t="shared" si="135"/>
        <v>0</v>
      </c>
      <c r="BP429">
        <f t="shared" si="135"/>
        <v>0</v>
      </c>
      <c r="BQ429">
        <f t="shared" si="135"/>
        <v>0</v>
      </c>
      <c r="BR429">
        <f t="shared" si="135"/>
        <v>0</v>
      </c>
      <c r="BS429">
        <f t="shared" si="135"/>
        <v>0</v>
      </c>
    </row>
    <row r="430" spans="2:71" ht="15" customHeight="1" x14ac:dyDescent="0.2">
      <c r="B430">
        <v>23</v>
      </c>
      <c r="C430">
        <v>3</v>
      </c>
      <c r="D430">
        <v>7</v>
      </c>
      <c r="E430" t="s">
        <v>380</v>
      </c>
      <c r="F430" t="s">
        <v>214</v>
      </c>
      <c r="G430" s="5">
        <v>43686</v>
      </c>
      <c r="H430" t="s">
        <v>97</v>
      </c>
      <c r="I430" t="s">
        <v>347</v>
      </c>
      <c r="J430" t="s">
        <v>348</v>
      </c>
      <c r="K430">
        <v>9</v>
      </c>
      <c r="L430" t="s">
        <v>76</v>
      </c>
      <c r="M430" t="s">
        <v>378</v>
      </c>
      <c r="N430" t="s">
        <v>109</v>
      </c>
      <c r="O430">
        <v>68</v>
      </c>
      <c r="P430">
        <v>113</v>
      </c>
      <c r="Q430">
        <v>5727</v>
      </c>
      <c r="R430" t="s">
        <v>98</v>
      </c>
      <c r="S430" t="s">
        <v>80</v>
      </c>
      <c r="T430" t="s">
        <v>351</v>
      </c>
      <c r="U430" t="s">
        <v>352</v>
      </c>
      <c r="V430" t="s">
        <v>44</v>
      </c>
      <c r="W430" t="s">
        <v>109</v>
      </c>
      <c r="Y430" t="s">
        <v>60</v>
      </c>
      <c r="AA430">
        <v>1</v>
      </c>
      <c r="AB430" t="s">
        <v>33</v>
      </c>
      <c r="AC430" t="s">
        <v>221</v>
      </c>
      <c r="AE430" t="str">
        <f t="shared" si="123"/>
        <v>FlandersZimmer</v>
      </c>
      <c r="AF430">
        <v>0</v>
      </c>
      <c r="AG430">
        <v>0</v>
      </c>
      <c r="AH430">
        <v>1</v>
      </c>
      <c r="AI430">
        <v>0</v>
      </c>
      <c r="AJ430">
        <v>0</v>
      </c>
      <c r="AK430" t="s">
        <v>61</v>
      </c>
      <c r="AL430">
        <v>0.5</v>
      </c>
      <c r="AM430" t="s">
        <v>59</v>
      </c>
      <c r="AN430">
        <v>0.52777777777777801</v>
      </c>
      <c r="AO430">
        <f t="shared" si="133"/>
        <v>0</v>
      </c>
      <c r="AP430">
        <f t="shared" si="133"/>
        <v>0</v>
      </c>
      <c r="AQ430">
        <f t="shared" si="133"/>
        <v>0</v>
      </c>
      <c r="AR430">
        <f t="shared" si="133"/>
        <v>0</v>
      </c>
      <c r="AS430" t="str">
        <f t="shared" si="133"/>
        <v>Flanders</v>
      </c>
      <c r="AT430">
        <f t="shared" si="133"/>
        <v>0</v>
      </c>
      <c r="AU430">
        <f t="shared" si="133"/>
        <v>0</v>
      </c>
      <c r="AV430">
        <f t="shared" si="133"/>
        <v>0</v>
      </c>
      <c r="AW430">
        <f t="shared" si="133"/>
        <v>0</v>
      </c>
      <c r="AX430">
        <f t="shared" si="133"/>
        <v>0</v>
      </c>
      <c r="AY430">
        <f t="shared" si="134"/>
        <v>0</v>
      </c>
      <c r="AZ430">
        <f t="shared" si="134"/>
        <v>0</v>
      </c>
      <c r="BA430">
        <f t="shared" si="134"/>
        <v>0</v>
      </c>
      <c r="BB430">
        <f t="shared" si="134"/>
        <v>0</v>
      </c>
      <c r="BC430">
        <f t="shared" si="134"/>
        <v>0</v>
      </c>
      <c r="BD430">
        <f t="shared" si="134"/>
        <v>0</v>
      </c>
      <c r="BE430">
        <f t="shared" si="134"/>
        <v>0</v>
      </c>
      <c r="BF430">
        <f t="shared" si="134"/>
        <v>0</v>
      </c>
      <c r="BG430">
        <f t="shared" si="134"/>
        <v>0</v>
      </c>
      <c r="BH430">
        <f t="shared" si="134"/>
        <v>0</v>
      </c>
      <c r="BI430" t="str">
        <f t="shared" si="135"/>
        <v>Zimmer</v>
      </c>
      <c r="BJ430">
        <f t="shared" si="135"/>
        <v>0</v>
      </c>
      <c r="BK430">
        <f t="shared" si="135"/>
        <v>0</v>
      </c>
      <c r="BL430">
        <f t="shared" si="135"/>
        <v>0</v>
      </c>
      <c r="BM430">
        <f t="shared" si="135"/>
        <v>0</v>
      </c>
      <c r="BN430">
        <f t="shared" si="135"/>
        <v>0</v>
      </c>
      <c r="BO430">
        <f t="shared" si="135"/>
        <v>0</v>
      </c>
      <c r="BP430">
        <f t="shared" si="135"/>
        <v>0</v>
      </c>
      <c r="BQ430">
        <f t="shared" si="135"/>
        <v>0</v>
      </c>
      <c r="BR430">
        <f t="shared" si="135"/>
        <v>0</v>
      </c>
      <c r="BS430">
        <f t="shared" si="135"/>
        <v>0</v>
      </c>
    </row>
    <row r="431" spans="2:71" ht="15" customHeight="1" x14ac:dyDescent="0.2">
      <c r="B431">
        <v>23</v>
      </c>
      <c r="C431">
        <v>3</v>
      </c>
      <c r="D431">
        <v>7</v>
      </c>
      <c r="E431" t="s">
        <v>380</v>
      </c>
      <c r="F431" t="s">
        <v>214</v>
      </c>
      <c r="G431" s="5">
        <v>43686</v>
      </c>
      <c r="H431" t="s">
        <v>97</v>
      </c>
      <c r="I431" t="s">
        <v>347</v>
      </c>
      <c r="J431" t="s">
        <v>348</v>
      </c>
      <c r="K431">
        <v>9</v>
      </c>
      <c r="L431" t="s">
        <v>76</v>
      </c>
      <c r="M431" t="s">
        <v>378</v>
      </c>
      <c r="N431" t="s">
        <v>109</v>
      </c>
      <c r="O431">
        <v>68</v>
      </c>
      <c r="P431">
        <v>113</v>
      </c>
      <c r="Q431">
        <v>5727</v>
      </c>
      <c r="R431" t="s">
        <v>98</v>
      </c>
      <c r="S431" t="s">
        <v>80</v>
      </c>
      <c r="T431" t="s">
        <v>353</v>
      </c>
      <c r="U431" t="s">
        <v>354</v>
      </c>
      <c r="V431" t="s">
        <v>61</v>
      </c>
      <c r="W431" t="s">
        <v>78</v>
      </c>
      <c r="Y431" t="s">
        <v>59</v>
      </c>
      <c r="AA431">
        <v>1</v>
      </c>
      <c r="AB431" t="s">
        <v>32</v>
      </c>
      <c r="AC431" t="s">
        <v>221</v>
      </c>
      <c r="AE431" t="str">
        <f t="shared" si="123"/>
        <v>McInerneyNorat</v>
      </c>
      <c r="AF431">
        <v>1</v>
      </c>
      <c r="AG431">
        <v>1</v>
      </c>
      <c r="AH431">
        <v>0</v>
      </c>
      <c r="AI431">
        <v>0</v>
      </c>
      <c r="AJ431">
        <v>1</v>
      </c>
      <c r="AK431" t="s">
        <v>44</v>
      </c>
      <c r="AL431">
        <v>0.4296875</v>
      </c>
      <c r="AM431" t="s">
        <v>60</v>
      </c>
      <c r="AN431">
        <v>0.5</v>
      </c>
      <c r="AO431">
        <f t="shared" si="133"/>
        <v>0</v>
      </c>
      <c r="AP431">
        <f t="shared" si="133"/>
        <v>0</v>
      </c>
      <c r="AQ431">
        <f t="shared" si="133"/>
        <v>0</v>
      </c>
      <c r="AR431">
        <f t="shared" si="133"/>
        <v>0</v>
      </c>
      <c r="AS431">
        <f t="shared" si="133"/>
        <v>0</v>
      </c>
      <c r="AT431">
        <f t="shared" si="133"/>
        <v>0</v>
      </c>
      <c r="AU431">
        <f t="shared" si="133"/>
        <v>0</v>
      </c>
      <c r="AV431">
        <f t="shared" si="133"/>
        <v>0</v>
      </c>
      <c r="AW431">
        <f t="shared" si="133"/>
        <v>0</v>
      </c>
      <c r="AX431">
        <f t="shared" si="133"/>
        <v>0</v>
      </c>
      <c r="AY431">
        <f t="shared" si="134"/>
        <v>0</v>
      </c>
      <c r="AZ431">
        <f t="shared" si="134"/>
        <v>0</v>
      </c>
      <c r="BA431">
        <f t="shared" si="134"/>
        <v>0</v>
      </c>
      <c r="BB431">
        <f t="shared" si="134"/>
        <v>0</v>
      </c>
      <c r="BC431">
        <f t="shared" si="134"/>
        <v>0</v>
      </c>
      <c r="BD431">
        <f t="shared" si="134"/>
        <v>0</v>
      </c>
      <c r="BE431">
        <f t="shared" si="134"/>
        <v>0</v>
      </c>
      <c r="BF431">
        <f t="shared" si="134"/>
        <v>0</v>
      </c>
      <c r="BG431">
        <f t="shared" si="134"/>
        <v>0</v>
      </c>
      <c r="BH431" t="str">
        <f t="shared" si="134"/>
        <v>Norat</v>
      </c>
      <c r="BI431">
        <f t="shared" si="135"/>
        <v>0</v>
      </c>
      <c r="BJ431" t="str">
        <f t="shared" si="135"/>
        <v>McInerney</v>
      </c>
      <c r="BK431">
        <f t="shared" si="135"/>
        <v>0</v>
      </c>
      <c r="BL431">
        <f t="shared" si="135"/>
        <v>0</v>
      </c>
      <c r="BM431">
        <f t="shared" si="135"/>
        <v>0</v>
      </c>
      <c r="BN431">
        <f t="shared" si="135"/>
        <v>0</v>
      </c>
      <c r="BO431">
        <f t="shared" si="135"/>
        <v>0</v>
      </c>
      <c r="BP431">
        <f t="shared" si="135"/>
        <v>0</v>
      </c>
      <c r="BQ431">
        <f t="shared" si="135"/>
        <v>0</v>
      </c>
      <c r="BR431">
        <f t="shared" si="135"/>
        <v>0</v>
      </c>
      <c r="BS431">
        <f t="shared" si="135"/>
        <v>0</v>
      </c>
    </row>
    <row r="432" spans="2:71" ht="15" customHeight="1" x14ac:dyDescent="0.2">
      <c r="B432">
        <v>24</v>
      </c>
      <c r="C432">
        <v>4</v>
      </c>
      <c r="D432">
        <v>7</v>
      </c>
      <c r="E432" t="s">
        <v>381</v>
      </c>
      <c r="F432" t="s">
        <v>214</v>
      </c>
      <c r="G432" s="5">
        <v>43686</v>
      </c>
      <c r="H432" t="s">
        <v>97</v>
      </c>
      <c r="I432" t="s">
        <v>347</v>
      </c>
      <c r="J432" t="s">
        <v>348</v>
      </c>
      <c r="K432">
        <v>9</v>
      </c>
      <c r="L432" t="s">
        <v>76</v>
      </c>
      <c r="M432" t="s">
        <v>378</v>
      </c>
      <c r="N432" t="s">
        <v>109</v>
      </c>
      <c r="O432">
        <v>68</v>
      </c>
      <c r="P432">
        <v>113</v>
      </c>
      <c r="Q432">
        <v>5727</v>
      </c>
      <c r="R432" t="s">
        <v>98</v>
      </c>
      <c r="S432" t="s">
        <v>80</v>
      </c>
      <c r="T432" t="s">
        <v>353</v>
      </c>
      <c r="U432" t="s">
        <v>354</v>
      </c>
      <c r="V432" t="s">
        <v>53</v>
      </c>
      <c r="W432" t="s">
        <v>78</v>
      </c>
      <c r="Y432" t="s">
        <v>62</v>
      </c>
      <c r="AA432">
        <v>1</v>
      </c>
      <c r="AB432" t="s">
        <v>32</v>
      </c>
      <c r="AC432" t="s">
        <v>221</v>
      </c>
      <c r="AE432" t="str">
        <f t="shared" si="123"/>
        <v>ForsterWelker</v>
      </c>
      <c r="AF432">
        <v>1</v>
      </c>
      <c r="AG432">
        <v>1</v>
      </c>
      <c r="AH432">
        <v>0</v>
      </c>
      <c r="AI432">
        <v>0</v>
      </c>
      <c r="AJ432">
        <v>1</v>
      </c>
      <c r="AK432" t="s">
        <v>52</v>
      </c>
      <c r="AL432">
        <v>0.34745762711864397</v>
      </c>
      <c r="AM432" t="s">
        <v>40</v>
      </c>
      <c r="AN432">
        <v>0.546875</v>
      </c>
      <c r="AO432">
        <f t="shared" ref="AO432:AX441" si="136">IF(OR($V432=AO$1,$Y432=AO$1),AO$1,0)</f>
        <v>0</v>
      </c>
      <c r="AP432">
        <f t="shared" si="136"/>
        <v>0</v>
      </c>
      <c r="AQ432">
        <f t="shared" si="136"/>
        <v>0</v>
      </c>
      <c r="AR432">
        <f t="shared" si="136"/>
        <v>0</v>
      </c>
      <c r="AS432">
        <f t="shared" si="136"/>
        <v>0</v>
      </c>
      <c r="AT432">
        <f t="shared" si="136"/>
        <v>0</v>
      </c>
      <c r="AU432">
        <f t="shared" si="136"/>
        <v>0</v>
      </c>
      <c r="AV432">
        <f t="shared" si="136"/>
        <v>0</v>
      </c>
      <c r="AW432">
        <f t="shared" si="136"/>
        <v>0</v>
      </c>
      <c r="AX432">
        <f t="shared" si="136"/>
        <v>0</v>
      </c>
      <c r="AY432">
        <f t="shared" ref="AY432:BH441" si="137">IF(OR($V432=AY$1,$Y432=AY$1),AY$1,0)</f>
        <v>0</v>
      </c>
      <c r="AZ432">
        <f t="shared" si="137"/>
        <v>0</v>
      </c>
      <c r="BA432">
        <f t="shared" si="137"/>
        <v>0</v>
      </c>
      <c r="BB432" t="str">
        <f t="shared" si="137"/>
        <v>Forster</v>
      </c>
      <c r="BC432">
        <f t="shared" si="137"/>
        <v>0</v>
      </c>
      <c r="BD432">
        <f t="shared" si="137"/>
        <v>0</v>
      </c>
      <c r="BE432">
        <f t="shared" si="137"/>
        <v>0</v>
      </c>
      <c r="BF432">
        <f t="shared" si="137"/>
        <v>0</v>
      </c>
      <c r="BG432">
        <f t="shared" si="137"/>
        <v>0</v>
      </c>
      <c r="BH432">
        <f t="shared" si="137"/>
        <v>0</v>
      </c>
      <c r="BI432">
        <f t="shared" ref="BI432:BS441" si="138">IF(OR($V432=BI$1,$Y432=BI$1),BI$1,0)</f>
        <v>0</v>
      </c>
      <c r="BJ432">
        <f t="shared" si="138"/>
        <v>0</v>
      </c>
      <c r="BK432" t="str">
        <f t="shared" si="138"/>
        <v>Welker</v>
      </c>
      <c r="BL432">
        <f t="shared" si="138"/>
        <v>0</v>
      </c>
      <c r="BM432">
        <f t="shared" si="138"/>
        <v>0</v>
      </c>
      <c r="BN432">
        <f t="shared" si="138"/>
        <v>0</v>
      </c>
      <c r="BO432">
        <f t="shared" si="138"/>
        <v>0</v>
      </c>
      <c r="BP432">
        <f t="shared" si="138"/>
        <v>0</v>
      </c>
      <c r="BQ432">
        <f t="shared" si="138"/>
        <v>0</v>
      </c>
      <c r="BR432">
        <f t="shared" si="138"/>
        <v>0</v>
      </c>
      <c r="BS432">
        <f t="shared" si="138"/>
        <v>0</v>
      </c>
    </row>
    <row r="433" spans="2:71" ht="15" customHeight="1" x14ac:dyDescent="0.2">
      <c r="B433">
        <v>24</v>
      </c>
      <c r="C433">
        <v>4</v>
      </c>
      <c r="D433">
        <v>7</v>
      </c>
      <c r="E433" t="s">
        <v>381</v>
      </c>
      <c r="F433" t="s">
        <v>214</v>
      </c>
      <c r="G433" s="5">
        <v>43686</v>
      </c>
      <c r="H433" t="s">
        <v>97</v>
      </c>
      <c r="I433" t="s">
        <v>347</v>
      </c>
      <c r="J433" t="s">
        <v>348</v>
      </c>
      <c r="K433">
        <v>9</v>
      </c>
      <c r="L433" t="s">
        <v>76</v>
      </c>
      <c r="M433" t="s">
        <v>378</v>
      </c>
      <c r="N433" t="s">
        <v>109</v>
      </c>
      <c r="O433">
        <v>68</v>
      </c>
      <c r="P433">
        <v>113</v>
      </c>
      <c r="Q433">
        <v>5727</v>
      </c>
      <c r="R433" t="s">
        <v>98</v>
      </c>
      <c r="S433" t="s">
        <v>80</v>
      </c>
      <c r="T433" t="s">
        <v>351</v>
      </c>
      <c r="U433" t="s">
        <v>352</v>
      </c>
      <c r="V433" t="s">
        <v>52</v>
      </c>
      <c r="W433" t="s">
        <v>109</v>
      </c>
      <c r="Y433" t="s">
        <v>40</v>
      </c>
      <c r="AA433">
        <v>1</v>
      </c>
      <c r="AB433" t="s">
        <v>33</v>
      </c>
      <c r="AC433" t="s">
        <v>221</v>
      </c>
      <c r="AE433" t="str">
        <f t="shared" si="123"/>
        <v>ConnorsGrise</v>
      </c>
      <c r="AF433">
        <v>0</v>
      </c>
      <c r="AG433">
        <v>0</v>
      </c>
      <c r="AH433">
        <v>1</v>
      </c>
      <c r="AI433">
        <v>0</v>
      </c>
      <c r="AJ433">
        <v>0</v>
      </c>
      <c r="AK433" t="s">
        <v>53</v>
      </c>
      <c r="AL433">
        <v>0.59649122807017496</v>
      </c>
      <c r="AM433" t="s">
        <v>62</v>
      </c>
      <c r="AN433">
        <v>0.51041666666666696</v>
      </c>
      <c r="AO433" t="str">
        <f t="shared" si="136"/>
        <v>Grise</v>
      </c>
      <c r="AP433">
        <f t="shared" si="136"/>
        <v>0</v>
      </c>
      <c r="AQ433">
        <f t="shared" si="136"/>
        <v>0</v>
      </c>
      <c r="AR433">
        <f t="shared" si="136"/>
        <v>0</v>
      </c>
      <c r="AS433">
        <f t="shared" si="136"/>
        <v>0</v>
      </c>
      <c r="AT433">
        <f t="shared" si="136"/>
        <v>0</v>
      </c>
      <c r="AU433">
        <f t="shared" si="136"/>
        <v>0</v>
      </c>
      <c r="AV433">
        <f t="shared" si="136"/>
        <v>0</v>
      </c>
      <c r="AW433">
        <f t="shared" si="136"/>
        <v>0</v>
      </c>
      <c r="AX433">
        <f t="shared" si="136"/>
        <v>0</v>
      </c>
      <c r="AY433">
        <f t="shared" si="137"/>
        <v>0</v>
      </c>
      <c r="AZ433">
        <f t="shared" si="137"/>
        <v>0</v>
      </c>
      <c r="BA433" t="str">
        <f t="shared" si="137"/>
        <v>Connors</v>
      </c>
      <c r="BB433">
        <f t="shared" si="137"/>
        <v>0</v>
      </c>
      <c r="BC433">
        <f t="shared" si="137"/>
        <v>0</v>
      </c>
      <c r="BD433">
        <f t="shared" si="137"/>
        <v>0</v>
      </c>
      <c r="BE433">
        <f t="shared" si="137"/>
        <v>0</v>
      </c>
      <c r="BF433">
        <f t="shared" si="137"/>
        <v>0</v>
      </c>
      <c r="BG433">
        <f t="shared" si="137"/>
        <v>0</v>
      </c>
      <c r="BH433">
        <f t="shared" si="137"/>
        <v>0</v>
      </c>
      <c r="BI433">
        <f t="shared" si="138"/>
        <v>0</v>
      </c>
      <c r="BJ433">
        <f t="shared" si="138"/>
        <v>0</v>
      </c>
      <c r="BK433">
        <f t="shared" si="138"/>
        <v>0</v>
      </c>
      <c r="BL433">
        <f t="shared" si="138"/>
        <v>0</v>
      </c>
      <c r="BM433">
        <f t="shared" si="138"/>
        <v>0</v>
      </c>
      <c r="BN433">
        <f t="shared" si="138"/>
        <v>0</v>
      </c>
      <c r="BO433">
        <f t="shared" si="138"/>
        <v>0</v>
      </c>
      <c r="BP433">
        <f t="shared" si="138"/>
        <v>0</v>
      </c>
      <c r="BQ433">
        <f t="shared" si="138"/>
        <v>0</v>
      </c>
      <c r="BR433">
        <f t="shared" si="138"/>
        <v>0</v>
      </c>
      <c r="BS433">
        <f t="shared" si="138"/>
        <v>0</v>
      </c>
    </row>
    <row r="434" spans="2:71" ht="15" customHeight="1" x14ac:dyDescent="0.2">
      <c r="B434">
        <v>25</v>
      </c>
      <c r="C434">
        <v>5</v>
      </c>
      <c r="D434">
        <v>7</v>
      </c>
      <c r="E434" t="s">
        <v>382</v>
      </c>
      <c r="F434" t="s">
        <v>214</v>
      </c>
      <c r="G434" s="5">
        <v>43686</v>
      </c>
      <c r="H434" t="s">
        <v>97</v>
      </c>
      <c r="I434" t="s">
        <v>347</v>
      </c>
      <c r="J434" t="s">
        <v>348</v>
      </c>
      <c r="K434">
        <v>9</v>
      </c>
      <c r="L434" t="s">
        <v>76</v>
      </c>
      <c r="M434" t="s">
        <v>378</v>
      </c>
      <c r="N434" t="s">
        <v>109</v>
      </c>
      <c r="O434">
        <v>68</v>
      </c>
      <c r="P434">
        <v>113</v>
      </c>
      <c r="Q434">
        <v>5727</v>
      </c>
      <c r="R434" t="s">
        <v>98</v>
      </c>
      <c r="S434" t="s">
        <v>80</v>
      </c>
      <c r="T434" t="s">
        <v>351</v>
      </c>
      <c r="U434" t="s">
        <v>352</v>
      </c>
      <c r="V434" t="s">
        <v>57</v>
      </c>
      <c r="W434" t="s">
        <v>109</v>
      </c>
      <c r="Y434" t="s">
        <v>55</v>
      </c>
      <c r="AA434">
        <v>1</v>
      </c>
      <c r="AB434" t="s">
        <v>33</v>
      </c>
      <c r="AC434" t="s">
        <v>174</v>
      </c>
      <c r="AE434" t="str">
        <f t="shared" si="123"/>
        <v>BussCole</v>
      </c>
      <c r="AF434">
        <v>0</v>
      </c>
      <c r="AG434">
        <v>0</v>
      </c>
      <c r="AH434">
        <v>1</v>
      </c>
      <c r="AI434">
        <v>0</v>
      </c>
      <c r="AJ434">
        <v>0</v>
      </c>
      <c r="AK434" t="s">
        <v>54</v>
      </c>
      <c r="AL434">
        <v>0.37288135593220301</v>
      </c>
      <c r="AM434" t="s">
        <v>46</v>
      </c>
      <c r="AN434">
        <v>0.38392857142857201</v>
      </c>
      <c r="AO434">
        <f t="shared" si="136"/>
        <v>0</v>
      </c>
      <c r="AP434">
        <f t="shared" si="136"/>
        <v>0</v>
      </c>
      <c r="AQ434">
        <f t="shared" si="136"/>
        <v>0</v>
      </c>
      <c r="AR434">
        <f t="shared" si="136"/>
        <v>0</v>
      </c>
      <c r="AS434">
        <f t="shared" si="136"/>
        <v>0</v>
      </c>
      <c r="AT434">
        <f t="shared" si="136"/>
        <v>0</v>
      </c>
      <c r="AU434">
        <f t="shared" si="136"/>
        <v>0</v>
      </c>
      <c r="AV434">
        <f t="shared" si="136"/>
        <v>0</v>
      </c>
      <c r="AW434">
        <f t="shared" si="136"/>
        <v>0</v>
      </c>
      <c r="AX434">
        <f t="shared" si="136"/>
        <v>0</v>
      </c>
      <c r="AY434">
        <f t="shared" si="137"/>
        <v>0</v>
      </c>
      <c r="AZ434">
        <f t="shared" si="137"/>
        <v>0</v>
      </c>
      <c r="BA434">
        <f t="shared" si="137"/>
        <v>0</v>
      </c>
      <c r="BB434">
        <f t="shared" si="137"/>
        <v>0</v>
      </c>
      <c r="BC434">
        <f t="shared" si="137"/>
        <v>0</v>
      </c>
      <c r="BD434" t="str">
        <f t="shared" si="137"/>
        <v>Cole</v>
      </c>
      <c r="BE434">
        <f t="shared" si="137"/>
        <v>0</v>
      </c>
      <c r="BF434" t="str">
        <f t="shared" si="137"/>
        <v>Buss</v>
      </c>
      <c r="BG434">
        <f t="shared" si="137"/>
        <v>0</v>
      </c>
      <c r="BH434">
        <f t="shared" si="137"/>
        <v>0</v>
      </c>
      <c r="BI434">
        <f t="shared" si="138"/>
        <v>0</v>
      </c>
      <c r="BJ434">
        <f t="shared" si="138"/>
        <v>0</v>
      </c>
      <c r="BK434">
        <f t="shared" si="138"/>
        <v>0</v>
      </c>
      <c r="BL434">
        <f t="shared" si="138"/>
        <v>0</v>
      </c>
      <c r="BM434">
        <f t="shared" si="138"/>
        <v>0</v>
      </c>
      <c r="BN434">
        <f t="shared" si="138"/>
        <v>0</v>
      </c>
      <c r="BO434">
        <f t="shared" si="138"/>
        <v>0</v>
      </c>
      <c r="BP434">
        <f t="shared" si="138"/>
        <v>0</v>
      </c>
      <c r="BQ434">
        <f t="shared" si="138"/>
        <v>0</v>
      </c>
      <c r="BR434">
        <f t="shared" si="138"/>
        <v>0</v>
      </c>
      <c r="BS434">
        <f t="shared" si="138"/>
        <v>0</v>
      </c>
    </row>
    <row r="435" spans="2:71" ht="15" customHeight="1" x14ac:dyDescent="0.2">
      <c r="B435">
        <v>25</v>
      </c>
      <c r="C435">
        <v>5</v>
      </c>
      <c r="D435">
        <v>7</v>
      </c>
      <c r="E435" t="s">
        <v>382</v>
      </c>
      <c r="F435" t="s">
        <v>214</v>
      </c>
      <c r="G435" s="5">
        <v>43686</v>
      </c>
      <c r="H435" t="s">
        <v>97</v>
      </c>
      <c r="I435" t="s">
        <v>347</v>
      </c>
      <c r="J435" t="s">
        <v>348</v>
      </c>
      <c r="K435">
        <v>9</v>
      </c>
      <c r="L435" t="s">
        <v>76</v>
      </c>
      <c r="M435" t="s">
        <v>378</v>
      </c>
      <c r="N435" t="s">
        <v>109</v>
      </c>
      <c r="O435">
        <v>68</v>
      </c>
      <c r="P435">
        <v>113</v>
      </c>
      <c r="Q435">
        <v>5727</v>
      </c>
      <c r="R435" t="s">
        <v>98</v>
      </c>
      <c r="S435" t="s">
        <v>80</v>
      </c>
      <c r="T435" t="s">
        <v>353</v>
      </c>
      <c r="U435" t="s">
        <v>354</v>
      </c>
      <c r="V435" t="s">
        <v>54</v>
      </c>
      <c r="W435" t="s">
        <v>78</v>
      </c>
      <c r="Y435" t="s">
        <v>46</v>
      </c>
      <c r="AA435">
        <v>1</v>
      </c>
      <c r="AB435" t="s">
        <v>32</v>
      </c>
      <c r="AC435" t="s">
        <v>174</v>
      </c>
      <c r="AE435" t="str">
        <f t="shared" si="123"/>
        <v>FoganMangold</v>
      </c>
      <c r="AF435">
        <v>1</v>
      </c>
      <c r="AG435">
        <v>1</v>
      </c>
      <c r="AH435">
        <v>0</v>
      </c>
      <c r="AI435">
        <v>0</v>
      </c>
      <c r="AJ435">
        <v>1</v>
      </c>
      <c r="AK435" t="s">
        <v>57</v>
      </c>
      <c r="AL435">
        <v>0.44827586206896602</v>
      </c>
      <c r="AM435" t="s">
        <v>55</v>
      </c>
      <c r="AN435">
        <v>0.44067796610169502</v>
      </c>
      <c r="AO435">
        <f t="shared" si="136"/>
        <v>0</v>
      </c>
      <c r="AP435">
        <f t="shared" si="136"/>
        <v>0</v>
      </c>
      <c r="AQ435">
        <f t="shared" si="136"/>
        <v>0</v>
      </c>
      <c r="AR435">
        <f t="shared" si="136"/>
        <v>0</v>
      </c>
      <c r="AS435">
        <f t="shared" si="136"/>
        <v>0</v>
      </c>
      <c r="AT435">
        <f t="shared" si="136"/>
        <v>0</v>
      </c>
      <c r="AU435" t="str">
        <f t="shared" si="136"/>
        <v>Mangold</v>
      </c>
      <c r="AV435">
        <f t="shared" si="136"/>
        <v>0</v>
      </c>
      <c r="AW435">
        <f t="shared" si="136"/>
        <v>0</v>
      </c>
      <c r="AX435">
        <f t="shared" si="136"/>
        <v>0</v>
      </c>
      <c r="AY435">
        <f t="shared" si="137"/>
        <v>0</v>
      </c>
      <c r="AZ435">
        <f t="shared" si="137"/>
        <v>0</v>
      </c>
      <c r="BA435">
        <f t="shared" si="137"/>
        <v>0</v>
      </c>
      <c r="BB435">
        <f t="shared" si="137"/>
        <v>0</v>
      </c>
      <c r="BC435" t="str">
        <f t="shared" si="137"/>
        <v>Fogan</v>
      </c>
      <c r="BD435">
        <f t="shared" si="137"/>
        <v>0</v>
      </c>
      <c r="BE435">
        <f t="shared" si="137"/>
        <v>0</v>
      </c>
      <c r="BF435">
        <f t="shared" si="137"/>
        <v>0</v>
      </c>
      <c r="BG435">
        <f t="shared" si="137"/>
        <v>0</v>
      </c>
      <c r="BH435">
        <f t="shared" si="137"/>
        <v>0</v>
      </c>
      <c r="BI435">
        <f t="shared" si="138"/>
        <v>0</v>
      </c>
      <c r="BJ435">
        <f t="shared" si="138"/>
        <v>0</v>
      </c>
      <c r="BK435">
        <f t="shared" si="138"/>
        <v>0</v>
      </c>
      <c r="BL435">
        <f t="shared" si="138"/>
        <v>0</v>
      </c>
      <c r="BM435">
        <f t="shared" si="138"/>
        <v>0</v>
      </c>
      <c r="BN435">
        <f t="shared" si="138"/>
        <v>0</v>
      </c>
      <c r="BO435">
        <f t="shared" si="138"/>
        <v>0</v>
      </c>
      <c r="BP435">
        <f t="shared" si="138"/>
        <v>0</v>
      </c>
      <c r="BQ435">
        <f t="shared" si="138"/>
        <v>0</v>
      </c>
      <c r="BR435">
        <f t="shared" si="138"/>
        <v>0</v>
      </c>
      <c r="BS435">
        <f t="shared" si="138"/>
        <v>0</v>
      </c>
    </row>
    <row r="436" spans="2:71" ht="15" customHeight="1" x14ac:dyDescent="0.2">
      <c r="B436" t="s">
        <v>245</v>
      </c>
      <c r="D436">
        <v>7</v>
      </c>
      <c r="E436" t="s">
        <v>383</v>
      </c>
      <c r="F436" t="s">
        <v>214</v>
      </c>
      <c r="G436" s="5">
        <v>43686</v>
      </c>
      <c r="H436" t="s">
        <v>97</v>
      </c>
      <c r="I436" t="s">
        <v>347</v>
      </c>
      <c r="J436" t="s">
        <v>348</v>
      </c>
      <c r="K436">
        <v>9</v>
      </c>
      <c r="L436" t="s">
        <v>90</v>
      </c>
      <c r="M436" t="s">
        <v>378</v>
      </c>
      <c r="N436" t="s">
        <v>109</v>
      </c>
      <c r="O436">
        <v>68</v>
      </c>
      <c r="P436">
        <v>113</v>
      </c>
      <c r="Q436">
        <v>5727</v>
      </c>
      <c r="R436" t="s">
        <v>248</v>
      </c>
      <c r="S436" t="s">
        <v>248</v>
      </c>
      <c r="T436" t="s">
        <v>351</v>
      </c>
      <c r="U436" t="s">
        <v>352</v>
      </c>
      <c r="V436" t="s">
        <v>55</v>
      </c>
      <c r="W436" t="s">
        <v>109</v>
      </c>
      <c r="AA436">
        <v>0.5</v>
      </c>
      <c r="AB436" t="s">
        <v>32</v>
      </c>
      <c r="AC436" t="s">
        <v>209</v>
      </c>
      <c r="AE436" t="str">
        <f t="shared" si="123"/>
        <v>Cole</v>
      </c>
      <c r="AF436">
        <v>0.5</v>
      </c>
      <c r="AG436">
        <v>1</v>
      </c>
      <c r="AH436">
        <v>0</v>
      </c>
      <c r="AI436">
        <v>0</v>
      </c>
      <c r="AJ436">
        <v>1</v>
      </c>
      <c r="AO436">
        <f t="shared" si="136"/>
        <v>0</v>
      </c>
      <c r="AP436">
        <f t="shared" si="136"/>
        <v>0</v>
      </c>
      <c r="AQ436">
        <f t="shared" si="136"/>
        <v>0</v>
      </c>
      <c r="AR436">
        <f t="shared" si="136"/>
        <v>0</v>
      </c>
      <c r="AS436">
        <f t="shared" si="136"/>
        <v>0</v>
      </c>
      <c r="AT436">
        <f t="shared" si="136"/>
        <v>0</v>
      </c>
      <c r="AU436">
        <f t="shared" si="136"/>
        <v>0</v>
      </c>
      <c r="AV436">
        <f t="shared" si="136"/>
        <v>0</v>
      </c>
      <c r="AW436">
        <f t="shared" si="136"/>
        <v>0</v>
      </c>
      <c r="AX436">
        <f t="shared" si="136"/>
        <v>0</v>
      </c>
      <c r="AY436">
        <f t="shared" si="137"/>
        <v>0</v>
      </c>
      <c r="AZ436">
        <f t="shared" si="137"/>
        <v>0</v>
      </c>
      <c r="BA436">
        <f t="shared" si="137"/>
        <v>0</v>
      </c>
      <c r="BB436">
        <f t="shared" si="137"/>
        <v>0</v>
      </c>
      <c r="BC436">
        <f t="shared" si="137"/>
        <v>0</v>
      </c>
      <c r="BD436" t="str">
        <f t="shared" si="137"/>
        <v>Cole</v>
      </c>
      <c r="BE436">
        <f t="shared" si="137"/>
        <v>0</v>
      </c>
      <c r="BF436">
        <f t="shared" si="137"/>
        <v>0</v>
      </c>
      <c r="BG436">
        <f t="shared" si="137"/>
        <v>0</v>
      </c>
      <c r="BH436">
        <f t="shared" si="137"/>
        <v>0</v>
      </c>
      <c r="BI436">
        <f t="shared" si="138"/>
        <v>0</v>
      </c>
      <c r="BJ436">
        <f t="shared" si="138"/>
        <v>0</v>
      </c>
      <c r="BK436">
        <f t="shared" si="138"/>
        <v>0</v>
      </c>
      <c r="BL436">
        <f t="shared" si="138"/>
        <v>0</v>
      </c>
      <c r="BM436">
        <f t="shared" si="138"/>
        <v>0</v>
      </c>
      <c r="BN436">
        <f t="shared" si="138"/>
        <v>0</v>
      </c>
      <c r="BO436">
        <f t="shared" si="138"/>
        <v>0</v>
      </c>
      <c r="BP436">
        <f t="shared" si="138"/>
        <v>0</v>
      </c>
      <c r="BQ436">
        <f t="shared" si="138"/>
        <v>0</v>
      </c>
      <c r="BR436">
        <f t="shared" si="138"/>
        <v>0</v>
      </c>
      <c r="BS436">
        <f t="shared" si="138"/>
        <v>0</v>
      </c>
    </row>
    <row r="437" spans="2:71" ht="15" customHeight="1" x14ac:dyDescent="0.2">
      <c r="B437" t="s">
        <v>245</v>
      </c>
      <c r="D437">
        <v>7</v>
      </c>
      <c r="E437" t="s">
        <v>383</v>
      </c>
      <c r="F437" t="s">
        <v>214</v>
      </c>
      <c r="G437" s="5">
        <v>43686</v>
      </c>
      <c r="H437" t="s">
        <v>97</v>
      </c>
      <c r="I437" t="s">
        <v>347</v>
      </c>
      <c r="J437" t="s">
        <v>348</v>
      </c>
      <c r="K437">
        <v>9</v>
      </c>
      <c r="L437" t="s">
        <v>90</v>
      </c>
      <c r="M437" t="s">
        <v>378</v>
      </c>
      <c r="N437" t="s">
        <v>109</v>
      </c>
      <c r="O437">
        <v>68</v>
      </c>
      <c r="P437">
        <v>113</v>
      </c>
      <c r="Q437">
        <v>5727</v>
      </c>
      <c r="R437" t="s">
        <v>248</v>
      </c>
      <c r="S437" t="s">
        <v>248</v>
      </c>
      <c r="T437" t="s">
        <v>351</v>
      </c>
      <c r="U437" t="s">
        <v>352</v>
      </c>
      <c r="V437" t="s">
        <v>50</v>
      </c>
      <c r="W437" t="s">
        <v>109</v>
      </c>
      <c r="AA437">
        <v>0.5</v>
      </c>
      <c r="AB437" t="s">
        <v>32</v>
      </c>
      <c r="AC437" t="s">
        <v>209</v>
      </c>
      <c r="AE437" t="str">
        <f t="shared" si="123"/>
        <v>Ferrin</v>
      </c>
      <c r="AF437">
        <v>0.5</v>
      </c>
      <c r="AG437">
        <v>1</v>
      </c>
      <c r="AH437">
        <v>0</v>
      </c>
      <c r="AI437">
        <v>0</v>
      </c>
      <c r="AJ437">
        <v>1</v>
      </c>
      <c r="AO437">
        <f t="shared" si="136"/>
        <v>0</v>
      </c>
      <c r="AP437">
        <f t="shared" si="136"/>
        <v>0</v>
      </c>
      <c r="AQ437">
        <f t="shared" si="136"/>
        <v>0</v>
      </c>
      <c r="AR437">
        <f t="shared" si="136"/>
        <v>0</v>
      </c>
      <c r="AS437">
        <f t="shared" si="136"/>
        <v>0</v>
      </c>
      <c r="AT437">
        <f t="shared" si="136"/>
        <v>0</v>
      </c>
      <c r="AU437">
        <f t="shared" si="136"/>
        <v>0</v>
      </c>
      <c r="AV437">
        <f t="shared" si="136"/>
        <v>0</v>
      </c>
      <c r="AW437">
        <f t="shared" si="136"/>
        <v>0</v>
      </c>
      <c r="AX437">
        <f t="shared" si="136"/>
        <v>0</v>
      </c>
      <c r="AY437" t="str">
        <f t="shared" si="137"/>
        <v>Ferrin</v>
      </c>
      <c r="AZ437">
        <f t="shared" si="137"/>
        <v>0</v>
      </c>
      <c r="BA437">
        <f t="shared" si="137"/>
        <v>0</v>
      </c>
      <c r="BB437">
        <f t="shared" si="137"/>
        <v>0</v>
      </c>
      <c r="BC437">
        <f t="shared" si="137"/>
        <v>0</v>
      </c>
      <c r="BD437">
        <f t="shared" si="137"/>
        <v>0</v>
      </c>
      <c r="BE437">
        <f t="shared" si="137"/>
        <v>0</v>
      </c>
      <c r="BF437">
        <f t="shared" si="137"/>
        <v>0</v>
      </c>
      <c r="BG437">
        <f t="shared" si="137"/>
        <v>0</v>
      </c>
      <c r="BH437">
        <f t="shared" si="137"/>
        <v>0</v>
      </c>
      <c r="BI437">
        <f t="shared" si="138"/>
        <v>0</v>
      </c>
      <c r="BJ437">
        <f t="shared" si="138"/>
        <v>0</v>
      </c>
      <c r="BK437">
        <f t="shared" si="138"/>
        <v>0</v>
      </c>
      <c r="BL437">
        <f t="shared" si="138"/>
        <v>0</v>
      </c>
      <c r="BM437">
        <f t="shared" si="138"/>
        <v>0</v>
      </c>
      <c r="BN437">
        <f t="shared" si="138"/>
        <v>0</v>
      </c>
      <c r="BO437">
        <f t="shared" si="138"/>
        <v>0</v>
      </c>
      <c r="BP437">
        <f t="shared" si="138"/>
        <v>0</v>
      </c>
      <c r="BQ437">
        <f t="shared" si="138"/>
        <v>0</v>
      </c>
      <c r="BR437">
        <f t="shared" si="138"/>
        <v>0</v>
      </c>
      <c r="BS437">
        <f t="shared" si="138"/>
        <v>0</v>
      </c>
    </row>
    <row r="438" spans="2:71" ht="15" customHeight="1" x14ac:dyDescent="0.2">
      <c r="B438" t="s">
        <v>245</v>
      </c>
      <c r="D438">
        <v>7</v>
      </c>
      <c r="E438" t="s">
        <v>383</v>
      </c>
      <c r="F438" t="s">
        <v>214</v>
      </c>
      <c r="G438" s="5">
        <v>43686</v>
      </c>
      <c r="H438" t="s">
        <v>97</v>
      </c>
      <c r="I438" t="s">
        <v>347</v>
      </c>
      <c r="J438" t="s">
        <v>348</v>
      </c>
      <c r="K438">
        <v>9</v>
      </c>
      <c r="L438" t="s">
        <v>90</v>
      </c>
      <c r="M438" t="s">
        <v>378</v>
      </c>
      <c r="N438" t="s">
        <v>109</v>
      </c>
      <c r="O438">
        <v>68</v>
      </c>
      <c r="P438">
        <v>113</v>
      </c>
      <c r="Q438">
        <v>5727</v>
      </c>
      <c r="R438" t="s">
        <v>248</v>
      </c>
      <c r="S438" t="s">
        <v>248</v>
      </c>
      <c r="T438" t="s">
        <v>351</v>
      </c>
      <c r="U438" t="s">
        <v>352</v>
      </c>
      <c r="V438" t="s">
        <v>58</v>
      </c>
      <c r="W438" t="s">
        <v>109</v>
      </c>
      <c r="AA438">
        <v>0.5</v>
      </c>
      <c r="AB438" t="s">
        <v>32</v>
      </c>
      <c r="AC438" t="s">
        <v>209</v>
      </c>
      <c r="AE438" t="str">
        <f t="shared" si="123"/>
        <v>Gray</v>
      </c>
      <c r="AF438">
        <v>0.5</v>
      </c>
      <c r="AG438">
        <v>1</v>
      </c>
      <c r="AH438">
        <v>0</v>
      </c>
      <c r="AI438">
        <v>0</v>
      </c>
      <c r="AJ438">
        <v>1</v>
      </c>
      <c r="AO438">
        <f t="shared" si="136"/>
        <v>0</v>
      </c>
      <c r="AP438">
        <f t="shared" si="136"/>
        <v>0</v>
      </c>
      <c r="AQ438">
        <f t="shared" si="136"/>
        <v>0</v>
      </c>
      <c r="AR438">
        <f t="shared" si="136"/>
        <v>0</v>
      </c>
      <c r="AS438">
        <f t="shared" si="136"/>
        <v>0</v>
      </c>
      <c r="AT438">
        <f t="shared" si="136"/>
        <v>0</v>
      </c>
      <c r="AU438">
        <f t="shared" si="136"/>
        <v>0</v>
      </c>
      <c r="AV438">
        <f t="shared" si="136"/>
        <v>0</v>
      </c>
      <c r="AW438">
        <f t="shared" si="136"/>
        <v>0</v>
      </c>
      <c r="AX438">
        <f t="shared" si="136"/>
        <v>0</v>
      </c>
      <c r="AY438">
        <f t="shared" si="137"/>
        <v>0</v>
      </c>
      <c r="AZ438">
        <f t="shared" si="137"/>
        <v>0</v>
      </c>
      <c r="BA438">
        <f t="shared" si="137"/>
        <v>0</v>
      </c>
      <c r="BB438">
        <f t="shared" si="137"/>
        <v>0</v>
      </c>
      <c r="BC438">
        <f t="shared" si="137"/>
        <v>0</v>
      </c>
      <c r="BD438">
        <f t="shared" si="137"/>
        <v>0</v>
      </c>
      <c r="BE438">
        <f t="shared" si="137"/>
        <v>0</v>
      </c>
      <c r="BF438">
        <f t="shared" si="137"/>
        <v>0</v>
      </c>
      <c r="BG438" t="str">
        <f t="shared" si="137"/>
        <v>Gray</v>
      </c>
      <c r="BH438">
        <f t="shared" si="137"/>
        <v>0</v>
      </c>
      <c r="BI438">
        <f t="shared" si="138"/>
        <v>0</v>
      </c>
      <c r="BJ438">
        <f t="shared" si="138"/>
        <v>0</v>
      </c>
      <c r="BK438">
        <f t="shared" si="138"/>
        <v>0</v>
      </c>
      <c r="BL438">
        <f t="shared" si="138"/>
        <v>0</v>
      </c>
      <c r="BM438">
        <f t="shared" si="138"/>
        <v>0</v>
      </c>
      <c r="BN438">
        <f t="shared" si="138"/>
        <v>0</v>
      </c>
      <c r="BO438">
        <f t="shared" si="138"/>
        <v>0</v>
      </c>
      <c r="BP438">
        <f t="shared" si="138"/>
        <v>0</v>
      </c>
      <c r="BQ438">
        <f t="shared" si="138"/>
        <v>0</v>
      </c>
      <c r="BR438">
        <f t="shared" si="138"/>
        <v>0</v>
      </c>
      <c r="BS438">
        <f t="shared" si="138"/>
        <v>0</v>
      </c>
    </row>
    <row r="439" spans="2:71" ht="15" customHeight="1" x14ac:dyDescent="0.2">
      <c r="B439" t="s">
        <v>245</v>
      </c>
      <c r="D439">
        <v>7</v>
      </c>
      <c r="E439" t="s">
        <v>383</v>
      </c>
      <c r="F439" t="s">
        <v>214</v>
      </c>
      <c r="G439" s="5">
        <v>43686</v>
      </c>
      <c r="H439" t="s">
        <v>97</v>
      </c>
      <c r="I439" t="s">
        <v>347</v>
      </c>
      <c r="J439" t="s">
        <v>348</v>
      </c>
      <c r="K439">
        <v>9</v>
      </c>
      <c r="L439" t="s">
        <v>90</v>
      </c>
      <c r="M439" t="s">
        <v>378</v>
      </c>
      <c r="N439" t="s">
        <v>109</v>
      </c>
      <c r="O439">
        <v>68</v>
      </c>
      <c r="P439">
        <v>113</v>
      </c>
      <c r="Q439">
        <v>5727</v>
      </c>
      <c r="R439" t="s">
        <v>248</v>
      </c>
      <c r="S439" t="s">
        <v>248</v>
      </c>
      <c r="T439" t="s">
        <v>351</v>
      </c>
      <c r="U439" t="s">
        <v>352</v>
      </c>
      <c r="V439" t="s">
        <v>40</v>
      </c>
      <c r="W439" t="s">
        <v>109</v>
      </c>
      <c r="AA439">
        <v>0.5</v>
      </c>
      <c r="AB439" t="s">
        <v>32</v>
      </c>
      <c r="AC439" t="s">
        <v>209</v>
      </c>
      <c r="AE439" t="str">
        <f t="shared" si="123"/>
        <v>Grise</v>
      </c>
      <c r="AF439">
        <v>0.5</v>
      </c>
      <c r="AG439">
        <v>1</v>
      </c>
      <c r="AH439">
        <v>0</v>
      </c>
      <c r="AI439">
        <v>0</v>
      </c>
      <c r="AJ439">
        <v>1</v>
      </c>
      <c r="AO439" t="str">
        <f t="shared" si="136"/>
        <v>Grise</v>
      </c>
      <c r="AP439">
        <f t="shared" si="136"/>
        <v>0</v>
      </c>
      <c r="AQ439">
        <f t="shared" si="136"/>
        <v>0</v>
      </c>
      <c r="AR439">
        <f t="shared" si="136"/>
        <v>0</v>
      </c>
      <c r="AS439">
        <f t="shared" si="136"/>
        <v>0</v>
      </c>
      <c r="AT439">
        <f t="shared" si="136"/>
        <v>0</v>
      </c>
      <c r="AU439">
        <f t="shared" si="136"/>
        <v>0</v>
      </c>
      <c r="AV439">
        <f t="shared" si="136"/>
        <v>0</v>
      </c>
      <c r="AW439">
        <f t="shared" si="136"/>
        <v>0</v>
      </c>
      <c r="AX439">
        <f t="shared" si="136"/>
        <v>0</v>
      </c>
      <c r="AY439">
        <f t="shared" si="137"/>
        <v>0</v>
      </c>
      <c r="AZ439">
        <f t="shared" si="137"/>
        <v>0</v>
      </c>
      <c r="BA439">
        <f t="shared" si="137"/>
        <v>0</v>
      </c>
      <c r="BB439">
        <f t="shared" si="137"/>
        <v>0</v>
      </c>
      <c r="BC439">
        <f t="shared" si="137"/>
        <v>0</v>
      </c>
      <c r="BD439">
        <f t="shared" si="137"/>
        <v>0</v>
      </c>
      <c r="BE439">
        <f t="shared" si="137"/>
        <v>0</v>
      </c>
      <c r="BF439">
        <f t="shared" si="137"/>
        <v>0</v>
      </c>
      <c r="BG439">
        <f t="shared" si="137"/>
        <v>0</v>
      </c>
      <c r="BH439">
        <f t="shared" si="137"/>
        <v>0</v>
      </c>
      <c r="BI439">
        <f t="shared" si="138"/>
        <v>0</v>
      </c>
      <c r="BJ439">
        <f t="shared" si="138"/>
        <v>0</v>
      </c>
      <c r="BK439">
        <f t="shared" si="138"/>
        <v>0</v>
      </c>
      <c r="BL439">
        <f t="shared" si="138"/>
        <v>0</v>
      </c>
      <c r="BM439">
        <f t="shared" si="138"/>
        <v>0</v>
      </c>
      <c r="BN439">
        <f t="shared" si="138"/>
        <v>0</v>
      </c>
      <c r="BO439">
        <f t="shared" si="138"/>
        <v>0</v>
      </c>
      <c r="BP439">
        <f t="shared" si="138"/>
        <v>0</v>
      </c>
      <c r="BQ439">
        <f t="shared" si="138"/>
        <v>0</v>
      </c>
      <c r="BR439">
        <f t="shared" si="138"/>
        <v>0</v>
      </c>
      <c r="BS439">
        <f t="shared" si="138"/>
        <v>0</v>
      </c>
    </row>
    <row r="440" spans="2:71" ht="15" customHeight="1" x14ac:dyDescent="0.2">
      <c r="B440" t="s">
        <v>245</v>
      </c>
      <c r="D440">
        <v>7</v>
      </c>
      <c r="E440" t="s">
        <v>383</v>
      </c>
      <c r="F440" t="s">
        <v>214</v>
      </c>
      <c r="G440" s="5">
        <v>43686</v>
      </c>
      <c r="H440" t="s">
        <v>97</v>
      </c>
      <c r="I440" t="s">
        <v>347</v>
      </c>
      <c r="J440" t="s">
        <v>348</v>
      </c>
      <c r="K440">
        <v>9</v>
      </c>
      <c r="L440" t="s">
        <v>90</v>
      </c>
      <c r="M440" t="s">
        <v>378</v>
      </c>
      <c r="N440" t="s">
        <v>109</v>
      </c>
      <c r="O440">
        <v>68</v>
      </c>
      <c r="P440">
        <v>113</v>
      </c>
      <c r="Q440">
        <v>5727</v>
      </c>
      <c r="R440" t="s">
        <v>248</v>
      </c>
      <c r="S440" t="s">
        <v>248</v>
      </c>
      <c r="T440" t="s">
        <v>351</v>
      </c>
      <c r="U440" t="s">
        <v>352</v>
      </c>
      <c r="V440" t="s">
        <v>44</v>
      </c>
      <c r="W440" t="s">
        <v>109</v>
      </c>
      <c r="AA440">
        <v>0.5</v>
      </c>
      <c r="AB440" t="s">
        <v>32</v>
      </c>
      <c r="AC440" t="s">
        <v>209</v>
      </c>
      <c r="AE440" t="str">
        <f t="shared" si="123"/>
        <v>Flanders</v>
      </c>
      <c r="AF440">
        <v>0.5</v>
      </c>
      <c r="AG440">
        <v>1</v>
      </c>
      <c r="AH440">
        <v>0</v>
      </c>
      <c r="AI440">
        <v>0</v>
      </c>
      <c r="AJ440">
        <v>1</v>
      </c>
      <c r="AO440">
        <f t="shared" si="136"/>
        <v>0</v>
      </c>
      <c r="AP440">
        <f t="shared" si="136"/>
        <v>0</v>
      </c>
      <c r="AQ440">
        <f t="shared" si="136"/>
        <v>0</v>
      </c>
      <c r="AR440">
        <f t="shared" si="136"/>
        <v>0</v>
      </c>
      <c r="AS440" t="str">
        <f t="shared" si="136"/>
        <v>Flanders</v>
      </c>
      <c r="AT440">
        <f t="shared" si="136"/>
        <v>0</v>
      </c>
      <c r="AU440">
        <f t="shared" si="136"/>
        <v>0</v>
      </c>
      <c r="AV440">
        <f t="shared" si="136"/>
        <v>0</v>
      </c>
      <c r="AW440">
        <f t="shared" si="136"/>
        <v>0</v>
      </c>
      <c r="AX440">
        <f t="shared" si="136"/>
        <v>0</v>
      </c>
      <c r="AY440">
        <f t="shared" si="137"/>
        <v>0</v>
      </c>
      <c r="AZ440">
        <f t="shared" si="137"/>
        <v>0</v>
      </c>
      <c r="BA440">
        <f t="shared" si="137"/>
        <v>0</v>
      </c>
      <c r="BB440">
        <f t="shared" si="137"/>
        <v>0</v>
      </c>
      <c r="BC440">
        <f t="shared" si="137"/>
        <v>0</v>
      </c>
      <c r="BD440">
        <f t="shared" si="137"/>
        <v>0</v>
      </c>
      <c r="BE440">
        <f t="shared" si="137"/>
        <v>0</v>
      </c>
      <c r="BF440">
        <f t="shared" si="137"/>
        <v>0</v>
      </c>
      <c r="BG440">
        <f t="shared" si="137"/>
        <v>0</v>
      </c>
      <c r="BH440">
        <f t="shared" si="137"/>
        <v>0</v>
      </c>
      <c r="BI440">
        <f t="shared" si="138"/>
        <v>0</v>
      </c>
      <c r="BJ440">
        <f t="shared" si="138"/>
        <v>0</v>
      </c>
      <c r="BK440">
        <f t="shared" si="138"/>
        <v>0</v>
      </c>
      <c r="BL440">
        <f t="shared" si="138"/>
        <v>0</v>
      </c>
      <c r="BM440">
        <f t="shared" si="138"/>
        <v>0</v>
      </c>
      <c r="BN440">
        <f t="shared" si="138"/>
        <v>0</v>
      </c>
      <c r="BO440">
        <f t="shared" si="138"/>
        <v>0</v>
      </c>
      <c r="BP440">
        <f t="shared" si="138"/>
        <v>0</v>
      </c>
      <c r="BQ440">
        <f t="shared" si="138"/>
        <v>0</v>
      </c>
      <c r="BR440">
        <f t="shared" si="138"/>
        <v>0</v>
      </c>
      <c r="BS440">
        <f t="shared" si="138"/>
        <v>0</v>
      </c>
    </row>
    <row r="441" spans="2:71" ht="15" customHeight="1" x14ac:dyDescent="0.2">
      <c r="B441" t="s">
        <v>245</v>
      </c>
      <c r="D441">
        <v>7</v>
      </c>
      <c r="E441" t="s">
        <v>383</v>
      </c>
      <c r="F441" t="s">
        <v>214</v>
      </c>
      <c r="G441" s="5">
        <v>43686</v>
      </c>
      <c r="H441" t="s">
        <v>97</v>
      </c>
      <c r="I441" t="s">
        <v>347</v>
      </c>
      <c r="J441" t="s">
        <v>348</v>
      </c>
      <c r="K441">
        <v>9</v>
      </c>
      <c r="L441" t="s">
        <v>90</v>
      </c>
      <c r="M441" t="s">
        <v>378</v>
      </c>
      <c r="N441" t="s">
        <v>109</v>
      </c>
      <c r="O441">
        <v>68</v>
      </c>
      <c r="P441">
        <v>113</v>
      </c>
      <c r="Q441">
        <v>5727</v>
      </c>
      <c r="R441" t="s">
        <v>248</v>
      </c>
      <c r="S441" t="s">
        <v>248</v>
      </c>
      <c r="T441" t="s">
        <v>351</v>
      </c>
      <c r="U441" t="s">
        <v>352</v>
      </c>
      <c r="V441" t="s">
        <v>57</v>
      </c>
      <c r="W441" t="s">
        <v>109</v>
      </c>
      <c r="AA441">
        <v>0.5</v>
      </c>
      <c r="AB441" t="s">
        <v>32</v>
      </c>
      <c r="AC441" t="s">
        <v>209</v>
      </c>
      <c r="AE441" t="str">
        <f t="shared" si="123"/>
        <v>Buss</v>
      </c>
      <c r="AF441">
        <v>0.5</v>
      </c>
      <c r="AG441">
        <v>1</v>
      </c>
      <c r="AH441">
        <v>0</v>
      </c>
      <c r="AI441">
        <v>0</v>
      </c>
      <c r="AJ441">
        <v>1</v>
      </c>
      <c r="AO441">
        <f t="shared" si="136"/>
        <v>0</v>
      </c>
      <c r="AP441">
        <f t="shared" si="136"/>
        <v>0</v>
      </c>
      <c r="AQ441">
        <f t="shared" si="136"/>
        <v>0</v>
      </c>
      <c r="AR441">
        <f t="shared" si="136"/>
        <v>0</v>
      </c>
      <c r="AS441">
        <f t="shared" si="136"/>
        <v>0</v>
      </c>
      <c r="AT441">
        <f t="shared" si="136"/>
        <v>0</v>
      </c>
      <c r="AU441">
        <f t="shared" si="136"/>
        <v>0</v>
      </c>
      <c r="AV441">
        <f t="shared" si="136"/>
        <v>0</v>
      </c>
      <c r="AW441">
        <f t="shared" si="136"/>
        <v>0</v>
      </c>
      <c r="AX441">
        <f t="shared" si="136"/>
        <v>0</v>
      </c>
      <c r="AY441">
        <f t="shared" si="137"/>
        <v>0</v>
      </c>
      <c r="AZ441">
        <f t="shared" si="137"/>
        <v>0</v>
      </c>
      <c r="BA441">
        <f t="shared" si="137"/>
        <v>0</v>
      </c>
      <c r="BB441">
        <f t="shared" si="137"/>
        <v>0</v>
      </c>
      <c r="BC441">
        <f t="shared" si="137"/>
        <v>0</v>
      </c>
      <c r="BD441">
        <f t="shared" si="137"/>
        <v>0</v>
      </c>
      <c r="BE441">
        <f t="shared" si="137"/>
        <v>0</v>
      </c>
      <c r="BF441" t="str">
        <f t="shared" si="137"/>
        <v>Buss</v>
      </c>
      <c r="BG441">
        <f t="shared" si="137"/>
        <v>0</v>
      </c>
      <c r="BH441">
        <f t="shared" si="137"/>
        <v>0</v>
      </c>
      <c r="BI441">
        <f t="shared" si="138"/>
        <v>0</v>
      </c>
      <c r="BJ441">
        <f t="shared" si="138"/>
        <v>0</v>
      </c>
      <c r="BK441">
        <f t="shared" si="138"/>
        <v>0</v>
      </c>
      <c r="BL441">
        <f t="shared" si="138"/>
        <v>0</v>
      </c>
      <c r="BM441">
        <f t="shared" si="138"/>
        <v>0</v>
      </c>
      <c r="BN441">
        <f t="shared" si="138"/>
        <v>0</v>
      </c>
      <c r="BO441">
        <f t="shared" si="138"/>
        <v>0</v>
      </c>
      <c r="BP441">
        <f t="shared" si="138"/>
        <v>0</v>
      </c>
      <c r="BQ441">
        <f t="shared" si="138"/>
        <v>0</v>
      </c>
      <c r="BR441">
        <f t="shared" si="138"/>
        <v>0</v>
      </c>
      <c r="BS441">
        <f t="shared" si="138"/>
        <v>0</v>
      </c>
    </row>
    <row r="442" spans="2:71" ht="15" customHeight="1" x14ac:dyDescent="0.2">
      <c r="B442" t="s">
        <v>245</v>
      </c>
      <c r="D442">
        <v>7</v>
      </c>
      <c r="E442" t="s">
        <v>383</v>
      </c>
      <c r="F442" t="s">
        <v>214</v>
      </c>
      <c r="G442" s="5">
        <v>43686</v>
      </c>
      <c r="H442" t="s">
        <v>97</v>
      </c>
      <c r="I442" t="s">
        <v>347</v>
      </c>
      <c r="J442" t="s">
        <v>348</v>
      </c>
      <c r="K442">
        <v>9</v>
      </c>
      <c r="L442" t="s">
        <v>90</v>
      </c>
      <c r="M442" t="s">
        <v>378</v>
      </c>
      <c r="N442" t="s">
        <v>109</v>
      </c>
      <c r="O442">
        <v>68</v>
      </c>
      <c r="P442">
        <v>113</v>
      </c>
      <c r="Q442">
        <v>5727</v>
      </c>
      <c r="R442" t="s">
        <v>248</v>
      </c>
      <c r="S442" t="s">
        <v>248</v>
      </c>
      <c r="T442" t="s">
        <v>351</v>
      </c>
      <c r="U442" t="s">
        <v>352</v>
      </c>
      <c r="V442" t="s">
        <v>42</v>
      </c>
      <c r="W442" t="s">
        <v>109</v>
      </c>
      <c r="AA442">
        <v>0.5</v>
      </c>
      <c r="AB442" t="s">
        <v>32</v>
      </c>
      <c r="AC442" t="s">
        <v>209</v>
      </c>
      <c r="AE442" t="str">
        <f t="shared" si="123"/>
        <v>Jackson</v>
      </c>
      <c r="AF442">
        <v>0.5</v>
      </c>
      <c r="AG442">
        <v>1</v>
      </c>
      <c r="AH442">
        <v>0</v>
      </c>
      <c r="AI442">
        <v>0</v>
      </c>
      <c r="AJ442">
        <v>1</v>
      </c>
      <c r="AO442">
        <f t="shared" ref="AO442:AX451" si="139">IF(OR($V442=AO$1,$Y442=AO$1),AO$1,0)</f>
        <v>0</v>
      </c>
      <c r="AP442">
        <f t="shared" si="139"/>
        <v>0</v>
      </c>
      <c r="AQ442" t="str">
        <f t="shared" si="139"/>
        <v>Jackson</v>
      </c>
      <c r="AR442">
        <f t="shared" si="139"/>
        <v>0</v>
      </c>
      <c r="AS442">
        <f t="shared" si="139"/>
        <v>0</v>
      </c>
      <c r="AT442">
        <f t="shared" si="139"/>
        <v>0</v>
      </c>
      <c r="AU442">
        <f t="shared" si="139"/>
        <v>0</v>
      </c>
      <c r="AV442">
        <f t="shared" si="139"/>
        <v>0</v>
      </c>
      <c r="AW442">
        <f t="shared" si="139"/>
        <v>0</v>
      </c>
      <c r="AX442">
        <f t="shared" si="139"/>
        <v>0</v>
      </c>
      <c r="AY442">
        <f t="shared" ref="AY442:BH451" si="140">IF(OR($V442=AY$1,$Y442=AY$1),AY$1,0)</f>
        <v>0</v>
      </c>
      <c r="AZ442">
        <f t="shared" si="140"/>
        <v>0</v>
      </c>
      <c r="BA442">
        <f t="shared" si="140"/>
        <v>0</v>
      </c>
      <c r="BB442">
        <f t="shared" si="140"/>
        <v>0</v>
      </c>
      <c r="BC442">
        <f t="shared" si="140"/>
        <v>0</v>
      </c>
      <c r="BD442">
        <f t="shared" si="140"/>
        <v>0</v>
      </c>
      <c r="BE442">
        <f t="shared" si="140"/>
        <v>0</v>
      </c>
      <c r="BF442">
        <f t="shared" si="140"/>
        <v>0</v>
      </c>
      <c r="BG442">
        <f t="shared" si="140"/>
        <v>0</v>
      </c>
      <c r="BH442">
        <f t="shared" si="140"/>
        <v>0</v>
      </c>
      <c r="BI442">
        <f t="shared" ref="BI442:BS451" si="141">IF(OR($V442=BI$1,$Y442=BI$1),BI$1,0)</f>
        <v>0</v>
      </c>
      <c r="BJ442">
        <f t="shared" si="141"/>
        <v>0</v>
      </c>
      <c r="BK442">
        <f t="shared" si="141"/>
        <v>0</v>
      </c>
      <c r="BL442">
        <f t="shared" si="141"/>
        <v>0</v>
      </c>
      <c r="BM442">
        <f t="shared" si="141"/>
        <v>0</v>
      </c>
      <c r="BN442">
        <f t="shared" si="141"/>
        <v>0</v>
      </c>
      <c r="BO442">
        <f t="shared" si="141"/>
        <v>0</v>
      </c>
      <c r="BP442">
        <f t="shared" si="141"/>
        <v>0</v>
      </c>
      <c r="BQ442">
        <f t="shared" si="141"/>
        <v>0</v>
      </c>
      <c r="BR442">
        <f t="shared" si="141"/>
        <v>0</v>
      </c>
      <c r="BS442">
        <f t="shared" si="141"/>
        <v>0</v>
      </c>
    </row>
    <row r="443" spans="2:71" ht="15" customHeight="1" x14ac:dyDescent="0.2">
      <c r="B443" t="s">
        <v>245</v>
      </c>
      <c r="D443">
        <v>7</v>
      </c>
      <c r="E443" t="s">
        <v>383</v>
      </c>
      <c r="F443" t="s">
        <v>214</v>
      </c>
      <c r="G443" s="5">
        <v>43686</v>
      </c>
      <c r="H443" t="s">
        <v>97</v>
      </c>
      <c r="I443" t="s">
        <v>347</v>
      </c>
      <c r="J443" t="s">
        <v>348</v>
      </c>
      <c r="K443">
        <v>9</v>
      </c>
      <c r="L443" t="s">
        <v>90</v>
      </c>
      <c r="M443" t="s">
        <v>378</v>
      </c>
      <c r="N443" t="s">
        <v>109</v>
      </c>
      <c r="O443">
        <v>68</v>
      </c>
      <c r="P443">
        <v>113</v>
      </c>
      <c r="Q443">
        <v>5727</v>
      </c>
      <c r="R443" t="s">
        <v>248</v>
      </c>
      <c r="S443" t="s">
        <v>248</v>
      </c>
      <c r="T443" t="s">
        <v>351</v>
      </c>
      <c r="U443" t="s">
        <v>352</v>
      </c>
      <c r="V443" t="s">
        <v>52</v>
      </c>
      <c r="W443" t="s">
        <v>109</v>
      </c>
      <c r="AA443">
        <v>0.5</v>
      </c>
      <c r="AB443" t="s">
        <v>32</v>
      </c>
      <c r="AC443" t="s">
        <v>209</v>
      </c>
      <c r="AE443" t="str">
        <f t="shared" si="123"/>
        <v>Connors</v>
      </c>
      <c r="AF443">
        <v>0.5</v>
      </c>
      <c r="AG443">
        <v>1</v>
      </c>
      <c r="AH443">
        <v>0</v>
      </c>
      <c r="AI443">
        <v>0</v>
      </c>
      <c r="AJ443">
        <v>1</v>
      </c>
      <c r="AO443">
        <f t="shared" si="139"/>
        <v>0</v>
      </c>
      <c r="AP443">
        <f t="shared" si="139"/>
        <v>0</v>
      </c>
      <c r="AQ443">
        <f t="shared" si="139"/>
        <v>0</v>
      </c>
      <c r="AR443">
        <f t="shared" si="139"/>
        <v>0</v>
      </c>
      <c r="AS443">
        <f t="shared" si="139"/>
        <v>0</v>
      </c>
      <c r="AT443">
        <f t="shared" si="139"/>
        <v>0</v>
      </c>
      <c r="AU443">
        <f t="shared" si="139"/>
        <v>0</v>
      </c>
      <c r="AV443">
        <f t="shared" si="139"/>
        <v>0</v>
      </c>
      <c r="AW443">
        <f t="shared" si="139"/>
        <v>0</v>
      </c>
      <c r="AX443">
        <f t="shared" si="139"/>
        <v>0</v>
      </c>
      <c r="AY443">
        <f t="shared" si="140"/>
        <v>0</v>
      </c>
      <c r="AZ443">
        <f t="shared" si="140"/>
        <v>0</v>
      </c>
      <c r="BA443" t="str">
        <f t="shared" si="140"/>
        <v>Connors</v>
      </c>
      <c r="BB443">
        <f t="shared" si="140"/>
        <v>0</v>
      </c>
      <c r="BC443">
        <f t="shared" si="140"/>
        <v>0</v>
      </c>
      <c r="BD443">
        <f t="shared" si="140"/>
        <v>0</v>
      </c>
      <c r="BE443">
        <f t="shared" si="140"/>
        <v>0</v>
      </c>
      <c r="BF443">
        <f t="shared" si="140"/>
        <v>0</v>
      </c>
      <c r="BG443">
        <f t="shared" si="140"/>
        <v>0</v>
      </c>
      <c r="BH443">
        <f t="shared" si="140"/>
        <v>0</v>
      </c>
      <c r="BI443">
        <f t="shared" si="141"/>
        <v>0</v>
      </c>
      <c r="BJ443">
        <f t="shared" si="141"/>
        <v>0</v>
      </c>
      <c r="BK443">
        <f t="shared" si="141"/>
        <v>0</v>
      </c>
      <c r="BL443">
        <f t="shared" si="141"/>
        <v>0</v>
      </c>
      <c r="BM443">
        <f t="shared" si="141"/>
        <v>0</v>
      </c>
      <c r="BN443">
        <f t="shared" si="141"/>
        <v>0</v>
      </c>
      <c r="BO443">
        <f t="shared" si="141"/>
        <v>0</v>
      </c>
      <c r="BP443">
        <f t="shared" si="141"/>
        <v>0</v>
      </c>
      <c r="BQ443">
        <f t="shared" si="141"/>
        <v>0</v>
      </c>
      <c r="BR443">
        <f t="shared" si="141"/>
        <v>0</v>
      </c>
      <c r="BS443">
        <f t="shared" si="141"/>
        <v>0</v>
      </c>
    </row>
    <row r="444" spans="2:71" ht="15" customHeight="1" x14ac:dyDescent="0.2">
      <c r="B444" t="s">
        <v>245</v>
      </c>
      <c r="D444">
        <v>7</v>
      </c>
      <c r="E444" t="s">
        <v>383</v>
      </c>
      <c r="F444" t="s">
        <v>214</v>
      </c>
      <c r="G444" s="5">
        <v>43686</v>
      </c>
      <c r="H444" t="s">
        <v>97</v>
      </c>
      <c r="I444" t="s">
        <v>347</v>
      </c>
      <c r="J444" t="s">
        <v>348</v>
      </c>
      <c r="K444">
        <v>9</v>
      </c>
      <c r="L444" t="s">
        <v>90</v>
      </c>
      <c r="M444" t="s">
        <v>378</v>
      </c>
      <c r="N444" t="s">
        <v>109</v>
      </c>
      <c r="O444">
        <v>68</v>
      </c>
      <c r="P444">
        <v>113</v>
      </c>
      <c r="Q444">
        <v>5727</v>
      </c>
      <c r="R444" t="s">
        <v>248</v>
      </c>
      <c r="S444" t="s">
        <v>248</v>
      </c>
      <c r="T444" t="s">
        <v>351</v>
      </c>
      <c r="U444" t="s">
        <v>352</v>
      </c>
      <c r="V444" t="s">
        <v>48</v>
      </c>
      <c r="W444" t="s">
        <v>109</v>
      </c>
      <c r="AA444">
        <v>0.5</v>
      </c>
      <c r="AB444" t="s">
        <v>32</v>
      </c>
      <c r="AC444" t="s">
        <v>209</v>
      </c>
      <c r="AE444" t="str">
        <f t="shared" si="123"/>
        <v>Lynch</v>
      </c>
      <c r="AF444">
        <v>0.5</v>
      </c>
      <c r="AG444">
        <v>1</v>
      </c>
      <c r="AH444">
        <v>0</v>
      </c>
      <c r="AI444">
        <v>0</v>
      </c>
      <c r="AJ444">
        <v>1</v>
      </c>
      <c r="AO444">
        <f t="shared" si="139"/>
        <v>0</v>
      </c>
      <c r="AP444">
        <f t="shared" si="139"/>
        <v>0</v>
      </c>
      <c r="AQ444">
        <f t="shared" si="139"/>
        <v>0</v>
      </c>
      <c r="AR444">
        <f t="shared" si="139"/>
        <v>0</v>
      </c>
      <c r="AS444">
        <f t="shared" si="139"/>
        <v>0</v>
      </c>
      <c r="AT444">
        <f t="shared" si="139"/>
        <v>0</v>
      </c>
      <c r="AU444">
        <f t="shared" si="139"/>
        <v>0</v>
      </c>
      <c r="AV444">
        <f t="shared" si="139"/>
        <v>0</v>
      </c>
      <c r="AW444" t="str">
        <f t="shared" si="139"/>
        <v>Lynch</v>
      </c>
      <c r="AX444">
        <f t="shared" si="139"/>
        <v>0</v>
      </c>
      <c r="AY444">
        <f t="shared" si="140"/>
        <v>0</v>
      </c>
      <c r="AZ444">
        <f t="shared" si="140"/>
        <v>0</v>
      </c>
      <c r="BA444">
        <f t="shared" si="140"/>
        <v>0</v>
      </c>
      <c r="BB444">
        <f t="shared" si="140"/>
        <v>0</v>
      </c>
      <c r="BC444">
        <f t="shared" si="140"/>
        <v>0</v>
      </c>
      <c r="BD444">
        <f t="shared" si="140"/>
        <v>0</v>
      </c>
      <c r="BE444">
        <f t="shared" si="140"/>
        <v>0</v>
      </c>
      <c r="BF444">
        <f t="shared" si="140"/>
        <v>0</v>
      </c>
      <c r="BG444">
        <f t="shared" si="140"/>
        <v>0</v>
      </c>
      <c r="BH444">
        <f t="shared" si="140"/>
        <v>0</v>
      </c>
      <c r="BI444">
        <f t="shared" si="141"/>
        <v>0</v>
      </c>
      <c r="BJ444">
        <f t="shared" si="141"/>
        <v>0</v>
      </c>
      <c r="BK444">
        <f t="shared" si="141"/>
        <v>0</v>
      </c>
      <c r="BL444">
        <f t="shared" si="141"/>
        <v>0</v>
      </c>
      <c r="BM444">
        <f t="shared" si="141"/>
        <v>0</v>
      </c>
      <c r="BN444">
        <f t="shared" si="141"/>
        <v>0</v>
      </c>
      <c r="BO444">
        <f t="shared" si="141"/>
        <v>0</v>
      </c>
      <c r="BP444">
        <f t="shared" si="141"/>
        <v>0</v>
      </c>
      <c r="BQ444">
        <f t="shared" si="141"/>
        <v>0</v>
      </c>
      <c r="BR444">
        <f t="shared" si="141"/>
        <v>0</v>
      </c>
      <c r="BS444">
        <f t="shared" si="141"/>
        <v>0</v>
      </c>
    </row>
    <row r="445" spans="2:71" ht="15" customHeight="1" x14ac:dyDescent="0.2">
      <c r="B445" t="s">
        <v>245</v>
      </c>
      <c r="D445">
        <v>7</v>
      </c>
      <c r="E445" t="s">
        <v>383</v>
      </c>
      <c r="F445" t="s">
        <v>214</v>
      </c>
      <c r="G445" s="5">
        <v>43686</v>
      </c>
      <c r="H445" t="s">
        <v>97</v>
      </c>
      <c r="I445" t="s">
        <v>347</v>
      </c>
      <c r="J445" t="s">
        <v>348</v>
      </c>
      <c r="K445">
        <v>9</v>
      </c>
      <c r="L445" t="s">
        <v>90</v>
      </c>
      <c r="M445" t="s">
        <v>378</v>
      </c>
      <c r="N445" t="s">
        <v>109</v>
      </c>
      <c r="O445">
        <v>68</v>
      </c>
      <c r="P445">
        <v>113</v>
      </c>
      <c r="Q445">
        <v>5727</v>
      </c>
      <c r="R445" t="s">
        <v>248</v>
      </c>
      <c r="S445" t="s">
        <v>248</v>
      </c>
      <c r="T445" t="s">
        <v>351</v>
      </c>
      <c r="U445" t="s">
        <v>352</v>
      </c>
      <c r="V445" t="s">
        <v>60</v>
      </c>
      <c r="W445" t="s">
        <v>109</v>
      </c>
      <c r="AA445">
        <v>0.5</v>
      </c>
      <c r="AB445" t="s">
        <v>32</v>
      </c>
      <c r="AC445" t="s">
        <v>209</v>
      </c>
      <c r="AE445" t="str">
        <f t="shared" si="123"/>
        <v>Zimmer</v>
      </c>
      <c r="AF445">
        <v>0.5</v>
      </c>
      <c r="AG445">
        <v>1</v>
      </c>
      <c r="AH445">
        <v>0</v>
      </c>
      <c r="AI445">
        <v>0</v>
      </c>
      <c r="AJ445">
        <v>1</v>
      </c>
      <c r="AO445">
        <f t="shared" si="139"/>
        <v>0</v>
      </c>
      <c r="AP445">
        <f t="shared" si="139"/>
        <v>0</v>
      </c>
      <c r="AQ445">
        <f t="shared" si="139"/>
        <v>0</v>
      </c>
      <c r="AR445">
        <f t="shared" si="139"/>
        <v>0</v>
      </c>
      <c r="AS445">
        <f t="shared" si="139"/>
        <v>0</v>
      </c>
      <c r="AT445">
        <f t="shared" si="139"/>
        <v>0</v>
      </c>
      <c r="AU445">
        <f t="shared" si="139"/>
        <v>0</v>
      </c>
      <c r="AV445">
        <f t="shared" si="139"/>
        <v>0</v>
      </c>
      <c r="AW445">
        <f t="shared" si="139"/>
        <v>0</v>
      </c>
      <c r="AX445">
        <f t="shared" si="139"/>
        <v>0</v>
      </c>
      <c r="AY445">
        <f t="shared" si="140"/>
        <v>0</v>
      </c>
      <c r="AZ445">
        <f t="shared" si="140"/>
        <v>0</v>
      </c>
      <c r="BA445">
        <f t="shared" si="140"/>
        <v>0</v>
      </c>
      <c r="BB445">
        <f t="shared" si="140"/>
        <v>0</v>
      </c>
      <c r="BC445">
        <f t="shared" si="140"/>
        <v>0</v>
      </c>
      <c r="BD445">
        <f t="shared" si="140"/>
        <v>0</v>
      </c>
      <c r="BE445">
        <f t="shared" si="140"/>
        <v>0</v>
      </c>
      <c r="BF445">
        <f t="shared" si="140"/>
        <v>0</v>
      </c>
      <c r="BG445">
        <f t="shared" si="140"/>
        <v>0</v>
      </c>
      <c r="BH445">
        <f t="shared" si="140"/>
        <v>0</v>
      </c>
      <c r="BI445" t="str">
        <f t="shared" si="141"/>
        <v>Zimmer</v>
      </c>
      <c r="BJ445">
        <f t="shared" si="141"/>
        <v>0</v>
      </c>
      <c r="BK445">
        <f t="shared" si="141"/>
        <v>0</v>
      </c>
      <c r="BL445">
        <f t="shared" si="141"/>
        <v>0</v>
      </c>
      <c r="BM445">
        <f t="shared" si="141"/>
        <v>0</v>
      </c>
      <c r="BN445">
        <f t="shared" si="141"/>
        <v>0</v>
      </c>
      <c r="BO445">
        <f t="shared" si="141"/>
        <v>0</v>
      </c>
      <c r="BP445">
        <f t="shared" si="141"/>
        <v>0</v>
      </c>
      <c r="BQ445">
        <f t="shared" si="141"/>
        <v>0</v>
      </c>
      <c r="BR445">
        <f t="shared" si="141"/>
        <v>0</v>
      </c>
      <c r="BS445">
        <f t="shared" si="141"/>
        <v>0</v>
      </c>
    </row>
    <row r="446" spans="2:71" ht="15" customHeight="1" x14ac:dyDescent="0.2">
      <c r="B446" t="s">
        <v>245</v>
      </c>
      <c r="D446">
        <v>7</v>
      </c>
      <c r="E446" t="s">
        <v>383</v>
      </c>
      <c r="F446" t="s">
        <v>214</v>
      </c>
      <c r="G446" s="5">
        <v>43686</v>
      </c>
      <c r="H446" t="s">
        <v>97</v>
      </c>
      <c r="I446" t="s">
        <v>347</v>
      </c>
      <c r="J446" t="s">
        <v>348</v>
      </c>
      <c r="K446">
        <v>9</v>
      </c>
      <c r="L446" t="s">
        <v>90</v>
      </c>
      <c r="M446" t="s">
        <v>378</v>
      </c>
      <c r="N446" t="s">
        <v>109</v>
      </c>
      <c r="O446">
        <v>68</v>
      </c>
      <c r="P446">
        <v>113</v>
      </c>
      <c r="Q446">
        <v>5727</v>
      </c>
      <c r="R446" t="s">
        <v>248</v>
      </c>
      <c r="S446" t="s">
        <v>248</v>
      </c>
      <c r="T446" t="s">
        <v>353</v>
      </c>
      <c r="U446" t="s">
        <v>354</v>
      </c>
      <c r="V446" t="s">
        <v>41</v>
      </c>
      <c r="W446" t="s">
        <v>78</v>
      </c>
      <c r="AA446">
        <v>0.5</v>
      </c>
      <c r="AB446" t="s">
        <v>33</v>
      </c>
      <c r="AC446" t="s">
        <v>209</v>
      </c>
      <c r="AE446" t="str">
        <f t="shared" si="123"/>
        <v>Hilts</v>
      </c>
      <c r="AF446">
        <v>0</v>
      </c>
      <c r="AG446">
        <v>0</v>
      </c>
      <c r="AH446">
        <v>1</v>
      </c>
      <c r="AI446">
        <v>0</v>
      </c>
      <c r="AJ446">
        <v>0</v>
      </c>
      <c r="AO446">
        <f t="shared" si="139"/>
        <v>0</v>
      </c>
      <c r="AP446" t="str">
        <f t="shared" si="139"/>
        <v>Hilts</v>
      </c>
      <c r="AQ446">
        <f t="shared" si="139"/>
        <v>0</v>
      </c>
      <c r="AR446">
        <f t="shared" si="139"/>
        <v>0</v>
      </c>
      <c r="AS446">
        <f t="shared" si="139"/>
        <v>0</v>
      </c>
      <c r="AT446">
        <f t="shared" si="139"/>
        <v>0</v>
      </c>
      <c r="AU446">
        <f t="shared" si="139"/>
        <v>0</v>
      </c>
      <c r="AV446">
        <f t="shared" si="139"/>
        <v>0</v>
      </c>
      <c r="AW446">
        <f t="shared" si="139"/>
        <v>0</v>
      </c>
      <c r="AX446">
        <f t="shared" si="139"/>
        <v>0</v>
      </c>
      <c r="AY446">
        <f t="shared" si="140"/>
        <v>0</v>
      </c>
      <c r="AZ446">
        <f t="shared" si="140"/>
        <v>0</v>
      </c>
      <c r="BA446">
        <f t="shared" si="140"/>
        <v>0</v>
      </c>
      <c r="BB446">
        <f t="shared" si="140"/>
        <v>0</v>
      </c>
      <c r="BC446">
        <f t="shared" si="140"/>
        <v>0</v>
      </c>
      <c r="BD446">
        <f t="shared" si="140"/>
        <v>0</v>
      </c>
      <c r="BE446">
        <f t="shared" si="140"/>
        <v>0</v>
      </c>
      <c r="BF446">
        <f t="shared" si="140"/>
        <v>0</v>
      </c>
      <c r="BG446">
        <f t="shared" si="140"/>
        <v>0</v>
      </c>
      <c r="BH446">
        <f t="shared" si="140"/>
        <v>0</v>
      </c>
      <c r="BI446">
        <f t="shared" si="141"/>
        <v>0</v>
      </c>
      <c r="BJ446">
        <f t="shared" si="141"/>
        <v>0</v>
      </c>
      <c r="BK446">
        <f t="shared" si="141"/>
        <v>0</v>
      </c>
      <c r="BL446">
        <f t="shared" si="141"/>
        <v>0</v>
      </c>
      <c r="BM446">
        <f t="shared" si="141"/>
        <v>0</v>
      </c>
      <c r="BN446">
        <f t="shared" si="141"/>
        <v>0</v>
      </c>
      <c r="BO446">
        <f t="shared" si="141"/>
        <v>0</v>
      </c>
      <c r="BP446">
        <f t="shared" si="141"/>
        <v>0</v>
      </c>
      <c r="BQ446">
        <f t="shared" si="141"/>
        <v>0</v>
      </c>
      <c r="BR446">
        <f t="shared" si="141"/>
        <v>0</v>
      </c>
      <c r="BS446">
        <f t="shared" si="141"/>
        <v>0</v>
      </c>
    </row>
    <row r="447" spans="2:71" ht="15" customHeight="1" x14ac:dyDescent="0.2">
      <c r="B447" t="s">
        <v>245</v>
      </c>
      <c r="D447">
        <v>7</v>
      </c>
      <c r="E447" t="s">
        <v>383</v>
      </c>
      <c r="F447" t="s">
        <v>214</v>
      </c>
      <c r="G447" s="5">
        <v>43686</v>
      </c>
      <c r="H447" t="s">
        <v>97</v>
      </c>
      <c r="I447" t="s">
        <v>347</v>
      </c>
      <c r="J447" t="s">
        <v>348</v>
      </c>
      <c r="K447">
        <v>9</v>
      </c>
      <c r="L447" t="s">
        <v>90</v>
      </c>
      <c r="M447" t="s">
        <v>378</v>
      </c>
      <c r="N447" t="s">
        <v>109</v>
      </c>
      <c r="O447">
        <v>68</v>
      </c>
      <c r="P447">
        <v>113</v>
      </c>
      <c r="Q447">
        <v>5727</v>
      </c>
      <c r="R447" t="s">
        <v>248</v>
      </c>
      <c r="S447" t="s">
        <v>248</v>
      </c>
      <c r="T447" t="s">
        <v>353</v>
      </c>
      <c r="U447" t="s">
        <v>354</v>
      </c>
      <c r="V447" t="s">
        <v>43</v>
      </c>
      <c r="W447" t="s">
        <v>78</v>
      </c>
      <c r="AA447">
        <v>0.5</v>
      </c>
      <c r="AB447" t="s">
        <v>33</v>
      </c>
      <c r="AC447" t="s">
        <v>209</v>
      </c>
      <c r="AE447" t="str">
        <f t="shared" si="123"/>
        <v>Poirier</v>
      </c>
      <c r="AF447">
        <v>0</v>
      </c>
      <c r="AG447">
        <v>0</v>
      </c>
      <c r="AH447">
        <v>1</v>
      </c>
      <c r="AI447">
        <v>0</v>
      </c>
      <c r="AJ447">
        <v>0</v>
      </c>
      <c r="AO447">
        <f t="shared" si="139"/>
        <v>0</v>
      </c>
      <c r="AP447">
        <f t="shared" si="139"/>
        <v>0</v>
      </c>
      <c r="AQ447">
        <f t="shared" si="139"/>
        <v>0</v>
      </c>
      <c r="AR447" t="str">
        <f t="shared" si="139"/>
        <v>Poirier</v>
      </c>
      <c r="AS447">
        <f t="shared" si="139"/>
        <v>0</v>
      </c>
      <c r="AT447">
        <f t="shared" si="139"/>
        <v>0</v>
      </c>
      <c r="AU447">
        <f t="shared" si="139"/>
        <v>0</v>
      </c>
      <c r="AV447">
        <f t="shared" si="139"/>
        <v>0</v>
      </c>
      <c r="AW447">
        <f t="shared" si="139"/>
        <v>0</v>
      </c>
      <c r="AX447">
        <f t="shared" si="139"/>
        <v>0</v>
      </c>
      <c r="AY447">
        <f t="shared" si="140"/>
        <v>0</v>
      </c>
      <c r="AZ447">
        <f t="shared" si="140"/>
        <v>0</v>
      </c>
      <c r="BA447">
        <f t="shared" si="140"/>
        <v>0</v>
      </c>
      <c r="BB447">
        <f t="shared" si="140"/>
        <v>0</v>
      </c>
      <c r="BC447">
        <f t="shared" si="140"/>
        <v>0</v>
      </c>
      <c r="BD447">
        <f t="shared" si="140"/>
        <v>0</v>
      </c>
      <c r="BE447">
        <f t="shared" si="140"/>
        <v>0</v>
      </c>
      <c r="BF447">
        <f t="shared" si="140"/>
        <v>0</v>
      </c>
      <c r="BG447">
        <f t="shared" si="140"/>
        <v>0</v>
      </c>
      <c r="BH447">
        <f t="shared" si="140"/>
        <v>0</v>
      </c>
      <c r="BI447">
        <f t="shared" si="141"/>
        <v>0</v>
      </c>
      <c r="BJ447">
        <f t="shared" si="141"/>
        <v>0</v>
      </c>
      <c r="BK447">
        <f t="shared" si="141"/>
        <v>0</v>
      </c>
      <c r="BL447">
        <f t="shared" si="141"/>
        <v>0</v>
      </c>
      <c r="BM447">
        <f t="shared" si="141"/>
        <v>0</v>
      </c>
      <c r="BN447">
        <f t="shared" si="141"/>
        <v>0</v>
      </c>
      <c r="BO447">
        <f t="shared" si="141"/>
        <v>0</v>
      </c>
      <c r="BP447">
        <f t="shared" si="141"/>
        <v>0</v>
      </c>
      <c r="BQ447">
        <f t="shared" si="141"/>
        <v>0</v>
      </c>
      <c r="BR447">
        <f t="shared" si="141"/>
        <v>0</v>
      </c>
      <c r="BS447">
        <f t="shared" si="141"/>
        <v>0</v>
      </c>
    </row>
    <row r="448" spans="2:71" ht="15" customHeight="1" x14ac:dyDescent="0.2">
      <c r="B448" t="s">
        <v>245</v>
      </c>
      <c r="D448">
        <v>7</v>
      </c>
      <c r="E448" t="s">
        <v>383</v>
      </c>
      <c r="F448" t="s">
        <v>214</v>
      </c>
      <c r="G448" s="5">
        <v>43686</v>
      </c>
      <c r="H448" t="s">
        <v>97</v>
      </c>
      <c r="I448" t="s">
        <v>347</v>
      </c>
      <c r="J448" t="s">
        <v>348</v>
      </c>
      <c r="K448">
        <v>9</v>
      </c>
      <c r="L448" t="s">
        <v>90</v>
      </c>
      <c r="M448" t="s">
        <v>378</v>
      </c>
      <c r="N448" t="s">
        <v>109</v>
      </c>
      <c r="O448">
        <v>68</v>
      </c>
      <c r="P448">
        <v>113</v>
      </c>
      <c r="Q448">
        <v>5727</v>
      </c>
      <c r="R448" t="s">
        <v>248</v>
      </c>
      <c r="S448" t="s">
        <v>248</v>
      </c>
      <c r="T448" t="s">
        <v>353</v>
      </c>
      <c r="U448" t="s">
        <v>354</v>
      </c>
      <c r="V448" t="s">
        <v>45</v>
      </c>
      <c r="W448" t="s">
        <v>78</v>
      </c>
      <c r="AA448">
        <v>0.5</v>
      </c>
      <c r="AB448" t="s">
        <v>33</v>
      </c>
      <c r="AC448" t="s">
        <v>209</v>
      </c>
      <c r="AE448" t="str">
        <f t="shared" si="123"/>
        <v>Connolly</v>
      </c>
      <c r="AF448">
        <v>0</v>
      </c>
      <c r="AG448">
        <v>0</v>
      </c>
      <c r="AH448">
        <v>1</v>
      </c>
      <c r="AI448">
        <v>0</v>
      </c>
      <c r="AJ448">
        <v>0</v>
      </c>
      <c r="AO448">
        <f t="shared" si="139"/>
        <v>0</v>
      </c>
      <c r="AP448">
        <f t="shared" si="139"/>
        <v>0</v>
      </c>
      <c r="AQ448">
        <f t="shared" si="139"/>
        <v>0</v>
      </c>
      <c r="AR448">
        <f t="shared" si="139"/>
        <v>0</v>
      </c>
      <c r="AS448">
        <f t="shared" si="139"/>
        <v>0</v>
      </c>
      <c r="AT448" t="str">
        <f t="shared" si="139"/>
        <v>Connolly</v>
      </c>
      <c r="AU448">
        <f t="shared" si="139"/>
        <v>0</v>
      </c>
      <c r="AV448">
        <f t="shared" si="139"/>
        <v>0</v>
      </c>
      <c r="AW448">
        <f t="shared" si="139"/>
        <v>0</v>
      </c>
      <c r="AX448">
        <f t="shared" si="139"/>
        <v>0</v>
      </c>
      <c r="AY448">
        <f t="shared" si="140"/>
        <v>0</v>
      </c>
      <c r="AZ448">
        <f t="shared" si="140"/>
        <v>0</v>
      </c>
      <c r="BA448">
        <f t="shared" si="140"/>
        <v>0</v>
      </c>
      <c r="BB448">
        <f t="shared" si="140"/>
        <v>0</v>
      </c>
      <c r="BC448">
        <f t="shared" si="140"/>
        <v>0</v>
      </c>
      <c r="BD448">
        <f t="shared" si="140"/>
        <v>0</v>
      </c>
      <c r="BE448">
        <f t="shared" si="140"/>
        <v>0</v>
      </c>
      <c r="BF448">
        <f t="shared" si="140"/>
        <v>0</v>
      </c>
      <c r="BG448">
        <f t="shared" si="140"/>
        <v>0</v>
      </c>
      <c r="BH448">
        <f t="shared" si="140"/>
        <v>0</v>
      </c>
      <c r="BI448">
        <f t="shared" si="141"/>
        <v>0</v>
      </c>
      <c r="BJ448">
        <f t="shared" si="141"/>
        <v>0</v>
      </c>
      <c r="BK448">
        <f t="shared" si="141"/>
        <v>0</v>
      </c>
      <c r="BL448">
        <f t="shared" si="141"/>
        <v>0</v>
      </c>
      <c r="BM448">
        <f t="shared" si="141"/>
        <v>0</v>
      </c>
      <c r="BN448">
        <f t="shared" si="141"/>
        <v>0</v>
      </c>
      <c r="BO448">
        <f t="shared" si="141"/>
        <v>0</v>
      </c>
      <c r="BP448">
        <f t="shared" si="141"/>
        <v>0</v>
      </c>
      <c r="BQ448">
        <f t="shared" si="141"/>
        <v>0</v>
      </c>
      <c r="BR448">
        <f t="shared" si="141"/>
        <v>0</v>
      </c>
      <c r="BS448">
        <f t="shared" si="141"/>
        <v>0</v>
      </c>
    </row>
    <row r="449" spans="2:71" ht="15" customHeight="1" x14ac:dyDescent="0.2">
      <c r="B449" t="s">
        <v>245</v>
      </c>
      <c r="D449">
        <v>7</v>
      </c>
      <c r="E449" t="s">
        <v>383</v>
      </c>
      <c r="F449" t="s">
        <v>214</v>
      </c>
      <c r="G449" s="5">
        <v>43686</v>
      </c>
      <c r="H449" t="s">
        <v>97</v>
      </c>
      <c r="I449" t="s">
        <v>347</v>
      </c>
      <c r="J449" t="s">
        <v>348</v>
      </c>
      <c r="K449">
        <v>9</v>
      </c>
      <c r="L449" t="s">
        <v>90</v>
      </c>
      <c r="M449" t="s">
        <v>378</v>
      </c>
      <c r="N449" t="s">
        <v>109</v>
      </c>
      <c r="O449">
        <v>68</v>
      </c>
      <c r="P449">
        <v>113</v>
      </c>
      <c r="Q449">
        <v>5727</v>
      </c>
      <c r="R449" t="s">
        <v>248</v>
      </c>
      <c r="S449" t="s">
        <v>248</v>
      </c>
      <c r="T449" t="s">
        <v>353</v>
      </c>
      <c r="U449" t="s">
        <v>354</v>
      </c>
      <c r="V449" t="s">
        <v>46</v>
      </c>
      <c r="W449" t="s">
        <v>78</v>
      </c>
      <c r="AA449">
        <v>0.5</v>
      </c>
      <c r="AB449" t="s">
        <v>33</v>
      </c>
      <c r="AC449" t="s">
        <v>209</v>
      </c>
      <c r="AE449" t="str">
        <f t="shared" si="123"/>
        <v>Mangold</v>
      </c>
      <c r="AF449">
        <v>0</v>
      </c>
      <c r="AG449">
        <v>0</v>
      </c>
      <c r="AH449">
        <v>1</v>
      </c>
      <c r="AI449">
        <v>0</v>
      </c>
      <c r="AJ449">
        <v>0</v>
      </c>
      <c r="AO449">
        <f t="shared" si="139"/>
        <v>0</v>
      </c>
      <c r="AP449">
        <f t="shared" si="139"/>
        <v>0</v>
      </c>
      <c r="AQ449">
        <f t="shared" si="139"/>
        <v>0</v>
      </c>
      <c r="AR449">
        <f t="shared" si="139"/>
        <v>0</v>
      </c>
      <c r="AS449">
        <f t="shared" si="139"/>
        <v>0</v>
      </c>
      <c r="AT449">
        <f t="shared" si="139"/>
        <v>0</v>
      </c>
      <c r="AU449" t="str">
        <f t="shared" si="139"/>
        <v>Mangold</v>
      </c>
      <c r="AV449">
        <f t="shared" si="139"/>
        <v>0</v>
      </c>
      <c r="AW449">
        <f t="shared" si="139"/>
        <v>0</v>
      </c>
      <c r="AX449">
        <f t="shared" si="139"/>
        <v>0</v>
      </c>
      <c r="AY449">
        <f t="shared" si="140"/>
        <v>0</v>
      </c>
      <c r="AZ449">
        <f t="shared" si="140"/>
        <v>0</v>
      </c>
      <c r="BA449">
        <f t="shared" si="140"/>
        <v>0</v>
      </c>
      <c r="BB449">
        <f t="shared" si="140"/>
        <v>0</v>
      </c>
      <c r="BC449">
        <f t="shared" si="140"/>
        <v>0</v>
      </c>
      <c r="BD449">
        <f t="shared" si="140"/>
        <v>0</v>
      </c>
      <c r="BE449">
        <f t="shared" si="140"/>
        <v>0</v>
      </c>
      <c r="BF449">
        <f t="shared" si="140"/>
        <v>0</v>
      </c>
      <c r="BG449">
        <f t="shared" si="140"/>
        <v>0</v>
      </c>
      <c r="BH449">
        <f t="shared" si="140"/>
        <v>0</v>
      </c>
      <c r="BI449">
        <f t="shared" si="141"/>
        <v>0</v>
      </c>
      <c r="BJ449">
        <f t="shared" si="141"/>
        <v>0</v>
      </c>
      <c r="BK449">
        <f t="shared" si="141"/>
        <v>0</v>
      </c>
      <c r="BL449">
        <f t="shared" si="141"/>
        <v>0</v>
      </c>
      <c r="BM449">
        <f t="shared" si="141"/>
        <v>0</v>
      </c>
      <c r="BN449">
        <f t="shared" si="141"/>
        <v>0</v>
      </c>
      <c r="BO449">
        <f t="shared" si="141"/>
        <v>0</v>
      </c>
      <c r="BP449">
        <f t="shared" si="141"/>
        <v>0</v>
      </c>
      <c r="BQ449">
        <f t="shared" si="141"/>
        <v>0</v>
      </c>
      <c r="BR449">
        <f t="shared" si="141"/>
        <v>0</v>
      </c>
      <c r="BS449">
        <f t="shared" si="141"/>
        <v>0</v>
      </c>
    </row>
    <row r="450" spans="2:71" ht="15" customHeight="1" x14ac:dyDescent="0.2">
      <c r="B450" t="s">
        <v>245</v>
      </c>
      <c r="D450">
        <v>7</v>
      </c>
      <c r="E450" t="s">
        <v>383</v>
      </c>
      <c r="F450" t="s">
        <v>214</v>
      </c>
      <c r="G450" s="5">
        <v>43686</v>
      </c>
      <c r="H450" t="s">
        <v>97</v>
      </c>
      <c r="I450" t="s">
        <v>347</v>
      </c>
      <c r="J450" t="s">
        <v>348</v>
      </c>
      <c r="K450">
        <v>9</v>
      </c>
      <c r="L450" t="s">
        <v>90</v>
      </c>
      <c r="M450" t="s">
        <v>378</v>
      </c>
      <c r="N450" t="s">
        <v>109</v>
      </c>
      <c r="O450">
        <v>68</v>
      </c>
      <c r="P450">
        <v>113</v>
      </c>
      <c r="Q450">
        <v>5727</v>
      </c>
      <c r="R450" t="s">
        <v>248</v>
      </c>
      <c r="S450" t="s">
        <v>248</v>
      </c>
      <c r="T450" t="s">
        <v>353</v>
      </c>
      <c r="U450" t="s">
        <v>354</v>
      </c>
      <c r="V450" t="s">
        <v>53</v>
      </c>
      <c r="W450" t="s">
        <v>78</v>
      </c>
      <c r="AA450">
        <v>0.5</v>
      </c>
      <c r="AB450" t="s">
        <v>33</v>
      </c>
      <c r="AC450" t="s">
        <v>209</v>
      </c>
      <c r="AE450" t="str">
        <f t="shared" ref="AE450:AE513" si="142">$V450&amp;$Y450</f>
        <v>Forster</v>
      </c>
      <c r="AF450">
        <v>0</v>
      </c>
      <c r="AG450">
        <v>0</v>
      </c>
      <c r="AH450">
        <v>1</v>
      </c>
      <c r="AI450">
        <v>0</v>
      </c>
      <c r="AJ450">
        <v>0</v>
      </c>
      <c r="AO450">
        <f t="shared" si="139"/>
        <v>0</v>
      </c>
      <c r="AP450">
        <f t="shared" si="139"/>
        <v>0</v>
      </c>
      <c r="AQ450">
        <f t="shared" si="139"/>
        <v>0</v>
      </c>
      <c r="AR450">
        <f t="shared" si="139"/>
        <v>0</v>
      </c>
      <c r="AS450">
        <f t="shared" si="139"/>
        <v>0</v>
      </c>
      <c r="AT450">
        <f t="shared" si="139"/>
        <v>0</v>
      </c>
      <c r="AU450">
        <f t="shared" si="139"/>
        <v>0</v>
      </c>
      <c r="AV450">
        <f t="shared" si="139"/>
        <v>0</v>
      </c>
      <c r="AW450">
        <f t="shared" si="139"/>
        <v>0</v>
      </c>
      <c r="AX450">
        <f t="shared" si="139"/>
        <v>0</v>
      </c>
      <c r="AY450">
        <f t="shared" si="140"/>
        <v>0</v>
      </c>
      <c r="AZ450">
        <f t="shared" si="140"/>
        <v>0</v>
      </c>
      <c r="BA450">
        <f t="shared" si="140"/>
        <v>0</v>
      </c>
      <c r="BB450" t="str">
        <f t="shared" si="140"/>
        <v>Forster</v>
      </c>
      <c r="BC450">
        <f t="shared" si="140"/>
        <v>0</v>
      </c>
      <c r="BD450">
        <f t="shared" si="140"/>
        <v>0</v>
      </c>
      <c r="BE450">
        <f t="shared" si="140"/>
        <v>0</v>
      </c>
      <c r="BF450">
        <f t="shared" si="140"/>
        <v>0</v>
      </c>
      <c r="BG450">
        <f t="shared" si="140"/>
        <v>0</v>
      </c>
      <c r="BH450">
        <f t="shared" si="140"/>
        <v>0</v>
      </c>
      <c r="BI450">
        <f t="shared" si="141"/>
        <v>0</v>
      </c>
      <c r="BJ450">
        <f t="shared" si="141"/>
        <v>0</v>
      </c>
      <c r="BK450">
        <f t="shared" si="141"/>
        <v>0</v>
      </c>
      <c r="BL450">
        <f t="shared" si="141"/>
        <v>0</v>
      </c>
      <c r="BM450">
        <f t="shared" si="141"/>
        <v>0</v>
      </c>
      <c r="BN450">
        <f t="shared" si="141"/>
        <v>0</v>
      </c>
      <c r="BO450">
        <f t="shared" si="141"/>
        <v>0</v>
      </c>
      <c r="BP450">
        <f t="shared" si="141"/>
        <v>0</v>
      </c>
      <c r="BQ450">
        <f t="shared" si="141"/>
        <v>0</v>
      </c>
      <c r="BR450">
        <f t="shared" si="141"/>
        <v>0</v>
      </c>
      <c r="BS450">
        <f t="shared" si="141"/>
        <v>0</v>
      </c>
    </row>
    <row r="451" spans="2:71" ht="15" customHeight="1" x14ac:dyDescent="0.2">
      <c r="B451" t="s">
        <v>245</v>
      </c>
      <c r="D451">
        <v>7</v>
      </c>
      <c r="E451" t="s">
        <v>383</v>
      </c>
      <c r="F451" t="s">
        <v>214</v>
      </c>
      <c r="G451" s="5">
        <v>43686</v>
      </c>
      <c r="H451" t="s">
        <v>97</v>
      </c>
      <c r="I451" t="s">
        <v>347</v>
      </c>
      <c r="J451" t="s">
        <v>348</v>
      </c>
      <c r="K451">
        <v>9</v>
      </c>
      <c r="L451" t="s">
        <v>90</v>
      </c>
      <c r="M451" t="s">
        <v>378</v>
      </c>
      <c r="N451" t="s">
        <v>109</v>
      </c>
      <c r="O451">
        <v>68</v>
      </c>
      <c r="P451">
        <v>113</v>
      </c>
      <c r="Q451">
        <v>5727</v>
      </c>
      <c r="R451" t="s">
        <v>248</v>
      </c>
      <c r="S451" t="s">
        <v>248</v>
      </c>
      <c r="T451" t="s">
        <v>353</v>
      </c>
      <c r="U451" t="s">
        <v>354</v>
      </c>
      <c r="V451" t="s">
        <v>59</v>
      </c>
      <c r="W451" t="s">
        <v>78</v>
      </c>
      <c r="AA451">
        <v>0.5</v>
      </c>
      <c r="AB451" t="s">
        <v>33</v>
      </c>
      <c r="AC451" t="s">
        <v>209</v>
      </c>
      <c r="AE451" t="str">
        <f t="shared" si="142"/>
        <v>Norat</v>
      </c>
      <c r="AF451">
        <v>0</v>
      </c>
      <c r="AG451">
        <v>0</v>
      </c>
      <c r="AH451">
        <v>1</v>
      </c>
      <c r="AI451">
        <v>0</v>
      </c>
      <c r="AJ451">
        <v>0</v>
      </c>
      <c r="AO451">
        <f t="shared" si="139"/>
        <v>0</v>
      </c>
      <c r="AP451">
        <f t="shared" si="139"/>
        <v>0</v>
      </c>
      <c r="AQ451">
        <f t="shared" si="139"/>
        <v>0</v>
      </c>
      <c r="AR451">
        <f t="shared" si="139"/>
        <v>0</v>
      </c>
      <c r="AS451">
        <f t="shared" si="139"/>
        <v>0</v>
      </c>
      <c r="AT451">
        <f t="shared" si="139"/>
        <v>0</v>
      </c>
      <c r="AU451">
        <f t="shared" si="139"/>
        <v>0</v>
      </c>
      <c r="AV451">
        <f t="shared" si="139"/>
        <v>0</v>
      </c>
      <c r="AW451">
        <f t="shared" si="139"/>
        <v>0</v>
      </c>
      <c r="AX451">
        <f t="shared" si="139"/>
        <v>0</v>
      </c>
      <c r="AY451">
        <f t="shared" si="140"/>
        <v>0</v>
      </c>
      <c r="AZ451">
        <f t="shared" si="140"/>
        <v>0</v>
      </c>
      <c r="BA451">
        <f t="shared" si="140"/>
        <v>0</v>
      </c>
      <c r="BB451">
        <f t="shared" si="140"/>
        <v>0</v>
      </c>
      <c r="BC451">
        <f t="shared" si="140"/>
        <v>0</v>
      </c>
      <c r="BD451">
        <f t="shared" si="140"/>
        <v>0</v>
      </c>
      <c r="BE451">
        <f t="shared" si="140"/>
        <v>0</v>
      </c>
      <c r="BF451">
        <f t="shared" si="140"/>
        <v>0</v>
      </c>
      <c r="BG451">
        <f t="shared" si="140"/>
        <v>0</v>
      </c>
      <c r="BH451" t="str">
        <f t="shared" si="140"/>
        <v>Norat</v>
      </c>
      <c r="BI451">
        <f t="shared" si="141"/>
        <v>0</v>
      </c>
      <c r="BJ451">
        <f t="shared" si="141"/>
        <v>0</v>
      </c>
      <c r="BK451">
        <f t="shared" si="141"/>
        <v>0</v>
      </c>
      <c r="BL451">
        <f t="shared" si="141"/>
        <v>0</v>
      </c>
      <c r="BM451">
        <f t="shared" si="141"/>
        <v>0</v>
      </c>
      <c r="BN451">
        <f t="shared" si="141"/>
        <v>0</v>
      </c>
      <c r="BO451">
        <f t="shared" si="141"/>
        <v>0</v>
      </c>
      <c r="BP451">
        <f t="shared" si="141"/>
        <v>0</v>
      </c>
      <c r="BQ451">
        <f t="shared" si="141"/>
        <v>0</v>
      </c>
      <c r="BR451">
        <f t="shared" si="141"/>
        <v>0</v>
      </c>
      <c r="BS451">
        <f t="shared" si="141"/>
        <v>0</v>
      </c>
    </row>
    <row r="452" spans="2:71" ht="15" customHeight="1" x14ac:dyDescent="0.2">
      <c r="B452" t="s">
        <v>245</v>
      </c>
      <c r="D452">
        <v>7</v>
      </c>
      <c r="E452" t="s">
        <v>383</v>
      </c>
      <c r="F452" t="s">
        <v>214</v>
      </c>
      <c r="G452" s="5">
        <v>43686</v>
      </c>
      <c r="H452" t="s">
        <v>97</v>
      </c>
      <c r="I452" t="s">
        <v>347</v>
      </c>
      <c r="J452" t="s">
        <v>348</v>
      </c>
      <c r="K452">
        <v>9</v>
      </c>
      <c r="L452" t="s">
        <v>90</v>
      </c>
      <c r="M452" t="s">
        <v>378</v>
      </c>
      <c r="N452" t="s">
        <v>109</v>
      </c>
      <c r="O452">
        <v>68</v>
      </c>
      <c r="P452">
        <v>113</v>
      </c>
      <c r="Q452">
        <v>5727</v>
      </c>
      <c r="R452" t="s">
        <v>248</v>
      </c>
      <c r="S452" t="s">
        <v>248</v>
      </c>
      <c r="T452" t="s">
        <v>353</v>
      </c>
      <c r="U452" t="s">
        <v>354</v>
      </c>
      <c r="V452" t="s">
        <v>62</v>
      </c>
      <c r="W452" t="s">
        <v>78</v>
      </c>
      <c r="AA452">
        <v>0.5</v>
      </c>
      <c r="AB452" t="s">
        <v>33</v>
      </c>
      <c r="AC452" t="s">
        <v>209</v>
      </c>
      <c r="AE452" t="str">
        <f t="shared" si="142"/>
        <v>Welker</v>
      </c>
      <c r="AF452">
        <v>0</v>
      </c>
      <c r="AG452">
        <v>0</v>
      </c>
      <c r="AH452">
        <v>1</v>
      </c>
      <c r="AI452">
        <v>0</v>
      </c>
      <c r="AJ452">
        <v>0</v>
      </c>
      <c r="AO452">
        <f t="shared" ref="AO452:AX461" si="143">IF(OR($V452=AO$1,$Y452=AO$1),AO$1,0)</f>
        <v>0</v>
      </c>
      <c r="AP452">
        <f t="shared" si="143"/>
        <v>0</v>
      </c>
      <c r="AQ452">
        <f t="shared" si="143"/>
        <v>0</v>
      </c>
      <c r="AR452">
        <f t="shared" si="143"/>
        <v>0</v>
      </c>
      <c r="AS452">
        <f t="shared" si="143"/>
        <v>0</v>
      </c>
      <c r="AT452">
        <f t="shared" si="143"/>
        <v>0</v>
      </c>
      <c r="AU452">
        <f t="shared" si="143"/>
        <v>0</v>
      </c>
      <c r="AV452">
        <f t="shared" si="143"/>
        <v>0</v>
      </c>
      <c r="AW452">
        <f t="shared" si="143"/>
        <v>0</v>
      </c>
      <c r="AX452">
        <f t="shared" si="143"/>
        <v>0</v>
      </c>
      <c r="AY452">
        <f t="shared" ref="AY452:BH461" si="144">IF(OR($V452=AY$1,$Y452=AY$1),AY$1,0)</f>
        <v>0</v>
      </c>
      <c r="AZ452">
        <f t="shared" si="144"/>
        <v>0</v>
      </c>
      <c r="BA452">
        <f t="shared" si="144"/>
        <v>0</v>
      </c>
      <c r="BB452">
        <f t="shared" si="144"/>
        <v>0</v>
      </c>
      <c r="BC452">
        <f t="shared" si="144"/>
        <v>0</v>
      </c>
      <c r="BD452">
        <f t="shared" si="144"/>
        <v>0</v>
      </c>
      <c r="BE452">
        <f t="shared" si="144"/>
        <v>0</v>
      </c>
      <c r="BF452">
        <f t="shared" si="144"/>
        <v>0</v>
      </c>
      <c r="BG452">
        <f t="shared" si="144"/>
        <v>0</v>
      </c>
      <c r="BH452">
        <f t="shared" si="144"/>
        <v>0</v>
      </c>
      <c r="BI452">
        <f t="shared" ref="BI452:BS461" si="145">IF(OR($V452=BI$1,$Y452=BI$1),BI$1,0)</f>
        <v>0</v>
      </c>
      <c r="BJ452">
        <f t="shared" si="145"/>
        <v>0</v>
      </c>
      <c r="BK452" t="str">
        <f t="shared" si="145"/>
        <v>Welker</v>
      </c>
      <c r="BL452">
        <f t="shared" si="145"/>
        <v>0</v>
      </c>
      <c r="BM452">
        <f t="shared" si="145"/>
        <v>0</v>
      </c>
      <c r="BN452">
        <f t="shared" si="145"/>
        <v>0</v>
      </c>
      <c r="BO452">
        <f t="shared" si="145"/>
        <v>0</v>
      </c>
      <c r="BP452">
        <f t="shared" si="145"/>
        <v>0</v>
      </c>
      <c r="BQ452">
        <f t="shared" si="145"/>
        <v>0</v>
      </c>
      <c r="BR452">
        <f t="shared" si="145"/>
        <v>0</v>
      </c>
      <c r="BS452">
        <f t="shared" si="145"/>
        <v>0</v>
      </c>
    </row>
    <row r="453" spans="2:71" ht="15" customHeight="1" x14ac:dyDescent="0.2">
      <c r="B453" t="s">
        <v>245</v>
      </c>
      <c r="D453">
        <v>7</v>
      </c>
      <c r="E453" t="s">
        <v>383</v>
      </c>
      <c r="F453" t="s">
        <v>214</v>
      </c>
      <c r="G453" s="5">
        <v>43686</v>
      </c>
      <c r="H453" t="s">
        <v>97</v>
      </c>
      <c r="I453" t="s">
        <v>347</v>
      </c>
      <c r="J453" t="s">
        <v>348</v>
      </c>
      <c r="K453">
        <v>9</v>
      </c>
      <c r="L453" t="s">
        <v>90</v>
      </c>
      <c r="M453" t="s">
        <v>378</v>
      </c>
      <c r="N453" t="s">
        <v>109</v>
      </c>
      <c r="O453">
        <v>68</v>
      </c>
      <c r="P453">
        <v>113</v>
      </c>
      <c r="Q453">
        <v>5727</v>
      </c>
      <c r="R453" t="s">
        <v>248</v>
      </c>
      <c r="S453" t="s">
        <v>248</v>
      </c>
      <c r="T453" t="s">
        <v>353</v>
      </c>
      <c r="U453" t="s">
        <v>354</v>
      </c>
      <c r="V453" t="s">
        <v>49</v>
      </c>
      <c r="W453" t="s">
        <v>78</v>
      </c>
      <c r="AA453">
        <v>0.5</v>
      </c>
      <c r="AB453" t="s">
        <v>33</v>
      </c>
      <c r="AC453" t="s">
        <v>209</v>
      </c>
      <c r="AE453" t="str">
        <f t="shared" si="142"/>
        <v>Shively</v>
      </c>
      <c r="AF453">
        <v>0</v>
      </c>
      <c r="AG453">
        <v>0</v>
      </c>
      <c r="AH453">
        <v>1</v>
      </c>
      <c r="AI453">
        <v>0</v>
      </c>
      <c r="AJ453">
        <v>0</v>
      </c>
      <c r="AO453">
        <f t="shared" si="143"/>
        <v>0</v>
      </c>
      <c r="AP453">
        <f t="shared" si="143"/>
        <v>0</v>
      </c>
      <c r="AQ453">
        <f t="shared" si="143"/>
        <v>0</v>
      </c>
      <c r="AR453">
        <f t="shared" si="143"/>
        <v>0</v>
      </c>
      <c r="AS453">
        <f t="shared" si="143"/>
        <v>0</v>
      </c>
      <c r="AT453">
        <f t="shared" si="143"/>
        <v>0</v>
      </c>
      <c r="AU453">
        <f t="shared" si="143"/>
        <v>0</v>
      </c>
      <c r="AV453">
        <f t="shared" si="143"/>
        <v>0</v>
      </c>
      <c r="AW453">
        <f t="shared" si="143"/>
        <v>0</v>
      </c>
      <c r="AX453" t="str">
        <f t="shared" si="143"/>
        <v>Shively</v>
      </c>
      <c r="AY453">
        <f t="shared" si="144"/>
        <v>0</v>
      </c>
      <c r="AZ453">
        <f t="shared" si="144"/>
        <v>0</v>
      </c>
      <c r="BA453">
        <f t="shared" si="144"/>
        <v>0</v>
      </c>
      <c r="BB453">
        <f t="shared" si="144"/>
        <v>0</v>
      </c>
      <c r="BC453">
        <f t="shared" si="144"/>
        <v>0</v>
      </c>
      <c r="BD453">
        <f t="shared" si="144"/>
        <v>0</v>
      </c>
      <c r="BE453">
        <f t="shared" si="144"/>
        <v>0</v>
      </c>
      <c r="BF453">
        <f t="shared" si="144"/>
        <v>0</v>
      </c>
      <c r="BG453">
        <f t="shared" si="144"/>
        <v>0</v>
      </c>
      <c r="BH453">
        <f t="shared" si="144"/>
        <v>0</v>
      </c>
      <c r="BI453">
        <f t="shared" si="145"/>
        <v>0</v>
      </c>
      <c r="BJ453">
        <f t="shared" si="145"/>
        <v>0</v>
      </c>
      <c r="BK453">
        <f t="shared" si="145"/>
        <v>0</v>
      </c>
      <c r="BL453">
        <f t="shared" si="145"/>
        <v>0</v>
      </c>
      <c r="BM453">
        <f t="shared" si="145"/>
        <v>0</v>
      </c>
      <c r="BN453">
        <f t="shared" si="145"/>
        <v>0</v>
      </c>
      <c r="BO453">
        <f t="shared" si="145"/>
        <v>0</v>
      </c>
      <c r="BP453">
        <f t="shared" si="145"/>
        <v>0</v>
      </c>
      <c r="BQ453">
        <f t="shared" si="145"/>
        <v>0</v>
      </c>
      <c r="BR453">
        <f t="shared" si="145"/>
        <v>0</v>
      </c>
      <c r="BS453">
        <f t="shared" si="145"/>
        <v>0</v>
      </c>
    </row>
    <row r="454" spans="2:71" ht="15" customHeight="1" x14ac:dyDescent="0.2">
      <c r="B454" t="s">
        <v>245</v>
      </c>
      <c r="D454">
        <v>7</v>
      </c>
      <c r="E454" t="s">
        <v>383</v>
      </c>
      <c r="F454" t="s">
        <v>214</v>
      </c>
      <c r="G454" s="5">
        <v>43686</v>
      </c>
      <c r="H454" t="s">
        <v>97</v>
      </c>
      <c r="I454" t="s">
        <v>347</v>
      </c>
      <c r="J454" t="s">
        <v>348</v>
      </c>
      <c r="K454">
        <v>9</v>
      </c>
      <c r="L454" t="s">
        <v>90</v>
      </c>
      <c r="M454" t="s">
        <v>378</v>
      </c>
      <c r="N454" t="s">
        <v>109</v>
      </c>
      <c r="O454">
        <v>68</v>
      </c>
      <c r="P454">
        <v>113</v>
      </c>
      <c r="Q454">
        <v>5727</v>
      </c>
      <c r="R454" t="s">
        <v>248</v>
      </c>
      <c r="S454" t="s">
        <v>248</v>
      </c>
      <c r="T454" t="s">
        <v>353</v>
      </c>
      <c r="U454" t="s">
        <v>354</v>
      </c>
      <c r="V454" t="s">
        <v>61</v>
      </c>
      <c r="W454" t="s">
        <v>78</v>
      </c>
      <c r="AA454">
        <v>0.5</v>
      </c>
      <c r="AB454" t="s">
        <v>33</v>
      </c>
      <c r="AC454" t="s">
        <v>209</v>
      </c>
      <c r="AE454" t="str">
        <f t="shared" si="142"/>
        <v>McInerney</v>
      </c>
      <c r="AF454">
        <v>0</v>
      </c>
      <c r="AG454">
        <v>0</v>
      </c>
      <c r="AH454">
        <v>1</v>
      </c>
      <c r="AI454">
        <v>0</v>
      </c>
      <c r="AJ454">
        <v>0</v>
      </c>
      <c r="AO454">
        <f t="shared" si="143"/>
        <v>0</v>
      </c>
      <c r="AP454">
        <f t="shared" si="143"/>
        <v>0</v>
      </c>
      <c r="AQ454">
        <f t="shared" si="143"/>
        <v>0</v>
      </c>
      <c r="AR454">
        <f t="shared" si="143"/>
        <v>0</v>
      </c>
      <c r="AS454">
        <f t="shared" si="143"/>
        <v>0</v>
      </c>
      <c r="AT454">
        <f t="shared" si="143"/>
        <v>0</v>
      </c>
      <c r="AU454">
        <f t="shared" si="143"/>
        <v>0</v>
      </c>
      <c r="AV454">
        <f t="shared" si="143"/>
        <v>0</v>
      </c>
      <c r="AW454">
        <f t="shared" si="143"/>
        <v>0</v>
      </c>
      <c r="AX454">
        <f t="shared" si="143"/>
        <v>0</v>
      </c>
      <c r="AY454">
        <f t="shared" si="144"/>
        <v>0</v>
      </c>
      <c r="AZ454">
        <f t="shared" si="144"/>
        <v>0</v>
      </c>
      <c r="BA454">
        <f t="shared" si="144"/>
        <v>0</v>
      </c>
      <c r="BB454">
        <f t="shared" si="144"/>
        <v>0</v>
      </c>
      <c r="BC454">
        <f t="shared" si="144"/>
        <v>0</v>
      </c>
      <c r="BD454">
        <f t="shared" si="144"/>
        <v>0</v>
      </c>
      <c r="BE454">
        <f t="shared" si="144"/>
        <v>0</v>
      </c>
      <c r="BF454">
        <f t="shared" si="144"/>
        <v>0</v>
      </c>
      <c r="BG454">
        <f t="shared" si="144"/>
        <v>0</v>
      </c>
      <c r="BH454">
        <f t="shared" si="144"/>
        <v>0</v>
      </c>
      <c r="BI454">
        <f t="shared" si="145"/>
        <v>0</v>
      </c>
      <c r="BJ454" t="str">
        <f t="shared" si="145"/>
        <v>McInerney</v>
      </c>
      <c r="BK454">
        <f t="shared" si="145"/>
        <v>0</v>
      </c>
      <c r="BL454">
        <f t="shared" si="145"/>
        <v>0</v>
      </c>
      <c r="BM454">
        <f t="shared" si="145"/>
        <v>0</v>
      </c>
      <c r="BN454">
        <f t="shared" si="145"/>
        <v>0</v>
      </c>
      <c r="BO454">
        <f t="shared" si="145"/>
        <v>0</v>
      </c>
      <c r="BP454">
        <f t="shared" si="145"/>
        <v>0</v>
      </c>
      <c r="BQ454">
        <f t="shared" si="145"/>
        <v>0</v>
      </c>
      <c r="BR454">
        <f t="shared" si="145"/>
        <v>0</v>
      </c>
      <c r="BS454">
        <f t="shared" si="145"/>
        <v>0</v>
      </c>
    </row>
    <row r="455" spans="2:71" ht="15" customHeight="1" x14ac:dyDescent="0.2">
      <c r="B455" t="s">
        <v>245</v>
      </c>
      <c r="D455">
        <v>7</v>
      </c>
      <c r="E455" t="s">
        <v>383</v>
      </c>
      <c r="F455" t="s">
        <v>214</v>
      </c>
      <c r="G455" s="5">
        <v>43686</v>
      </c>
      <c r="H455" t="s">
        <v>97</v>
      </c>
      <c r="I455" t="s">
        <v>347</v>
      </c>
      <c r="J455" t="s">
        <v>348</v>
      </c>
      <c r="K455">
        <v>9</v>
      </c>
      <c r="L455" t="s">
        <v>90</v>
      </c>
      <c r="M455" t="s">
        <v>378</v>
      </c>
      <c r="N455" t="s">
        <v>109</v>
      </c>
      <c r="O455">
        <v>68</v>
      </c>
      <c r="P455">
        <v>113</v>
      </c>
      <c r="Q455">
        <v>5727</v>
      </c>
      <c r="R455" t="s">
        <v>248</v>
      </c>
      <c r="S455" t="s">
        <v>248</v>
      </c>
      <c r="T455" t="s">
        <v>353</v>
      </c>
      <c r="U455" t="s">
        <v>354</v>
      </c>
      <c r="V455" t="s">
        <v>54</v>
      </c>
      <c r="W455" t="s">
        <v>78</v>
      </c>
      <c r="AA455">
        <v>0.5</v>
      </c>
      <c r="AB455" t="s">
        <v>33</v>
      </c>
      <c r="AC455" t="s">
        <v>209</v>
      </c>
      <c r="AE455" t="str">
        <f t="shared" si="142"/>
        <v>Fogan</v>
      </c>
      <c r="AF455">
        <v>0</v>
      </c>
      <c r="AG455">
        <v>0</v>
      </c>
      <c r="AH455">
        <v>1</v>
      </c>
      <c r="AI455">
        <v>0</v>
      </c>
      <c r="AJ455">
        <v>0</v>
      </c>
      <c r="AO455">
        <f t="shared" si="143"/>
        <v>0</v>
      </c>
      <c r="AP455">
        <f t="shared" si="143"/>
        <v>0</v>
      </c>
      <c r="AQ455">
        <f t="shared" si="143"/>
        <v>0</v>
      </c>
      <c r="AR455">
        <f t="shared" si="143"/>
        <v>0</v>
      </c>
      <c r="AS455">
        <f t="shared" si="143"/>
        <v>0</v>
      </c>
      <c r="AT455">
        <f t="shared" si="143"/>
        <v>0</v>
      </c>
      <c r="AU455">
        <f t="shared" si="143"/>
        <v>0</v>
      </c>
      <c r="AV455">
        <f t="shared" si="143"/>
        <v>0</v>
      </c>
      <c r="AW455">
        <f t="shared" si="143"/>
        <v>0</v>
      </c>
      <c r="AX455">
        <f t="shared" si="143"/>
        <v>0</v>
      </c>
      <c r="AY455">
        <f t="shared" si="144"/>
        <v>0</v>
      </c>
      <c r="AZ455">
        <f t="shared" si="144"/>
        <v>0</v>
      </c>
      <c r="BA455">
        <f t="shared" si="144"/>
        <v>0</v>
      </c>
      <c r="BB455">
        <f t="shared" si="144"/>
        <v>0</v>
      </c>
      <c r="BC455" t="str">
        <f t="shared" si="144"/>
        <v>Fogan</v>
      </c>
      <c r="BD455">
        <f t="shared" si="144"/>
        <v>0</v>
      </c>
      <c r="BE455">
        <f t="shared" si="144"/>
        <v>0</v>
      </c>
      <c r="BF455">
        <f t="shared" si="144"/>
        <v>0</v>
      </c>
      <c r="BG455">
        <f t="shared" si="144"/>
        <v>0</v>
      </c>
      <c r="BH455">
        <f t="shared" si="144"/>
        <v>0</v>
      </c>
      <c r="BI455">
        <f t="shared" si="145"/>
        <v>0</v>
      </c>
      <c r="BJ455">
        <f t="shared" si="145"/>
        <v>0</v>
      </c>
      <c r="BK455">
        <f t="shared" si="145"/>
        <v>0</v>
      </c>
      <c r="BL455">
        <f t="shared" si="145"/>
        <v>0</v>
      </c>
      <c r="BM455">
        <f t="shared" si="145"/>
        <v>0</v>
      </c>
      <c r="BN455">
        <f t="shared" si="145"/>
        <v>0</v>
      </c>
      <c r="BO455">
        <f t="shared" si="145"/>
        <v>0</v>
      </c>
      <c r="BP455">
        <f t="shared" si="145"/>
        <v>0</v>
      </c>
      <c r="BQ455">
        <f t="shared" si="145"/>
        <v>0</v>
      </c>
      <c r="BR455">
        <f t="shared" si="145"/>
        <v>0</v>
      </c>
      <c r="BS455">
        <f t="shared" si="145"/>
        <v>0</v>
      </c>
    </row>
    <row r="456" spans="2:71" ht="15" customHeight="1" x14ac:dyDescent="0.2">
      <c r="B456">
        <v>21</v>
      </c>
      <c r="C456">
        <v>1</v>
      </c>
      <c r="D456">
        <v>7</v>
      </c>
      <c r="E456" t="s">
        <v>384</v>
      </c>
      <c r="F456" t="s">
        <v>72</v>
      </c>
      <c r="G456" s="5">
        <v>43687</v>
      </c>
      <c r="H456" t="s">
        <v>73</v>
      </c>
      <c r="I456" t="s">
        <v>347</v>
      </c>
      <c r="J456" t="s">
        <v>348</v>
      </c>
      <c r="K456">
        <v>18</v>
      </c>
      <c r="L456" t="s">
        <v>107</v>
      </c>
      <c r="M456" t="s">
        <v>385</v>
      </c>
      <c r="N456" t="s">
        <v>350</v>
      </c>
      <c r="O456">
        <v>72.099999999999994</v>
      </c>
      <c r="P456">
        <v>136</v>
      </c>
      <c r="Q456">
        <v>6422</v>
      </c>
      <c r="R456" t="s">
        <v>110</v>
      </c>
      <c r="S456" t="s">
        <v>111</v>
      </c>
      <c r="T456" t="s">
        <v>351</v>
      </c>
      <c r="U456" t="s">
        <v>352</v>
      </c>
      <c r="V456" t="s">
        <v>57</v>
      </c>
      <c r="W456" t="s">
        <v>78</v>
      </c>
      <c r="AA456">
        <v>2</v>
      </c>
      <c r="AB456" t="s">
        <v>33</v>
      </c>
      <c r="AC456" t="s">
        <v>209</v>
      </c>
      <c r="AD456" t="s">
        <v>45</v>
      </c>
      <c r="AE456" t="str">
        <f t="shared" si="142"/>
        <v>Buss</v>
      </c>
      <c r="AF456">
        <v>0</v>
      </c>
      <c r="AG456">
        <v>0</v>
      </c>
      <c r="AH456">
        <v>1</v>
      </c>
      <c r="AI456">
        <v>0</v>
      </c>
      <c r="AJ456">
        <v>0</v>
      </c>
      <c r="AK456" t="s">
        <v>45</v>
      </c>
      <c r="AL456">
        <v>0.59375</v>
      </c>
      <c r="AO456">
        <f t="shared" si="143"/>
        <v>0</v>
      </c>
      <c r="AP456">
        <f t="shared" si="143"/>
        <v>0</v>
      </c>
      <c r="AQ456">
        <f t="shared" si="143"/>
        <v>0</v>
      </c>
      <c r="AR456">
        <f t="shared" si="143"/>
        <v>0</v>
      </c>
      <c r="AS456">
        <f t="shared" si="143"/>
        <v>0</v>
      </c>
      <c r="AT456">
        <f t="shared" si="143"/>
        <v>0</v>
      </c>
      <c r="AU456">
        <f t="shared" si="143"/>
        <v>0</v>
      </c>
      <c r="AV456">
        <f t="shared" si="143"/>
        <v>0</v>
      </c>
      <c r="AW456">
        <f t="shared" si="143"/>
        <v>0</v>
      </c>
      <c r="AX456">
        <f t="shared" si="143"/>
        <v>0</v>
      </c>
      <c r="AY456">
        <f t="shared" si="144"/>
        <v>0</v>
      </c>
      <c r="AZ456">
        <f t="shared" si="144"/>
        <v>0</v>
      </c>
      <c r="BA456">
        <f t="shared" si="144"/>
        <v>0</v>
      </c>
      <c r="BB456">
        <f t="shared" si="144"/>
        <v>0</v>
      </c>
      <c r="BC456">
        <f t="shared" si="144"/>
        <v>0</v>
      </c>
      <c r="BD456">
        <f t="shared" si="144"/>
        <v>0</v>
      </c>
      <c r="BE456">
        <f t="shared" si="144"/>
        <v>0</v>
      </c>
      <c r="BF456" t="str">
        <f t="shared" si="144"/>
        <v>Buss</v>
      </c>
      <c r="BG456">
        <f t="shared" si="144"/>
        <v>0</v>
      </c>
      <c r="BH456">
        <f t="shared" si="144"/>
        <v>0</v>
      </c>
      <c r="BI456">
        <f t="shared" si="145"/>
        <v>0</v>
      </c>
      <c r="BJ456">
        <f t="shared" si="145"/>
        <v>0</v>
      </c>
      <c r="BK456">
        <f t="shared" si="145"/>
        <v>0</v>
      </c>
      <c r="BL456">
        <f t="shared" si="145"/>
        <v>0</v>
      </c>
      <c r="BM456">
        <f t="shared" si="145"/>
        <v>0</v>
      </c>
      <c r="BN456">
        <f t="shared" si="145"/>
        <v>0</v>
      </c>
      <c r="BO456">
        <f t="shared" si="145"/>
        <v>0</v>
      </c>
      <c r="BP456">
        <f t="shared" si="145"/>
        <v>0</v>
      </c>
      <c r="BQ456">
        <f t="shared" si="145"/>
        <v>0</v>
      </c>
      <c r="BR456">
        <f t="shared" si="145"/>
        <v>0</v>
      </c>
      <c r="BS456">
        <f t="shared" si="145"/>
        <v>0</v>
      </c>
    </row>
    <row r="457" spans="2:71" ht="15" customHeight="1" x14ac:dyDescent="0.2">
      <c r="B457">
        <v>21</v>
      </c>
      <c r="C457">
        <v>2</v>
      </c>
      <c r="D457">
        <v>7</v>
      </c>
      <c r="E457" t="s">
        <v>386</v>
      </c>
      <c r="F457" t="s">
        <v>72</v>
      </c>
      <c r="G457" s="5">
        <v>43687</v>
      </c>
      <c r="H457" t="s">
        <v>73</v>
      </c>
      <c r="I457" t="s">
        <v>347</v>
      </c>
      <c r="J457" t="s">
        <v>348</v>
      </c>
      <c r="K457">
        <v>18</v>
      </c>
      <c r="L457" t="s">
        <v>107</v>
      </c>
      <c r="M457" t="s">
        <v>385</v>
      </c>
      <c r="N457" t="s">
        <v>350</v>
      </c>
      <c r="O457">
        <v>72.099999999999994</v>
      </c>
      <c r="P457">
        <v>136</v>
      </c>
      <c r="Q457">
        <v>6422</v>
      </c>
      <c r="R457" t="s">
        <v>110</v>
      </c>
      <c r="S457" t="s">
        <v>111</v>
      </c>
      <c r="T457" t="s">
        <v>351</v>
      </c>
      <c r="U457" t="s">
        <v>352</v>
      </c>
      <c r="V457" t="s">
        <v>50</v>
      </c>
      <c r="W457" t="s">
        <v>78</v>
      </c>
      <c r="AA457">
        <v>2</v>
      </c>
      <c r="AB457" t="s">
        <v>33</v>
      </c>
      <c r="AC457" t="s">
        <v>209</v>
      </c>
      <c r="AD457" t="s">
        <v>53</v>
      </c>
      <c r="AE457" t="str">
        <f t="shared" si="142"/>
        <v>Ferrin</v>
      </c>
      <c r="AF457">
        <v>0</v>
      </c>
      <c r="AG457">
        <v>0</v>
      </c>
      <c r="AH457">
        <v>1</v>
      </c>
      <c r="AI457">
        <v>0</v>
      </c>
      <c r="AJ457">
        <v>0</v>
      </c>
      <c r="AK457" t="s">
        <v>53</v>
      </c>
      <c r="AL457">
        <v>0.59649122807017496</v>
      </c>
      <c r="AO457">
        <f t="shared" si="143"/>
        <v>0</v>
      </c>
      <c r="AP457">
        <f t="shared" si="143"/>
        <v>0</v>
      </c>
      <c r="AQ457">
        <f t="shared" si="143"/>
        <v>0</v>
      </c>
      <c r="AR457">
        <f t="shared" si="143"/>
        <v>0</v>
      </c>
      <c r="AS457">
        <f t="shared" si="143"/>
        <v>0</v>
      </c>
      <c r="AT457">
        <f t="shared" si="143"/>
        <v>0</v>
      </c>
      <c r="AU457">
        <f t="shared" si="143"/>
        <v>0</v>
      </c>
      <c r="AV457">
        <f t="shared" si="143"/>
        <v>0</v>
      </c>
      <c r="AW457">
        <f t="shared" si="143"/>
        <v>0</v>
      </c>
      <c r="AX457">
        <f t="shared" si="143"/>
        <v>0</v>
      </c>
      <c r="AY457" t="str">
        <f t="shared" si="144"/>
        <v>Ferrin</v>
      </c>
      <c r="AZ457">
        <f t="shared" si="144"/>
        <v>0</v>
      </c>
      <c r="BA457">
        <f t="shared" si="144"/>
        <v>0</v>
      </c>
      <c r="BB457">
        <f t="shared" si="144"/>
        <v>0</v>
      </c>
      <c r="BC457">
        <f t="shared" si="144"/>
        <v>0</v>
      </c>
      <c r="BD457">
        <f t="shared" si="144"/>
        <v>0</v>
      </c>
      <c r="BE457">
        <f t="shared" si="144"/>
        <v>0</v>
      </c>
      <c r="BF457">
        <f t="shared" si="144"/>
        <v>0</v>
      </c>
      <c r="BG457">
        <f t="shared" si="144"/>
        <v>0</v>
      </c>
      <c r="BH457">
        <f t="shared" si="144"/>
        <v>0</v>
      </c>
      <c r="BI457">
        <f t="shared" si="145"/>
        <v>0</v>
      </c>
      <c r="BJ457">
        <f t="shared" si="145"/>
        <v>0</v>
      </c>
      <c r="BK457">
        <f t="shared" si="145"/>
        <v>0</v>
      </c>
      <c r="BL457">
        <f t="shared" si="145"/>
        <v>0</v>
      </c>
      <c r="BM457">
        <f t="shared" si="145"/>
        <v>0</v>
      </c>
      <c r="BN457">
        <f t="shared" si="145"/>
        <v>0</v>
      </c>
      <c r="BO457">
        <f t="shared" si="145"/>
        <v>0</v>
      </c>
      <c r="BP457">
        <f t="shared" si="145"/>
        <v>0</v>
      </c>
      <c r="BQ457">
        <f t="shared" si="145"/>
        <v>0</v>
      </c>
      <c r="BR457">
        <f t="shared" si="145"/>
        <v>0</v>
      </c>
      <c r="BS457">
        <f t="shared" si="145"/>
        <v>0</v>
      </c>
    </row>
    <row r="458" spans="2:71" ht="15" customHeight="1" x14ac:dyDescent="0.2">
      <c r="B458">
        <v>22</v>
      </c>
      <c r="C458">
        <v>3</v>
      </c>
      <c r="D458">
        <v>7</v>
      </c>
      <c r="E458" t="s">
        <v>387</v>
      </c>
      <c r="F458" t="s">
        <v>72</v>
      </c>
      <c r="G458" s="5">
        <v>43687</v>
      </c>
      <c r="H458" t="s">
        <v>73</v>
      </c>
      <c r="I458" t="s">
        <v>347</v>
      </c>
      <c r="J458" t="s">
        <v>348</v>
      </c>
      <c r="K458">
        <v>18</v>
      </c>
      <c r="L458" t="s">
        <v>107</v>
      </c>
      <c r="M458" t="s">
        <v>385</v>
      </c>
      <c r="N458" t="s">
        <v>350</v>
      </c>
      <c r="O458">
        <v>72.099999999999994</v>
      </c>
      <c r="P458">
        <v>136</v>
      </c>
      <c r="Q458">
        <v>6422</v>
      </c>
      <c r="R458" t="s">
        <v>110</v>
      </c>
      <c r="S458" t="s">
        <v>111</v>
      </c>
      <c r="T458" t="s">
        <v>351</v>
      </c>
      <c r="U458" t="s">
        <v>352</v>
      </c>
      <c r="V458" t="s">
        <v>60</v>
      </c>
      <c r="W458" t="s">
        <v>78</v>
      </c>
      <c r="AA458">
        <v>2</v>
      </c>
      <c r="AB458" t="s">
        <v>32</v>
      </c>
      <c r="AC458" t="s">
        <v>233</v>
      </c>
      <c r="AD458" t="s">
        <v>41</v>
      </c>
      <c r="AE458" t="str">
        <f t="shared" si="142"/>
        <v>Zimmer</v>
      </c>
      <c r="AF458">
        <v>2</v>
      </c>
      <c r="AG458">
        <v>1</v>
      </c>
      <c r="AH458">
        <v>0</v>
      </c>
      <c r="AI458">
        <v>0</v>
      </c>
      <c r="AJ458">
        <v>1</v>
      </c>
      <c r="AK458" t="s">
        <v>41</v>
      </c>
      <c r="AL458">
        <v>0.47321428571428598</v>
      </c>
      <c r="AO458">
        <f t="shared" si="143"/>
        <v>0</v>
      </c>
      <c r="AP458">
        <f t="shared" si="143"/>
        <v>0</v>
      </c>
      <c r="AQ458">
        <f t="shared" si="143"/>
        <v>0</v>
      </c>
      <c r="AR458">
        <f t="shared" si="143"/>
        <v>0</v>
      </c>
      <c r="AS458">
        <f t="shared" si="143"/>
        <v>0</v>
      </c>
      <c r="AT458">
        <f t="shared" si="143"/>
        <v>0</v>
      </c>
      <c r="AU458">
        <f t="shared" si="143"/>
        <v>0</v>
      </c>
      <c r="AV458">
        <f t="shared" si="143"/>
        <v>0</v>
      </c>
      <c r="AW458">
        <f t="shared" si="143"/>
        <v>0</v>
      </c>
      <c r="AX458">
        <f t="shared" si="143"/>
        <v>0</v>
      </c>
      <c r="AY458">
        <f t="shared" si="144"/>
        <v>0</v>
      </c>
      <c r="AZ458">
        <f t="shared" si="144"/>
        <v>0</v>
      </c>
      <c r="BA458">
        <f t="shared" si="144"/>
        <v>0</v>
      </c>
      <c r="BB458">
        <f t="shared" si="144"/>
        <v>0</v>
      </c>
      <c r="BC458">
        <f t="shared" si="144"/>
        <v>0</v>
      </c>
      <c r="BD458">
        <f t="shared" si="144"/>
        <v>0</v>
      </c>
      <c r="BE458">
        <f t="shared" si="144"/>
        <v>0</v>
      </c>
      <c r="BF458">
        <f t="shared" si="144"/>
        <v>0</v>
      </c>
      <c r="BG458">
        <f t="shared" si="144"/>
        <v>0</v>
      </c>
      <c r="BH458">
        <f t="shared" si="144"/>
        <v>0</v>
      </c>
      <c r="BI458" t="str">
        <f t="shared" si="145"/>
        <v>Zimmer</v>
      </c>
      <c r="BJ458">
        <f t="shared" si="145"/>
        <v>0</v>
      </c>
      <c r="BK458">
        <f t="shared" si="145"/>
        <v>0</v>
      </c>
      <c r="BL458">
        <f t="shared" si="145"/>
        <v>0</v>
      </c>
      <c r="BM458">
        <f t="shared" si="145"/>
        <v>0</v>
      </c>
      <c r="BN458">
        <f t="shared" si="145"/>
        <v>0</v>
      </c>
      <c r="BO458">
        <f t="shared" si="145"/>
        <v>0</v>
      </c>
      <c r="BP458">
        <f t="shared" si="145"/>
        <v>0</v>
      </c>
      <c r="BQ458">
        <f t="shared" si="145"/>
        <v>0</v>
      </c>
      <c r="BR458">
        <f t="shared" si="145"/>
        <v>0</v>
      </c>
      <c r="BS458">
        <f t="shared" si="145"/>
        <v>0</v>
      </c>
    </row>
    <row r="459" spans="2:71" ht="15" customHeight="1" x14ac:dyDescent="0.2">
      <c r="B459">
        <v>22</v>
      </c>
      <c r="C459">
        <v>4</v>
      </c>
      <c r="D459">
        <v>7</v>
      </c>
      <c r="E459" t="s">
        <v>388</v>
      </c>
      <c r="F459" t="s">
        <v>72</v>
      </c>
      <c r="G459" s="5">
        <v>43687</v>
      </c>
      <c r="H459" t="s">
        <v>73</v>
      </c>
      <c r="I459" t="s">
        <v>347</v>
      </c>
      <c r="J459" t="s">
        <v>348</v>
      </c>
      <c r="K459">
        <v>18</v>
      </c>
      <c r="L459" t="s">
        <v>107</v>
      </c>
      <c r="M459" t="s">
        <v>385</v>
      </c>
      <c r="N459" t="s">
        <v>350</v>
      </c>
      <c r="O459">
        <v>72.099999999999994</v>
      </c>
      <c r="P459">
        <v>136</v>
      </c>
      <c r="Q459">
        <v>6422</v>
      </c>
      <c r="R459" t="s">
        <v>110</v>
      </c>
      <c r="S459" t="s">
        <v>111</v>
      </c>
      <c r="T459" t="s">
        <v>351</v>
      </c>
      <c r="U459" t="s">
        <v>352</v>
      </c>
      <c r="V459" t="s">
        <v>58</v>
      </c>
      <c r="W459" t="s">
        <v>78</v>
      </c>
      <c r="AA459">
        <v>2</v>
      </c>
      <c r="AB459" t="s">
        <v>32</v>
      </c>
      <c r="AC459" t="s">
        <v>209</v>
      </c>
      <c r="AD459" t="s">
        <v>62</v>
      </c>
      <c r="AE459" t="str">
        <f t="shared" si="142"/>
        <v>Gray</v>
      </c>
      <c r="AF459">
        <v>2</v>
      </c>
      <c r="AG459">
        <v>1</v>
      </c>
      <c r="AH459">
        <v>0</v>
      </c>
      <c r="AI459">
        <v>0</v>
      </c>
      <c r="AJ459">
        <v>1</v>
      </c>
      <c r="AK459" t="s">
        <v>62</v>
      </c>
      <c r="AL459">
        <v>0.51041666666666696</v>
      </c>
      <c r="AO459">
        <f t="shared" si="143"/>
        <v>0</v>
      </c>
      <c r="AP459">
        <f t="shared" si="143"/>
        <v>0</v>
      </c>
      <c r="AQ459">
        <f t="shared" si="143"/>
        <v>0</v>
      </c>
      <c r="AR459">
        <f t="shared" si="143"/>
        <v>0</v>
      </c>
      <c r="AS459">
        <f t="shared" si="143"/>
        <v>0</v>
      </c>
      <c r="AT459">
        <f t="shared" si="143"/>
        <v>0</v>
      </c>
      <c r="AU459">
        <f t="shared" si="143"/>
        <v>0</v>
      </c>
      <c r="AV459">
        <f t="shared" si="143"/>
        <v>0</v>
      </c>
      <c r="AW459">
        <f t="shared" si="143"/>
        <v>0</v>
      </c>
      <c r="AX459">
        <f t="shared" si="143"/>
        <v>0</v>
      </c>
      <c r="AY459">
        <f t="shared" si="144"/>
        <v>0</v>
      </c>
      <c r="AZ459">
        <f t="shared" si="144"/>
        <v>0</v>
      </c>
      <c r="BA459">
        <f t="shared" si="144"/>
        <v>0</v>
      </c>
      <c r="BB459">
        <f t="shared" si="144"/>
        <v>0</v>
      </c>
      <c r="BC459">
        <f t="shared" si="144"/>
        <v>0</v>
      </c>
      <c r="BD459">
        <f t="shared" si="144"/>
        <v>0</v>
      </c>
      <c r="BE459">
        <f t="shared" si="144"/>
        <v>0</v>
      </c>
      <c r="BF459">
        <f t="shared" si="144"/>
        <v>0</v>
      </c>
      <c r="BG459" t="str">
        <f t="shared" si="144"/>
        <v>Gray</v>
      </c>
      <c r="BH459">
        <f t="shared" si="144"/>
        <v>0</v>
      </c>
      <c r="BI459">
        <f t="shared" si="145"/>
        <v>0</v>
      </c>
      <c r="BJ459">
        <f t="shared" si="145"/>
        <v>0</v>
      </c>
      <c r="BK459">
        <f t="shared" si="145"/>
        <v>0</v>
      </c>
      <c r="BL459">
        <f t="shared" si="145"/>
        <v>0</v>
      </c>
      <c r="BM459">
        <f t="shared" si="145"/>
        <v>0</v>
      </c>
      <c r="BN459">
        <f t="shared" si="145"/>
        <v>0</v>
      </c>
      <c r="BO459">
        <f t="shared" si="145"/>
        <v>0</v>
      </c>
      <c r="BP459">
        <f t="shared" si="145"/>
        <v>0</v>
      </c>
      <c r="BQ459">
        <f t="shared" si="145"/>
        <v>0</v>
      </c>
      <c r="BR459">
        <f t="shared" si="145"/>
        <v>0</v>
      </c>
      <c r="BS459">
        <f t="shared" si="145"/>
        <v>0</v>
      </c>
    </row>
    <row r="460" spans="2:71" ht="15" customHeight="1" x14ac:dyDescent="0.2">
      <c r="B460">
        <v>23</v>
      </c>
      <c r="C460">
        <v>5</v>
      </c>
      <c r="D460">
        <v>7</v>
      </c>
      <c r="E460" t="s">
        <v>389</v>
      </c>
      <c r="F460" t="s">
        <v>72</v>
      </c>
      <c r="G460" s="5">
        <v>43687</v>
      </c>
      <c r="H460" t="s">
        <v>73</v>
      </c>
      <c r="I460" t="s">
        <v>347</v>
      </c>
      <c r="J460" t="s">
        <v>348</v>
      </c>
      <c r="K460">
        <v>18</v>
      </c>
      <c r="L460" t="s">
        <v>107</v>
      </c>
      <c r="M460" t="s">
        <v>385</v>
      </c>
      <c r="N460" t="s">
        <v>350</v>
      </c>
      <c r="O460">
        <v>72.099999999999994</v>
      </c>
      <c r="P460">
        <v>136</v>
      </c>
      <c r="Q460">
        <v>6422</v>
      </c>
      <c r="R460" t="s">
        <v>110</v>
      </c>
      <c r="S460" t="s">
        <v>111</v>
      </c>
      <c r="T460" t="s">
        <v>351</v>
      </c>
      <c r="U460" t="s">
        <v>352</v>
      </c>
      <c r="V460" t="s">
        <v>40</v>
      </c>
      <c r="W460" t="s">
        <v>78</v>
      </c>
      <c r="AA460">
        <v>2</v>
      </c>
      <c r="AB460" t="s">
        <v>32</v>
      </c>
      <c r="AC460" t="s">
        <v>184</v>
      </c>
      <c r="AD460" t="s">
        <v>46</v>
      </c>
      <c r="AE460" t="str">
        <f t="shared" si="142"/>
        <v>Grise</v>
      </c>
      <c r="AF460">
        <v>2</v>
      </c>
      <c r="AG460">
        <v>1</v>
      </c>
      <c r="AH460">
        <v>0</v>
      </c>
      <c r="AI460">
        <v>0</v>
      </c>
      <c r="AJ460">
        <v>1</v>
      </c>
      <c r="AK460" t="s">
        <v>46</v>
      </c>
      <c r="AL460">
        <v>0.38392857142857201</v>
      </c>
      <c r="AO460" t="str">
        <f t="shared" si="143"/>
        <v>Grise</v>
      </c>
      <c r="AP460">
        <f t="shared" si="143"/>
        <v>0</v>
      </c>
      <c r="AQ460">
        <f t="shared" si="143"/>
        <v>0</v>
      </c>
      <c r="AR460">
        <f t="shared" si="143"/>
        <v>0</v>
      </c>
      <c r="AS460">
        <f t="shared" si="143"/>
        <v>0</v>
      </c>
      <c r="AT460">
        <f t="shared" si="143"/>
        <v>0</v>
      </c>
      <c r="AU460">
        <f t="shared" si="143"/>
        <v>0</v>
      </c>
      <c r="AV460">
        <f t="shared" si="143"/>
        <v>0</v>
      </c>
      <c r="AW460">
        <f t="shared" si="143"/>
        <v>0</v>
      </c>
      <c r="AX460">
        <f t="shared" si="143"/>
        <v>0</v>
      </c>
      <c r="AY460">
        <f t="shared" si="144"/>
        <v>0</v>
      </c>
      <c r="AZ460">
        <f t="shared" si="144"/>
        <v>0</v>
      </c>
      <c r="BA460">
        <f t="shared" si="144"/>
        <v>0</v>
      </c>
      <c r="BB460">
        <f t="shared" si="144"/>
        <v>0</v>
      </c>
      <c r="BC460">
        <f t="shared" si="144"/>
        <v>0</v>
      </c>
      <c r="BD460">
        <f t="shared" si="144"/>
        <v>0</v>
      </c>
      <c r="BE460">
        <f t="shared" si="144"/>
        <v>0</v>
      </c>
      <c r="BF460">
        <f t="shared" si="144"/>
        <v>0</v>
      </c>
      <c r="BG460">
        <f t="shared" si="144"/>
        <v>0</v>
      </c>
      <c r="BH460">
        <f t="shared" si="144"/>
        <v>0</v>
      </c>
      <c r="BI460">
        <f t="shared" si="145"/>
        <v>0</v>
      </c>
      <c r="BJ460">
        <f t="shared" si="145"/>
        <v>0</v>
      </c>
      <c r="BK460">
        <f t="shared" si="145"/>
        <v>0</v>
      </c>
      <c r="BL460">
        <f t="shared" si="145"/>
        <v>0</v>
      </c>
      <c r="BM460">
        <f t="shared" si="145"/>
        <v>0</v>
      </c>
      <c r="BN460">
        <f t="shared" si="145"/>
        <v>0</v>
      </c>
      <c r="BO460">
        <f t="shared" si="145"/>
        <v>0</v>
      </c>
      <c r="BP460">
        <f t="shared" si="145"/>
        <v>0</v>
      </c>
      <c r="BQ460">
        <f t="shared" si="145"/>
        <v>0</v>
      </c>
      <c r="BR460">
        <f t="shared" si="145"/>
        <v>0</v>
      </c>
      <c r="BS460">
        <f t="shared" si="145"/>
        <v>0</v>
      </c>
    </row>
    <row r="461" spans="2:71" ht="15" customHeight="1" x14ac:dyDescent="0.2">
      <c r="B461">
        <v>23</v>
      </c>
      <c r="C461">
        <v>6</v>
      </c>
      <c r="D461">
        <v>7</v>
      </c>
      <c r="E461" t="s">
        <v>390</v>
      </c>
      <c r="F461" t="s">
        <v>72</v>
      </c>
      <c r="G461" s="5">
        <v>43687</v>
      </c>
      <c r="H461" t="s">
        <v>73</v>
      </c>
      <c r="I461" t="s">
        <v>347</v>
      </c>
      <c r="J461" t="s">
        <v>348</v>
      </c>
      <c r="K461">
        <v>18</v>
      </c>
      <c r="L461" t="s">
        <v>107</v>
      </c>
      <c r="M461" t="s">
        <v>385</v>
      </c>
      <c r="N461" t="s">
        <v>350</v>
      </c>
      <c r="O461">
        <v>72.099999999999994</v>
      </c>
      <c r="P461">
        <v>136</v>
      </c>
      <c r="Q461">
        <v>6422</v>
      </c>
      <c r="R461" t="s">
        <v>110</v>
      </c>
      <c r="S461" t="s">
        <v>111</v>
      </c>
      <c r="T461" t="s">
        <v>351</v>
      </c>
      <c r="U461" t="s">
        <v>352</v>
      </c>
      <c r="V461" t="s">
        <v>44</v>
      </c>
      <c r="W461" t="s">
        <v>78</v>
      </c>
      <c r="AA461">
        <v>2</v>
      </c>
      <c r="AB461" t="s">
        <v>33</v>
      </c>
      <c r="AC461" t="s">
        <v>209</v>
      </c>
      <c r="AD461" t="s">
        <v>43</v>
      </c>
      <c r="AE461" t="str">
        <f t="shared" si="142"/>
        <v>Flanders</v>
      </c>
      <c r="AF461">
        <v>0</v>
      </c>
      <c r="AG461">
        <v>0</v>
      </c>
      <c r="AH461">
        <v>1</v>
      </c>
      <c r="AI461">
        <v>0</v>
      </c>
      <c r="AJ461">
        <v>0</v>
      </c>
      <c r="AK461" t="s">
        <v>43</v>
      </c>
      <c r="AL461">
        <v>0.48611111111111099</v>
      </c>
      <c r="AO461">
        <f t="shared" si="143"/>
        <v>0</v>
      </c>
      <c r="AP461">
        <f t="shared" si="143"/>
        <v>0</v>
      </c>
      <c r="AQ461">
        <f t="shared" si="143"/>
        <v>0</v>
      </c>
      <c r="AR461">
        <f t="shared" si="143"/>
        <v>0</v>
      </c>
      <c r="AS461" t="str">
        <f t="shared" si="143"/>
        <v>Flanders</v>
      </c>
      <c r="AT461">
        <f t="shared" si="143"/>
        <v>0</v>
      </c>
      <c r="AU461">
        <f t="shared" si="143"/>
        <v>0</v>
      </c>
      <c r="AV461">
        <f t="shared" si="143"/>
        <v>0</v>
      </c>
      <c r="AW461">
        <f t="shared" si="143"/>
        <v>0</v>
      </c>
      <c r="AX461">
        <f t="shared" si="143"/>
        <v>0</v>
      </c>
      <c r="AY461">
        <f t="shared" si="144"/>
        <v>0</v>
      </c>
      <c r="AZ461">
        <f t="shared" si="144"/>
        <v>0</v>
      </c>
      <c r="BA461">
        <f t="shared" si="144"/>
        <v>0</v>
      </c>
      <c r="BB461">
        <f t="shared" si="144"/>
        <v>0</v>
      </c>
      <c r="BC461">
        <f t="shared" si="144"/>
        <v>0</v>
      </c>
      <c r="BD461">
        <f t="shared" si="144"/>
        <v>0</v>
      </c>
      <c r="BE461">
        <f t="shared" si="144"/>
        <v>0</v>
      </c>
      <c r="BF461">
        <f t="shared" si="144"/>
        <v>0</v>
      </c>
      <c r="BG461">
        <f t="shared" si="144"/>
        <v>0</v>
      </c>
      <c r="BH461">
        <f t="shared" si="144"/>
        <v>0</v>
      </c>
      <c r="BI461">
        <f t="shared" si="145"/>
        <v>0</v>
      </c>
      <c r="BJ461">
        <f t="shared" si="145"/>
        <v>0</v>
      </c>
      <c r="BK461">
        <f t="shared" si="145"/>
        <v>0</v>
      </c>
      <c r="BL461">
        <f t="shared" si="145"/>
        <v>0</v>
      </c>
      <c r="BM461">
        <f t="shared" si="145"/>
        <v>0</v>
      </c>
      <c r="BN461">
        <f t="shared" si="145"/>
        <v>0</v>
      </c>
      <c r="BO461">
        <f t="shared" si="145"/>
        <v>0</v>
      </c>
      <c r="BP461">
        <f t="shared" si="145"/>
        <v>0</v>
      </c>
      <c r="BQ461">
        <f t="shared" si="145"/>
        <v>0</v>
      </c>
      <c r="BR461">
        <f t="shared" si="145"/>
        <v>0</v>
      </c>
      <c r="BS461">
        <f t="shared" si="145"/>
        <v>0</v>
      </c>
    </row>
    <row r="462" spans="2:71" ht="15" customHeight="1" x14ac:dyDescent="0.2">
      <c r="B462">
        <v>24</v>
      </c>
      <c r="C462">
        <v>7</v>
      </c>
      <c r="D462">
        <v>7</v>
      </c>
      <c r="E462" t="s">
        <v>391</v>
      </c>
      <c r="F462" t="s">
        <v>72</v>
      </c>
      <c r="G462" s="5">
        <v>43687</v>
      </c>
      <c r="H462" t="s">
        <v>73</v>
      </c>
      <c r="I462" t="s">
        <v>347</v>
      </c>
      <c r="J462" t="s">
        <v>348</v>
      </c>
      <c r="K462">
        <v>18</v>
      </c>
      <c r="L462" t="s">
        <v>107</v>
      </c>
      <c r="M462" t="s">
        <v>385</v>
      </c>
      <c r="N462" t="s">
        <v>350</v>
      </c>
      <c r="O462">
        <v>72.099999999999994</v>
      </c>
      <c r="P462">
        <v>136</v>
      </c>
      <c r="Q462">
        <v>6422</v>
      </c>
      <c r="R462" t="s">
        <v>110</v>
      </c>
      <c r="S462" t="s">
        <v>111</v>
      </c>
      <c r="T462" t="s">
        <v>351</v>
      </c>
      <c r="U462" t="s">
        <v>352</v>
      </c>
      <c r="V462" t="s">
        <v>48</v>
      </c>
      <c r="W462" t="s">
        <v>78</v>
      </c>
      <c r="AA462">
        <v>2</v>
      </c>
      <c r="AB462" t="s">
        <v>33</v>
      </c>
      <c r="AC462" t="s">
        <v>258</v>
      </c>
      <c r="AD462" t="s">
        <v>49</v>
      </c>
      <c r="AE462" t="str">
        <f t="shared" si="142"/>
        <v>Lynch</v>
      </c>
      <c r="AF462">
        <v>0</v>
      </c>
      <c r="AG462">
        <v>0</v>
      </c>
      <c r="AH462">
        <v>1</v>
      </c>
      <c r="AI462">
        <v>0</v>
      </c>
      <c r="AJ462">
        <v>0</v>
      </c>
      <c r="AK462" t="s">
        <v>49</v>
      </c>
      <c r="AO462">
        <f t="shared" ref="AO462:AX471" si="146">IF(OR($V462=AO$1,$Y462=AO$1),AO$1,0)</f>
        <v>0</v>
      </c>
      <c r="AP462">
        <f t="shared" si="146"/>
        <v>0</v>
      </c>
      <c r="AQ462">
        <f t="shared" si="146"/>
        <v>0</v>
      </c>
      <c r="AR462">
        <f t="shared" si="146"/>
        <v>0</v>
      </c>
      <c r="AS462">
        <f t="shared" si="146"/>
        <v>0</v>
      </c>
      <c r="AT462">
        <f t="shared" si="146"/>
        <v>0</v>
      </c>
      <c r="AU462">
        <f t="shared" si="146"/>
        <v>0</v>
      </c>
      <c r="AV462">
        <f t="shared" si="146"/>
        <v>0</v>
      </c>
      <c r="AW462" t="str">
        <f t="shared" si="146"/>
        <v>Lynch</v>
      </c>
      <c r="AX462">
        <f t="shared" si="146"/>
        <v>0</v>
      </c>
      <c r="AY462">
        <f t="shared" ref="AY462:BH471" si="147">IF(OR($V462=AY$1,$Y462=AY$1),AY$1,0)</f>
        <v>0</v>
      </c>
      <c r="AZ462">
        <f t="shared" si="147"/>
        <v>0</v>
      </c>
      <c r="BA462">
        <f t="shared" si="147"/>
        <v>0</v>
      </c>
      <c r="BB462">
        <f t="shared" si="147"/>
        <v>0</v>
      </c>
      <c r="BC462">
        <f t="shared" si="147"/>
        <v>0</v>
      </c>
      <c r="BD462">
        <f t="shared" si="147"/>
        <v>0</v>
      </c>
      <c r="BE462">
        <f t="shared" si="147"/>
        <v>0</v>
      </c>
      <c r="BF462">
        <f t="shared" si="147"/>
        <v>0</v>
      </c>
      <c r="BG462">
        <f t="shared" si="147"/>
        <v>0</v>
      </c>
      <c r="BH462">
        <f t="shared" si="147"/>
        <v>0</v>
      </c>
      <c r="BI462">
        <f t="shared" ref="BI462:BS471" si="148">IF(OR($V462=BI$1,$Y462=BI$1),BI$1,0)</f>
        <v>0</v>
      </c>
      <c r="BJ462">
        <f t="shared" si="148"/>
        <v>0</v>
      </c>
      <c r="BK462">
        <f t="shared" si="148"/>
        <v>0</v>
      </c>
      <c r="BL462">
        <f t="shared" si="148"/>
        <v>0</v>
      </c>
      <c r="BM462">
        <f t="shared" si="148"/>
        <v>0</v>
      </c>
      <c r="BN462">
        <f t="shared" si="148"/>
        <v>0</v>
      </c>
      <c r="BO462">
        <f t="shared" si="148"/>
        <v>0</v>
      </c>
      <c r="BP462">
        <f t="shared" si="148"/>
        <v>0</v>
      </c>
      <c r="BQ462">
        <f t="shared" si="148"/>
        <v>0</v>
      </c>
      <c r="BR462">
        <f t="shared" si="148"/>
        <v>0</v>
      </c>
      <c r="BS462">
        <f t="shared" si="148"/>
        <v>0</v>
      </c>
    </row>
    <row r="463" spans="2:71" ht="15" customHeight="1" x14ac:dyDescent="0.2">
      <c r="B463">
        <v>24</v>
      </c>
      <c r="C463">
        <v>8</v>
      </c>
      <c r="D463">
        <v>7</v>
      </c>
      <c r="E463" t="s">
        <v>392</v>
      </c>
      <c r="F463" t="s">
        <v>72</v>
      </c>
      <c r="G463" s="5">
        <v>43687</v>
      </c>
      <c r="H463" t="s">
        <v>73</v>
      </c>
      <c r="I463" t="s">
        <v>347</v>
      </c>
      <c r="J463" t="s">
        <v>348</v>
      </c>
      <c r="K463">
        <v>18</v>
      </c>
      <c r="L463" t="s">
        <v>107</v>
      </c>
      <c r="M463" t="s">
        <v>385</v>
      </c>
      <c r="N463" t="s">
        <v>350</v>
      </c>
      <c r="O463">
        <v>72.099999999999994</v>
      </c>
      <c r="P463">
        <v>136</v>
      </c>
      <c r="Q463">
        <v>6422</v>
      </c>
      <c r="R463" t="s">
        <v>110</v>
      </c>
      <c r="S463" t="s">
        <v>111</v>
      </c>
      <c r="T463" t="s">
        <v>351</v>
      </c>
      <c r="U463" t="s">
        <v>352</v>
      </c>
      <c r="V463" t="s">
        <v>42</v>
      </c>
      <c r="W463" t="s">
        <v>78</v>
      </c>
      <c r="AA463">
        <v>2</v>
      </c>
      <c r="AB463" t="s">
        <v>33</v>
      </c>
      <c r="AC463" t="s">
        <v>184</v>
      </c>
      <c r="AD463" t="s">
        <v>61</v>
      </c>
      <c r="AE463" t="str">
        <f t="shared" si="142"/>
        <v>Jackson</v>
      </c>
      <c r="AF463">
        <v>0</v>
      </c>
      <c r="AG463">
        <v>0</v>
      </c>
      <c r="AH463">
        <v>1</v>
      </c>
      <c r="AI463">
        <v>0</v>
      </c>
      <c r="AJ463">
        <v>0</v>
      </c>
      <c r="AK463" t="s">
        <v>61</v>
      </c>
      <c r="AL463">
        <v>0.5</v>
      </c>
      <c r="AO463">
        <f t="shared" si="146"/>
        <v>0</v>
      </c>
      <c r="AP463">
        <f t="shared" si="146"/>
        <v>0</v>
      </c>
      <c r="AQ463" t="str">
        <f t="shared" si="146"/>
        <v>Jackson</v>
      </c>
      <c r="AR463">
        <f t="shared" si="146"/>
        <v>0</v>
      </c>
      <c r="AS463">
        <f t="shared" si="146"/>
        <v>0</v>
      </c>
      <c r="AT463">
        <f t="shared" si="146"/>
        <v>0</v>
      </c>
      <c r="AU463">
        <f t="shared" si="146"/>
        <v>0</v>
      </c>
      <c r="AV463">
        <f t="shared" si="146"/>
        <v>0</v>
      </c>
      <c r="AW463">
        <f t="shared" si="146"/>
        <v>0</v>
      </c>
      <c r="AX463">
        <f t="shared" si="146"/>
        <v>0</v>
      </c>
      <c r="AY463">
        <f t="shared" si="147"/>
        <v>0</v>
      </c>
      <c r="AZ463">
        <f t="shared" si="147"/>
        <v>0</v>
      </c>
      <c r="BA463">
        <f t="shared" si="147"/>
        <v>0</v>
      </c>
      <c r="BB463">
        <f t="shared" si="147"/>
        <v>0</v>
      </c>
      <c r="BC463">
        <f t="shared" si="147"/>
        <v>0</v>
      </c>
      <c r="BD463">
        <f t="shared" si="147"/>
        <v>0</v>
      </c>
      <c r="BE463">
        <f t="shared" si="147"/>
        <v>0</v>
      </c>
      <c r="BF463">
        <f t="shared" si="147"/>
        <v>0</v>
      </c>
      <c r="BG463">
        <f t="shared" si="147"/>
        <v>0</v>
      </c>
      <c r="BH463">
        <f t="shared" si="147"/>
        <v>0</v>
      </c>
      <c r="BI463">
        <f t="shared" si="148"/>
        <v>0</v>
      </c>
      <c r="BJ463">
        <f t="shared" si="148"/>
        <v>0</v>
      </c>
      <c r="BK463">
        <f t="shared" si="148"/>
        <v>0</v>
      </c>
      <c r="BL463">
        <f t="shared" si="148"/>
        <v>0</v>
      </c>
      <c r="BM463">
        <f t="shared" si="148"/>
        <v>0</v>
      </c>
      <c r="BN463">
        <f t="shared" si="148"/>
        <v>0</v>
      </c>
      <c r="BO463">
        <f t="shared" si="148"/>
        <v>0</v>
      </c>
      <c r="BP463">
        <f t="shared" si="148"/>
        <v>0</v>
      </c>
      <c r="BQ463">
        <f t="shared" si="148"/>
        <v>0</v>
      </c>
      <c r="BR463">
        <f t="shared" si="148"/>
        <v>0</v>
      </c>
      <c r="BS463">
        <f t="shared" si="148"/>
        <v>0</v>
      </c>
    </row>
    <row r="464" spans="2:71" ht="15" customHeight="1" x14ac:dyDescent="0.2">
      <c r="B464">
        <v>25</v>
      </c>
      <c r="C464">
        <v>9</v>
      </c>
      <c r="D464">
        <v>7</v>
      </c>
      <c r="E464" t="s">
        <v>393</v>
      </c>
      <c r="F464" t="s">
        <v>72</v>
      </c>
      <c r="G464" s="5">
        <v>43687</v>
      </c>
      <c r="H464" t="s">
        <v>73</v>
      </c>
      <c r="I464" t="s">
        <v>347</v>
      </c>
      <c r="J464" t="s">
        <v>348</v>
      </c>
      <c r="K464">
        <v>18</v>
      </c>
      <c r="L464" t="s">
        <v>107</v>
      </c>
      <c r="M464" t="s">
        <v>385</v>
      </c>
      <c r="N464" t="s">
        <v>350</v>
      </c>
      <c r="O464">
        <v>72.099999999999994</v>
      </c>
      <c r="P464">
        <v>136</v>
      </c>
      <c r="Q464">
        <v>6422</v>
      </c>
      <c r="R464" t="s">
        <v>110</v>
      </c>
      <c r="S464" t="s">
        <v>111</v>
      </c>
      <c r="T464" t="s">
        <v>351</v>
      </c>
      <c r="U464" t="s">
        <v>352</v>
      </c>
      <c r="V464" t="s">
        <v>55</v>
      </c>
      <c r="W464" t="s">
        <v>78</v>
      </c>
      <c r="AA464">
        <v>2</v>
      </c>
      <c r="AB464" t="s">
        <v>32</v>
      </c>
      <c r="AC464" t="s">
        <v>184</v>
      </c>
      <c r="AD464" t="s">
        <v>59</v>
      </c>
      <c r="AE464" t="str">
        <f t="shared" si="142"/>
        <v>Cole</v>
      </c>
      <c r="AF464">
        <v>2</v>
      </c>
      <c r="AG464">
        <v>1</v>
      </c>
      <c r="AH464">
        <v>0</v>
      </c>
      <c r="AI464">
        <v>0</v>
      </c>
      <c r="AJ464">
        <v>1</v>
      </c>
      <c r="AK464" t="s">
        <v>59</v>
      </c>
      <c r="AL464">
        <v>0.52777777777777801</v>
      </c>
      <c r="AO464">
        <f t="shared" si="146"/>
        <v>0</v>
      </c>
      <c r="AP464">
        <f t="shared" si="146"/>
        <v>0</v>
      </c>
      <c r="AQ464">
        <f t="shared" si="146"/>
        <v>0</v>
      </c>
      <c r="AR464">
        <f t="shared" si="146"/>
        <v>0</v>
      </c>
      <c r="AS464">
        <f t="shared" si="146"/>
        <v>0</v>
      </c>
      <c r="AT464">
        <f t="shared" si="146"/>
        <v>0</v>
      </c>
      <c r="AU464">
        <f t="shared" si="146"/>
        <v>0</v>
      </c>
      <c r="AV464">
        <f t="shared" si="146"/>
        <v>0</v>
      </c>
      <c r="AW464">
        <f t="shared" si="146"/>
        <v>0</v>
      </c>
      <c r="AX464">
        <f t="shared" si="146"/>
        <v>0</v>
      </c>
      <c r="AY464">
        <f t="shared" si="147"/>
        <v>0</v>
      </c>
      <c r="AZ464">
        <f t="shared" si="147"/>
        <v>0</v>
      </c>
      <c r="BA464">
        <f t="shared" si="147"/>
        <v>0</v>
      </c>
      <c r="BB464">
        <f t="shared" si="147"/>
        <v>0</v>
      </c>
      <c r="BC464">
        <f t="shared" si="147"/>
        <v>0</v>
      </c>
      <c r="BD464" t="str">
        <f t="shared" si="147"/>
        <v>Cole</v>
      </c>
      <c r="BE464">
        <f t="shared" si="147"/>
        <v>0</v>
      </c>
      <c r="BF464">
        <f t="shared" si="147"/>
        <v>0</v>
      </c>
      <c r="BG464">
        <f t="shared" si="147"/>
        <v>0</v>
      </c>
      <c r="BH464">
        <f t="shared" si="147"/>
        <v>0</v>
      </c>
      <c r="BI464">
        <f t="shared" si="148"/>
        <v>0</v>
      </c>
      <c r="BJ464">
        <f t="shared" si="148"/>
        <v>0</v>
      </c>
      <c r="BK464">
        <f t="shared" si="148"/>
        <v>0</v>
      </c>
      <c r="BL464">
        <f t="shared" si="148"/>
        <v>0</v>
      </c>
      <c r="BM464">
        <f t="shared" si="148"/>
        <v>0</v>
      </c>
      <c r="BN464">
        <f t="shared" si="148"/>
        <v>0</v>
      </c>
      <c r="BO464">
        <f t="shared" si="148"/>
        <v>0</v>
      </c>
      <c r="BP464">
        <f t="shared" si="148"/>
        <v>0</v>
      </c>
      <c r="BQ464">
        <f t="shared" si="148"/>
        <v>0</v>
      </c>
      <c r="BR464">
        <f t="shared" si="148"/>
        <v>0</v>
      </c>
      <c r="BS464">
        <f t="shared" si="148"/>
        <v>0</v>
      </c>
    </row>
    <row r="465" spans="2:71" ht="15" customHeight="1" x14ac:dyDescent="0.2">
      <c r="B465">
        <v>25</v>
      </c>
      <c r="C465">
        <v>10</v>
      </c>
      <c r="D465">
        <v>7</v>
      </c>
      <c r="E465" t="s">
        <v>394</v>
      </c>
      <c r="F465" t="s">
        <v>72</v>
      </c>
      <c r="G465" s="5">
        <v>43687</v>
      </c>
      <c r="H465" t="s">
        <v>73</v>
      </c>
      <c r="I465" t="s">
        <v>347</v>
      </c>
      <c r="J465" t="s">
        <v>348</v>
      </c>
      <c r="K465">
        <v>18</v>
      </c>
      <c r="L465" t="s">
        <v>107</v>
      </c>
      <c r="M465" t="s">
        <v>385</v>
      </c>
      <c r="N465" t="s">
        <v>350</v>
      </c>
      <c r="O465">
        <v>72.099999999999994</v>
      </c>
      <c r="P465">
        <v>136</v>
      </c>
      <c r="Q465">
        <v>6422</v>
      </c>
      <c r="R465" t="s">
        <v>110</v>
      </c>
      <c r="S465" t="s">
        <v>111</v>
      </c>
      <c r="T465" t="s">
        <v>351</v>
      </c>
      <c r="U465" t="s">
        <v>352</v>
      </c>
      <c r="V465" t="s">
        <v>52</v>
      </c>
      <c r="W465" t="s">
        <v>78</v>
      </c>
      <c r="AA465">
        <v>2</v>
      </c>
      <c r="AB465" t="s">
        <v>33</v>
      </c>
      <c r="AC465" t="s">
        <v>202</v>
      </c>
      <c r="AD465" t="s">
        <v>54</v>
      </c>
      <c r="AE465" t="str">
        <f t="shared" si="142"/>
        <v>Connors</v>
      </c>
      <c r="AF465">
        <v>0</v>
      </c>
      <c r="AG465">
        <v>0</v>
      </c>
      <c r="AH465">
        <v>1</v>
      </c>
      <c r="AI465">
        <v>0</v>
      </c>
      <c r="AJ465">
        <v>0</v>
      </c>
      <c r="AK465" t="s">
        <v>54</v>
      </c>
      <c r="AL465">
        <v>0.37288135593220301</v>
      </c>
      <c r="AO465">
        <f t="shared" si="146"/>
        <v>0</v>
      </c>
      <c r="AP465">
        <f t="shared" si="146"/>
        <v>0</v>
      </c>
      <c r="AQ465">
        <f t="shared" si="146"/>
        <v>0</v>
      </c>
      <c r="AR465">
        <f t="shared" si="146"/>
        <v>0</v>
      </c>
      <c r="AS465">
        <f t="shared" si="146"/>
        <v>0</v>
      </c>
      <c r="AT465">
        <f t="shared" si="146"/>
        <v>0</v>
      </c>
      <c r="AU465">
        <f t="shared" si="146"/>
        <v>0</v>
      </c>
      <c r="AV465">
        <f t="shared" si="146"/>
        <v>0</v>
      </c>
      <c r="AW465">
        <f t="shared" si="146"/>
        <v>0</v>
      </c>
      <c r="AX465">
        <f t="shared" si="146"/>
        <v>0</v>
      </c>
      <c r="AY465">
        <f t="shared" si="147"/>
        <v>0</v>
      </c>
      <c r="AZ465">
        <f t="shared" si="147"/>
        <v>0</v>
      </c>
      <c r="BA465" t="str">
        <f t="shared" si="147"/>
        <v>Connors</v>
      </c>
      <c r="BB465">
        <f t="shared" si="147"/>
        <v>0</v>
      </c>
      <c r="BC465">
        <f t="shared" si="147"/>
        <v>0</v>
      </c>
      <c r="BD465">
        <f t="shared" si="147"/>
        <v>0</v>
      </c>
      <c r="BE465">
        <f t="shared" si="147"/>
        <v>0</v>
      </c>
      <c r="BF465">
        <f t="shared" si="147"/>
        <v>0</v>
      </c>
      <c r="BG465">
        <f t="shared" si="147"/>
        <v>0</v>
      </c>
      <c r="BH465">
        <f t="shared" si="147"/>
        <v>0</v>
      </c>
      <c r="BI465">
        <f t="shared" si="148"/>
        <v>0</v>
      </c>
      <c r="BJ465">
        <f t="shared" si="148"/>
        <v>0</v>
      </c>
      <c r="BK465">
        <f t="shared" si="148"/>
        <v>0</v>
      </c>
      <c r="BL465">
        <f t="shared" si="148"/>
        <v>0</v>
      </c>
      <c r="BM465">
        <f t="shared" si="148"/>
        <v>0</v>
      </c>
      <c r="BN465">
        <f t="shared" si="148"/>
        <v>0</v>
      </c>
      <c r="BO465">
        <f t="shared" si="148"/>
        <v>0</v>
      </c>
      <c r="BP465">
        <f t="shared" si="148"/>
        <v>0</v>
      </c>
      <c r="BQ465">
        <f t="shared" si="148"/>
        <v>0</v>
      </c>
      <c r="BR465">
        <f t="shared" si="148"/>
        <v>0</v>
      </c>
      <c r="BS465">
        <f t="shared" si="148"/>
        <v>0</v>
      </c>
    </row>
    <row r="466" spans="2:71" ht="15" customHeight="1" x14ac:dyDescent="0.2">
      <c r="B466">
        <v>26</v>
      </c>
      <c r="C466">
        <v>1</v>
      </c>
      <c r="D466">
        <v>7</v>
      </c>
      <c r="E466" t="s">
        <v>384</v>
      </c>
      <c r="F466" t="s">
        <v>72</v>
      </c>
      <c r="G466" s="5">
        <v>43687</v>
      </c>
      <c r="H466" t="s">
        <v>73</v>
      </c>
      <c r="I466" t="s">
        <v>347</v>
      </c>
      <c r="J466" t="s">
        <v>348</v>
      </c>
      <c r="K466">
        <v>18</v>
      </c>
      <c r="L466" t="s">
        <v>107</v>
      </c>
      <c r="M466" t="s">
        <v>385</v>
      </c>
      <c r="N466" t="s">
        <v>350</v>
      </c>
      <c r="O466">
        <v>72.099999999999994</v>
      </c>
      <c r="P466">
        <v>136</v>
      </c>
      <c r="Q466">
        <v>6422</v>
      </c>
      <c r="R466" t="s">
        <v>110</v>
      </c>
      <c r="S466" t="s">
        <v>111</v>
      </c>
      <c r="T466" t="s">
        <v>353</v>
      </c>
      <c r="U466" t="s">
        <v>354</v>
      </c>
      <c r="V466" t="s">
        <v>45</v>
      </c>
      <c r="W466" t="s">
        <v>84</v>
      </c>
      <c r="AA466">
        <v>2</v>
      </c>
      <c r="AB466" t="s">
        <v>32</v>
      </c>
      <c r="AC466" t="s">
        <v>209</v>
      </c>
      <c r="AD466" t="s">
        <v>57</v>
      </c>
      <c r="AE466" t="str">
        <f t="shared" si="142"/>
        <v>Connolly</v>
      </c>
      <c r="AF466">
        <v>2</v>
      </c>
      <c r="AG466">
        <v>1</v>
      </c>
      <c r="AH466">
        <v>0</v>
      </c>
      <c r="AI466">
        <v>0</v>
      </c>
      <c r="AJ466">
        <v>1</v>
      </c>
      <c r="AK466" t="s">
        <v>57</v>
      </c>
      <c r="AL466">
        <v>0.44827586206896602</v>
      </c>
      <c r="AO466">
        <f t="shared" si="146"/>
        <v>0</v>
      </c>
      <c r="AP466">
        <f t="shared" si="146"/>
        <v>0</v>
      </c>
      <c r="AQ466">
        <f t="shared" si="146"/>
        <v>0</v>
      </c>
      <c r="AR466">
        <f t="shared" si="146"/>
        <v>0</v>
      </c>
      <c r="AS466">
        <f t="shared" si="146"/>
        <v>0</v>
      </c>
      <c r="AT466" t="str">
        <f t="shared" si="146"/>
        <v>Connolly</v>
      </c>
      <c r="AU466">
        <f t="shared" si="146"/>
        <v>0</v>
      </c>
      <c r="AV466">
        <f t="shared" si="146"/>
        <v>0</v>
      </c>
      <c r="AW466">
        <f t="shared" si="146"/>
        <v>0</v>
      </c>
      <c r="AX466">
        <f t="shared" si="146"/>
        <v>0</v>
      </c>
      <c r="AY466">
        <f t="shared" si="147"/>
        <v>0</v>
      </c>
      <c r="AZ466">
        <f t="shared" si="147"/>
        <v>0</v>
      </c>
      <c r="BA466">
        <f t="shared" si="147"/>
        <v>0</v>
      </c>
      <c r="BB466">
        <f t="shared" si="147"/>
        <v>0</v>
      </c>
      <c r="BC466">
        <f t="shared" si="147"/>
        <v>0</v>
      </c>
      <c r="BD466">
        <f t="shared" si="147"/>
        <v>0</v>
      </c>
      <c r="BE466">
        <f t="shared" si="147"/>
        <v>0</v>
      </c>
      <c r="BF466">
        <f t="shared" si="147"/>
        <v>0</v>
      </c>
      <c r="BG466">
        <f t="shared" si="147"/>
        <v>0</v>
      </c>
      <c r="BH466">
        <f t="shared" si="147"/>
        <v>0</v>
      </c>
      <c r="BI466">
        <f t="shared" si="148"/>
        <v>0</v>
      </c>
      <c r="BJ466">
        <f t="shared" si="148"/>
        <v>0</v>
      </c>
      <c r="BK466">
        <f t="shared" si="148"/>
        <v>0</v>
      </c>
      <c r="BL466">
        <f t="shared" si="148"/>
        <v>0</v>
      </c>
      <c r="BM466">
        <f t="shared" si="148"/>
        <v>0</v>
      </c>
      <c r="BN466">
        <f t="shared" si="148"/>
        <v>0</v>
      </c>
      <c r="BO466">
        <f t="shared" si="148"/>
        <v>0</v>
      </c>
      <c r="BP466">
        <f t="shared" si="148"/>
        <v>0</v>
      </c>
      <c r="BQ466">
        <f t="shared" si="148"/>
        <v>0</v>
      </c>
      <c r="BR466">
        <f t="shared" si="148"/>
        <v>0</v>
      </c>
      <c r="BS466">
        <f t="shared" si="148"/>
        <v>0</v>
      </c>
    </row>
    <row r="467" spans="2:71" ht="15" customHeight="1" x14ac:dyDescent="0.2">
      <c r="B467">
        <v>26</v>
      </c>
      <c r="C467">
        <v>2</v>
      </c>
      <c r="D467">
        <v>7</v>
      </c>
      <c r="E467" t="s">
        <v>386</v>
      </c>
      <c r="F467" t="s">
        <v>72</v>
      </c>
      <c r="G467" s="5">
        <v>43687</v>
      </c>
      <c r="H467" t="s">
        <v>73</v>
      </c>
      <c r="I467" t="s">
        <v>347</v>
      </c>
      <c r="J467" t="s">
        <v>348</v>
      </c>
      <c r="K467">
        <v>18</v>
      </c>
      <c r="L467" t="s">
        <v>107</v>
      </c>
      <c r="M467" t="s">
        <v>385</v>
      </c>
      <c r="N467" t="s">
        <v>350</v>
      </c>
      <c r="O467">
        <v>72.099999999999994</v>
      </c>
      <c r="P467">
        <v>136</v>
      </c>
      <c r="Q467">
        <v>6422</v>
      </c>
      <c r="R467" t="s">
        <v>110</v>
      </c>
      <c r="S467" t="s">
        <v>111</v>
      </c>
      <c r="T467" t="s">
        <v>353</v>
      </c>
      <c r="U467" t="s">
        <v>354</v>
      </c>
      <c r="V467" t="s">
        <v>53</v>
      </c>
      <c r="W467" t="s">
        <v>84</v>
      </c>
      <c r="AA467">
        <v>2</v>
      </c>
      <c r="AB467" t="s">
        <v>32</v>
      </c>
      <c r="AC467" t="s">
        <v>209</v>
      </c>
      <c r="AD467" t="s">
        <v>50</v>
      </c>
      <c r="AE467" t="str">
        <f t="shared" si="142"/>
        <v>Forster</v>
      </c>
      <c r="AF467">
        <v>2</v>
      </c>
      <c r="AG467">
        <v>1</v>
      </c>
      <c r="AH467">
        <v>0</v>
      </c>
      <c r="AI467">
        <v>0</v>
      </c>
      <c r="AJ467">
        <v>1</v>
      </c>
      <c r="AK467" t="s">
        <v>50</v>
      </c>
      <c r="AL467">
        <v>0.59523809523809501</v>
      </c>
      <c r="AO467">
        <f t="shared" si="146"/>
        <v>0</v>
      </c>
      <c r="AP467">
        <f t="shared" si="146"/>
        <v>0</v>
      </c>
      <c r="AQ467">
        <f t="shared" si="146"/>
        <v>0</v>
      </c>
      <c r="AR467">
        <f t="shared" si="146"/>
        <v>0</v>
      </c>
      <c r="AS467">
        <f t="shared" si="146"/>
        <v>0</v>
      </c>
      <c r="AT467">
        <f t="shared" si="146"/>
        <v>0</v>
      </c>
      <c r="AU467">
        <f t="shared" si="146"/>
        <v>0</v>
      </c>
      <c r="AV467">
        <f t="shared" si="146"/>
        <v>0</v>
      </c>
      <c r="AW467">
        <f t="shared" si="146"/>
        <v>0</v>
      </c>
      <c r="AX467">
        <f t="shared" si="146"/>
        <v>0</v>
      </c>
      <c r="AY467">
        <f t="shared" si="147"/>
        <v>0</v>
      </c>
      <c r="AZ467">
        <f t="shared" si="147"/>
        <v>0</v>
      </c>
      <c r="BA467">
        <f t="shared" si="147"/>
        <v>0</v>
      </c>
      <c r="BB467" t="str">
        <f t="shared" si="147"/>
        <v>Forster</v>
      </c>
      <c r="BC467">
        <f t="shared" si="147"/>
        <v>0</v>
      </c>
      <c r="BD467">
        <f t="shared" si="147"/>
        <v>0</v>
      </c>
      <c r="BE467">
        <f t="shared" si="147"/>
        <v>0</v>
      </c>
      <c r="BF467">
        <f t="shared" si="147"/>
        <v>0</v>
      </c>
      <c r="BG467">
        <f t="shared" si="147"/>
        <v>0</v>
      </c>
      <c r="BH467">
        <f t="shared" si="147"/>
        <v>0</v>
      </c>
      <c r="BI467">
        <f t="shared" si="148"/>
        <v>0</v>
      </c>
      <c r="BJ467">
        <f t="shared" si="148"/>
        <v>0</v>
      </c>
      <c r="BK467">
        <f t="shared" si="148"/>
        <v>0</v>
      </c>
      <c r="BL467">
        <f t="shared" si="148"/>
        <v>0</v>
      </c>
      <c r="BM467">
        <f t="shared" si="148"/>
        <v>0</v>
      </c>
      <c r="BN467">
        <f t="shared" si="148"/>
        <v>0</v>
      </c>
      <c r="BO467">
        <f t="shared" si="148"/>
        <v>0</v>
      </c>
      <c r="BP467">
        <f t="shared" si="148"/>
        <v>0</v>
      </c>
      <c r="BQ467">
        <f t="shared" si="148"/>
        <v>0</v>
      </c>
      <c r="BR467">
        <f t="shared" si="148"/>
        <v>0</v>
      </c>
      <c r="BS467">
        <f t="shared" si="148"/>
        <v>0</v>
      </c>
    </row>
    <row r="468" spans="2:71" ht="15" customHeight="1" x14ac:dyDescent="0.2">
      <c r="B468">
        <v>27</v>
      </c>
      <c r="C468">
        <v>3</v>
      </c>
      <c r="D468">
        <v>7</v>
      </c>
      <c r="E468" t="s">
        <v>387</v>
      </c>
      <c r="F468" t="s">
        <v>72</v>
      </c>
      <c r="G468" s="5">
        <v>43687</v>
      </c>
      <c r="H468" t="s">
        <v>73</v>
      </c>
      <c r="I468" t="s">
        <v>347</v>
      </c>
      <c r="J468" t="s">
        <v>348</v>
      </c>
      <c r="K468">
        <v>18</v>
      </c>
      <c r="L468" t="s">
        <v>107</v>
      </c>
      <c r="M468" t="s">
        <v>385</v>
      </c>
      <c r="N468" t="s">
        <v>350</v>
      </c>
      <c r="O468">
        <v>72.099999999999994</v>
      </c>
      <c r="P468">
        <v>136</v>
      </c>
      <c r="Q468">
        <v>6422</v>
      </c>
      <c r="R468" t="s">
        <v>110</v>
      </c>
      <c r="S468" t="s">
        <v>111</v>
      </c>
      <c r="T468" t="s">
        <v>353</v>
      </c>
      <c r="U468" t="s">
        <v>354</v>
      </c>
      <c r="V468" t="s">
        <v>41</v>
      </c>
      <c r="W468" t="s">
        <v>84</v>
      </c>
      <c r="AA468">
        <v>2</v>
      </c>
      <c r="AB468" t="s">
        <v>33</v>
      </c>
      <c r="AC468" t="s">
        <v>233</v>
      </c>
      <c r="AD468" t="s">
        <v>60</v>
      </c>
      <c r="AE468" t="str">
        <f t="shared" si="142"/>
        <v>Hilts</v>
      </c>
      <c r="AF468">
        <v>0</v>
      </c>
      <c r="AG468">
        <v>0</v>
      </c>
      <c r="AH468">
        <v>1</v>
      </c>
      <c r="AI468">
        <v>0</v>
      </c>
      <c r="AJ468">
        <v>0</v>
      </c>
      <c r="AK468" t="s">
        <v>60</v>
      </c>
      <c r="AL468">
        <v>0.5</v>
      </c>
      <c r="AO468">
        <f t="shared" si="146"/>
        <v>0</v>
      </c>
      <c r="AP468" t="str">
        <f t="shared" si="146"/>
        <v>Hilts</v>
      </c>
      <c r="AQ468">
        <f t="shared" si="146"/>
        <v>0</v>
      </c>
      <c r="AR468">
        <f t="shared" si="146"/>
        <v>0</v>
      </c>
      <c r="AS468">
        <f t="shared" si="146"/>
        <v>0</v>
      </c>
      <c r="AT468">
        <f t="shared" si="146"/>
        <v>0</v>
      </c>
      <c r="AU468">
        <f t="shared" si="146"/>
        <v>0</v>
      </c>
      <c r="AV468">
        <f t="shared" si="146"/>
        <v>0</v>
      </c>
      <c r="AW468">
        <f t="shared" si="146"/>
        <v>0</v>
      </c>
      <c r="AX468">
        <f t="shared" si="146"/>
        <v>0</v>
      </c>
      <c r="AY468">
        <f t="shared" si="147"/>
        <v>0</v>
      </c>
      <c r="AZ468">
        <f t="shared" si="147"/>
        <v>0</v>
      </c>
      <c r="BA468">
        <f t="shared" si="147"/>
        <v>0</v>
      </c>
      <c r="BB468">
        <f t="shared" si="147"/>
        <v>0</v>
      </c>
      <c r="BC468">
        <f t="shared" si="147"/>
        <v>0</v>
      </c>
      <c r="BD468">
        <f t="shared" si="147"/>
        <v>0</v>
      </c>
      <c r="BE468">
        <f t="shared" si="147"/>
        <v>0</v>
      </c>
      <c r="BF468">
        <f t="shared" si="147"/>
        <v>0</v>
      </c>
      <c r="BG468">
        <f t="shared" si="147"/>
        <v>0</v>
      </c>
      <c r="BH468">
        <f t="shared" si="147"/>
        <v>0</v>
      </c>
      <c r="BI468">
        <f t="shared" si="148"/>
        <v>0</v>
      </c>
      <c r="BJ468">
        <f t="shared" si="148"/>
        <v>0</v>
      </c>
      <c r="BK468">
        <f t="shared" si="148"/>
        <v>0</v>
      </c>
      <c r="BL468">
        <f t="shared" si="148"/>
        <v>0</v>
      </c>
      <c r="BM468">
        <f t="shared" si="148"/>
        <v>0</v>
      </c>
      <c r="BN468">
        <f t="shared" si="148"/>
        <v>0</v>
      </c>
      <c r="BO468">
        <f t="shared" si="148"/>
        <v>0</v>
      </c>
      <c r="BP468">
        <f t="shared" si="148"/>
        <v>0</v>
      </c>
      <c r="BQ468">
        <f t="shared" si="148"/>
        <v>0</v>
      </c>
      <c r="BR468">
        <f t="shared" si="148"/>
        <v>0</v>
      </c>
      <c r="BS468">
        <f t="shared" si="148"/>
        <v>0</v>
      </c>
    </row>
    <row r="469" spans="2:71" ht="15" customHeight="1" x14ac:dyDescent="0.2">
      <c r="B469">
        <v>27</v>
      </c>
      <c r="C469">
        <v>4</v>
      </c>
      <c r="D469">
        <v>7</v>
      </c>
      <c r="E469" t="s">
        <v>388</v>
      </c>
      <c r="F469" t="s">
        <v>72</v>
      </c>
      <c r="G469" s="5">
        <v>43687</v>
      </c>
      <c r="H469" t="s">
        <v>73</v>
      </c>
      <c r="I469" t="s">
        <v>347</v>
      </c>
      <c r="J469" t="s">
        <v>348</v>
      </c>
      <c r="K469">
        <v>18</v>
      </c>
      <c r="L469" t="s">
        <v>107</v>
      </c>
      <c r="M469" t="s">
        <v>385</v>
      </c>
      <c r="N469" t="s">
        <v>350</v>
      </c>
      <c r="O469">
        <v>72.099999999999994</v>
      </c>
      <c r="P469">
        <v>136</v>
      </c>
      <c r="Q469">
        <v>6422</v>
      </c>
      <c r="R469" t="s">
        <v>110</v>
      </c>
      <c r="S469" t="s">
        <v>111</v>
      </c>
      <c r="T469" t="s">
        <v>353</v>
      </c>
      <c r="U469" t="s">
        <v>354</v>
      </c>
      <c r="V469" t="s">
        <v>62</v>
      </c>
      <c r="W469" t="s">
        <v>84</v>
      </c>
      <c r="AA469">
        <v>2</v>
      </c>
      <c r="AB469" t="s">
        <v>33</v>
      </c>
      <c r="AC469" t="s">
        <v>209</v>
      </c>
      <c r="AD469" t="s">
        <v>58</v>
      </c>
      <c r="AE469" t="str">
        <f t="shared" si="142"/>
        <v>Welker</v>
      </c>
      <c r="AF469">
        <v>0</v>
      </c>
      <c r="AG469">
        <v>0</v>
      </c>
      <c r="AH469">
        <v>1</v>
      </c>
      <c r="AI469">
        <v>0</v>
      </c>
      <c r="AJ469">
        <v>0</v>
      </c>
      <c r="AK469" t="s">
        <v>58</v>
      </c>
      <c r="AL469">
        <v>0.65476190476190499</v>
      </c>
      <c r="AO469">
        <f t="shared" si="146"/>
        <v>0</v>
      </c>
      <c r="AP469">
        <f t="shared" si="146"/>
        <v>0</v>
      </c>
      <c r="AQ469">
        <f t="shared" si="146"/>
        <v>0</v>
      </c>
      <c r="AR469">
        <f t="shared" si="146"/>
        <v>0</v>
      </c>
      <c r="AS469">
        <f t="shared" si="146"/>
        <v>0</v>
      </c>
      <c r="AT469">
        <f t="shared" si="146"/>
        <v>0</v>
      </c>
      <c r="AU469">
        <f t="shared" si="146"/>
        <v>0</v>
      </c>
      <c r="AV469">
        <f t="shared" si="146"/>
        <v>0</v>
      </c>
      <c r="AW469">
        <f t="shared" si="146"/>
        <v>0</v>
      </c>
      <c r="AX469">
        <f t="shared" si="146"/>
        <v>0</v>
      </c>
      <c r="AY469">
        <f t="shared" si="147"/>
        <v>0</v>
      </c>
      <c r="AZ469">
        <f t="shared" si="147"/>
        <v>0</v>
      </c>
      <c r="BA469">
        <f t="shared" si="147"/>
        <v>0</v>
      </c>
      <c r="BB469">
        <f t="shared" si="147"/>
        <v>0</v>
      </c>
      <c r="BC469">
        <f t="shared" si="147"/>
        <v>0</v>
      </c>
      <c r="BD469">
        <f t="shared" si="147"/>
        <v>0</v>
      </c>
      <c r="BE469">
        <f t="shared" si="147"/>
        <v>0</v>
      </c>
      <c r="BF469">
        <f t="shared" si="147"/>
        <v>0</v>
      </c>
      <c r="BG469">
        <f t="shared" si="147"/>
        <v>0</v>
      </c>
      <c r="BH469">
        <f t="shared" si="147"/>
        <v>0</v>
      </c>
      <c r="BI469">
        <f t="shared" si="148"/>
        <v>0</v>
      </c>
      <c r="BJ469">
        <f t="shared" si="148"/>
        <v>0</v>
      </c>
      <c r="BK469" t="str">
        <f t="shared" si="148"/>
        <v>Welker</v>
      </c>
      <c r="BL469">
        <f t="shared" si="148"/>
        <v>0</v>
      </c>
      <c r="BM469">
        <f t="shared" si="148"/>
        <v>0</v>
      </c>
      <c r="BN469">
        <f t="shared" si="148"/>
        <v>0</v>
      </c>
      <c r="BO469">
        <f t="shared" si="148"/>
        <v>0</v>
      </c>
      <c r="BP469">
        <f t="shared" si="148"/>
        <v>0</v>
      </c>
      <c r="BQ469">
        <f t="shared" si="148"/>
        <v>0</v>
      </c>
      <c r="BR469">
        <f t="shared" si="148"/>
        <v>0</v>
      </c>
      <c r="BS469">
        <f t="shared" si="148"/>
        <v>0</v>
      </c>
    </row>
    <row r="470" spans="2:71" ht="15" customHeight="1" x14ac:dyDescent="0.2">
      <c r="B470">
        <v>28</v>
      </c>
      <c r="C470">
        <v>5</v>
      </c>
      <c r="D470">
        <v>7</v>
      </c>
      <c r="E470" t="s">
        <v>389</v>
      </c>
      <c r="F470" t="s">
        <v>72</v>
      </c>
      <c r="G470" s="5">
        <v>43687</v>
      </c>
      <c r="H470" t="s">
        <v>73</v>
      </c>
      <c r="I470" t="s">
        <v>347</v>
      </c>
      <c r="J470" t="s">
        <v>348</v>
      </c>
      <c r="K470">
        <v>18</v>
      </c>
      <c r="L470" t="s">
        <v>107</v>
      </c>
      <c r="M470" t="s">
        <v>385</v>
      </c>
      <c r="N470" t="s">
        <v>350</v>
      </c>
      <c r="O470">
        <v>72.099999999999994</v>
      </c>
      <c r="P470">
        <v>136</v>
      </c>
      <c r="Q470">
        <v>6422</v>
      </c>
      <c r="R470" t="s">
        <v>110</v>
      </c>
      <c r="S470" t="s">
        <v>111</v>
      </c>
      <c r="T470" t="s">
        <v>353</v>
      </c>
      <c r="U470" t="s">
        <v>354</v>
      </c>
      <c r="V470" t="s">
        <v>46</v>
      </c>
      <c r="W470" t="s">
        <v>84</v>
      </c>
      <c r="AA470">
        <v>2</v>
      </c>
      <c r="AB470" t="s">
        <v>33</v>
      </c>
      <c r="AC470" t="s">
        <v>184</v>
      </c>
      <c r="AD470" t="s">
        <v>40</v>
      </c>
      <c r="AE470" t="str">
        <f t="shared" si="142"/>
        <v>Mangold</v>
      </c>
      <c r="AF470">
        <v>0</v>
      </c>
      <c r="AG470">
        <v>0</v>
      </c>
      <c r="AH470">
        <v>1</v>
      </c>
      <c r="AI470">
        <v>0</v>
      </c>
      <c r="AJ470">
        <v>0</v>
      </c>
      <c r="AK470" t="s">
        <v>40</v>
      </c>
      <c r="AL470">
        <v>0.546875</v>
      </c>
      <c r="AO470">
        <f t="shared" si="146"/>
        <v>0</v>
      </c>
      <c r="AP470">
        <f t="shared" si="146"/>
        <v>0</v>
      </c>
      <c r="AQ470">
        <f t="shared" si="146"/>
        <v>0</v>
      </c>
      <c r="AR470">
        <f t="shared" si="146"/>
        <v>0</v>
      </c>
      <c r="AS470">
        <f t="shared" si="146"/>
        <v>0</v>
      </c>
      <c r="AT470">
        <f t="shared" si="146"/>
        <v>0</v>
      </c>
      <c r="AU470" t="str">
        <f t="shared" si="146"/>
        <v>Mangold</v>
      </c>
      <c r="AV470">
        <f t="shared" si="146"/>
        <v>0</v>
      </c>
      <c r="AW470">
        <f t="shared" si="146"/>
        <v>0</v>
      </c>
      <c r="AX470">
        <f t="shared" si="146"/>
        <v>0</v>
      </c>
      <c r="AY470">
        <f t="shared" si="147"/>
        <v>0</v>
      </c>
      <c r="AZ470">
        <f t="shared" si="147"/>
        <v>0</v>
      </c>
      <c r="BA470">
        <f t="shared" si="147"/>
        <v>0</v>
      </c>
      <c r="BB470">
        <f t="shared" si="147"/>
        <v>0</v>
      </c>
      <c r="BC470">
        <f t="shared" si="147"/>
        <v>0</v>
      </c>
      <c r="BD470">
        <f t="shared" si="147"/>
        <v>0</v>
      </c>
      <c r="BE470">
        <f t="shared" si="147"/>
        <v>0</v>
      </c>
      <c r="BF470">
        <f t="shared" si="147"/>
        <v>0</v>
      </c>
      <c r="BG470">
        <f t="shared" si="147"/>
        <v>0</v>
      </c>
      <c r="BH470">
        <f t="shared" si="147"/>
        <v>0</v>
      </c>
      <c r="BI470">
        <f t="shared" si="148"/>
        <v>0</v>
      </c>
      <c r="BJ470">
        <f t="shared" si="148"/>
        <v>0</v>
      </c>
      <c r="BK470">
        <f t="shared" si="148"/>
        <v>0</v>
      </c>
      <c r="BL470">
        <f t="shared" si="148"/>
        <v>0</v>
      </c>
      <c r="BM470">
        <f t="shared" si="148"/>
        <v>0</v>
      </c>
      <c r="BN470">
        <f t="shared" si="148"/>
        <v>0</v>
      </c>
      <c r="BO470">
        <f t="shared" si="148"/>
        <v>0</v>
      </c>
      <c r="BP470">
        <f t="shared" si="148"/>
        <v>0</v>
      </c>
      <c r="BQ470">
        <f t="shared" si="148"/>
        <v>0</v>
      </c>
      <c r="BR470">
        <f t="shared" si="148"/>
        <v>0</v>
      </c>
      <c r="BS470">
        <f t="shared" si="148"/>
        <v>0</v>
      </c>
    </row>
    <row r="471" spans="2:71" ht="15" customHeight="1" x14ac:dyDescent="0.2">
      <c r="B471">
        <v>28</v>
      </c>
      <c r="C471">
        <v>6</v>
      </c>
      <c r="D471">
        <v>7</v>
      </c>
      <c r="E471" t="s">
        <v>390</v>
      </c>
      <c r="F471" t="s">
        <v>72</v>
      </c>
      <c r="G471" s="5">
        <v>43687</v>
      </c>
      <c r="H471" t="s">
        <v>73</v>
      </c>
      <c r="I471" t="s">
        <v>347</v>
      </c>
      <c r="J471" t="s">
        <v>348</v>
      </c>
      <c r="K471">
        <v>18</v>
      </c>
      <c r="L471" t="s">
        <v>107</v>
      </c>
      <c r="M471" t="s">
        <v>385</v>
      </c>
      <c r="N471" t="s">
        <v>350</v>
      </c>
      <c r="O471">
        <v>72.099999999999994</v>
      </c>
      <c r="P471">
        <v>136</v>
      </c>
      <c r="Q471">
        <v>6422</v>
      </c>
      <c r="R471" t="s">
        <v>110</v>
      </c>
      <c r="S471" t="s">
        <v>111</v>
      </c>
      <c r="T471" t="s">
        <v>353</v>
      </c>
      <c r="U471" t="s">
        <v>354</v>
      </c>
      <c r="V471" t="s">
        <v>43</v>
      </c>
      <c r="W471" t="s">
        <v>84</v>
      </c>
      <c r="AA471">
        <v>2</v>
      </c>
      <c r="AB471" t="s">
        <v>32</v>
      </c>
      <c r="AC471" t="s">
        <v>209</v>
      </c>
      <c r="AD471" t="s">
        <v>44</v>
      </c>
      <c r="AE471" t="str">
        <f t="shared" si="142"/>
        <v>Poirier</v>
      </c>
      <c r="AF471">
        <v>2</v>
      </c>
      <c r="AG471">
        <v>1</v>
      </c>
      <c r="AH471">
        <v>0</v>
      </c>
      <c r="AI471">
        <v>0</v>
      </c>
      <c r="AJ471">
        <v>1</v>
      </c>
      <c r="AK471" t="s">
        <v>44</v>
      </c>
      <c r="AL471">
        <v>0.4296875</v>
      </c>
      <c r="AO471">
        <f t="shared" si="146"/>
        <v>0</v>
      </c>
      <c r="AP471">
        <f t="shared" si="146"/>
        <v>0</v>
      </c>
      <c r="AQ471">
        <f t="shared" si="146"/>
        <v>0</v>
      </c>
      <c r="AR471" t="str">
        <f t="shared" si="146"/>
        <v>Poirier</v>
      </c>
      <c r="AS471">
        <f t="shared" si="146"/>
        <v>0</v>
      </c>
      <c r="AT471">
        <f t="shared" si="146"/>
        <v>0</v>
      </c>
      <c r="AU471">
        <f t="shared" si="146"/>
        <v>0</v>
      </c>
      <c r="AV471">
        <f t="shared" si="146"/>
        <v>0</v>
      </c>
      <c r="AW471">
        <f t="shared" si="146"/>
        <v>0</v>
      </c>
      <c r="AX471">
        <f t="shared" si="146"/>
        <v>0</v>
      </c>
      <c r="AY471">
        <f t="shared" si="147"/>
        <v>0</v>
      </c>
      <c r="AZ471">
        <f t="shared" si="147"/>
        <v>0</v>
      </c>
      <c r="BA471">
        <f t="shared" si="147"/>
        <v>0</v>
      </c>
      <c r="BB471">
        <f t="shared" si="147"/>
        <v>0</v>
      </c>
      <c r="BC471">
        <f t="shared" si="147"/>
        <v>0</v>
      </c>
      <c r="BD471">
        <f t="shared" si="147"/>
        <v>0</v>
      </c>
      <c r="BE471">
        <f t="shared" si="147"/>
        <v>0</v>
      </c>
      <c r="BF471">
        <f t="shared" si="147"/>
        <v>0</v>
      </c>
      <c r="BG471">
        <f t="shared" si="147"/>
        <v>0</v>
      </c>
      <c r="BH471">
        <f t="shared" si="147"/>
        <v>0</v>
      </c>
      <c r="BI471">
        <f t="shared" si="148"/>
        <v>0</v>
      </c>
      <c r="BJ471">
        <f t="shared" si="148"/>
        <v>0</v>
      </c>
      <c r="BK471">
        <f t="shared" si="148"/>
        <v>0</v>
      </c>
      <c r="BL471">
        <f t="shared" si="148"/>
        <v>0</v>
      </c>
      <c r="BM471">
        <f t="shared" si="148"/>
        <v>0</v>
      </c>
      <c r="BN471">
        <f t="shared" si="148"/>
        <v>0</v>
      </c>
      <c r="BO471">
        <f t="shared" si="148"/>
        <v>0</v>
      </c>
      <c r="BP471">
        <f t="shared" si="148"/>
        <v>0</v>
      </c>
      <c r="BQ471">
        <f t="shared" si="148"/>
        <v>0</v>
      </c>
      <c r="BR471">
        <f t="shared" si="148"/>
        <v>0</v>
      </c>
      <c r="BS471">
        <f t="shared" si="148"/>
        <v>0</v>
      </c>
    </row>
    <row r="472" spans="2:71" ht="15" customHeight="1" x14ac:dyDescent="0.2">
      <c r="B472">
        <v>29</v>
      </c>
      <c r="C472">
        <v>7</v>
      </c>
      <c r="D472">
        <v>7</v>
      </c>
      <c r="E472" t="s">
        <v>391</v>
      </c>
      <c r="F472" t="s">
        <v>72</v>
      </c>
      <c r="G472" s="5">
        <v>43687</v>
      </c>
      <c r="H472" t="s">
        <v>73</v>
      </c>
      <c r="I472" t="s">
        <v>347</v>
      </c>
      <c r="J472" t="s">
        <v>348</v>
      </c>
      <c r="K472">
        <v>18</v>
      </c>
      <c r="L472" t="s">
        <v>107</v>
      </c>
      <c r="M472" t="s">
        <v>385</v>
      </c>
      <c r="N472" t="s">
        <v>350</v>
      </c>
      <c r="O472">
        <v>72.099999999999994</v>
      </c>
      <c r="P472">
        <v>136</v>
      </c>
      <c r="Q472">
        <v>6422</v>
      </c>
      <c r="R472" t="s">
        <v>110</v>
      </c>
      <c r="S472" t="s">
        <v>111</v>
      </c>
      <c r="T472" t="s">
        <v>353</v>
      </c>
      <c r="U472" t="s">
        <v>354</v>
      </c>
      <c r="V472" t="s">
        <v>49</v>
      </c>
      <c r="W472" t="s">
        <v>84</v>
      </c>
      <c r="AA472">
        <v>2</v>
      </c>
      <c r="AB472" t="s">
        <v>32</v>
      </c>
      <c r="AC472" t="s">
        <v>258</v>
      </c>
      <c r="AD472" t="s">
        <v>48</v>
      </c>
      <c r="AE472" t="str">
        <f t="shared" si="142"/>
        <v>Shively</v>
      </c>
      <c r="AF472">
        <v>2</v>
      </c>
      <c r="AG472">
        <v>1</v>
      </c>
      <c r="AH472">
        <v>0</v>
      </c>
      <c r="AI472">
        <v>0</v>
      </c>
      <c r="AJ472">
        <v>1</v>
      </c>
      <c r="AK472" t="s">
        <v>48</v>
      </c>
      <c r="AL472">
        <v>0.5546875</v>
      </c>
      <c r="AO472">
        <f t="shared" ref="AO472:AX481" si="149">IF(OR($V472=AO$1,$Y472=AO$1),AO$1,0)</f>
        <v>0</v>
      </c>
      <c r="AP472">
        <f t="shared" si="149"/>
        <v>0</v>
      </c>
      <c r="AQ472">
        <f t="shared" si="149"/>
        <v>0</v>
      </c>
      <c r="AR472">
        <f t="shared" si="149"/>
        <v>0</v>
      </c>
      <c r="AS472">
        <f t="shared" si="149"/>
        <v>0</v>
      </c>
      <c r="AT472">
        <f t="shared" si="149"/>
        <v>0</v>
      </c>
      <c r="AU472">
        <f t="shared" si="149"/>
        <v>0</v>
      </c>
      <c r="AV472">
        <f t="shared" si="149"/>
        <v>0</v>
      </c>
      <c r="AW472">
        <f t="shared" si="149"/>
        <v>0</v>
      </c>
      <c r="AX472" t="str">
        <f t="shared" si="149"/>
        <v>Shively</v>
      </c>
      <c r="AY472">
        <f t="shared" ref="AY472:BH481" si="150">IF(OR($V472=AY$1,$Y472=AY$1),AY$1,0)</f>
        <v>0</v>
      </c>
      <c r="AZ472">
        <f t="shared" si="150"/>
        <v>0</v>
      </c>
      <c r="BA472">
        <f t="shared" si="150"/>
        <v>0</v>
      </c>
      <c r="BB472">
        <f t="shared" si="150"/>
        <v>0</v>
      </c>
      <c r="BC472">
        <f t="shared" si="150"/>
        <v>0</v>
      </c>
      <c r="BD472">
        <f t="shared" si="150"/>
        <v>0</v>
      </c>
      <c r="BE472">
        <f t="shared" si="150"/>
        <v>0</v>
      </c>
      <c r="BF472">
        <f t="shared" si="150"/>
        <v>0</v>
      </c>
      <c r="BG472">
        <f t="shared" si="150"/>
        <v>0</v>
      </c>
      <c r="BH472">
        <f t="shared" si="150"/>
        <v>0</v>
      </c>
      <c r="BI472">
        <f t="shared" ref="BI472:BS481" si="151">IF(OR($V472=BI$1,$Y472=BI$1),BI$1,0)</f>
        <v>0</v>
      </c>
      <c r="BJ472">
        <f t="shared" si="151"/>
        <v>0</v>
      </c>
      <c r="BK472">
        <f t="shared" si="151"/>
        <v>0</v>
      </c>
      <c r="BL472">
        <f t="shared" si="151"/>
        <v>0</v>
      </c>
      <c r="BM472">
        <f t="shared" si="151"/>
        <v>0</v>
      </c>
      <c r="BN472">
        <f t="shared" si="151"/>
        <v>0</v>
      </c>
      <c r="BO472">
        <f t="shared" si="151"/>
        <v>0</v>
      </c>
      <c r="BP472">
        <f t="shared" si="151"/>
        <v>0</v>
      </c>
      <c r="BQ472">
        <f t="shared" si="151"/>
        <v>0</v>
      </c>
      <c r="BR472">
        <f t="shared" si="151"/>
        <v>0</v>
      </c>
      <c r="BS472">
        <f t="shared" si="151"/>
        <v>0</v>
      </c>
    </row>
    <row r="473" spans="2:71" ht="15" customHeight="1" x14ac:dyDescent="0.2">
      <c r="B473">
        <v>29</v>
      </c>
      <c r="C473">
        <v>8</v>
      </c>
      <c r="D473">
        <v>7</v>
      </c>
      <c r="E473" t="s">
        <v>392</v>
      </c>
      <c r="F473" t="s">
        <v>72</v>
      </c>
      <c r="G473" s="5">
        <v>43687</v>
      </c>
      <c r="H473" t="s">
        <v>73</v>
      </c>
      <c r="I473" t="s">
        <v>347</v>
      </c>
      <c r="J473" t="s">
        <v>348</v>
      </c>
      <c r="K473">
        <v>18</v>
      </c>
      <c r="L473" t="s">
        <v>107</v>
      </c>
      <c r="M473" t="s">
        <v>385</v>
      </c>
      <c r="N473" t="s">
        <v>350</v>
      </c>
      <c r="O473">
        <v>72.099999999999994</v>
      </c>
      <c r="P473">
        <v>136</v>
      </c>
      <c r="Q473">
        <v>6422</v>
      </c>
      <c r="R473" t="s">
        <v>110</v>
      </c>
      <c r="S473" t="s">
        <v>111</v>
      </c>
      <c r="T473" t="s">
        <v>353</v>
      </c>
      <c r="U473" t="s">
        <v>354</v>
      </c>
      <c r="V473" t="s">
        <v>61</v>
      </c>
      <c r="W473" t="s">
        <v>84</v>
      </c>
      <c r="AA473">
        <v>2</v>
      </c>
      <c r="AB473" t="s">
        <v>32</v>
      </c>
      <c r="AC473" t="s">
        <v>184</v>
      </c>
      <c r="AD473" t="s">
        <v>42</v>
      </c>
      <c r="AE473" t="str">
        <f t="shared" si="142"/>
        <v>McInerney</v>
      </c>
      <c r="AF473">
        <v>2</v>
      </c>
      <c r="AG473">
        <v>1</v>
      </c>
      <c r="AH473">
        <v>0</v>
      </c>
      <c r="AI473">
        <v>0</v>
      </c>
      <c r="AJ473">
        <v>1</v>
      </c>
      <c r="AK473" t="s">
        <v>42</v>
      </c>
      <c r="AL473">
        <v>0.6171875</v>
      </c>
      <c r="AO473">
        <f t="shared" si="149"/>
        <v>0</v>
      </c>
      <c r="AP473">
        <f t="shared" si="149"/>
        <v>0</v>
      </c>
      <c r="AQ473">
        <f t="shared" si="149"/>
        <v>0</v>
      </c>
      <c r="AR473">
        <f t="shared" si="149"/>
        <v>0</v>
      </c>
      <c r="AS473">
        <f t="shared" si="149"/>
        <v>0</v>
      </c>
      <c r="AT473">
        <f t="shared" si="149"/>
        <v>0</v>
      </c>
      <c r="AU473">
        <f t="shared" si="149"/>
        <v>0</v>
      </c>
      <c r="AV473">
        <f t="shared" si="149"/>
        <v>0</v>
      </c>
      <c r="AW473">
        <f t="shared" si="149"/>
        <v>0</v>
      </c>
      <c r="AX473">
        <f t="shared" si="149"/>
        <v>0</v>
      </c>
      <c r="AY473">
        <f t="shared" si="150"/>
        <v>0</v>
      </c>
      <c r="AZ473">
        <f t="shared" si="150"/>
        <v>0</v>
      </c>
      <c r="BA473">
        <f t="shared" si="150"/>
        <v>0</v>
      </c>
      <c r="BB473">
        <f t="shared" si="150"/>
        <v>0</v>
      </c>
      <c r="BC473">
        <f t="shared" si="150"/>
        <v>0</v>
      </c>
      <c r="BD473">
        <f t="shared" si="150"/>
        <v>0</v>
      </c>
      <c r="BE473">
        <f t="shared" si="150"/>
        <v>0</v>
      </c>
      <c r="BF473">
        <f t="shared" si="150"/>
        <v>0</v>
      </c>
      <c r="BG473">
        <f t="shared" si="150"/>
        <v>0</v>
      </c>
      <c r="BH473">
        <f t="shared" si="150"/>
        <v>0</v>
      </c>
      <c r="BI473">
        <f t="shared" si="151"/>
        <v>0</v>
      </c>
      <c r="BJ473" t="str">
        <f t="shared" si="151"/>
        <v>McInerney</v>
      </c>
      <c r="BK473">
        <f t="shared" si="151"/>
        <v>0</v>
      </c>
      <c r="BL473">
        <f t="shared" si="151"/>
        <v>0</v>
      </c>
      <c r="BM473">
        <f t="shared" si="151"/>
        <v>0</v>
      </c>
      <c r="BN473">
        <f t="shared" si="151"/>
        <v>0</v>
      </c>
      <c r="BO473">
        <f t="shared" si="151"/>
        <v>0</v>
      </c>
      <c r="BP473">
        <f t="shared" si="151"/>
        <v>0</v>
      </c>
      <c r="BQ473">
        <f t="shared" si="151"/>
        <v>0</v>
      </c>
      <c r="BR473">
        <f t="shared" si="151"/>
        <v>0</v>
      </c>
      <c r="BS473">
        <f t="shared" si="151"/>
        <v>0</v>
      </c>
    </row>
    <row r="474" spans="2:71" ht="15" customHeight="1" x14ac:dyDescent="0.2">
      <c r="B474">
        <v>30</v>
      </c>
      <c r="C474">
        <v>9</v>
      </c>
      <c r="D474">
        <v>7</v>
      </c>
      <c r="E474" t="s">
        <v>393</v>
      </c>
      <c r="F474" t="s">
        <v>72</v>
      </c>
      <c r="G474" s="5">
        <v>43687</v>
      </c>
      <c r="H474" t="s">
        <v>73</v>
      </c>
      <c r="I474" t="s">
        <v>347</v>
      </c>
      <c r="J474" t="s">
        <v>348</v>
      </c>
      <c r="K474">
        <v>18</v>
      </c>
      <c r="L474" t="s">
        <v>107</v>
      </c>
      <c r="M474" t="s">
        <v>385</v>
      </c>
      <c r="N474" t="s">
        <v>350</v>
      </c>
      <c r="O474">
        <v>72.099999999999994</v>
      </c>
      <c r="P474">
        <v>136</v>
      </c>
      <c r="Q474">
        <v>6422</v>
      </c>
      <c r="R474" t="s">
        <v>110</v>
      </c>
      <c r="S474" t="s">
        <v>111</v>
      </c>
      <c r="T474" t="s">
        <v>353</v>
      </c>
      <c r="U474" t="s">
        <v>354</v>
      </c>
      <c r="V474" t="s">
        <v>59</v>
      </c>
      <c r="W474" t="s">
        <v>84</v>
      </c>
      <c r="AA474">
        <v>2</v>
      </c>
      <c r="AB474" t="s">
        <v>33</v>
      </c>
      <c r="AC474" t="s">
        <v>184</v>
      </c>
      <c r="AD474" t="s">
        <v>55</v>
      </c>
      <c r="AE474" t="str">
        <f t="shared" si="142"/>
        <v>Norat</v>
      </c>
      <c r="AF474">
        <v>0</v>
      </c>
      <c r="AG474">
        <v>0</v>
      </c>
      <c r="AH474">
        <v>1</v>
      </c>
      <c r="AI474">
        <v>0</v>
      </c>
      <c r="AJ474">
        <v>0</v>
      </c>
      <c r="AK474" t="s">
        <v>55</v>
      </c>
      <c r="AL474">
        <v>0.44067796610169502</v>
      </c>
      <c r="AO474">
        <f t="shared" si="149"/>
        <v>0</v>
      </c>
      <c r="AP474">
        <f t="shared" si="149"/>
        <v>0</v>
      </c>
      <c r="AQ474">
        <f t="shared" si="149"/>
        <v>0</v>
      </c>
      <c r="AR474">
        <f t="shared" si="149"/>
        <v>0</v>
      </c>
      <c r="AS474">
        <f t="shared" si="149"/>
        <v>0</v>
      </c>
      <c r="AT474">
        <f t="shared" si="149"/>
        <v>0</v>
      </c>
      <c r="AU474">
        <f t="shared" si="149"/>
        <v>0</v>
      </c>
      <c r="AV474">
        <f t="shared" si="149"/>
        <v>0</v>
      </c>
      <c r="AW474">
        <f t="shared" si="149"/>
        <v>0</v>
      </c>
      <c r="AX474">
        <f t="shared" si="149"/>
        <v>0</v>
      </c>
      <c r="AY474">
        <f t="shared" si="150"/>
        <v>0</v>
      </c>
      <c r="AZ474">
        <f t="shared" si="150"/>
        <v>0</v>
      </c>
      <c r="BA474">
        <f t="shared" si="150"/>
        <v>0</v>
      </c>
      <c r="BB474">
        <f t="shared" si="150"/>
        <v>0</v>
      </c>
      <c r="BC474">
        <f t="shared" si="150"/>
        <v>0</v>
      </c>
      <c r="BD474">
        <f t="shared" si="150"/>
        <v>0</v>
      </c>
      <c r="BE474">
        <f t="shared" si="150"/>
        <v>0</v>
      </c>
      <c r="BF474">
        <f t="shared" si="150"/>
        <v>0</v>
      </c>
      <c r="BG474">
        <f t="shared" si="150"/>
        <v>0</v>
      </c>
      <c r="BH474" t="str">
        <f t="shared" si="150"/>
        <v>Norat</v>
      </c>
      <c r="BI474">
        <f t="shared" si="151"/>
        <v>0</v>
      </c>
      <c r="BJ474">
        <f t="shared" si="151"/>
        <v>0</v>
      </c>
      <c r="BK474">
        <f t="shared" si="151"/>
        <v>0</v>
      </c>
      <c r="BL474">
        <f t="shared" si="151"/>
        <v>0</v>
      </c>
      <c r="BM474">
        <f t="shared" si="151"/>
        <v>0</v>
      </c>
      <c r="BN474">
        <f t="shared" si="151"/>
        <v>0</v>
      </c>
      <c r="BO474">
        <f t="shared" si="151"/>
        <v>0</v>
      </c>
      <c r="BP474">
        <f t="shared" si="151"/>
        <v>0</v>
      </c>
      <c r="BQ474">
        <f t="shared" si="151"/>
        <v>0</v>
      </c>
      <c r="BR474">
        <f t="shared" si="151"/>
        <v>0</v>
      </c>
      <c r="BS474">
        <f t="shared" si="151"/>
        <v>0</v>
      </c>
    </row>
    <row r="475" spans="2:71" ht="15" customHeight="1" x14ac:dyDescent="0.2">
      <c r="B475">
        <v>30</v>
      </c>
      <c r="C475">
        <v>10</v>
      </c>
      <c r="D475">
        <v>7</v>
      </c>
      <c r="E475" t="s">
        <v>394</v>
      </c>
      <c r="F475" t="s">
        <v>72</v>
      </c>
      <c r="G475" s="5">
        <v>43687</v>
      </c>
      <c r="H475" t="s">
        <v>73</v>
      </c>
      <c r="I475" t="s">
        <v>347</v>
      </c>
      <c r="J475" t="s">
        <v>348</v>
      </c>
      <c r="K475">
        <v>18</v>
      </c>
      <c r="L475" t="s">
        <v>107</v>
      </c>
      <c r="M475" t="s">
        <v>385</v>
      </c>
      <c r="N475" t="s">
        <v>350</v>
      </c>
      <c r="O475">
        <v>72.099999999999994</v>
      </c>
      <c r="P475">
        <v>136</v>
      </c>
      <c r="Q475">
        <v>6422</v>
      </c>
      <c r="R475" t="s">
        <v>110</v>
      </c>
      <c r="S475" t="s">
        <v>111</v>
      </c>
      <c r="T475" t="s">
        <v>353</v>
      </c>
      <c r="U475" t="s">
        <v>354</v>
      </c>
      <c r="V475" t="s">
        <v>54</v>
      </c>
      <c r="W475" t="s">
        <v>84</v>
      </c>
      <c r="AA475">
        <v>2</v>
      </c>
      <c r="AB475" t="s">
        <v>32</v>
      </c>
      <c r="AC475" t="s">
        <v>202</v>
      </c>
      <c r="AD475" t="s">
        <v>52</v>
      </c>
      <c r="AE475" t="str">
        <f t="shared" si="142"/>
        <v>Fogan</v>
      </c>
      <c r="AF475">
        <v>2</v>
      </c>
      <c r="AG475">
        <v>1</v>
      </c>
      <c r="AH475">
        <v>0</v>
      </c>
      <c r="AI475">
        <v>0</v>
      </c>
      <c r="AJ475">
        <v>1</v>
      </c>
      <c r="AK475" t="s">
        <v>52</v>
      </c>
      <c r="AL475">
        <v>0.34745762711864397</v>
      </c>
      <c r="AO475">
        <f t="shared" si="149"/>
        <v>0</v>
      </c>
      <c r="AP475">
        <f t="shared" si="149"/>
        <v>0</v>
      </c>
      <c r="AQ475">
        <f t="shared" si="149"/>
        <v>0</v>
      </c>
      <c r="AR475">
        <f t="shared" si="149"/>
        <v>0</v>
      </c>
      <c r="AS475">
        <f t="shared" si="149"/>
        <v>0</v>
      </c>
      <c r="AT475">
        <f t="shared" si="149"/>
        <v>0</v>
      </c>
      <c r="AU475">
        <f t="shared" si="149"/>
        <v>0</v>
      </c>
      <c r="AV475">
        <f t="shared" si="149"/>
        <v>0</v>
      </c>
      <c r="AW475">
        <f t="shared" si="149"/>
        <v>0</v>
      </c>
      <c r="AX475">
        <f t="shared" si="149"/>
        <v>0</v>
      </c>
      <c r="AY475">
        <f t="shared" si="150"/>
        <v>0</v>
      </c>
      <c r="AZ475">
        <f t="shared" si="150"/>
        <v>0</v>
      </c>
      <c r="BA475">
        <f t="shared" si="150"/>
        <v>0</v>
      </c>
      <c r="BB475">
        <f t="shared" si="150"/>
        <v>0</v>
      </c>
      <c r="BC475" t="str">
        <f t="shared" si="150"/>
        <v>Fogan</v>
      </c>
      <c r="BD475">
        <f t="shared" si="150"/>
        <v>0</v>
      </c>
      <c r="BE475">
        <f t="shared" si="150"/>
        <v>0</v>
      </c>
      <c r="BF475">
        <f t="shared" si="150"/>
        <v>0</v>
      </c>
      <c r="BG475">
        <f t="shared" si="150"/>
        <v>0</v>
      </c>
      <c r="BH475">
        <f t="shared" si="150"/>
        <v>0</v>
      </c>
      <c r="BI475">
        <f t="shared" si="151"/>
        <v>0</v>
      </c>
      <c r="BJ475">
        <f t="shared" si="151"/>
        <v>0</v>
      </c>
      <c r="BK475">
        <f t="shared" si="151"/>
        <v>0</v>
      </c>
      <c r="BL475">
        <f t="shared" si="151"/>
        <v>0</v>
      </c>
      <c r="BM475">
        <f t="shared" si="151"/>
        <v>0</v>
      </c>
      <c r="BN475">
        <f t="shared" si="151"/>
        <v>0</v>
      </c>
      <c r="BO475">
        <f t="shared" si="151"/>
        <v>0</v>
      </c>
      <c r="BP475">
        <f t="shared" si="151"/>
        <v>0</v>
      </c>
      <c r="BQ475">
        <f t="shared" si="151"/>
        <v>0</v>
      </c>
      <c r="BR475">
        <f t="shared" si="151"/>
        <v>0</v>
      </c>
      <c r="BS475">
        <f t="shared" si="151"/>
        <v>0</v>
      </c>
    </row>
    <row r="476" spans="2:71" ht="15" customHeight="1" x14ac:dyDescent="0.2">
      <c r="B476">
        <v>1</v>
      </c>
      <c r="C476">
        <v>1</v>
      </c>
      <c r="D476">
        <v>8</v>
      </c>
      <c r="E476" t="s">
        <v>395</v>
      </c>
      <c r="F476" t="s">
        <v>214</v>
      </c>
      <c r="G476" s="5">
        <v>44414</v>
      </c>
      <c r="H476" t="s">
        <v>73</v>
      </c>
      <c r="I476" t="s">
        <v>396</v>
      </c>
      <c r="J476" t="s">
        <v>216</v>
      </c>
      <c r="K476">
        <v>9</v>
      </c>
      <c r="L476" t="s">
        <v>76</v>
      </c>
      <c r="M476" t="s">
        <v>397</v>
      </c>
      <c r="N476" t="s">
        <v>398</v>
      </c>
      <c r="O476">
        <v>71.400000000000006</v>
      </c>
      <c r="P476">
        <v>130</v>
      </c>
      <c r="Q476">
        <v>6535</v>
      </c>
      <c r="R476" t="s">
        <v>111</v>
      </c>
      <c r="S476" t="s">
        <v>111</v>
      </c>
      <c r="T476" t="s">
        <v>83</v>
      </c>
      <c r="U476" t="s">
        <v>44</v>
      </c>
      <c r="V476" t="s">
        <v>61</v>
      </c>
      <c r="W476" t="s">
        <v>125</v>
      </c>
      <c r="AA476">
        <v>1</v>
      </c>
      <c r="AB476" t="s">
        <v>34</v>
      </c>
      <c r="AC476" t="s">
        <v>92</v>
      </c>
      <c r="AD476" t="s">
        <v>64</v>
      </c>
      <c r="AE476" t="str">
        <f t="shared" si="142"/>
        <v>McInerney</v>
      </c>
      <c r="AF476">
        <v>0.5</v>
      </c>
      <c r="AG476">
        <v>0</v>
      </c>
      <c r="AH476">
        <v>0</v>
      </c>
      <c r="AI476">
        <v>1</v>
      </c>
      <c r="AJ476">
        <v>0.5</v>
      </c>
      <c r="AK476" t="s">
        <v>64</v>
      </c>
      <c r="AL476">
        <v>0.65909090909090895</v>
      </c>
      <c r="AO476">
        <f t="shared" si="149"/>
        <v>0</v>
      </c>
      <c r="AP476">
        <f t="shared" si="149"/>
        <v>0</v>
      </c>
      <c r="AQ476">
        <f t="shared" si="149"/>
        <v>0</v>
      </c>
      <c r="AR476">
        <f t="shared" si="149"/>
        <v>0</v>
      </c>
      <c r="AS476">
        <f t="shared" si="149"/>
        <v>0</v>
      </c>
      <c r="AT476">
        <f t="shared" si="149"/>
        <v>0</v>
      </c>
      <c r="AU476">
        <f t="shared" si="149"/>
        <v>0</v>
      </c>
      <c r="AV476">
        <f t="shared" si="149"/>
        <v>0</v>
      </c>
      <c r="AW476">
        <f t="shared" si="149"/>
        <v>0</v>
      </c>
      <c r="AX476">
        <f t="shared" si="149"/>
        <v>0</v>
      </c>
      <c r="AY476">
        <f t="shared" si="150"/>
        <v>0</v>
      </c>
      <c r="AZ476">
        <f t="shared" si="150"/>
        <v>0</v>
      </c>
      <c r="BA476">
        <f t="shared" si="150"/>
        <v>0</v>
      </c>
      <c r="BB476">
        <f t="shared" si="150"/>
        <v>0</v>
      </c>
      <c r="BC476">
        <f t="shared" si="150"/>
        <v>0</v>
      </c>
      <c r="BD476">
        <f t="shared" si="150"/>
        <v>0</v>
      </c>
      <c r="BE476">
        <f t="shared" si="150"/>
        <v>0</v>
      </c>
      <c r="BF476">
        <f t="shared" si="150"/>
        <v>0</v>
      </c>
      <c r="BG476">
        <f t="shared" si="150"/>
        <v>0</v>
      </c>
      <c r="BH476">
        <f t="shared" si="150"/>
        <v>0</v>
      </c>
      <c r="BI476">
        <f t="shared" si="151"/>
        <v>0</v>
      </c>
      <c r="BJ476" t="str">
        <f t="shared" si="151"/>
        <v>McInerney</v>
      </c>
      <c r="BK476">
        <f t="shared" si="151"/>
        <v>0</v>
      </c>
      <c r="BL476">
        <f t="shared" si="151"/>
        <v>0</v>
      </c>
      <c r="BM476">
        <f t="shared" si="151"/>
        <v>0</v>
      </c>
      <c r="BN476">
        <f t="shared" si="151"/>
        <v>0</v>
      </c>
      <c r="BO476">
        <f t="shared" si="151"/>
        <v>0</v>
      </c>
      <c r="BP476">
        <f t="shared" si="151"/>
        <v>0</v>
      </c>
      <c r="BQ476">
        <f t="shared" si="151"/>
        <v>0</v>
      </c>
      <c r="BR476">
        <f t="shared" si="151"/>
        <v>0</v>
      </c>
      <c r="BS476">
        <f t="shared" si="151"/>
        <v>0</v>
      </c>
    </row>
    <row r="477" spans="2:71" ht="15" customHeight="1" x14ac:dyDescent="0.2">
      <c r="B477">
        <v>1</v>
      </c>
      <c r="C477">
        <v>1</v>
      </c>
      <c r="D477">
        <v>8</v>
      </c>
      <c r="E477" t="s">
        <v>395</v>
      </c>
      <c r="F477" t="s">
        <v>214</v>
      </c>
      <c r="G477" s="5">
        <v>44414</v>
      </c>
      <c r="H477" t="s">
        <v>73</v>
      </c>
      <c r="I477" t="s">
        <v>396</v>
      </c>
      <c r="J477" t="s">
        <v>216</v>
      </c>
      <c r="K477">
        <v>9</v>
      </c>
      <c r="L477" t="s">
        <v>76</v>
      </c>
      <c r="M477" t="s">
        <v>397</v>
      </c>
      <c r="N477" t="s">
        <v>398</v>
      </c>
      <c r="O477">
        <v>71.400000000000006</v>
      </c>
      <c r="P477">
        <v>130</v>
      </c>
      <c r="Q477">
        <v>6535</v>
      </c>
      <c r="R477" t="s">
        <v>111</v>
      </c>
      <c r="S477" t="s">
        <v>111</v>
      </c>
      <c r="T477" t="s">
        <v>83</v>
      </c>
      <c r="U477" t="s">
        <v>62</v>
      </c>
      <c r="V477" t="s">
        <v>64</v>
      </c>
      <c r="W477" t="s">
        <v>399</v>
      </c>
      <c r="AA477">
        <v>1</v>
      </c>
      <c r="AB477" t="s">
        <v>34</v>
      </c>
      <c r="AC477" t="s">
        <v>92</v>
      </c>
      <c r="AD477" t="s">
        <v>61</v>
      </c>
      <c r="AE477" t="str">
        <f t="shared" si="142"/>
        <v>Delneky</v>
      </c>
      <c r="AF477">
        <v>0.5</v>
      </c>
      <c r="AG477">
        <v>0</v>
      </c>
      <c r="AH477">
        <v>0</v>
      </c>
      <c r="AI477">
        <v>1</v>
      </c>
      <c r="AJ477">
        <v>0.5</v>
      </c>
      <c r="AK477" t="s">
        <v>61</v>
      </c>
      <c r="AL477">
        <v>0.5</v>
      </c>
      <c r="AO477">
        <f t="shared" si="149"/>
        <v>0</v>
      </c>
      <c r="AP477">
        <f t="shared" si="149"/>
        <v>0</v>
      </c>
      <c r="AQ477">
        <f t="shared" si="149"/>
        <v>0</v>
      </c>
      <c r="AR477">
        <f t="shared" si="149"/>
        <v>0</v>
      </c>
      <c r="AS477">
        <f t="shared" si="149"/>
        <v>0</v>
      </c>
      <c r="AT477">
        <f t="shared" si="149"/>
        <v>0</v>
      </c>
      <c r="AU477">
        <f t="shared" si="149"/>
        <v>0</v>
      </c>
      <c r="AV477">
        <f t="shared" si="149"/>
        <v>0</v>
      </c>
      <c r="AW477">
        <f t="shared" si="149"/>
        <v>0</v>
      </c>
      <c r="AX477">
        <f t="shared" si="149"/>
        <v>0</v>
      </c>
      <c r="AY477">
        <f t="shared" si="150"/>
        <v>0</v>
      </c>
      <c r="AZ477">
        <f t="shared" si="150"/>
        <v>0</v>
      </c>
      <c r="BA477">
        <f t="shared" si="150"/>
        <v>0</v>
      </c>
      <c r="BB477">
        <f t="shared" si="150"/>
        <v>0</v>
      </c>
      <c r="BC477">
        <f t="shared" si="150"/>
        <v>0</v>
      </c>
      <c r="BD477">
        <f t="shared" si="150"/>
        <v>0</v>
      </c>
      <c r="BE477">
        <f t="shared" si="150"/>
        <v>0</v>
      </c>
      <c r="BF477">
        <f t="shared" si="150"/>
        <v>0</v>
      </c>
      <c r="BG477">
        <f t="shared" si="150"/>
        <v>0</v>
      </c>
      <c r="BH477">
        <f t="shared" si="150"/>
        <v>0</v>
      </c>
      <c r="BI477">
        <f t="shared" si="151"/>
        <v>0</v>
      </c>
      <c r="BJ477">
        <f t="shared" si="151"/>
        <v>0</v>
      </c>
      <c r="BK477">
        <f t="shared" si="151"/>
        <v>0</v>
      </c>
      <c r="BL477">
        <f t="shared" si="151"/>
        <v>0</v>
      </c>
      <c r="BM477" t="str">
        <f t="shared" si="151"/>
        <v>Delneky</v>
      </c>
      <c r="BN477">
        <f t="shared" si="151"/>
        <v>0</v>
      </c>
      <c r="BO477">
        <f t="shared" si="151"/>
        <v>0</v>
      </c>
      <c r="BP477">
        <f t="shared" si="151"/>
        <v>0</v>
      </c>
      <c r="BQ477">
        <f t="shared" si="151"/>
        <v>0</v>
      </c>
      <c r="BR477">
        <f t="shared" si="151"/>
        <v>0</v>
      </c>
      <c r="BS477">
        <f t="shared" si="151"/>
        <v>0</v>
      </c>
    </row>
    <row r="478" spans="2:71" ht="15" customHeight="1" x14ac:dyDescent="0.2">
      <c r="B478">
        <v>2</v>
      </c>
      <c r="C478">
        <v>2</v>
      </c>
      <c r="D478">
        <v>8</v>
      </c>
      <c r="E478" t="s">
        <v>400</v>
      </c>
      <c r="F478" t="s">
        <v>214</v>
      </c>
      <c r="G478" s="5">
        <v>44414</v>
      </c>
      <c r="H478" t="s">
        <v>73</v>
      </c>
      <c r="I478" t="s">
        <v>396</v>
      </c>
      <c r="J478" t="s">
        <v>216</v>
      </c>
      <c r="K478">
        <v>9</v>
      </c>
      <c r="L478" t="s">
        <v>76</v>
      </c>
      <c r="M478" t="s">
        <v>397</v>
      </c>
      <c r="N478" t="s">
        <v>398</v>
      </c>
      <c r="O478">
        <v>71.400000000000006</v>
      </c>
      <c r="P478">
        <v>130</v>
      </c>
      <c r="Q478">
        <v>6535</v>
      </c>
      <c r="R478" t="s">
        <v>79</v>
      </c>
      <c r="S478" t="s">
        <v>80</v>
      </c>
      <c r="T478" t="s">
        <v>83</v>
      </c>
      <c r="U478" t="s">
        <v>44</v>
      </c>
      <c r="V478" t="s">
        <v>44</v>
      </c>
      <c r="W478" t="s">
        <v>125</v>
      </c>
      <c r="Y478" t="s">
        <v>53</v>
      </c>
      <c r="AA478">
        <v>1</v>
      </c>
      <c r="AB478" t="s">
        <v>33</v>
      </c>
      <c r="AC478" t="s">
        <v>204</v>
      </c>
      <c r="AE478" t="str">
        <f t="shared" si="142"/>
        <v>FlandersForster</v>
      </c>
      <c r="AF478">
        <v>0</v>
      </c>
      <c r="AG478">
        <v>0</v>
      </c>
      <c r="AH478">
        <v>1</v>
      </c>
      <c r="AI478">
        <v>0</v>
      </c>
      <c r="AJ478">
        <v>0</v>
      </c>
      <c r="AK478" t="s">
        <v>67</v>
      </c>
      <c r="AL478">
        <v>0.54545454545454497</v>
      </c>
      <c r="AM478" t="s">
        <v>50</v>
      </c>
      <c r="AN478">
        <v>0.59523809523809501</v>
      </c>
      <c r="AO478">
        <f t="shared" si="149"/>
        <v>0</v>
      </c>
      <c r="AP478">
        <f t="shared" si="149"/>
        <v>0</v>
      </c>
      <c r="AQ478">
        <f t="shared" si="149"/>
        <v>0</v>
      </c>
      <c r="AR478">
        <f t="shared" si="149"/>
        <v>0</v>
      </c>
      <c r="AS478" t="str">
        <f t="shared" si="149"/>
        <v>Flanders</v>
      </c>
      <c r="AT478">
        <f t="shared" si="149"/>
        <v>0</v>
      </c>
      <c r="AU478">
        <f t="shared" si="149"/>
        <v>0</v>
      </c>
      <c r="AV478">
        <f t="shared" si="149"/>
        <v>0</v>
      </c>
      <c r="AW478">
        <f t="shared" si="149"/>
        <v>0</v>
      </c>
      <c r="AX478">
        <f t="shared" si="149"/>
        <v>0</v>
      </c>
      <c r="AY478">
        <f t="shared" si="150"/>
        <v>0</v>
      </c>
      <c r="AZ478">
        <f t="shared" si="150"/>
        <v>0</v>
      </c>
      <c r="BA478">
        <f t="shared" si="150"/>
        <v>0</v>
      </c>
      <c r="BB478" t="str">
        <f t="shared" si="150"/>
        <v>Forster</v>
      </c>
      <c r="BC478">
        <f t="shared" si="150"/>
        <v>0</v>
      </c>
      <c r="BD478">
        <f t="shared" si="150"/>
        <v>0</v>
      </c>
      <c r="BE478">
        <f t="shared" si="150"/>
        <v>0</v>
      </c>
      <c r="BF478">
        <f t="shared" si="150"/>
        <v>0</v>
      </c>
      <c r="BG478">
        <f t="shared" si="150"/>
        <v>0</v>
      </c>
      <c r="BH478">
        <f t="shared" si="150"/>
        <v>0</v>
      </c>
      <c r="BI478">
        <f t="shared" si="151"/>
        <v>0</v>
      </c>
      <c r="BJ478">
        <f t="shared" si="151"/>
        <v>0</v>
      </c>
      <c r="BK478">
        <f t="shared" si="151"/>
        <v>0</v>
      </c>
      <c r="BL478">
        <f t="shared" si="151"/>
        <v>0</v>
      </c>
      <c r="BM478">
        <f t="shared" si="151"/>
        <v>0</v>
      </c>
      <c r="BN478">
        <f t="shared" si="151"/>
        <v>0</v>
      </c>
      <c r="BO478">
        <f t="shared" si="151"/>
        <v>0</v>
      </c>
      <c r="BP478">
        <f t="shared" si="151"/>
        <v>0</v>
      </c>
      <c r="BQ478">
        <f t="shared" si="151"/>
        <v>0</v>
      </c>
      <c r="BR478">
        <f t="shared" si="151"/>
        <v>0</v>
      </c>
      <c r="BS478">
        <f t="shared" si="151"/>
        <v>0</v>
      </c>
    </row>
    <row r="479" spans="2:71" ht="15" customHeight="1" x14ac:dyDescent="0.2">
      <c r="B479">
        <v>2</v>
      </c>
      <c r="C479">
        <v>2</v>
      </c>
      <c r="D479">
        <v>8</v>
      </c>
      <c r="E479" t="s">
        <v>400</v>
      </c>
      <c r="F479" t="s">
        <v>214</v>
      </c>
      <c r="G479" s="5">
        <v>44414</v>
      </c>
      <c r="H479" t="s">
        <v>73</v>
      </c>
      <c r="I479" t="s">
        <v>396</v>
      </c>
      <c r="J479" t="s">
        <v>216</v>
      </c>
      <c r="K479">
        <v>9</v>
      </c>
      <c r="L479" t="s">
        <v>76</v>
      </c>
      <c r="M479" t="s">
        <v>397</v>
      </c>
      <c r="N479" t="s">
        <v>398</v>
      </c>
      <c r="O479">
        <v>71.400000000000006</v>
      </c>
      <c r="P479">
        <v>130</v>
      </c>
      <c r="Q479">
        <v>6535</v>
      </c>
      <c r="R479" t="s">
        <v>79</v>
      </c>
      <c r="S479" t="s">
        <v>80</v>
      </c>
      <c r="T479" t="s">
        <v>83</v>
      </c>
      <c r="U479" t="s">
        <v>62</v>
      </c>
      <c r="V479" t="s">
        <v>67</v>
      </c>
      <c r="W479" t="s">
        <v>399</v>
      </c>
      <c r="Y479" t="s">
        <v>50</v>
      </c>
      <c r="AA479">
        <v>1</v>
      </c>
      <c r="AB479" t="s">
        <v>32</v>
      </c>
      <c r="AC479" t="s">
        <v>204</v>
      </c>
      <c r="AE479" t="str">
        <f t="shared" si="142"/>
        <v>DeoterisFerrin</v>
      </c>
      <c r="AF479">
        <v>1</v>
      </c>
      <c r="AG479">
        <v>1</v>
      </c>
      <c r="AH479">
        <v>0</v>
      </c>
      <c r="AI479">
        <v>0</v>
      </c>
      <c r="AJ479">
        <v>1</v>
      </c>
      <c r="AK479" t="s">
        <v>44</v>
      </c>
      <c r="AL479">
        <v>0.4296875</v>
      </c>
      <c r="AM479" t="s">
        <v>53</v>
      </c>
      <c r="AN479">
        <v>0.59649122807017496</v>
      </c>
      <c r="AO479">
        <f t="shared" si="149"/>
        <v>0</v>
      </c>
      <c r="AP479">
        <f t="shared" si="149"/>
        <v>0</v>
      </c>
      <c r="AQ479">
        <f t="shared" si="149"/>
        <v>0</v>
      </c>
      <c r="AR479">
        <f t="shared" si="149"/>
        <v>0</v>
      </c>
      <c r="AS479">
        <f t="shared" si="149"/>
        <v>0</v>
      </c>
      <c r="AT479">
        <f t="shared" si="149"/>
        <v>0</v>
      </c>
      <c r="AU479">
        <f t="shared" si="149"/>
        <v>0</v>
      </c>
      <c r="AV479">
        <f t="shared" si="149"/>
        <v>0</v>
      </c>
      <c r="AW479">
        <f t="shared" si="149"/>
        <v>0</v>
      </c>
      <c r="AX479">
        <f t="shared" si="149"/>
        <v>0</v>
      </c>
      <c r="AY479" t="str">
        <f t="shared" si="150"/>
        <v>Ferrin</v>
      </c>
      <c r="AZ479">
        <f t="shared" si="150"/>
        <v>0</v>
      </c>
      <c r="BA479">
        <f t="shared" si="150"/>
        <v>0</v>
      </c>
      <c r="BB479">
        <f t="shared" si="150"/>
        <v>0</v>
      </c>
      <c r="BC479">
        <f t="shared" si="150"/>
        <v>0</v>
      </c>
      <c r="BD479">
        <f t="shared" si="150"/>
        <v>0</v>
      </c>
      <c r="BE479">
        <f t="shared" si="150"/>
        <v>0</v>
      </c>
      <c r="BF479">
        <f t="shared" si="150"/>
        <v>0</v>
      </c>
      <c r="BG479">
        <f t="shared" si="150"/>
        <v>0</v>
      </c>
      <c r="BH479">
        <f t="shared" si="150"/>
        <v>0</v>
      </c>
      <c r="BI479">
        <f t="shared" si="151"/>
        <v>0</v>
      </c>
      <c r="BJ479">
        <f t="shared" si="151"/>
        <v>0</v>
      </c>
      <c r="BK479">
        <f t="shared" si="151"/>
        <v>0</v>
      </c>
      <c r="BL479">
        <f t="shared" si="151"/>
        <v>0</v>
      </c>
      <c r="BM479">
        <f t="shared" si="151"/>
        <v>0</v>
      </c>
      <c r="BN479">
        <f t="shared" si="151"/>
        <v>0</v>
      </c>
      <c r="BO479">
        <f t="shared" si="151"/>
        <v>0</v>
      </c>
      <c r="BP479" t="str">
        <f t="shared" si="151"/>
        <v>Deoteris</v>
      </c>
      <c r="BQ479">
        <f t="shared" si="151"/>
        <v>0</v>
      </c>
      <c r="BR479">
        <f t="shared" si="151"/>
        <v>0</v>
      </c>
      <c r="BS479">
        <f t="shared" si="151"/>
        <v>0</v>
      </c>
    </row>
    <row r="480" spans="2:71" ht="15" customHeight="1" x14ac:dyDescent="0.2">
      <c r="B480">
        <v>3</v>
      </c>
      <c r="C480">
        <v>3</v>
      </c>
      <c r="D480">
        <v>8</v>
      </c>
      <c r="E480" t="s">
        <v>401</v>
      </c>
      <c r="F480" t="s">
        <v>214</v>
      </c>
      <c r="G480" s="5">
        <v>44414</v>
      </c>
      <c r="H480" t="s">
        <v>73</v>
      </c>
      <c r="I480" t="s">
        <v>396</v>
      </c>
      <c r="J480" t="s">
        <v>216</v>
      </c>
      <c r="K480">
        <v>9</v>
      </c>
      <c r="L480" t="s">
        <v>76</v>
      </c>
      <c r="M480" t="s">
        <v>397</v>
      </c>
      <c r="N480" t="s">
        <v>398</v>
      </c>
      <c r="O480">
        <v>71.400000000000006</v>
      </c>
      <c r="P480">
        <v>130</v>
      </c>
      <c r="Q480">
        <v>6535</v>
      </c>
      <c r="R480" t="s">
        <v>79</v>
      </c>
      <c r="S480" t="s">
        <v>80</v>
      </c>
      <c r="T480" t="s">
        <v>83</v>
      </c>
      <c r="U480" t="s">
        <v>62</v>
      </c>
      <c r="V480" t="s">
        <v>63</v>
      </c>
      <c r="W480" t="s">
        <v>399</v>
      </c>
      <c r="Y480" t="s">
        <v>66</v>
      </c>
      <c r="AA480">
        <v>1</v>
      </c>
      <c r="AB480" t="s">
        <v>32</v>
      </c>
      <c r="AC480" t="s">
        <v>371</v>
      </c>
      <c r="AE480" t="str">
        <f t="shared" si="142"/>
        <v>DelaneyPerkins</v>
      </c>
      <c r="AF480">
        <v>1</v>
      </c>
      <c r="AG480">
        <v>1</v>
      </c>
      <c r="AH480">
        <v>0</v>
      </c>
      <c r="AI480">
        <v>0</v>
      </c>
      <c r="AJ480">
        <v>1</v>
      </c>
      <c r="AK480" t="s">
        <v>46</v>
      </c>
      <c r="AL480">
        <v>0.38392857142857201</v>
      </c>
      <c r="AM480" t="s">
        <v>65</v>
      </c>
      <c r="AN480">
        <v>0.33333333333333298</v>
      </c>
      <c r="AO480">
        <f t="shared" si="149"/>
        <v>0</v>
      </c>
      <c r="AP480">
        <f t="shared" si="149"/>
        <v>0</v>
      </c>
      <c r="AQ480">
        <f t="shared" si="149"/>
        <v>0</v>
      </c>
      <c r="AR480">
        <f t="shared" si="149"/>
        <v>0</v>
      </c>
      <c r="AS480">
        <f t="shared" si="149"/>
        <v>0</v>
      </c>
      <c r="AT480">
        <f t="shared" si="149"/>
        <v>0</v>
      </c>
      <c r="AU480">
        <f t="shared" si="149"/>
        <v>0</v>
      </c>
      <c r="AV480">
        <f t="shared" si="149"/>
        <v>0</v>
      </c>
      <c r="AW480">
        <f t="shared" si="149"/>
        <v>0</v>
      </c>
      <c r="AX480">
        <f t="shared" si="149"/>
        <v>0</v>
      </c>
      <c r="AY480">
        <f t="shared" si="150"/>
        <v>0</v>
      </c>
      <c r="AZ480">
        <f t="shared" si="150"/>
        <v>0</v>
      </c>
      <c r="BA480">
        <f t="shared" si="150"/>
        <v>0</v>
      </c>
      <c r="BB480">
        <f t="shared" si="150"/>
        <v>0</v>
      </c>
      <c r="BC480">
        <f t="shared" si="150"/>
        <v>0</v>
      </c>
      <c r="BD480">
        <f t="shared" si="150"/>
        <v>0</v>
      </c>
      <c r="BE480">
        <f t="shared" si="150"/>
        <v>0</v>
      </c>
      <c r="BF480">
        <f t="shared" si="150"/>
        <v>0</v>
      </c>
      <c r="BG480">
        <f t="shared" si="150"/>
        <v>0</v>
      </c>
      <c r="BH480">
        <f t="shared" si="150"/>
        <v>0</v>
      </c>
      <c r="BI480">
        <f t="shared" si="151"/>
        <v>0</v>
      </c>
      <c r="BJ480">
        <f t="shared" si="151"/>
        <v>0</v>
      </c>
      <c r="BK480">
        <f t="shared" si="151"/>
        <v>0</v>
      </c>
      <c r="BL480" t="str">
        <f t="shared" si="151"/>
        <v>Delaney</v>
      </c>
      <c r="BM480">
        <f t="shared" si="151"/>
        <v>0</v>
      </c>
      <c r="BN480">
        <f t="shared" si="151"/>
        <v>0</v>
      </c>
      <c r="BO480" t="str">
        <f t="shared" si="151"/>
        <v>Perkins</v>
      </c>
      <c r="BP480">
        <f t="shared" si="151"/>
        <v>0</v>
      </c>
      <c r="BQ480">
        <f t="shared" si="151"/>
        <v>0</v>
      </c>
      <c r="BR480">
        <f t="shared" si="151"/>
        <v>0</v>
      </c>
      <c r="BS480">
        <f t="shared" si="151"/>
        <v>0</v>
      </c>
    </row>
    <row r="481" spans="2:71" ht="15" customHeight="1" x14ac:dyDescent="0.2">
      <c r="B481">
        <v>3</v>
      </c>
      <c r="C481">
        <v>3</v>
      </c>
      <c r="D481">
        <v>8</v>
      </c>
      <c r="E481" t="s">
        <v>401</v>
      </c>
      <c r="F481" t="s">
        <v>214</v>
      </c>
      <c r="G481" s="5">
        <v>44414</v>
      </c>
      <c r="H481" t="s">
        <v>73</v>
      </c>
      <c r="I481" t="s">
        <v>396</v>
      </c>
      <c r="J481" t="s">
        <v>216</v>
      </c>
      <c r="K481">
        <v>9</v>
      </c>
      <c r="L481" t="s">
        <v>76</v>
      </c>
      <c r="M481" t="s">
        <v>397</v>
      </c>
      <c r="N481" t="s">
        <v>398</v>
      </c>
      <c r="O481">
        <v>71.400000000000006</v>
      </c>
      <c r="P481">
        <v>130</v>
      </c>
      <c r="Q481">
        <v>6535</v>
      </c>
      <c r="R481" t="s">
        <v>79</v>
      </c>
      <c r="S481" t="s">
        <v>80</v>
      </c>
      <c r="T481" t="s">
        <v>83</v>
      </c>
      <c r="U481" t="s">
        <v>44</v>
      </c>
      <c r="V481" t="s">
        <v>46</v>
      </c>
      <c r="W481" t="s">
        <v>125</v>
      </c>
      <c r="Y481" t="s">
        <v>65</v>
      </c>
      <c r="AA481">
        <v>1</v>
      </c>
      <c r="AB481" t="s">
        <v>33</v>
      </c>
      <c r="AC481" t="s">
        <v>371</v>
      </c>
      <c r="AE481" t="str">
        <f t="shared" si="142"/>
        <v>MangoldPiegari</v>
      </c>
      <c r="AF481">
        <v>0</v>
      </c>
      <c r="AG481">
        <v>0</v>
      </c>
      <c r="AH481">
        <v>1</v>
      </c>
      <c r="AI481">
        <v>0</v>
      </c>
      <c r="AJ481">
        <v>0</v>
      </c>
      <c r="AK481" t="s">
        <v>63</v>
      </c>
      <c r="AL481">
        <v>0.46551724137931</v>
      </c>
      <c r="AM481" t="s">
        <v>66</v>
      </c>
      <c r="AN481">
        <v>0.63888888888888895</v>
      </c>
      <c r="AO481">
        <f t="shared" si="149"/>
        <v>0</v>
      </c>
      <c r="AP481">
        <f t="shared" si="149"/>
        <v>0</v>
      </c>
      <c r="AQ481">
        <f t="shared" si="149"/>
        <v>0</v>
      </c>
      <c r="AR481">
        <f t="shared" si="149"/>
        <v>0</v>
      </c>
      <c r="AS481">
        <f t="shared" si="149"/>
        <v>0</v>
      </c>
      <c r="AT481">
        <f t="shared" si="149"/>
        <v>0</v>
      </c>
      <c r="AU481" t="str">
        <f t="shared" si="149"/>
        <v>Mangold</v>
      </c>
      <c r="AV481">
        <f t="shared" si="149"/>
        <v>0</v>
      </c>
      <c r="AW481">
        <f t="shared" si="149"/>
        <v>0</v>
      </c>
      <c r="AX481">
        <f t="shared" si="149"/>
        <v>0</v>
      </c>
      <c r="AY481">
        <f t="shared" si="150"/>
        <v>0</v>
      </c>
      <c r="AZ481">
        <f t="shared" si="150"/>
        <v>0</v>
      </c>
      <c r="BA481">
        <f t="shared" si="150"/>
        <v>0</v>
      </c>
      <c r="BB481">
        <f t="shared" si="150"/>
        <v>0</v>
      </c>
      <c r="BC481">
        <f t="shared" si="150"/>
        <v>0</v>
      </c>
      <c r="BD481">
        <f t="shared" si="150"/>
        <v>0</v>
      </c>
      <c r="BE481">
        <f t="shared" si="150"/>
        <v>0</v>
      </c>
      <c r="BF481">
        <f t="shared" si="150"/>
        <v>0</v>
      </c>
      <c r="BG481">
        <f t="shared" si="150"/>
        <v>0</v>
      </c>
      <c r="BH481">
        <f t="shared" si="150"/>
        <v>0</v>
      </c>
      <c r="BI481">
        <f t="shared" si="151"/>
        <v>0</v>
      </c>
      <c r="BJ481">
        <f t="shared" si="151"/>
        <v>0</v>
      </c>
      <c r="BK481">
        <f t="shared" si="151"/>
        <v>0</v>
      </c>
      <c r="BL481">
        <f t="shared" si="151"/>
        <v>0</v>
      </c>
      <c r="BM481">
        <f t="shared" si="151"/>
        <v>0</v>
      </c>
      <c r="BN481" t="str">
        <f t="shared" si="151"/>
        <v>Piegari</v>
      </c>
      <c r="BO481">
        <f t="shared" si="151"/>
        <v>0</v>
      </c>
      <c r="BP481">
        <f t="shared" si="151"/>
        <v>0</v>
      </c>
      <c r="BQ481">
        <f t="shared" si="151"/>
        <v>0</v>
      </c>
      <c r="BR481">
        <f t="shared" si="151"/>
        <v>0</v>
      </c>
      <c r="BS481">
        <f t="shared" si="151"/>
        <v>0</v>
      </c>
    </row>
    <row r="482" spans="2:71" ht="15" customHeight="1" x14ac:dyDescent="0.2">
      <c r="B482">
        <v>4</v>
      </c>
      <c r="C482">
        <v>4</v>
      </c>
      <c r="D482">
        <v>8</v>
      </c>
      <c r="E482" t="s">
        <v>402</v>
      </c>
      <c r="F482" t="s">
        <v>214</v>
      </c>
      <c r="G482" s="5">
        <v>44414</v>
      </c>
      <c r="H482" t="s">
        <v>73</v>
      </c>
      <c r="I482" t="s">
        <v>396</v>
      </c>
      <c r="J482" t="s">
        <v>216</v>
      </c>
      <c r="K482">
        <v>9</v>
      </c>
      <c r="L482" t="s">
        <v>76</v>
      </c>
      <c r="M482" t="s">
        <v>397</v>
      </c>
      <c r="N482" t="s">
        <v>398</v>
      </c>
      <c r="O482">
        <v>71.400000000000006</v>
      </c>
      <c r="P482">
        <v>130</v>
      </c>
      <c r="Q482">
        <v>6535</v>
      </c>
      <c r="R482" t="s">
        <v>79</v>
      </c>
      <c r="S482" t="s">
        <v>80</v>
      </c>
      <c r="T482" t="s">
        <v>83</v>
      </c>
      <c r="U482" t="s">
        <v>44</v>
      </c>
      <c r="V482" t="s">
        <v>55</v>
      </c>
      <c r="W482" t="s">
        <v>125</v>
      </c>
      <c r="Y482" t="s">
        <v>54</v>
      </c>
      <c r="AA482">
        <v>1</v>
      </c>
      <c r="AB482" t="s">
        <v>33</v>
      </c>
      <c r="AC482" t="s">
        <v>233</v>
      </c>
      <c r="AE482" t="str">
        <f t="shared" si="142"/>
        <v>ColeFogan</v>
      </c>
      <c r="AF482">
        <v>0</v>
      </c>
      <c r="AG482">
        <v>0</v>
      </c>
      <c r="AH482">
        <v>1</v>
      </c>
      <c r="AI482">
        <v>0</v>
      </c>
      <c r="AJ482">
        <v>0</v>
      </c>
      <c r="AK482" t="s">
        <v>41</v>
      </c>
      <c r="AL482">
        <v>0.47321428571428598</v>
      </c>
      <c r="AM482" t="s">
        <v>62</v>
      </c>
      <c r="AN482">
        <v>0.51041666666666696</v>
      </c>
      <c r="AO482">
        <f t="shared" ref="AO482:AX491" si="152">IF(OR($V482=AO$1,$Y482=AO$1),AO$1,0)</f>
        <v>0</v>
      </c>
      <c r="AP482">
        <f t="shared" si="152"/>
        <v>0</v>
      </c>
      <c r="AQ482">
        <f t="shared" si="152"/>
        <v>0</v>
      </c>
      <c r="AR482">
        <f t="shared" si="152"/>
        <v>0</v>
      </c>
      <c r="AS482">
        <f t="shared" si="152"/>
        <v>0</v>
      </c>
      <c r="AT482">
        <f t="shared" si="152"/>
        <v>0</v>
      </c>
      <c r="AU482">
        <f t="shared" si="152"/>
        <v>0</v>
      </c>
      <c r="AV482">
        <f t="shared" si="152"/>
        <v>0</v>
      </c>
      <c r="AW482">
        <f t="shared" si="152"/>
        <v>0</v>
      </c>
      <c r="AX482">
        <f t="shared" si="152"/>
        <v>0</v>
      </c>
      <c r="AY482">
        <f t="shared" ref="AY482:BH491" si="153">IF(OR($V482=AY$1,$Y482=AY$1),AY$1,0)</f>
        <v>0</v>
      </c>
      <c r="AZ482">
        <f t="shared" si="153"/>
        <v>0</v>
      </c>
      <c r="BA482">
        <f t="shared" si="153"/>
        <v>0</v>
      </c>
      <c r="BB482">
        <f t="shared" si="153"/>
        <v>0</v>
      </c>
      <c r="BC482" t="str">
        <f t="shared" si="153"/>
        <v>Fogan</v>
      </c>
      <c r="BD482" t="str">
        <f t="shared" si="153"/>
        <v>Cole</v>
      </c>
      <c r="BE482">
        <f t="shared" si="153"/>
        <v>0</v>
      </c>
      <c r="BF482">
        <f t="shared" si="153"/>
        <v>0</v>
      </c>
      <c r="BG482">
        <f t="shared" si="153"/>
        <v>0</v>
      </c>
      <c r="BH482">
        <f t="shared" si="153"/>
        <v>0</v>
      </c>
      <c r="BI482">
        <f t="shared" ref="BI482:BS491" si="154">IF(OR($V482=BI$1,$Y482=BI$1),BI$1,0)</f>
        <v>0</v>
      </c>
      <c r="BJ482">
        <f t="shared" si="154"/>
        <v>0</v>
      </c>
      <c r="BK482">
        <f t="shared" si="154"/>
        <v>0</v>
      </c>
      <c r="BL482">
        <f t="shared" si="154"/>
        <v>0</v>
      </c>
      <c r="BM482">
        <f t="shared" si="154"/>
        <v>0</v>
      </c>
      <c r="BN482">
        <f t="shared" si="154"/>
        <v>0</v>
      </c>
      <c r="BO482">
        <f t="shared" si="154"/>
        <v>0</v>
      </c>
      <c r="BP482">
        <f t="shared" si="154"/>
        <v>0</v>
      </c>
      <c r="BQ482">
        <f t="shared" si="154"/>
        <v>0</v>
      </c>
      <c r="BR482">
        <f t="shared" si="154"/>
        <v>0</v>
      </c>
      <c r="BS482">
        <f t="shared" si="154"/>
        <v>0</v>
      </c>
    </row>
    <row r="483" spans="2:71" ht="15" customHeight="1" x14ac:dyDescent="0.2">
      <c r="B483">
        <v>4</v>
      </c>
      <c r="C483">
        <v>4</v>
      </c>
      <c r="D483">
        <v>8</v>
      </c>
      <c r="E483" t="s">
        <v>402</v>
      </c>
      <c r="F483" t="s">
        <v>214</v>
      </c>
      <c r="G483" s="5">
        <v>44414</v>
      </c>
      <c r="H483" t="s">
        <v>73</v>
      </c>
      <c r="I483" t="s">
        <v>396</v>
      </c>
      <c r="J483" t="s">
        <v>216</v>
      </c>
      <c r="K483">
        <v>9</v>
      </c>
      <c r="L483" t="s">
        <v>76</v>
      </c>
      <c r="M483" t="s">
        <v>397</v>
      </c>
      <c r="N483" t="s">
        <v>398</v>
      </c>
      <c r="O483">
        <v>71.400000000000006</v>
      </c>
      <c r="P483">
        <v>130</v>
      </c>
      <c r="Q483">
        <v>6535</v>
      </c>
      <c r="R483" t="s">
        <v>79</v>
      </c>
      <c r="S483" t="s">
        <v>80</v>
      </c>
      <c r="T483" t="s">
        <v>83</v>
      </c>
      <c r="U483" t="s">
        <v>62</v>
      </c>
      <c r="V483" t="s">
        <v>41</v>
      </c>
      <c r="W483" t="s">
        <v>399</v>
      </c>
      <c r="Y483" t="s">
        <v>62</v>
      </c>
      <c r="AA483">
        <v>1</v>
      </c>
      <c r="AB483" t="s">
        <v>32</v>
      </c>
      <c r="AC483" t="s">
        <v>233</v>
      </c>
      <c r="AE483" t="str">
        <f t="shared" si="142"/>
        <v>HiltsWelker</v>
      </c>
      <c r="AF483">
        <v>1</v>
      </c>
      <c r="AG483">
        <v>1</v>
      </c>
      <c r="AH483">
        <v>0</v>
      </c>
      <c r="AI483">
        <v>0</v>
      </c>
      <c r="AJ483">
        <v>1</v>
      </c>
      <c r="AK483" t="s">
        <v>55</v>
      </c>
      <c r="AL483">
        <v>0.44067796610169502</v>
      </c>
      <c r="AM483" t="s">
        <v>54</v>
      </c>
      <c r="AN483">
        <v>0.37288135593220301</v>
      </c>
      <c r="AO483">
        <f t="shared" si="152"/>
        <v>0</v>
      </c>
      <c r="AP483" t="str">
        <f t="shared" si="152"/>
        <v>Hilts</v>
      </c>
      <c r="AQ483">
        <f t="shared" si="152"/>
        <v>0</v>
      </c>
      <c r="AR483">
        <f t="shared" si="152"/>
        <v>0</v>
      </c>
      <c r="AS483">
        <f t="shared" si="152"/>
        <v>0</v>
      </c>
      <c r="AT483">
        <f t="shared" si="152"/>
        <v>0</v>
      </c>
      <c r="AU483">
        <f t="shared" si="152"/>
        <v>0</v>
      </c>
      <c r="AV483">
        <f t="shared" si="152"/>
        <v>0</v>
      </c>
      <c r="AW483">
        <f t="shared" si="152"/>
        <v>0</v>
      </c>
      <c r="AX483">
        <f t="shared" si="152"/>
        <v>0</v>
      </c>
      <c r="AY483">
        <f t="shared" si="153"/>
        <v>0</v>
      </c>
      <c r="AZ483">
        <f t="shared" si="153"/>
        <v>0</v>
      </c>
      <c r="BA483">
        <f t="shared" si="153"/>
        <v>0</v>
      </c>
      <c r="BB483">
        <f t="shared" si="153"/>
        <v>0</v>
      </c>
      <c r="BC483">
        <f t="shared" si="153"/>
        <v>0</v>
      </c>
      <c r="BD483">
        <f t="shared" si="153"/>
        <v>0</v>
      </c>
      <c r="BE483">
        <f t="shared" si="153"/>
        <v>0</v>
      </c>
      <c r="BF483">
        <f t="shared" si="153"/>
        <v>0</v>
      </c>
      <c r="BG483">
        <f t="shared" si="153"/>
        <v>0</v>
      </c>
      <c r="BH483">
        <f t="shared" si="153"/>
        <v>0</v>
      </c>
      <c r="BI483">
        <f t="shared" si="154"/>
        <v>0</v>
      </c>
      <c r="BJ483">
        <f t="shared" si="154"/>
        <v>0</v>
      </c>
      <c r="BK483" t="str">
        <f t="shared" si="154"/>
        <v>Welker</v>
      </c>
      <c r="BL483">
        <f t="shared" si="154"/>
        <v>0</v>
      </c>
      <c r="BM483">
        <f t="shared" si="154"/>
        <v>0</v>
      </c>
      <c r="BN483">
        <f t="shared" si="154"/>
        <v>0</v>
      </c>
      <c r="BO483">
        <f t="shared" si="154"/>
        <v>0</v>
      </c>
      <c r="BP483">
        <f t="shared" si="154"/>
        <v>0</v>
      </c>
      <c r="BQ483">
        <f t="shared" si="154"/>
        <v>0</v>
      </c>
      <c r="BR483">
        <f t="shared" si="154"/>
        <v>0</v>
      </c>
      <c r="BS483">
        <f t="shared" si="154"/>
        <v>0</v>
      </c>
    </row>
    <row r="484" spans="2:71" ht="15" customHeight="1" x14ac:dyDescent="0.2">
      <c r="B484">
        <v>5</v>
      </c>
      <c r="C484">
        <v>5</v>
      </c>
      <c r="D484">
        <v>8</v>
      </c>
      <c r="E484" t="s">
        <v>403</v>
      </c>
      <c r="F484" t="s">
        <v>214</v>
      </c>
      <c r="G484" s="5">
        <v>44414</v>
      </c>
      <c r="H484" t="s">
        <v>73</v>
      </c>
      <c r="I484" t="s">
        <v>396</v>
      </c>
      <c r="J484" t="s">
        <v>216</v>
      </c>
      <c r="K484">
        <v>9</v>
      </c>
      <c r="L484" t="s">
        <v>76</v>
      </c>
      <c r="M484" t="s">
        <v>397</v>
      </c>
      <c r="N484" t="s">
        <v>398</v>
      </c>
      <c r="O484">
        <v>71.400000000000006</v>
      </c>
      <c r="P484">
        <v>130</v>
      </c>
      <c r="Q484">
        <v>6535</v>
      </c>
      <c r="R484" t="s">
        <v>79</v>
      </c>
      <c r="S484" t="s">
        <v>80</v>
      </c>
      <c r="T484" t="s">
        <v>83</v>
      </c>
      <c r="U484" t="s">
        <v>62</v>
      </c>
      <c r="V484" t="s">
        <v>40</v>
      </c>
      <c r="W484" t="s">
        <v>399</v>
      </c>
      <c r="Y484" t="s">
        <v>60</v>
      </c>
      <c r="AA484">
        <v>1</v>
      </c>
      <c r="AB484" t="s">
        <v>32</v>
      </c>
      <c r="AC484" t="s">
        <v>371</v>
      </c>
      <c r="AE484" t="str">
        <f t="shared" si="142"/>
        <v>GriseZimmer</v>
      </c>
      <c r="AF484">
        <v>1</v>
      </c>
      <c r="AG484">
        <v>1</v>
      </c>
      <c r="AH484">
        <v>0</v>
      </c>
      <c r="AI484">
        <v>0</v>
      </c>
      <c r="AJ484">
        <v>1</v>
      </c>
      <c r="AK484" t="s">
        <v>48</v>
      </c>
      <c r="AL484">
        <v>0.5546875</v>
      </c>
      <c r="AM484" t="s">
        <v>68</v>
      </c>
      <c r="AO484" t="str">
        <f t="shared" si="152"/>
        <v>Grise</v>
      </c>
      <c r="AP484">
        <f t="shared" si="152"/>
        <v>0</v>
      </c>
      <c r="AQ484">
        <f t="shared" si="152"/>
        <v>0</v>
      </c>
      <c r="AR484">
        <f t="shared" si="152"/>
        <v>0</v>
      </c>
      <c r="AS484">
        <f t="shared" si="152"/>
        <v>0</v>
      </c>
      <c r="AT484">
        <f t="shared" si="152"/>
        <v>0</v>
      </c>
      <c r="AU484">
        <f t="shared" si="152"/>
        <v>0</v>
      </c>
      <c r="AV484">
        <f t="shared" si="152"/>
        <v>0</v>
      </c>
      <c r="AW484">
        <f t="shared" si="152"/>
        <v>0</v>
      </c>
      <c r="AX484">
        <f t="shared" si="152"/>
        <v>0</v>
      </c>
      <c r="AY484">
        <f t="shared" si="153"/>
        <v>0</v>
      </c>
      <c r="AZ484">
        <f t="shared" si="153"/>
        <v>0</v>
      </c>
      <c r="BA484">
        <f t="shared" si="153"/>
        <v>0</v>
      </c>
      <c r="BB484">
        <f t="shared" si="153"/>
        <v>0</v>
      </c>
      <c r="BC484">
        <f t="shared" si="153"/>
        <v>0</v>
      </c>
      <c r="BD484">
        <f t="shared" si="153"/>
        <v>0</v>
      </c>
      <c r="BE484">
        <f t="shared" si="153"/>
        <v>0</v>
      </c>
      <c r="BF484">
        <f t="shared" si="153"/>
        <v>0</v>
      </c>
      <c r="BG484">
        <f t="shared" si="153"/>
        <v>0</v>
      </c>
      <c r="BH484">
        <f t="shared" si="153"/>
        <v>0</v>
      </c>
      <c r="BI484" t="str">
        <f t="shared" si="154"/>
        <v>Zimmer</v>
      </c>
      <c r="BJ484">
        <f t="shared" si="154"/>
        <v>0</v>
      </c>
      <c r="BK484">
        <f t="shared" si="154"/>
        <v>0</v>
      </c>
      <c r="BL484">
        <f t="shared" si="154"/>
        <v>0</v>
      </c>
      <c r="BM484">
        <f t="shared" si="154"/>
        <v>0</v>
      </c>
      <c r="BN484">
        <f t="shared" si="154"/>
        <v>0</v>
      </c>
      <c r="BO484">
        <f t="shared" si="154"/>
        <v>0</v>
      </c>
      <c r="BP484">
        <f t="shared" si="154"/>
        <v>0</v>
      </c>
      <c r="BQ484">
        <f t="shared" si="154"/>
        <v>0</v>
      </c>
      <c r="BR484">
        <f t="shared" si="154"/>
        <v>0</v>
      </c>
      <c r="BS484">
        <f t="shared" si="154"/>
        <v>0</v>
      </c>
    </row>
    <row r="485" spans="2:71" ht="15" customHeight="1" x14ac:dyDescent="0.2">
      <c r="B485">
        <v>5</v>
      </c>
      <c r="C485">
        <v>5</v>
      </c>
      <c r="D485">
        <v>8</v>
      </c>
      <c r="E485" t="s">
        <v>403</v>
      </c>
      <c r="F485" t="s">
        <v>214</v>
      </c>
      <c r="G485" s="5">
        <v>44414</v>
      </c>
      <c r="H485" t="s">
        <v>73</v>
      </c>
      <c r="I485" t="s">
        <v>396</v>
      </c>
      <c r="J485" t="s">
        <v>216</v>
      </c>
      <c r="K485">
        <v>9</v>
      </c>
      <c r="L485" t="s">
        <v>76</v>
      </c>
      <c r="M485" t="s">
        <v>397</v>
      </c>
      <c r="N485" t="s">
        <v>398</v>
      </c>
      <c r="O485">
        <v>71.400000000000006</v>
      </c>
      <c r="P485">
        <v>130</v>
      </c>
      <c r="Q485">
        <v>6535</v>
      </c>
      <c r="R485" t="s">
        <v>79</v>
      </c>
      <c r="S485" t="s">
        <v>80</v>
      </c>
      <c r="T485" t="s">
        <v>83</v>
      </c>
      <c r="U485" t="s">
        <v>44</v>
      </c>
      <c r="V485" t="s">
        <v>48</v>
      </c>
      <c r="W485" t="s">
        <v>125</v>
      </c>
      <c r="Y485" t="s">
        <v>68</v>
      </c>
      <c r="AA485">
        <v>1</v>
      </c>
      <c r="AB485" t="s">
        <v>33</v>
      </c>
      <c r="AC485" t="s">
        <v>371</v>
      </c>
      <c r="AE485" t="str">
        <f t="shared" si="142"/>
        <v>LynchRamsay</v>
      </c>
      <c r="AF485">
        <v>0</v>
      </c>
      <c r="AG485">
        <v>0</v>
      </c>
      <c r="AH485">
        <v>1</v>
      </c>
      <c r="AI485">
        <v>0</v>
      </c>
      <c r="AJ485">
        <v>0</v>
      </c>
      <c r="AK485" t="s">
        <v>40</v>
      </c>
      <c r="AL485">
        <v>0.546875</v>
      </c>
      <c r="AM485" t="s">
        <v>60</v>
      </c>
      <c r="AN485">
        <v>0.5</v>
      </c>
      <c r="AO485">
        <f t="shared" si="152"/>
        <v>0</v>
      </c>
      <c r="AP485">
        <f t="shared" si="152"/>
        <v>0</v>
      </c>
      <c r="AQ485">
        <f t="shared" si="152"/>
        <v>0</v>
      </c>
      <c r="AR485">
        <f t="shared" si="152"/>
        <v>0</v>
      </c>
      <c r="AS485">
        <f t="shared" si="152"/>
        <v>0</v>
      </c>
      <c r="AT485">
        <f t="shared" si="152"/>
        <v>0</v>
      </c>
      <c r="AU485">
        <f t="shared" si="152"/>
        <v>0</v>
      </c>
      <c r="AV485">
        <f t="shared" si="152"/>
        <v>0</v>
      </c>
      <c r="AW485" t="str">
        <f t="shared" si="152"/>
        <v>Lynch</v>
      </c>
      <c r="AX485">
        <f t="shared" si="152"/>
        <v>0</v>
      </c>
      <c r="AY485">
        <f t="shared" si="153"/>
        <v>0</v>
      </c>
      <c r="AZ485">
        <f t="shared" si="153"/>
        <v>0</v>
      </c>
      <c r="BA485">
        <f t="shared" si="153"/>
        <v>0</v>
      </c>
      <c r="BB485">
        <f t="shared" si="153"/>
        <v>0</v>
      </c>
      <c r="BC485">
        <f t="shared" si="153"/>
        <v>0</v>
      </c>
      <c r="BD485">
        <f t="shared" si="153"/>
        <v>0</v>
      </c>
      <c r="BE485">
        <f t="shared" si="153"/>
        <v>0</v>
      </c>
      <c r="BF485">
        <f t="shared" si="153"/>
        <v>0</v>
      </c>
      <c r="BG485">
        <f t="shared" si="153"/>
        <v>0</v>
      </c>
      <c r="BH485">
        <f t="shared" si="153"/>
        <v>0</v>
      </c>
      <c r="BI485">
        <f t="shared" si="154"/>
        <v>0</v>
      </c>
      <c r="BJ485">
        <f t="shared" si="154"/>
        <v>0</v>
      </c>
      <c r="BK485">
        <f t="shared" si="154"/>
        <v>0</v>
      </c>
      <c r="BL485">
        <f t="shared" si="154"/>
        <v>0</v>
      </c>
      <c r="BM485">
        <f t="shared" si="154"/>
        <v>0</v>
      </c>
      <c r="BN485">
        <f t="shared" si="154"/>
        <v>0</v>
      </c>
      <c r="BO485">
        <f t="shared" si="154"/>
        <v>0</v>
      </c>
      <c r="BP485">
        <f t="shared" si="154"/>
        <v>0</v>
      </c>
      <c r="BQ485" t="str">
        <f t="shared" si="154"/>
        <v>Ramsay</v>
      </c>
      <c r="BR485">
        <f t="shared" si="154"/>
        <v>0</v>
      </c>
      <c r="BS485">
        <f t="shared" si="154"/>
        <v>0</v>
      </c>
    </row>
    <row r="486" spans="2:71" ht="15" customHeight="1" x14ac:dyDescent="0.2">
      <c r="B486">
        <v>6</v>
      </c>
      <c r="C486">
        <v>6</v>
      </c>
      <c r="D486">
        <v>8</v>
      </c>
      <c r="E486" t="s">
        <v>404</v>
      </c>
      <c r="F486" t="s">
        <v>214</v>
      </c>
      <c r="G486" s="5">
        <v>44414</v>
      </c>
      <c r="H486" t="s">
        <v>73</v>
      </c>
      <c r="I486" t="s">
        <v>396</v>
      </c>
      <c r="J486" t="s">
        <v>216</v>
      </c>
      <c r="K486">
        <v>9</v>
      </c>
      <c r="L486" t="s">
        <v>76</v>
      </c>
      <c r="M486" t="s">
        <v>397</v>
      </c>
      <c r="N486" t="s">
        <v>398</v>
      </c>
      <c r="O486">
        <v>71.400000000000006</v>
      </c>
      <c r="P486">
        <v>130</v>
      </c>
      <c r="Q486">
        <v>6535</v>
      </c>
      <c r="R486" t="s">
        <v>79</v>
      </c>
      <c r="S486" t="s">
        <v>80</v>
      </c>
      <c r="T486" t="s">
        <v>83</v>
      </c>
      <c r="U486" t="s">
        <v>44</v>
      </c>
      <c r="V486" t="s">
        <v>42</v>
      </c>
      <c r="W486" t="s">
        <v>125</v>
      </c>
      <c r="Y486" t="s">
        <v>49</v>
      </c>
      <c r="AA486">
        <v>1</v>
      </c>
      <c r="AB486" t="s">
        <v>33</v>
      </c>
      <c r="AC486" t="s">
        <v>184</v>
      </c>
      <c r="AE486" t="str">
        <f t="shared" si="142"/>
        <v>JacksonShively</v>
      </c>
      <c r="AF486">
        <v>0</v>
      </c>
      <c r="AG486">
        <v>0</v>
      </c>
      <c r="AH486">
        <v>1</v>
      </c>
      <c r="AI486">
        <v>0</v>
      </c>
      <c r="AJ486">
        <v>0</v>
      </c>
      <c r="AK486" t="s">
        <v>45</v>
      </c>
      <c r="AL486">
        <v>0.59375</v>
      </c>
      <c r="AM486" t="s">
        <v>52</v>
      </c>
      <c r="AN486">
        <v>0.34745762711864397</v>
      </c>
      <c r="AO486">
        <f t="shared" si="152"/>
        <v>0</v>
      </c>
      <c r="AP486">
        <f t="shared" si="152"/>
        <v>0</v>
      </c>
      <c r="AQ486" t="str">
        <f t="shared" si="152"/>
        <v>Jackson</v>
      </c>
      <c r="AR486">
        <f t="shared" si="152"/>
        <v>0</v>
      </c>
      <c r="AS486">
        <f t="shared" si="152"/>
        <v>0</v>
      </c>
      <c r="AT486">
        <f t="shared" si="152"/>
        <v>0</v>
      </c>
      <c r="AU486">
        <f t="shared" si="152"/>
        <v>0</v>
      </c>
      <c r="AV486">
        <f t="shared" si="152"/>
        <v>0</v>
      </c>
      <c r="AW486">
        <f t="shared" si="152"/>
        <v>0</v>
      </c>
      <c r="AX486" t="str">
        <f t="shared" si="152"/>
        <v>Shively</v>
      </c>
      <c r="AY486">
        <f t="shared" si="153"/>
        <v>0</v>
      </c>
      <c r="AZ486">
        <f t="shared" si="153"/>
        <v>0</v>
      </c>
      <c r="BA486">
        <f t="shared" si="153"/>
        <v>0</v>
      </c>
      <c r="BB486">
        <f t="shared" si="153"/>
        <v>0</v>
      </c>
      <c r="BC486">
        <f t="shared" si="153"/>
        <v>0</v>
      </c>
      <c r="BD486">
        <f t="shared" si="153"/>
        <v>0</v>
      </c>
      <c r="BE486">
        <f t="shared" si="153"/>
        <v>0</v>
      </c>
      <c r="BF486">
        <f t="shared" si="153"/>
        <v>0</v>
      </c>
      <c r="BG486">
        <f t="shared" si="153"/>
        <v>0</v>
      </c>
      <c r="BH486">
        <f t="shared" si="153"/>
        <v>0</v>
      </c>
      <c r="BI486">
        <f t="shared" si="154"/>
        <v>0</v>
      </c>
      <c r="BJ486">
        <f t="shared" si="154"/>
        <v>0</v>
      </c>
      <c r="BK486">
        <f t="shared" si="154"/>
        <v>0</v>
      </c>
      <c r="BL486">
        <f t="shared" si="154"/>
        <v>0</v>
      </c>
      <c r="BM486">
        <f t="shared" si="154"/>
        <v>0</v>
      </c>
      <c r="BN486">
        <f t="shared" si="154"/>
        <v>0</v>
      </c>
      <c r="BO486">
        <f t="shared" si="154"/>
        <v>0</v>
      </c>
      <c r="BP486">
        <f t="shared" si="154"/>
        <v>0</v>
      </c>
      <c r="BQ486">
        <f t="shared" si="154"/>
        <v>0</v>
      </c>
      <c r="BR486">
        <f t="shared" si="154"/>
        <v>0</v>
      </c>
      <c r="BS486">
        <f t="shared" si="154"/>
        <v>0</v>
      </c>
    </row>
    <row r="487" spans="2:71" ht="15" customHeight="1" x14ac:dyDescent="0.2">
      <c r="B487">
        <v>6</v>
      </c>
      <c r="C487">
        <v>6</v>
      </c>
      <c r="D487">
        <v>8</v>
      </c>
      <c r="E487" t="s">
        <v>404</v>
      </c>
      <c r="F487" t="s">
        <v>214</v>
      </c>
      <c r="G487" s="5">
        <v>44414</v>
      </c>
      <c r="H487" t="s">
        <v>73</v>
      </c>
      <c r="I487" t="s">
        <v>396</v>
      </c>
      <c r="J487" t="s">
        <v>216</v>
      </c>
      <c r="K487">
        <v>9</v>
      </c>
      <c r="L487" t="s">
        <v>76</v>
      </c>
      <c r="M487" t="s">
        <v>397</v>
      </c>
      <c r="N487" t="s">
        <v>398</v>
      </c>
      <c r="O487">
        <v>71.400000000000006</v>
      </c>
      <c r="P487">
        <v>130</v>
      </c>
      <c r="Q487">
        <v>6535</v>
      </c>
      <c r="R487" t="s">
        <v>79</v>
      </c>
      <c r="S487" t="s">
        <v>80</v>
      </c>
      <c r="T487" t="s">
        <v>83</v>
      </c>
      <c r="U487" t="s">
        <v>62</v>
      </c>
      <c r="V487" t="s">
        <v>45</v>
      </c>
      <c r="W487" t="s">
        <v>399</v>
      </c>
      <c r="Y487" t="s">
        <v>52</v>
      </c>
      <c r="AA487">
        <v>1</v>
      </c>
      <c r="AB487" t="s">
        <v>32</v>
      </c>
      <c r="AC487" t="s">
        <v>184</v>
      </c>
      <c r="AE487" t="str">
        <f t="shared" si="142"/>
        <v>ConnollyConnors</v>
      </c>
      <c r="AF487">
        <v>1</v>
      </c>
      <c r="AG487">
        <v>1</v>
      </c>
      <c r="AH487">
        <v>0</v>
      </c>
      <c r="AI487">
        <v>0</v>
      </c>
      <c r="AJ487">
        <v>1</v>
      </c>
      <c r="AK487" t="s">
        <v>42</v>
      </c>
      <c r="AL487">
        <v>0.6171875</v>
      </c>
      <c r="AM487" t="s">
        <v>49</v>
      </c>
      <c r="AO487">
        <f t="shared" si="152"/>
        <v>0</v>
      </c>
      <c r="AP487">
        <f t="shared" si="152"/>
        <v>0</v>
      </c>
      <c r="AQ487">
        <f t="shared" si="152"/>
        <v>0</v>
      </c>
      <c r="AR487">
        <f t="shared" si="152"/>
        <v>0</v>
      </c>
      <c r="AS487">
        <f t="shared" si="152"/>
        <v>0</v>
      </c>
      <c r="AT487" t="str">
        <f t="shared" si="152"/>
        <v>Connolly</v>
      </c>
      <c r="AU487">
        <f t="shared" si="152"/>
        <v>0</v>
      </c>
      <c r="AV487">
        <f t="shared" si="152"/>
        <v>0</v>
      </c>
      <c r="AW487">
        <f t="shared" si="152"/>
        <v>0</v>
      </c>
      <c r="AX487">
        <f t="shared" si="152"/>
        <v>0</v>
      </c>
      <c r="AY487">
        <f t="shared" si="153"/>
        <v>0</v>
      </c>
      <c r="AZ487">
        <f t="shared" si="153"/>
        <v>0</v>
      </c>
      <c r="BA487" t="str">
        <f t="shared" si="153"/>
        <v>Connors</v>
      </c>
      <c r="BB487">
        <f t="shared" si="153"/>
        <v>0</v>
      </c>
      <c r="BC487">
        <f t="shared" si="153"/>
        <v>0</v>
      </c>
      <c r="BD487">
        <f t="shared" si="153"/>
        <v>0</v>
      </c>
      <c r="BE487">
        <f t="shared" si="153"/>
        <v>0</v>
      </c>
      <c r="BF487">
        <f t="shared" si="153"/>
        <v>0</v>
      </c>
      <c r="BG487">
        <f t="shared" si="153"/>
        <v>0</v>
      </c>
      <c r="BH487">
        <f t="shared" si="153"/>
        <v>0</v>
      </c>
      <c r="BI487">
        <f t="shared" si="154"/>
        <v>0</v>
      </c>
      <c r="BJ487">
        <f t="shared" si="154"/>
        <v>0</v>
      </c>
      <c r="BK487">
        <f t="shared" si="154"/>
        <v>0</v>
      </c>
      <c r="BL487">
        <f t="shared" si="154"/>
        <v>0</v>
      </c>
      <c r="BM487">
        <f t="shared" si="154"/>
        <v>0</v>
      </c>
      <c r="BN487">
        <f t="shared" si="154"/>
        <v>0</v>
      </c>
      <c r="BO487">
        <f t="shared" si="154"/>
        <v>0</v>
      </c>
      <c r="BP487">
        <f t="shared" si="154"/>
        <v>0</v>
      </c>
      <c r="BQ487">
        <f t="shared" si="154"/>
        <v>0</v>
      </c>
      <c r="BR487">
        <f t="shared" si="154"/>
        <v>0</v>
      </c>
      <c r="BS487">
        <f t="shared" si="154"/>
        <v>0</v>
      </c>
    </row>
    <row r="488" spans="2:71" ht="15" customHeight="1" x14ac:dyDescent="0.2">
      <c r="B488">
        <v>7</v>
      </c>
      <c r="C488">
        <v>1</v>
      </c>
      <c r="D488">
        <v>8</v>
      </c>
      <c r="E488" t="s">
        <v>405</v>
      </c>
      <c r="F488" t="s">
        <v>214</v>
      </c>
      <c r="G488" s="5">
        <v>44414</v>
      </c>
      <c r="H488" t="s">
        <v>73</v>
      </c>
      <c r="I488" t="s">
        <v>396</v>
      </c>
      <c r="J488" t="s">
        <v>216</v>
      </c>
      <c r="K488">
        <v>9</v>
      </c>
      <c r="L488" t="s">
        <v>90</v>
      </c>
      <c r="M488" t="s">
        <v>397</v>
      </c>
      <c r="N488" t="s">
        <v>398</v>
      </c>
      <c r="O488">
        <v>71.400000000000006</v>
      </c>
      <c r="P488">
        <v>130</v>
      </c>
      <c r="Q488">
        <v>6535</v>
      </c>
      <c r="R488" t="s">
        <v>111</v>
      </c>
      <c r="S488" t="s">
        <v>111</v>
      </c>
      <c r="T488" t="s">
        <v>83</v>
      </c>
      <c r="U488" t="s">
        <v>44</v>
      </c>
      <c r="V488" t="s">
        <v>61</v>
      </c>
      <c r="W488" t="s">
        <v>125</v>
      </c>
      <c r="AA488">
        <v>1</v>
      </c>
      <c r="AB488" t="s">
        <v>32</v>
      </c>
      <c r="AC488" t="s">
        <v>371</v>
      </c>
      <c r="AD488" t="s">
        <v>64</v>
      </c>
      <c r="AE488" t="str">
        <f t="shared" si="142"/>
        <v>McInerney</v>
      </c>
      <c r="AF488">
        <v>1</v>
      </c>
      <c r="AG488">
        <v>1</v>
      </c>
      <c r="AH488">
        <v>0</v>
      </c>
      <c r="AI488">
        <v>0</v>
      </c>
      <c r="AJ488">
        <v>1</v>
      </c>
      <c r="AK488" t="s">
        <v>64</v>
      </c>
      <c r="AL488">
        <v>0.65909090909090895</v>
      </c>
      <c r="AO488">
        <f t="shared" si="152"/>
        <v>0</v>
      </c>
      <c r="AP488">
        <f t="shared" si="152"/>
        <v>0</v>
      </c>
      <c r="AQ488">
        <f t="shared" si="152"/>
        <v>0</v>
      </c>
      <c r="AR488">
        <f t="shared" si="152"/>
        <v>0</v>
      </c>
      <c r="AS488">
        <f t="shared" si="152"/>
        <v>0</v>
      </c>
      <c r="AT488">
        <f t="shared" si="152"/>
        <v>0</v>
      </c>
      <c r="AU488">
        <f t="shared" si="152"/>
        <v>0</v>
      </c>
      <c r="AV488">
        <f t="shared" si="152"/>
        <v>0</v>
      </c>
      <c r="AW488">
        <f t="shared" si="152"/>
        <v>0</v>
      </c>
      <c r="AX488">
        <f t="shared" si="152"/>
        <v>0</v>
      </c>
      <c r="AY488">
        <f t="shared" si="153"/>
        <v>0</v>
      </c>
      <c r="AZ488">
        <f t="shared" si="153"/>
        <v>0</v>
      </c>
      <c r="BA488">
        <f t="shared" si="153"/>
        <v>0</v>
      </c>
      <c r="BB488">
        <f t="shared" si="153"/>
        <v>0</v>
      </c>
      <c r="BC488">
        <f t="shared" si="153"/>
        <v>0</v>
      </c>
      <c r="BD488">
        <f t="shared" si="153"/>
        <v>0</v>
      </c>
      <c r="BE488">
        <f t="shared" si="153"/>
        <v>0</v>
      </c>
      <c r="BF488">
        <f t="shared" si="153"/>
        <v>0</v>
      </c>
      <c r="BG488">
        <f t="shared" si="153"/>
        <v>0</v>
      </c>
      <c r="BH488">
        <f t="shared" si="153"/>
        <v>0</v>
      </c>
      <c r="BI488">
        <f t="shared" si="154"/>
        <v>0</v>
      </c>
      <c r="BJ488" t="str">
        <f t="shared" si="154"/>
        <v>McInerney</v>
      </c>
      <c r="BK488">
        <f t="shared" si="154"/>
        <v>0</v>
      </c>
      <c r="BL488">
        <f t="shared" si="154"/>
        <v>0</v>
      </c>
      <c r="BM488">
        <f t="shared" si="154"/>
        <v>0</v>
      </c>
      <c r="BN488">
        <f t="shared" si="154"/>
        <v>0</v>
      </c>
      <c r="BO488">
        <f t="shared" si="154"/>
        <v>0</v>
      </c>
      <c r="BP488">
        <f t="shared" si="154"/>
        <v>0</v>
      </c>
      <c r="BQ488">
        <f t="shared" si="154"/>
        <v>0</v>
      </c>
      <c r="BR488">
        <f t="shared" si="154"/>
        <v>0</v>
      </c>
      <c r="BS488">
        <f t="shared" si="154"/>
        <v>0</v>
      </c>
    </row>
    <row r="489" spans="2:71" ht="15" customHeight="1" x14ac:dyDescent="0.2">
      <c r="B489">
        <v>7</v>
      </c>
      <c r="C489">
        <v>1</v>
      </c>
      <c r="D489">
        <v>8</v>
      </c>
      <c r="E489" t="s">
        <v>405</v>
      </c>
      <c r="F489" t="s">
        <v>214</v>
      </c>
      <c r="G489" s="5">
        <v>44414</v>
      </c>
      <c r="H489" t="s">
        <v>73</v>
      </c>
      <c r="I489" t="s">
        <v>396</v>
      </c>
      <c r="J489" t="s">
        <v>216</v>
      </c>
      <c r="K489">
        <v>9</v>
      </c>
      <c r="L489" t="s">
        <v>90</v>
      </c>
      <c r="M489" t="s">
        <v>397</v>
      </c>
      <c r="N489" t="s">
        <v>398</v>
      </c>
      <c r="O489">
        <v>71.400000000000006</v>
      </c>
      <c r="P489">
        <v>130</v>
      </c>
      <c r="Q489">
        <v>6535</v>
      </c>
      <c r="R489" t="s">
        <v>111</v>
      </c>
      <c r="S489" t="s">
        <v>111</v>
      </c>
      <c r="T489" t="s">
        <v>83</v>
      </c>
      <c r="U489" t="s">
        <v>62</v>
      </c>
      <c r="V489" t="s">
        <v>64</v>
      </c>
      <c r="W489" t="s">
        <v>399</v>
      </c>
      <c r="AA489">
        <v>1</v>
      </c>
      <c r="AB489" t="s">
        <v>33</v>
      </c>
      <c r="AC489" t="s">
        <v>371</v>
      </c>
      <c r="AD489" t="s">
        <v>61</v>
      </c>
      <c r="AE489" t="str">
        <f t="shared" si="142"/>
        <v>Delneky</v>
      </c>
      <c r="AF489">
        <v>0</v>
      </c>
      <c r="AG489">
        <v>0</v>
      </c>
      <c r="AH489">
        <v>1</v>
      </c>
      <c r="AI489">
        <v>0</v>
      </c>
      <c r="AJ489">
        <v>0</v>
      </c>
      <c r="AK489" t="s">
        <v>61</v>
      </c>
      <c r="AL489">
        <v>0.5</v>
      </c>
      <c r="AO489">
        <f t="shared" si="152"/>
        <v>0</v>
      </c>
      <c r="AP489">
        <f t="shared" si="152"/>
        <v>0</v>
      </c>
      <c r="AQ489">
        <f t="shared" si="152"/>
        <v>0</v>
      </c>
      <c r="AR489">
        <f t="shared" si="152"/>
        <v>0</v>
      </c>
      <c r="AS489">
        <f t="shared" si="152"/>
        <v>0</v>
      </c>
      <c r="AT489">
        <f t="shared" si="152"/>
        <v>0</v>
      </c>
      <c r="AU489">
        <f t="shared" si="152"/>
        <v>0</v>
      </c>
      <c r="AV489">
        <f t="shared" si="152"/>
        <v>0</v>
      </c>
      <c r="AW489">
        <f t="shared" si="152"/>
        <v>0</v>
      </c>
      <c r="AX489">
        <f t="shared" si="152"/>
        <v>0</v>
      </c>
      <c r="AY489">
        <f t="shared" si="153"/>
        <v>0</v>
      </c>
      <c r="AZ489">
        <f t="shared" si="153"/>
        <v>0</v>
      </c>
      <c r="BA489">
        <f t="shared" si="153"/>
        <v>0</v>
      </c>
      <c r="BB489">
        <f t="shared" si="153"/>
        <v>0</v>
      </c>
      <c r="BC489">
        <f t="shared" si="153"/>
        <v>0</v>
      </c>
      <c r="BD489">
        <f t="shared" si="153"/>
        <v>0</v>
      </c>
      <c r="BE489">
        <f t="shared" si="153"/>
        <v>0</v>
      </c>
      <c r="BF489">
        <f t="shared" si="153"/>
        <v>0</v>
      </c>
      <c r="BG489">
        <f t="shared" si="153"/>
        <v>0</v>
      </c>
      <c r="BH489">
        <f t="shared" si="153"/>
        <v>0</v>
      </c>
      <c r="BI489">
        <f t="shared" si="154"/>
        <v>0</v>
      </c>
      <c r="BJ489">
        <f t="shared" si="154"/>
        <v>0</v>
      </c>
      <c r="BK489">
        <f t="shared" si="154"/>
        <v>0</v>
      </c>
      <c r="BL489">
        <f t="shared" si="154"/>
        <v>0</v>
      </c>
      <c r="BM489" t="str">
        <f t="shared" si="154"/>
        <v>Delneky</v>
      </c>
      <c r="BN489">
        <f t="shared" si="154"/>
        <v>0</v>
      </c>
      <c r="BO489">
        <f t="shared" si="154"/>
        <v>0</v>
      </c>
      <c r="BP489">
        <f t="shared" si="154"/>
        <v>0</v>
      </c>
      <c r="BQ489">
        <f t="shared" si="154"/>
        <v>0</v>
      </c>
      <c r="BR489">
        <f t="shared" si="154"/>
        <v>0</v>
      </c>
      <c r="BS489">
        <f t="shared" si="154"/>
        <v>0</v>
      </c>
    </row>
    <row r="490" spans="2:71" ht="15" customHeight="1" x14ac:dyDescent="0.2">
      <c r="B490">
        <v>8</v>
      </c>
      <c r="C490">
        <v>2</v>
      </c>
      <c r="D490">
        <v>8</v>
      </c>
      <c r="E490" t="s">
        <v>406</v>
      </c>
      <c r="F490" t="s">
        <v>214</v>
      </c>
      <c r="G490" s="5">
        <v>44414</v>
      </c>
      <c r="H490" t="s">
        <v>73</v>
      </c>
      <c r="I490" t="s">
        <v>396</v>
      </c>
      <c r="J490" t="s">
        <v>216</v>
      </c>
      <c r="K490">
        <v>9</v>
      </c>
      <c r="L490" t="s">
        <v>90</v>
      </c>
      <c r="M490" t="s">
        <v>397</v>
      </c>
      <c r="N490" t="s">
        <v>398</v>
      </c>
      <c r="O490">
        <v>71.400000000000006</v>
      </c>
      <c r="P490">
        <v>130</v>
      </c>
      <c r="Q490">
        <v>6535</v>
      </c>
      <c r="R490" t="s">
        <v>313</v>
      </c>
      <c r="S490" t="s">
        <v>80</v>
      </c>
      <c r="T490" t="s">
        <v>83</v>
      </c>
      <c r="U490" t="s">
        <v>44</v>
      </c>
      <c r="V490" t="s">
        <v>44</v>
      </c>
      <c r="W490" t="s">
        <v>125</v>
      </c>
      <c r="Y490" t="s">
        <v>53</v>
      </c>
      <c r="AA490">
        <v>1</v>
      </c>
      <c r="AB490" t="s">
        <v>33</v>
      </c>
      <c r="AC490" t="s">
        <v>202</v>
      </c>
      <c r="AE490" t="str">
        <f t="shared" si="142"/>
        <v>FlandersForster</v>
      </c>
      <c r="AF490">
        <v>0</v>
      </c>
      <c r="AG490">
        <v>0</v>
      </c>
      <c r="AH490">
        <v>1</v>
      </c>
      <c r="AI490">
        <v>0</v>
      </c>
      <c r="AJ490">
        <v>0</v>
      </c>
      <c r="AK490" t="s">
        <v>67</v>
      </c>
      <c r="AL490">
        <v>0.54545454545454497</v>
      </c>
      <c r="AM490" t="s">
        <v>50</v>
      </c>
      <c r="AN490">
        <v>0.59523809523809501</v>
      </c>
      <c r="AO490">
        <f t="shared" si="152"/>
        <v>0</v>
      </c>
      <c r="AP490">
        <f t="shared" si="152"/>
        <v>0</v>
      </c>
      <c r="AQ490">
        <f t="shared" si="152"/>
        <v>0</v>
      </c>
      <c r="AR490">
        <f t="shared" si="152"/>
        <v>0</v>
      </c>
      <c r="AS490" t="str">
        <f t="shared" si="152"/>
        <v>Flanders</v>
      </c>
      <c r="AT490">
        <f t="shared" si="152"/>
        <v>0</v>
      </c>
      <c r="AU490">
        <f t="shared" si="152"/>
        <v>0</v>
      </c>
      <c r="AV490">
        <f t="shared" si="152"/>
        <v>0</v>
      </c>
      <c r="AW490">
        <f t="shared" si="152"/>
        <v>0</v>
      </c>
      <c r="AX490">
        <f t="shared" si="152"/>
        <v>0</v>
      </c>
      <c r="AY490">
        <f t="shared" si="153"/>
        <v>0</v>
      </c>
      <c r="AZ490">
        <f t="shared" si="153"/>
        <v>0</v>
      </c>
      <c r="BA490">
        <f t="shared" si="153"/>
        <v>0</v>
      </c>
      <c r="BB490" t="str">
        <f t="shared" si="153"/>
        <v>Forster</v>
      </c>
      <c r="BC490">
        <f t="shared" si="153"/>
        <v>0</v>
      </c>
      <c r="BD490">
        <f t="shared" si="153"/>
        <v>0</v>
      </c>
      <c r="BE490">
        <f t="shared" si="153"/>
        <v>0</v>
      </c>
      <c r="BF490">
        <f t="shared" si="153"/>
        <v>0</v>
      </c>
      <c r="BG490">
        <f t="shared" si="153"/>
        <v>0</v>
      </c>
      <c r="BH490">
        <f t="shared" si="153"/>
        <v>0</v>
      </c>
      <c r="BI490">
        <f t="shared" si="154"/>
        <v>0</v>
      </c>
      <c r="BJ490">
        <f t="shared" si="154"/>
        <v>0</v>
      </c>
      <c r="BK490">
        <f t="shared" si="154"/>
        <v>0</v>
      </c>
      <c r="BL490">
        <f t="shared" si="154"/>
        <v>0</v>
      </c>
      <c r="BM490">
        <f t="shared" si="154"/>
        <v>0</v>
      </c>
      <c r="BN490">
        <f t="shared" si="154"/>
        <v>0</v>
      </c>
      <c r="BO490">
        <f t="shared" si="154"/>
        <v>0</v>
      </c>
      <c r="BP490">
        <f t="shared" si="154"/>
        <v>0</v>
      </c>
      <c r="BQ490">
        <f t="shared" si="154"/>
        <v>0</v>
      </c>
      <c r="BR490">
        <f t="shared" si="154"/>
        <v>0</v>
      </c>
      <c r="BS490">
        <f t="shared" si="154"/>
        <v>0</v>
      </c>
    </row>
    <row r="491" spans="2:71" ht="15" customHeight="1" x14ac:dyDescent="0.2">
      <c r="B491">
        <v>8</v>
      </c>
      <c r="C491">
        <v>2</v>
      </c>
      <c r="D491">
        <v>8</v>
      </c>
      <c r="E491" t="s">
        <v>406</v>
      </c>
      <c r="F491" t="s">
        <v>214</v>
      </c>
      <c r="G491" s="5">
        <v>44414</v>
      </c>
      <c r="H491" t="s">
        <v>73</v>
      </c>
      <c r="I491" t="s">
        <v>396</v>
      </c>
      <c r="J491" t="s">
        <v>216</v>
      </c>
      <c r="K491">
        <v>9</v>
      </c>
      <c r="L491" t="s">
        <v>90</v>
      </c>
      <c r="M491" t="s">
        <v>397</v>
      </c>
      <c r="N491" t="s">
        <v>398</v>
      </c>
      <c r="O491">
        <v>71.400000000000006</v>
      </c>
      <c r="P491">
        <v>130</v>
      </c>
      <c r="Q491">
        <v>6535</v>
      </c>
      <c r="R491" t="s">
        <v>313</v>
      </c>
      <c r="S491" t="s">
        <v>80</v>
      </c>
      <c r="T491" t="s">
        <v>83</v>
      </c>
      <c r="U491" t="s">
        <v>62</v>
      </c>
      <c r="V491" t="s">
        <v>67</v>
      </c>
      <c r="W491" t="s">
        <v>399</v>
      </c>
      <c r="Y491" t="s">
        <v>50</v>
      </c>
      <c r="AA491">
        <v>1</v>
      </c>
      <c r="AB491" t="s">
        <v>32</v>
      </c>
      <c r="AC491" t="s">
        <v>202</v>
      </c>
      <c r="AE491" t="str">
        <f t="shared" si="142"/>
        <v>DeoterisFerrin</v>
      </c>
      <c r="AF491">
        <v>1</v>
      </c>
      <c r="AG491">
        <v>1</v>
      </c>
      <c r="AH491">
        <v>0</v>
      </c>
      <c r="AI491">
        <v>0</v>
      </c>
      <c r="AJ491">
        <v>1</v>
      </c>
      <c r="AK491" t="s">
        <v>44</v>
      </c>
      <c r="AL491">
        <v>0.4296875</v>
      </c>
      <c r="AM491" t="s">
        <v>53</v>
      </c>
      <c r="AN491">
        <v>0.59649122807017496</v>
      </c>
      <c r="AO491">
        <f t="shared" si="152"/>
        <v>0</v>
      </c>
      <c r="AP491">
        <f t="shared" si="152"/>
        <v>0</v>
      </c>
      <c r="AQ491">
        <f t="shared" si="152"/>
        <v>0</v>
      </c>
      <c r="AR491">
        <f t="shared" si="152"/>
        <v>0</v>
      </c>
      <c r="AS491">
        <f t="shared" si="152"/>
        <v>0</v>
      </c>
      <c r="AT491">
        <f t="shared" si="152"/>
        <v>0</v>
      </c>
      <c r="AU491">
        <f t="shared" si="152"/>
        <v>0</v>
      </c>
      <c r="AV491">
        <f t="shared" si="152"/>
        <v>0</v>
      </c>
      <c r="AW491">
        <f t="shared" si="152"/>
        <v>0</v>
      </c>
      <c r="AX491">
        <f t="shared" si="152"/>
        <v>0</v>
      </c>
      <c r="AY491" t="str">
        <f t="shared" si="153"/>
        <v>Ferrin</v>
      </c>
      <c r="AZ491">
        <f t="shared" si="153"/>
        <v>0</v>
      </c>
      <c r="BA491">
        <f t="shared" si="153"/>
        <v>0</v>
      </c>
      <c r="BB491">
        <f t="shared" si="153"/>
        <v>0</v>
      </c>
      <c r="BC491">
        <f t="shared" si="153"/>
        <v>0</v>
      </c>
      <c r="BD491">
        <f t="shared" si="153"/>
        <v>0</v>
      </c>
      <c r="BE491">
        <f t="shared" si="153"/>
        <v>0</v>
      </c>
      <c r="BF491">
        <f t="shared" si="153"/>
        <v>0</v>
      </c>
      <c r="BG491">
        <f t="shared" si="153"/>
        <v>0</v>
      </c>
      <c r="BH491">
        <f t="shared" si="153"/>
        <v>0</v>
      </c>
      <c r="BI491">
        <f t="shared" si="154"/>
        <v>0</v>
      </c>
      <c r="BJ491">
        <f t="shared" si="154"/>
        <v>0</v>
      </c>
      <c r="BK491">
        <f t="shared" si="154"/>
        <v>0</v>
      </c>
      <c r="BL491">
        <f t="shared" si="154"/>
        <v>0</v>
      </c>
      <c r="BM491">
        <f t="shared" si="154"/>
        <v>0</v>
      </c>
      <c r="BN491">
        <f t="shared" si="154"/>
        <v>0</v>
      </c>
      <c r="BO491">
        <f t="shared" si="154"/>
        <v>0</v>
      </c>
      <c r="BP491" t="str">
        <f t="shared" si="154"/>
        <v>Deoteris</v>
      </c>
      <c r="BQ491">
        <f t="shared" si="154"/>
        <v>0</v>
      </c>
      <c r="BR491">
        <f t="shared" si="154"/>
        <v>0</v>
      </c>
      <c r="BS491">
        <f t="shared" si="154"/>
        <v>0</v>
      </c>
    </row>
    <row r="492" spans="2:71" ht="15" customHeight="1" x14ac:dyDescent="0.2">
      <c r="B492">
        <v>9</v>
      </c>
      <c r="C492">
        <v>3</v>
      </c>
      <c r="D492">
        <v>8</v>
      </c>
      <c r="E492" t="s">
        <v>407</v>
      </c>
      <c r="F492" t="s">
        <v>214</v>
      </c>
      <c r="G492" s="5">
        <v>44414</v>
      </c>
      <c r="H492" t="s">
        <v>73</v>
      </c>
      <c r="I492" t="s">
        <v>396</v>
      </c>
      <c r="J492" t="s">
        <v>216</v>
      </c>
      <c r="K492">
        <v>9</v>
      </c>
      <c r="L492" t="s">
        <v>90</v>
      </c>
      <c r="M492" t="s">
        <v>397</v>
      </c>
      <c r="N492" t="s">
        <v>398</v>
      </c>
      <c r="O492">
        <v>71.400000000000006</v>
      </c>
      <c r="P492">
        <v>130</v>
      </c>
      <c r="Q492">
        <v>6535</v>
      </c>
      <c r="R492" t="s">
        <v>313</v>
      </c>
      <c r="S492" t="s">
        <v>80</v>
      </c>
      <c r="T492" t="s">
        <v>83</v>
      </c>
      <c r="U492" t="s">
        <v>62</v>
      </c>
      <c r="V492" t="s">
        <v>63</v>
      </c>
      <c r="W492" t="s">
        <v>399</v>
      </c>
      <c r="Y492" t="s">
        <v>66</v>
      </c>
      <c r="AA492">
        <v>1</v>
      </c>
      <c r="AB492" t="s">
        <v>32</v>
      </c>
      <c r="AC492" t="s">
        <v>174</v>
      </c>
      <c r="AE492" t="str">
        <f t="shared" si="142"/>
        <v>DelaneyPerkins</v>
      </c>
      <c r="AF492">
        <v>1</v>
      </c>
      <c r="AG492">
        <v>1</v>
      </c>
      <c r="AH492">
        <v>0</v>
      </c>
      <c r="AI492">
        <v>0</v>
      </c>
      <c r="AJ492">
        <v>1</v>
      </c>
      <c r="AK492" t="s">
        <v>46</v>
      </c>
      <c r="AL492">
        <v>0.38392857142857201</v>
      </c>
      <c r="AM492" t="s">
        <v>65</v>
      </c>
      <c r="AN492">
        <v>0.33333333333333298</v>
      </c>
      <c r="AO492">
        <f t="shared" ref="AO492:AX501" si="155">IF(OR($V492=AO$1,$Y492=AO$1),AO$1,0)</f>
        <v>0</v>
      </c>
      <c r="AP492">
        <f t="shared" si="155"/>
        <v>0</v>
      </c>
      <c r="AQ492">
        <f t="shared" si="155"/>
        <v>0</v>
      </c>
      <c r="AR492">
        <f t="shared" si="155"/>
        <v>0</v>
      </c>
      <c r="AS492">
        <f t="shared" si="155"/>
        <v>0</v>
      </c>
      <c r="AT492">
        <f t="shared" si="155"/>
        <v>0</v>
      </c>
      <c r="AU492">
        <f t="shared" si="155"/>
        <v>0</v>
      </c>
      <c r="AV492">
        <f t="shared" si="155"/>
        <v>0</v>
      </c>
      <c r="AW492">
        <f t="shared" si="155"/>
        <v>0</v>
      </c>
      <c r="AX492">
        <f t="shared" si="155"/>
        <v>0</v>
      </c>
      <c r="AY492">
        <f t="shared" ref="AY492:BH501" si="156">IF(OR($V492=AY$1,$Y492=AY$1),AY$1,0)</f>
        <v>0</v>
      </c>
      <c r="AZ492">
        <f t="shared" si="156"/>
        <v>0</v>
      </c>
      <c r="BA492">
        <f t="shared" si="156"/>
        <v>0</v>
      </c>
      <c r="BB492">
        <f t="shared" si="156"/>
        <v>0</v>
      </c>
      <c r="BC492">
        <f t="shared" si="156"/>
        <v>0</v>
      </c>
      <c r="BD492">
        <f t="shared" si="156"/>
        <v>0</v>
      </c>
      <c r="BE492">
        <f t="shared" si="156"/>
        <v>0</v>
      </c>
      <c r="BF492">
        <f t="shared" si="156"/>
        <v>0</v>
      </c>
      <c r="BG492">
        <f t="shared" si="156"/>
        <v>0</v>
      </c>
      <c r="BH492">
        <f t="shared" si="156"/>
        <v>0</v>
      </c>
      <c r="BI492">
        <f t="shared" ref="BI492:BS501" si="157">IF(OR($V492=BI$1,$Y492=BI$1),BI$1,0)</f>
        <v>0</v>
      </c>
      <c r="BJ492">
        <f t="shared" si="157"/>
        <v>0</v>
      </c>
      <c r="BK492">
        <f t="shared" si="157"/>
        <v>0</v>
      </c>
      <c r="BL492" t="str">
        <f t="shared" si="157"/>
        <v>Delaney</v>
      </c>
      <c r="BM492">
        <f t="shared" si="157"/>
        <v>0</v>
      </c>
      <c r="BN492">
        <f t="shared" si="157"/>
        <v>0</v>
      </c>
      <c r="BO492" t="str">
        <f t="shared" si="157"/>
        <v>Perkins</v>
      </c>
      <c r="BP492">
        <f t="shared" si="157"/>
        <v>0</v>
      </c>
      <c r="BQ492">
        <f t="shared" si="157"/>
        <v>0</v>
      </c>
      <c r="BR492">
        <f t="shared" si="157"/>
        <v>0</v>
      </c>
      <c r="BS492">
        <f t="shared" si="157"/>
        <v>0</v>
      </c>
    </row>
    <row r="493" spans="2:71" ht="15" customHeight="1" x14ac:dyDescent="0.2">
      <c r="B493">
        <v>9</v>
      </c>
      <c r="C493">
        <v>3</v>
      </c>
      <c r="D493">
        <v>8</v>
      </c>
      <c r="E493" t="s">
        <v>407</v>
      </c>
      <c r="F493" t="s">
        <v>214</v>
      </c>
      <c r="G493" s="5">
        <v>44414</v>
      </c>
      <c r="H493" t="s">
        <v>73</v>
      </c>
      <c r="I493" t="s">
        <v>396</v>
      </c>
      <c r="J493" t="s">
        <v>216</v>
      </c>
      <c r="K493">
        <v>9</v>
      </c>
      <c r="L493" t="s">
        <v>90</v>
      </c>
      <c r="M493" t="s">
        <v>397</v>
      </c>
      <c r="N493" t="s">
        <v>398</v>
      </c>
      <c r="O493">
        <v>71.400000000000006</v>
      </c>
      <c r="P493">
        <v>130</v>
      </c>
      <c r="Q493">
        <v>6535</v>
      </c>
      <c r="R493" t="s">
        <v>313</v>
      </c>
      <c r="S493" t="s">
        <v>80</v>
      </c>
      <c r="T493" t="s">
        <v>83</v>
      </c>
      <c r="U493" t="s">
        <v>44</v>
      </c>
      <c r="V493" t="s">
        <v>46</v>
      </c>
      <c r="W493" t="s">
        <v>125</v>
      </c>
      <c r="Y493" t="s">
        <v>65</v>
      </c>
      <c r="AA493">
        <v>1</v>
      </c>
      <c r="AB493" t="s">
        <v>33</v>
      </c>
      <c r="AC493" t="s">
        <v>174</v>
      </c>
      <c r="AE493" t="str">
        <f t="shared" si="142"/>
        <v>MangoldPiegari</v>
      </c>
      <c r="AF493">
        <v>0</v>
      </c>
      <c r="AG493">
        <v>0</v>
      </c>
      <c r="AH493">
        <v>1</v>
      </c>
      <c r="AI493">
        <v>0</v>
      </c>
      <c r="AJ493">
        <v>0</v>
      </c>
      <c r="AK493" t="s">
        <v>63</v>
      </c>
      <c r="AL493">
        <v>0.46551724137931</v>
      </c>
      <c r="AM493" t="s">
        <v>66</v>
      </c>
      <c r="AN493">
        <v>0.63888888888888895</v>
      </c>
      <c r="AO493">
        <f t="shared" si="155"/>
        <v>0</v>
      </c>
      <c r="AP493">
        <f t="shared" si="155"/>
        <v>0</v>
      </c>
      <c r="AQ493">
        <f t="shared" si="155"/>
        <v>0</v>
      </c>
      <c r="AR493">
        <f t="shared" si="155"/>
        <v>0</v>
      </c>
      <c r="AS493">
        <f t="shared" si="155"/>
        <v>0</v>
      </c>
      <c r="AT493">
        <f t="shared" si="155"/>
        <v>0</v>
      </c>
      <c r="AU493" t="str">
        <f t="shared" si="155"/>
        <v>Mangold</v>
      </c>
      <c r="AV493">
        <f t="shared" si="155"/>
        <v>0</v>
      </c>
      <c r="AW493">
        <f t="shared" si="155"/>
        <v>0</v>
      </c>
      <c r="AX493">
        <f t="shared" si="155"/>
        <v>0</v>
      </c>
      <c r="AY493">
        <f t="shared" si="156"/>
        <v>0</v>
      </c>
      <c r="AZ493">
        <f t="shared" si="156"/>
        <v>0</v>
      </c>
      <c r="BA493">
        <f t="shared" si="156"/>
        <v>0</v>
      </c>
      <c r="BB493">
        <f t="shared" si="156"/>
        <v>0</v>
      </c>
      <c r="BC493">
        <f t="shared" si="156"/>
        <v>0</v>
      </c>
      <c r="BD493">
        <f t="shared" si="156"/>
        <v>0</v>
      </c>
      <c r="BE493">
        <f t="shared" si="156"/>
        <v>0</v>
      </c>
      <c r="BF493">
        <f t="shared" si="156"/>
        <v>0</v>
      </c>
      <c r="BG493">
        <f t="shared" si="156"/>
        <v>0</v>
      </c>
      <c r="BH493">
        <f t="shared" si="156"/>
        <v>0</v>
      </c>
      <c r="BI493">
        <f t="shared" si="157"/>
        <v>0</v>
      </c>
      <c r="BJ493">
        <f t="shared" si="157"/>
        <v>0</v>
      </c>
      <c r="BK493">
        <f t="shared" si="157"/>
        <v>0</v>
      </c>
      <c r="BL493">
        <f t="shared" si="157"/>
        <v>0</v>
      </c>
      <c r="BM493">
        <f t="shared" si="157"/>
        <v>0</v>
      </c>
      <c r="BN493" t="str">
        <f t="shared" si="157"/>
        <v>Piegari</v>
      </c>
      <c r="BO493">
        <f t="shared" si="157"/>
        <v>0</v>
      </c>
      <c r="BP493">
        <f t="shared" si="157"/>
        <v>0</v>
      </c>
      <c r="BQ493">
        <f t="shared" si="157"/>
        <v>0</v>
      </c>
      <c r="BR493">
        <f t="shared" si="157"/>
        <v>0</v>
      </c>
      <c r="BS493">
        <f t="shared" si="157"/>
        <v>0</v>
      </c>
    </row>
    <row r="494" spans="2:71" ht="15" customHeight="1" x14ac:dyDescent="0.2">
      <c r="B494">
        <v>10</v>
      </c>
      <c r="C494">
        <v>4</v>
      </c>
      <c r="D494">
        <v>8</v>
      </c>
      <c r="E494" t="s">
        <v>408</v>
      </c>
      <c r="F494" t="s">
        <v>214</v>
      </c>
      <c r="G494" s="5">
        <v>44414</v>
      </c>
      <c r="H494" t="s">
        <v>73</v>
      </c>
      <c r="I494" t="s">
        <v>396</v>
      </c>
      <c r="J494" t="s">
        <v>216</v>
      </c>
      <c r="K494">
        <v>9</v>
      </c>
      <c r="L494" t="s">
        <v>90</v>
      </c>
      <c r="M494" t="s">
        <v>397</v>
      </c>
      <c r="N494" t="s">
        <v>398</v>
      </c>
      <c r="O494">
        <v>71.400000000000006</v>
      </c>
      <c r="P494">
        <v>130</v>
      </c>
      <c r="Q494">
        <v>6535</v>
      </c>
      <c r="R494" t="s">
        <v>313</v>
      </c>
      <c r="S494" t="s">
        <v>80</v>
      </c>
      <c r="T494" t="s">
        <v>83</v>
      </c>
      <c r="U494" t="s">
        <v>44</v>
      </c>
      <c r="V494" t="s">
        <v>55</v>
      </c>
      <c r="W494" t="s">
        <v>125</v>
      </c>
      <c r="Y494" t="s">
        <v>54</v>
      </c>
      <c r="AA494">
        <v>1</v>
      </c>
      <c r="AB494" t="s">
        <v>33</v>
      </c>
      <c r="AC494" t="s">
        <v>202</v>
      </c>
      <c r="AE494" t="str">
        <f t="shared" si="142"/>
        <v>ColeFogan</v>
      </c>
      <c r="AF494">
        <v>0</v>
      </c>
      <c r="AG494">
        <v>0</v>
      </c>
      <c r="AH494">
        <v>1</v>
      </c>
      <c r="AI494">
        <v>0</v>
      </c>
      <c r="AJ494">
        <v>0</v>
      </c>
      <c r="AK494" t="s">
        <v>41</v>
      </c>
      <c r="AL494">
        <v>0.47321428571428598</v>
      </c>
      <c r="AM494" t="s">
        <v>62</v>
      </c>
      <c r="AN494">
        <v>0.51041666666666696</v>
      </c>
      <c r="AO494">
        <f t="shared" si="155"/>
        <v>0</v>
      </c>
      <c r="AP494">
        <f t="shared" si="155"/>
        <v>0</v>
      </c>
      <c r="AQ494">
        <f t="shared" si="155"/>
        <v>0</v>
      </c>
      <c r="AR494">
        <f t="shared" si="155"/>
        <v>0</v>
      </c>
      <c r="AS494">
        <f t="shared" si="155"/>
        <v>0</v>
      </c>
      <c r="AT494">
        <f t="shared" si="155"/>
        <v>0</v>
      </c>
      <c r="AU494">
        <f t="shared" si="155"/>
        <v>0</v>
      </c>
      <c r="AV494">
        <f t="shared" si="155"/>
        <v>0</v>
      </c>
      <c r="AW494">
        <f t="shared" si="155"/>
        <v>0</v>
      </c>
      <c r="AX494">
        <f t="shared" si="155"/>
        <v>0</v>
      </c>
      <c r="AY494">
        <f t="shared" si="156"/>
        <v>0</v>
      </c>
      <c r="AZ494">
        <f t="shared" si="156"/>
        <v>0</v>
      </c>
      <c r="BA494">
        <f t="shared" si="156"/>
        <v>0</v>
      </c>
      <c r="BB494">
        <f t="shared" si="156"/>
        <v>0</v>
      </c>
      <c r="BC494" t="str">
        <f t="shared" si="156"/>
        <v>Fogan</v>
      </c>
      <c r="BD494" t="str">
        <f t="shared" si="156"/>
        <v>Cole</v>
      </c>
      <c r="BE494">
        <f t="shared" si="156"/>
        <v>0</v>
      </c>
      <c r="BF494">
        <f t="shared" si="156"/>
        <v>0</v>
      </c>
      <c r="BG494">
        <f t="shared" si="156"/>
        <v>0</v>
      </c>
      <c r="BH494">
        <f t="shared" si="156"/>
        <v>0</v>
      </c>
      <c r="BI494">
        <f t="shared" si="157"/>
        <v>0</v>
      </c>
      <c r="BJ494">
        <f t="shared" si="157"/>
        <v>0</v>
      </c>
      <c r="BK494">
        <f t="shared" si="157"/>
        <v>0</v>
      </c>
      <c r="BL494">
        <f t="shared" si="157"/>
        <v>0</v>
      </c>
      <c r="BM494">
        <f t="shared" si="157"/>
        <v>0</v>
      </c>
      <c r="BN494">
        <f t="shared" si="157"/>
        <v>0</v>
      </c>
      <c r="BO494">
        <f t="shared" si="157"/>
        <v>0</v>
      </c>
      <c r="BP494">
        <f t="shared" si="157"/>
        <v>0</v>
      </c>
      <c r="BQ494">
        <f t="shared" si="157"/>
        <v>0</v>
      </c>
      <c r="BR494">
        <f t="shared" si="157"/>
        <v>0</v>
      </c>
      <c r="BS494">
        <f t="shared" si="157"/>
        <v>0</v>
      </c>
    </row>
    <row r="495" spans="2:71" ht="15" customHeight="1" x14ac:dyDescent="0.2">
      <c r="B495">
        <v>10</v>
      </c>
      <c r="C495">
        <v>4</v>
      </c>
      <c r="D495">
        <v>8</v>
      </c>
      <c r="E495" t="s">
        <v>408</v>
      </c>
      <c r="F495" t="s">
        <v>214</v>
      </c>
      <c r="G495" s="5">
        <v>44414</v>
      </c>
      <c r="H495" t="s">
        <v>73</v>
      </c>
      <c r="I495" t="s">
        <v>396</v>
      </c>
      <c r="J495" t="s">
        <v>216</v>
      </c>
      <c r="K495">
        <v>9</v>
      </c>
      <c r="L495" t="s">
        <v>90</v>
      </c>
      <c r="M495" t="s">
        <v>397</v>
      </c>
      <c r="N495" t="s">
        <v>398</v>
      </c>
      <c r="O495">
        <v>71.400000000000006</v>
      </c>
      <c r="P495">
        <v>130</v>
      </c>
      <c r="Q495">
        <v>6535</v>
      </c>
      <c r="R495" t="s">
        <v>313</v>
      </c>
      <c r="S495" t="s">
        <v>80</v>
      </c>
      <c r="T495" t="s">
        <v>83</v>
      </c>
      <c r="U495" t="s">
        <v>62</v>
      </c>
      <c r="V495" t="s">
        <v>41</v>
      </c>
      <c r="W495" t="s">
        <v>399</v>
      </c>
      <c r="Y495" t="s">
        <v>62</v>
      </c>
      <c r="AA495">
        <v>1</v>
      </c>
      <c r="AB495" t="s">
        <v>32</v>
      </c>
      <c r="AC495" t="s">
        <v>202</v>
      </c>
      <c r="AE495" t="str">
        <f t="shared" si="142"/>
        <v>HiltsWelker</v>
      </c>
      <c r="AF495">
        <v>1</v>
      </c>
      <c r="AG495">
        <v>1</v>
      </c>
      <c r="AH495">
        <v>0</v>
      </c>
      <c r="AI495">
        <v>0</v>
      </c>
      <c r="AJ495">
        <v>1</v>
      </c>
      <c r="AK495" t="s">
        <v>55</v>
      </c>
      <c r="AL495">
        <v>0.44067796610169502</v>
      </c>
      <c r="AM495" t="s">
        <v>54</v>
      </c>
      <c r="AN495">
        <v>0.37288135593220301</v>
      </c>
      <c r="AO495">
        <f t="shared" si="155"/>
        <v>0</v>
      </c>
      <c r="AP495" t="str">
        <f t="shared" si="155"/>
        <v>Hilts</v>
      </c>
      <c r="AQ495">
        <f t="shared" si="155"/>
        <v>0</v>
      </c>
      <c r="AR495">
        <f t="shared" si="155"/>
        <v>0</v>
      </c>
      <c r="AS495">
        <f t="shared" si="155"/>
        <v>0</v>
      </c>
      <c r="AT495">
        <f t="shared" si="155"/>
        <v>0</v>
      </c>
      <c r="AU495">
        <f t="shared" si="155"/>
        <v>0</v>
      </c>
      <c r="AV495">
        <f t="shared" si="155"/>
        <v>0</v>
      </c>
      <c r="AW495">
        <f t="shared" si="155"/>
        <v>0</v>
      </c>
      <c r="AX495">
        <f t="shared" si="155"/>
        <v>0</v>
      </c>
      <c r="AY495">
        <f t="shared" si="156"/>
        <v>0</v>
      </c>
      <c r="AZ495">
        <f t="shared" si="156"/>
        <v>0</v>
      </c>
      <c r="BA495">
        <f t="shared" si="156"/>
        <v>0</v>
      </c>
      <c r="BB495">
        <f t="shared" si="156"/>
        <v>0</v>
      </c>
      <c r="BC495">
        <f t="shared" si="156"/>
        <v>0</v>
      </c>
      <c r="BD495">
        <f t="shared" si="156"/>
        <v>0</v>
      </c>
      <c r="BE495">
        <f t="shared" si="156"/>
        <v>0</v>
      </c>
      <c r="BF495">
        <f t="shared" si="156"/>
        <v>0</v>
      </c>
      <c r="BG495">
        <f t="shared" si="156"/>
        <v>0</v>
      </c>
      <c r="BH495">
        <f t="shared" si="156"/>
        <v>0</v>
      </c>
      <c r="BI495">
        <f t="shared" si="157"/>
        <v>0</v>
      </c>
      <c r="BJ495">
        <f t="shared" si="157"/>
        <v>0</v>
      </c>
      <c r="BK495" t="str">
        <f t="shared" si="157"/>
        <v>Welker</v>
      </c>
      <c r="BL495">
        <f t="shared" si="157"/>
        <v>0</v>
      </c>
      <c r="BM495">
        <f t="shared" si="157"/>
        <v>0</v>
      </c>
      <c r="BN495">
        <f t="shared" si="157"/>
        <v>0</v>
      </c>
      <c r="BO495">
        <f t="shared" si="157"/>
        <v>0</v>
      </c>
      <c r="BP495">
        <f t="shared" si="157"/>
        <v>0</v>
      </c>
      <c r="BQ495">
        <f t="shared" si="157"/>
        <v>0</v>
      </c>
      <c r="BR495">
        <f t="shared" si="157"/>
        <v>0</v>
      </c>
      <c r="BS495">
        <f t="shared" si="157"/>
        <v>0</v>
      </c>
    </row>
    <row r="496" spans="2:71" ht="15" customHeight="1" x14ac:dyDescent="0.2">
      <c r="B496">
        <v>11</v>
      </c>
      <c r="C496">
        <v>5</v>
      </c>
      <c r="D496">
        <v>8</v>
      </c>
      <c r="E496" t="s">
        <v>409</v>
      </c>
      <c r="F496" t="s">
        <v>214</v>
      </c>
      <c r="G496" s="5">
        <v>44414</v>
      </c>
      <c r="H496" t="s">
        <v>73</v>
      </c>
      <c r="I496" t="s">
        <v>396</v>
      </c>
      <c r="J496" t="s">
        <v>216</v>
      </c>
      <c r="K496">
        <v>9</v>
      </c>
      <c r="L496" t="s">
        <v>90</v>
      </c>
      <c r="M496" t="s">
        <v>397</v>
      </c>
      <c r="N496" t="s">
        <v>398</v>
      </c>
      <c r="O496">
        <v>71.400000000000006</v>
      </c>
      <c r="P496">
        <v>130</v>
      </c>
      <c r="Q496">
        <v>6535</v>
      </c>
      <c r="R496" t="s">
        <v>313</v>
      </c>
      <c r="S496" t="s">
        <v>80</v>
      </c>
      <c r="T496" t="s">
        <v>83</v>
      </c>
      <c r="U496" t="s">
        <v>62</v>
      </c>
      <c r="V496" t="s">
        <v>40</v>
      </c>
      <c r="W496" t="s">
        <v>399</v>
      </c>
      <c r="Y496" t="s">
        <v>60</v>
      </c>
      <c r="AA496">
        <v>1</v>
      </c>
      <c r="AB496" t="s">
        <v>33</v>
      </c>
      <c r="AC496" t="s">
        <v>174</v>
      </c>
      <c r="AE496" t="str">
        <f t="shared" si="142"/>
        <v>GriseZimmer</v>
      </c>
      <c r="AF496">
        <v>0</v>
      </c>
      <c r="AG496">
        <v>0</v>
      </c>
      <c r="AH496">
        <v>1</v>
      </c>
      <c r="AI496">
        <v>0</v>
      </c>
      <c r="AJ496">
        <v>0</v>
      </c>
      <c r="AK496" t="s">
        <v>48</v>
      </c>
      <c r="AL496">
        <v>0.5546875</v>
      </c>
      <c r="AM496" t="s">
        <v>68</v>
      </c>
      <c r="AO496" t="str">
        <f t="shared" si="155"/>
        <v>Grise</v>
      </c>
      <c r="AP496">
        <f t="shared" si="155"/>
        <v>0</v>
      </c>
      <c r="AQ496">
        <f t="shared" si="155"/>
        <v>0</v>
      </c>
      <c r="AR496">
        <f t="shared" si="155"/>
        <v>0</v>
      </c>
      <c r="AS496">
        <f t="shared" si="155"/>
        <v>0</v>
      </c>
      <c r="AT496">
        <f t="shared" si="155"/>
        <v>0</v>
      </c>
      <c r="AU496">
        <f t="shared" si="155"/>
        <v>0</v>
      </c>
      <c r="AV496">
        <f t="shared" si="155"/>
        <v>0</v>
      </c>
      <c r="AW496">
        <f t="shared" si="155"/>
        <v>0</v>
      </c>
      <c r="AX496">
        <f t="shared" si="155"/>
        <v>0</v>
      </c>
      <c r="AY496">
        <f t="shared" si="156"/>
        <v>0</v>
      </c>
      <c r="AZ496">
        <f t="shared" si="156"/>
        <v>0</v>
      </c>
      <c r="BA496">
        <f t="shared" si="156"/>
        <v>0</v>
      </c>
      <c r="BB496">
        <f t="shared" si="156"/>
        <v>0</v>
      </c>
      <c r="BC496">
        <f t="shared" si="156"/>
        <v>0</v>
      </c>
      <c r="BD496">
        <f t="shared" si="156"/>
        <v>0</v>
      </c>
      <c r="BE496">
        <f t="shared" si="156"/>
        <v>0</v>
      </c>
      <c r="BF496">
        <f t="shared" si="156"/>
        <v>0</v>
      </c>
      <c r="BG496">
        <f t="shared" si="156"/>
        <v>0</v>
      </c>
      <c r="BH496">
        <f t="shared" si="156"/>
        <v>0</v>
      </c>
      <c r="BI496" t="str">
        <f t="shared" si="157"/>
        <v>Zimmer</v>
      </c>
      <c r="BJ496">
        <f t="shared" si="157"/>
        <v>0</v>
      </c>
      <c r="BK496">
        <f t="shared" si="157"/>
        <v>0</v>
      </c>
      <c r="BL496">
        <f t="shared" si="157"/>
        <v>0</v>
      </c>
      <c r="BM496">
        <f t="shared" si="157"/>
        <v>0</v>
      </c>
      <c r="BN496">
        <f t="shared" si="157"/>
        <v>0</v>
      </c>
      <c r="BO496">
        <f t="shared" si="157"/>
        <v>0</v>
      </c>
      <c r="BP496">
        <f t="shared" si="157"/>
        <v>0</v>
      </c>
      <c r="BQ496">
        <f t="shared" si="157"/>
        <v>0</v>
      </c>
      <c r="BR496">
        <f t="shared" si="157"/>
        <v>0</v>
      </c>
      <c r="BS496">
        <f t="shared" si="157"/>
        <v>0</v>
      </c>
    </row>
    <row r="497" spans="2:71" ht="15" customHeight="1" x14ac:dyDescent="0.2">
      <c r="B497">
        <v>11</v>
      </c>
      <c r="C497">
        <v>5</v>
      </c>
      <c r="D497">
        <v>8</v>
      </c>
      <c r="E497" t="s">
        <v>409</v>
      </c>
      <c r="F497" t="s">
        <v>214</v>
      </c>
      <c r="G497" s="5">
        <v>44414</v>
      </c>
      <c r="H497" t="s">
        <v>73</v>
      </c>
      <c r="I497" t="s">
        <v>396</v>
      </c>
      <c r="J497" t="s">
        <v>216</v>
      </c>
      <c r="K497">
        <v>9</v>
      </c>
      <c r="L497" t="s">
        <v>90</v>
      </c>
      <c r="M497" t="s">
        <v>397</v>
      </c>
      <c r="N497" t="s">
        <v>398</v>
      </c>
      <c r="O497">
        <v>71.400000000000006</v>
      </c>
      <c r="P497">
        <v>130</v>
      </c>
      <c r="Q497">
        <v>6535</v>
      </c>
      <c r="R497" t="s">
        <v>313</v>
      </c>
      <c r="S497" t="s">
        <v>80</v>
      </c>
      <c r="T497" t="s">
        <v>83</v>
      </c>
      <c r="U497" t="s">
        <v>44</v>
      </c>
      <c r="V497" t="s">
        <v>48</v>
      </c>
      <c r="W497" t="s">
        <v>125</v>
      </c>
      <c r="Y497" t="s">
        <v>68</v>
      </c>
      <c r="AA497">
        <v>1</v>
      </c>
      <c r="AB497" t="s">
        <v>32</v>
      </c>
      <c r="AC497" t="s">
        <v>174</v>
      </c>
      <c r="AE497" t="str">
        <f t="shared" si="142"/>
        <v>LynchRamsay</v>
      </c>
      <c r="AF497">
        <v>1</v>
      </c>
      <c r="AG497">
        <v>1</v>
      </c>
      <c r="AH497">
        <v>0</v>
      </c>
      <c r="AI497">
        <v>0</v>
      </c>
      <c r="AJ497">
        <v>1</v>
      </c>
      <c r="AK497" t="s">
        <v>40</v>
      </c>
      <c r="AL497">
        <v>0.546875</v>
      </c>
      <c r="AM497" t="s">
        <v>60</v>
      </c>
      <c r="AN497">
        <v>0.5</v>
      </c>
      <c r="AO497">
        <f t="shared" si="155"/>
        <v>0</v>
      </c>
      <c r="AP497">
        <f t="shared" si="155"/>
        <v>0</v>
      </c>
      <c r="AQ497">
        <f t="shared" si="155"/>
        <v>0</v>
      </c>
      <c r="AR497">
        <f t="shared" si="155"/>
        <v>0</v>
      </c>
      <c r="AS497">
        <f t="shared" si="155"/>
        <v>0</v>
      </c>
      <c r="AT497">
        <f t="shared" si="155"/>
        <v>0</v>
      </c>
      <c r="AU497">
        <f t="shared" si="155"/>
        <v>0</v>
      </c>
      <c r="AV497">
        <f t="shared" si="155"/>
        <v>0</v>
      </c>
      <c r="AW497" t="str">
        <f t="shared" si="155"/>
        <v>Lynch</v>
      </c>
      <c r="AX497">
        <f t="shared" si="155"/>
        <v>0</v>
      </c>
      <c r="AY497">
        <f t="shared" si="156"/>
        <v>0</v>
      </c>
      <c r="AZ497">
        <f t="shared" si="156"/>
        <v>0</v>
      </c>
      <c r="BA497">
        <f t="shared" si="156"/>
        <v>0</v>
      </c>
      <c r="BB497">
        <f t="shared" si="156"/>
        <v>0</v>
      </c>
      <c r="BC497">
        <f t="shared" si="156"/>
        <v>0</v>
      </c>
      <c r="BD497">
        <f t="shared" si="156"/>
        <v>0</v>
      </c>
      <c r="BE497">
        <f t="shared" si="156"/>
        <v>0</v>
      </c>
      <c r="BF497">
        <f t="shared" si="156"/>
        <v>0</v>
      </c>
      <c r="BG497">
        <f t="shared" si="156"/>
        <v>0</v>
      </c>
      <c r="BH497">
        <f t="shared" si="156"/>
        <v>0</v>
      </c>
      <c r="BI497">
        <f t="shared" si="157"/>
        <v>0</v>
      </c>
      <c r="BJ497">
        <f t="shared" si="157"/>
        <v>0</v>
      </c>
      <c r="BK497">
        <f t="shared" si="157"/>
        <v>0</v>
      </c>
      <c r="BL497">
        <f t="shared" si="157"/>
        <v>0</v>
      </c>
      <c r="BM497">
        <f t="shared" si="157"/>
        <v>0</v>
      </c>
      <c r="BN497">
        <f t="shared" si="157"/>
        <v>0</v>
      </c>
      <c r="BO497">
        <f t="shared" si="157"/>
        <v>0</v>
      </c>
      <c r="BP497">
        <f t="shared" si="157"/>
        <v>0</v>
      </c>
      <c r="BQ497" t="str">
        <f t="shared" si="157"/>
        <v>Ramsay</v>
      </c>
      <c r="BR497">
        <f t="shared" si="157"/>
        <v>0</v>
      </c>
      <c r="BS497">
        <f t="shared" si="157"/>
        <v>0</v>
      </c>
    </row>
    <row r="498" spans="2:71" ht="15" customHeight="1" x14ac:dyDescent="0.2">
      <c r="B498">
        <v>12</v>
      </c>
      <c r="C498">
        <v>6</v>
      </c>
      <c r="D498">
        <v>8</v>
      </c>
      <c r="E498" t="s">
        <v>410</v>
      </c>
      <c r="F498" t="s">
        <v>214</v>
      </c>
      <c r="G498" s="5">
        <v>44414</v>
      </c>
      <c r="H498" t="s">
        <v>73</v>
      </c>
      <c r="I498" t="s">
        <v>396</v>
      </c>
      <c r="J498" t="s">
        <v>216</v>
      </c>
      <c r="K498">
        <v>9</v>
      </c>
      <c r="L498" t="s">
        <v>90</v>
      </c>
      <c r="M498" t="s">
        <v>397</v>
      </c>
      <c r="N498" t="s">
        <v>398</v>
      </c>
      <c r="O498">
        <v>71.400000000000006</v>
      </c>
      <c r="P498">
        <v>130</v>
      </c>
      <c r="Q498">
        <v>6535</v>
      </c>
      <c r="R498" t="s">
        <v>313</v>
      </c>
      <c r="S498" t="s">
        <v>80</v>
      </c>
      <c r="T498" t="s">
        <v>83</v>
      </c>
      <c r="U498" t="s">
        <v>44</v>
      </c>
      <c r="V498" t="s">
        <v>42</v>
      </c>
      <c r="W498" t="s">
        <v>125</v>
      </c>
      <c r="Y498" t="s">
        <v>49</v>
      </c>
      <c r="AA498">
        <v>1</v>
      </c>
      <c r="AB498" t="s">
        <v>32</v>
      </c>
      <c r="AC498" t="s">
        <v>174</v>
      </c>
      <c r="AE498" t="str">
        <f t="shared" si="142"/>
        <v>JacksonShively</v>
      </c>
      <c r="AF498">
        <v>1</v>
      </c>
      <c r="AG498">
        <v>1</v>
      </c>
      <c r="AH498">
        <v>0</v>
      </c>
      <c r="AI498">
        <v>0</v>
      </c>
      <c r="AJ498">
        <v>1</v>
      </c>
      <c r="AK498" t="s">
        <v>45</v>
      </c>
      <c r="AL498">
        <v>0.59375</v>
      </c>
      <c r="AM498" t="s">
        <v>52</v>
      </c>
      <c r="AN498">
        <v>0.34745762711864397</v>
      </c>
      <c r="AO498">
        <f t="shared" si="155"/>
        <v>0</v>
      </c>
      <c r="AP498">
        <f t="shared" si="155"/>
        <v>0</v>
      </c>
      <c r="AQ498" t="str">
        <f t="shared" si="155"/>
        <v>Jackson</v>
      </c>
      <c r="AR498">
        <f t="shared" si="155"/>
        <v>0</v>
      </c>
      <c r="AS498">
        <f t="shared" si="155"/>
        <v>0</v>
      </c>
      <c r="AT498">
        <f t="shared" si="155"/>
        <v>0</v>
      </c>
      <c r="AU498">
        <f t="shared" si="155"/>
        <v>0</v>
      </c>
      <c r="AV498">
        <f t="shared" si="155"/>
        <v>0</v>
      </c>
      <c r="AW498">
        <f t="shared" si="155"/>
        <v>0</v>
      </c>
      <c r="AX498" t="str">
        <f t="shared" si="155"/>
        <v>Shively</v>
      </c>
      <c r="AY498">
        <f t="shared" si="156"/>
        <v>0</v>
      </c>
      <c r="AZ498">
        <f t="shared" si="156"/>
        <v>0</v>
      </c>
      <c r="BA498">
        <f t="shared" si="156"/>
        <v>0</v>
      </c>
      <c r="BB498">
        <f t="shared" si="156"/>
        <v>0</v>
      </c>
      <c r="BC498">
        <f t="shared" si="156"/>
        <v>0</v>
      </c>
      <c r="BD498">
        <f t="shared" si="156"/>
        <v>0</v>
      </c>
      <c r="BE498">
        <f t="shared" si="156"/>
        <v>0</v>
      </c>
      <c r="BF498">
        <f t="shared" si="156"/>
        <v>0</v>
      </c>
      <c r="BG498">
        <f t="shared" si="156"/>
        <v>0</v>
      </c>
      <c r="BH498">
        <f t="shared" si="156"/>
        <v>0</v>
      </c>
      <c r="BI498">
        <f t="shared" si="157"/>
        <v>0</v>
      </c>
      <c r="BJ498">
        <f t="shared" si="157"/>
        <v>0</v>
      </c>
      <c r="BK498">
        <f t="shared" si="157"/>
        <v>0</v>
      </c>
      <c r="BL498">
        <f t="shared" si="157"/>
        <v>0</v>
      </c>
      <c r="BM498">
        <f t="shared" si="157"/>
        <v>0</v>
      </c>
      <c r="BN498">
        <f t="shared" si="157"/>
        <v>0</v>
      </c>
      <c r="BO498">
        <f t="shared" si="157"/>
        <v>0</v>
      </c>
      <c r="BP498">
        <f t="shared" si="157"/>
        <v>0</v>
      </c>
      <c r="BQ498">
        <f t="shared" si="157"/>
        <v>0</v>
      </c>
      <c r="BR498">
        <f t="shared" si="157"/>
        <v>0</v>
      </c>
      <c r="BS498">
        <f t="shared" si="157"/>
        <v>0</v>
      </c>
    </row>
    <row r="499" spans="2:71" ht="15" customHeight="1" x14ac:dyDescent="0.2">
      <c r="B499">
        <v>12</v>
      </c>
      <c r="C499">
        <v>6</v>
      </c>
      <c r="D499">
        <v>8</v>
      </c>
      <c r="E499" t="s">
        <v>410</v>
      </c>
      <c r="F499" t="s">
        <v>214</v>
      </c>
      <c r="G499" s="5">
        <v>44414</v>
      </c>
      <c r="H499" t="s">
        <v>73</v>
      </c>
      <c r="I499" t="s">
        <v>396</v>
      </c>
      <c r="J499" t="s">
        <v>216</v>
      </c>
      <c r="K499">
        <v>9</v>
      </c>
      <c r="L499" t="s">
        <v>90</v>
      </c>
      <c r="M499" t="s">
        <v>397</v>
      </c>
      <c r="N499" t="s">
        <v>398</v>
      </c>
      <c r="O499">
        <v>71.400000000000006</v>
      </c>
      <c r="P499">
        <v>130</v>
      </c>
      <c r="Q499">
        <v>6535</v>
      </c>
      <c r="R499" t="s">
        <v>313</v>
      </c>
      <c r="S499" t="s">
        <v>80</v>
      </c>
      <c r="T499" t="s">
        <v>83</v>
      </c>
      <c r="U499" t="s">
        <v>62</v>
      </c>
      <c r="V499" t="s">
        <v>45</v>
      </c>
      <c r="W499" t="s">
        <v>399</v>
      </c>
      <c r="Y499" t="s">
        <v>52</v>
      </c>
      <c r="AA499">
        <v>1</v>
      </c>
      <c r="AB499" t="s">
        <v>33</v>
      </c>
      <c r="AC499" t="s">
        <v>174</v>
      </c>
      <c r="AE499" t="str">
        <f t="shared" si="142"/>
        <v>ConnollyConnors</v>
      </c>
      <c r="AF499">
        <v>0</v>
      </c>
      <c r="AG499">
        <v>0</v>
      </c>
      <c r="AH499">
        <v>1</v>
      </c>
      <c r="AI499">
        <v>0</v>
      </c>
      <c r="AJ499">
        <v>0</v>
      </c>
      <c r="AK499" t="s">
        <v>42</v>
      </c>
      <c r="AL499">
        <v>0.6171875</v>
      </c>
      <c r="AM499" t="s">
        <v>49</v>
      </c>
      <c r="AO499">
        <f t="shared" si="155"/>
        <v>0</v>
      </c>
      <c r="AP499">
        <f t="shared" si="155"/>
        <v>0</v>
      </c>
      <c r="AQ499">
        <f t="shared" si="155"/>
        <v>0</v>
      </c>
      <c r="AR499">
        <f t="shared" si="155"/>
        <v>0</v>
      </c>
      <c r="AS499">
        <f t="shared" si="155"/>
        <v>0</v>
      </c>
      <c r="AT499" t="str">
        <f t="shared" si="155"/>
        <v>Connolly</v>
      </c>
      <c r="AU499">
        <f t="shared" si="155"/>
        <v>0</v>
      </c>
      <c r="AV499">
        <f t="shared" si="155"/>
        <v>0</v>
      </c>
      <c r="AW499">
        <f t="shared" si="155"/>
        <v>0</v>
      </c>
      <c r="AX499">
        <f t="shared" si="155"/>
        <v>0</v>
      </c>
      <c r="AY499">
        <f t="shared" si="156"/>
        <v>0</v>
      </c>
      <c r="AZ499">
        <f t="shared" si="156"/>
        <v>0</v>
      </c>
      <c r="BA499" t="str">
        <f t="shared" si="156"/>
        <v>Connors</v>
      </c>
      <c r="BB499">
        <f t="shared" si="156"/>
        <v>0</v>
      </c>
      <c r="BC499">
        <f t="shared" si="156"/>
        <v>0</v>
      </c>
      <c r="BD499">
        <f t="shared" si="156"/>
        <v>0</v>
      </c>
      <c r="BE499">
        <f t="shared" si="156"/>
        <v>0</v>
      </c>
      <c r="BF499">
        <f t="shared" si="156"/>
        <v>0</v>
      </c>
      <c r="BG499">
        <f t="shared" si="156"/>
        <v>0</v>
      </c>
      <c r="BH499">
        <f t="shared" si="156"/>
        <v>0</v>
      </c>
      <c r="BI499">
        <f t="shared" si="157"/>
        <v>0</v>
      </c>
      <c r="BJ499">
        <f t="shared" si="157"/>
        <v>0</v>
      </c>
      <c r="BK499">
        <f t="shared" si="157"/>
        <v>0</v>
      </c>
      <c r="BL499">
        <f t="shared" si="157"/>
        <v>0</v>
      </c>
      <c r="BM499">
        <f t="shared" si="157"/>
        <v>0</v>
      </c>
      <c r="BN499">
        <f t="shared" si="157"/>
        <v>0</v>
      </c>
      <c r="BO499">
        <f t="shared" si="157"/>
        <v>0</v>
      </c>
      <c r="BP499">
        <f t="shared" si="157"/>
        <v>0</v>
      </c>
      <c r="BQ499">
        <f t="shared" si="157"/>
        <v>0</v>
      </c>
      <c r="BR499">
        <f t="shared" si="157"/>
        <v>0</v>
      </c>
      <c r="BS499">
        <f t="shared" si="157"/>
        <v>0</v>
      </c>
    </row>
    <row r="500" spans="2:71" ht="15" customHeight="1" x14ac:dyDescent="0.2">
      <c r="B500">
        <v>13</v>
      </c>
      <c r="C500">
        <v>1</v>
      </c>
      <c r="D500">
        <v>8</v>
      </c>
      <c r="E500" t="s">
        <v>411</v>
      </c>
      <c r="F500" t="s">
        <v>214</v>
      </c>
      <c r="G500" s="5">
        <v>44414</v>
      </c>
      <c r="H500" t="s">
        <v>97</v>
      </c>
      <c r="I500" t="s">
        <v>396</v>
      </c>
      <c r="J500" t="s">
        <v>216</v>
      </c>
      <c r="K500">
        <v>9</v>
      </c>
      <c r="L500" t="s">
        <v>76</v>
      </c>
      <c r="M500" t="s">
        <v>412</v>
      </c>
      <c r="N500" t="s">
        <v>398</v>
      </c>
      <c r="O500">
        <v>70.5</v>
      </c>
      <c r="P500">
        <v>124</v>
      </c>
      <c r="Q500">
        <v>6587</v>
      </c>
      <c r="R500" t="s">
        <v>111</v>
      </c>
      <c r="S500" t="s">
        <v>111</v>
      </c>
      <c r="T500" t="s">
        <v>83</v>
      </c>
      <c r="U500" t="s">
        <v>44</v>
      </c>
      <c r="V500" t="s">
        <v>53</v>
      </c>
      <c r="W500" t="s">
        <v>125</v>
      </c>
      <c r="AA500">
        <v>1</v>
      </c>
      <c r="AB500" t="s">
        <v>34</v>
      </c>
      <c r="AC500" t="s">
        <v>92</v>
      </c>
      <c r="AD500" t="s">
        <v>60</v>
      </c>
      <c r="AE500" t="str">
        <f t="shared" si="142"/>
        <v>Forster</v>
      </c>
      <c r="AF500">
        <v>0.5</v>
      </c>
      <c r="AG500">
        <v>0</v>
      </c>
      <c r="AH500">
        <v>0</v>
      </c>
      <c r="AI500">
        <v>1</v>
      </c>
      <c r="AJ500">
        <v>0.5</v>
      </c>
      <c r="AK500" t="s">
        <v>60</v>
      </c>
      <c r="AL500">
        <v>0.5</v>
      </c>
      <c r="AO500">
        <f t="shared" si="155"/>
        <v>0</v>
      </c>
      <c r="AP500">
        <f t="shared" si="155"/>
        <v>0</v>
      </c>
      <c r="AQ500">
        <f t="shared" si="155"/>
        <v>0</v>
      </c>
      <c r="AR500">
        <f t="shared" si="155"/>
        <v>0</v>
      </c>
      <c r="AS500">
        <f t="shared" si="155"/>
        <v>0</v>
      </c>
      <c r="AT500">
        <f t="shared" si="155"/>
        <v>0</v>
      </c>
      <c r="AU500">
        <f t="shared" si="155"/>
        <v>0</v>
      </c>
      <c r="AV500">
        <f t="shared" si="155"/>
        <v>0</v>
      </c>
      <c r="AW500">
        <f t="shared" si="155"/>
        <v>0</v>
      </c>
      <c r="AX500">
        <f t="shared" si="155"/>
        <v>0</v>
      </c>
      <c r="AY500">
        <f t="shared" si="156"/>
        <v>0</v>
      </c>
      <c r="AZ500">
        <f t="shared" si="156"/>
        <v>0</v>
      </c>
      <c r="BA500">
        <f t="shared" si="156"/>
        <v>0</v>
      </c>
      <c r="BB500" t="str">
        <f t="shared" si="156"/>
        <v>Forster</v>
      </c>
      <c r="BC500">
        <f t="shared" si="156"/>
        <v>0</v>
      </c>
      <c r="BD500">
        <f t="shared" si="156"/>
        <v>0</v>
      </c>
      <c r="BE500">
        <f t="shared" si="156"/>
        <v>0</v>
      </c>
      <c r="BF500">
        <f t="shared" si="156"/>
        <v>0</v>
      </c>
      <c r="BG500">
        <f t="shared" si="156"/>
        <v>0</v>
      </c>
      <c r="BH500">
        <f t="shared" si="156"/>
        <v>0</v>
      </c>
      <c r="BI500">
        <f t="shared" si="157"/>
        <v>0</v>
      </c>
      <c r="BJ500">
        <f t="shared" si="157"/>
        <v>0</v>
      </c>
      <c r="BK500">
        <f t="shared" si="157"/>
        <v>0</v>
      </c>
      <c r="BL500">
        <f t="shared" si="157"/>
        <v>0</v>
      </c>
      <c r="BM500">
        <f t="shared" si="157"/>
        <v>0</v>
      </c>
      <c r="BN500">
        <f t="shared" si="157"/>
        <v>0</v>
      </c>
      <c r="BO500">
        <f t="shared" si="157"/>
        <v>0</v>
      </c>
      <c r="BP500">
        <f t="shared" si="157"/>
        <v>0</v>
      </c>
      <c r="BQ500">
        <f t="shared" si="157"/>
        <v>0</v>
      </c>
      <c r="BR500">
        <f t="shared" si="157"/>
        <v>0</v>
      </c>
      <c r="BS500">
        <f t="shared" si="157"/>
        <v>0</v>
      </c>
    </row>
    <row r="501" spans="2:71" ht="15" customHeight="1" x14ac:dyDescent="0.2">
      <c r="B501">
        <v>13</v>
      </c>
      <c r="C501">
        <v>1</v>
      </c>
      <c r="D501">
        <v>8</v>
      </c>
      <c r="E501" t="s">
        <v>411</v>
      </c>
      <c r="F501" t="s">
        <v>214</v>
      </c>
      <c r="G501" s="5">
        <v>44414</v>
      </c>
      <c r="H501" t="s">
        <v>97</v>
      </c>
      <c r="I501" t="s">
        <v>396</v>
      </c>
      <c r="J501" t="s">
        <v>216</v>
      </c>
      <c r="K501">
        <v>9</v>
      </c>
      <c r="L501" t="s">
        <v>76</v>
      </c>
      <c r="M501" t="s">
        <v>412</v>
      </c>
      <c r="N501" t="s">
        <v>398</v>
      </c>
      <c r="O501">
        <v>70.5</v>
      </c>
      <c r="P501">
        <v>124</v>
      </c>
      <c r="Q501">
        <v>6587</v>
      </c>
      <c r="R501" t="s">
        <v>111</v>
      </c>
      <c r="S501" t="s">
        <v>111</v>
      </c>
      <c r="T501" t="s">
        <v>83</v>
      </c>
      <c r="U501" t="s">
        <v>62</v>
      </c>
      <c r="V501" t="s">
        <v>60</v>
      </c>
      <c r="W501" t="s">
        <v>399</v>
      </c>
      <c r="AA501">
        <v>1</v>
      </c>
      <c r="AB501" t="s">
        <v>34</v>
      </c>
      <c r="AC501" t="s">
        <v>92</v>
      </c>
      <c r="AD501" t="s">
        <v>53</v>
      </c>
      <c r="AE501" t="str">
        <f t="shared" si="142"/>
        <v>Zimmer</v>
      </c>
      <c r="AF501">
        <v>0.5</v>
      </c>
      <c r="AG501">
        <v>0</v>
      </c>
      <c r="AH501">
        <v>0</v>
      </c>
      <c r="AI501">
        <v>1</v>
      </c>
      <c r="AJ501">
        <v>0.5</v>
      </c>
      <c r="AK501" t="s">
        <v>53</v>
      </c>
      <c r="AL501">
        <v>0.59649122807017496</v>
      </c>
      <c r="AO501">
        <f t="shared" si="155"/>
        <v>0</v>
      </c>
      <c r="AP501">
        <f t="shared" si="155"/>
        <v>0</v>
      </c>
      <c r="AQ501">
        <f t="shared" si="155"/>
        <v>0</v>
      </c>
      <c r="AR501">
        <f t="shared" si="155"/>
        <v>0</v>
      </c>
      <c r="AS501">
        <f t="shared" si="155"/>
        <v>0</v>
      </c>
      <c r="AT501">
        <f t="shared" si="155"/>
        <v>0</v>
      </c>
      <c r="AU501">
        <f t="shared" si="155"/>
        <v>0</v>
      </c>
      <c r="AV501">
        <f t="shared" si="155"/>
        <v>0</v>
      </c>
      <c r="AW501">
        <f t="shared" si="155"/>
        <v>0</v>
      </c>
      <c r="AX501">
        <f t="shared" si="155"/>
        <v>0</v>
      </c>
      <c r="AY501">
        <f t="shared" si="156"/>
        <v>0</v>
      </c>
      <c r="AZ501">
        <f t="shared" si="156"/>
        <v>0</v>
      </c>
      <c r="BA501">
        <f t="shared" si="156"/>
        <v>0</v>
      </c>
      <c r="BB501">
        <f t="shared" si="156"/>
        <v>0</v>
      </c>
      <c r="BC501">
        <f t="shared" si="156"/>
        <v>0</v>
      </c>
      <c r="BD501">
        <f t="shared" si="156"/>
        <v>0</v>
      </c>
      <c r="BE501">
        <f t="shared" si="156"/>
        <v>0</v>
      </c>
      <c r="BF501">
        <f t="shared" si="156"/>
        <v>0</v>
      </c>
      <c r="BG501">
        <f t="shared" si="156"/>
        <v>0</v>
      </c>
      <c r="BH501">
        <f t="shared" si="156"/>
        <v>0</v>
      </c>
      <c r="BI501" t="str">
        <f t="shared" si="157"/>
        <v>Zimmer</v>
      </c>
      <c r="BJ501">
        <f t="shared" si="157"/>
        <v>0</v>
      </c>
      <c r="BK501">
        <f t="shared" si="157"/>
        <v>0</v>
      </c>
      <c r="BL501">
        <f t="shared" si="157"/>
        <v>0</v>
      </c>
      <c r="BM501">
        <f t="shared" si="157"/>
        <v>0</v>
      </c>
      <c r="BN501">
        <f t="shared" si="157"/>
        <v>0</v>
      </c>
      <c r="BO501">
        <f t="shared" si="157"/>
        <v>0</v>
      </c>
      <c r="BP501">
        <f t="shared" si="157"/>
        <v>0</v>
      </c>
      <c r="BQ501">
        <f t="shared" si="157"/>
        <v>0</v>
      </c>
      <c r="BR501">
        <f t="shared" si="157"/>
        <v>0</v>
      </c>
      <c r="BS501">
        <f t="shared" si="157"/>
        <v>0</v>
      </c>
    </row>
    <row r="502" spans="2:71" ht="15" customHeight="1" x14ac:dyDescent="0.2">
      <c r="B502">
        <v>14</v>
      </c>
      <c r="C502">
        <v>2</v>
      </c>
      <c r="D502">
        <v>8</v>
      </c>
      <c r="E502" t="s">
        <v>413</v>
      </c>
      <c r="F502" t="s">
        <v>214</v>
      </c>
      <c r="G502" s="5">
        <v>44414</v>
      </c>
      <c r="H502" t="s">
        <v>97</v>
      </c>
      <c r="I502" t="s">
        <v>396</v>
      </c>
      <c r="J502" t="s">
        <v>216</v>
      </c>
      <c r="K502">
        <v>9</v>
      </c>
      <c r="L502" t="s">
        <v>76</v>
      </c>
      <c r="M502" t="s">
        <v>412</v>
      </c>
      <c r="N502" t="s">
        <v>398</v>
      </c>
      <c r="O502">
        <v>70.5</v>
      </c>
      <c r="P502">
        <v>124</v>
      </c>
      <c r="Q502">
        <v>6587</v>
      </c>
      <c r="R502" t="s">
        <v>98</v>
      </c>
      <c r="S502" t="s">
        <v>80</v>
      </c>
      <c r="T502" t="s">
        <v>83</v>
      </c>
      <c r="U502" t="s">
        <v>44</v>
      </c>
      <c r="V502" t="s">
        <v>61</v>
      </c>
      <c r="W502" t="s">
        <v>125</v>
      </c>
      <c r="Y502" t="s">
        <v>68</v>
      </c>
      <c r="AA502">
        <v>1</v>
      </c>
      <c r="AB502" t="s">
        <v>33</v>
      </c>
      <c r="AC502" t="s">
        <v>209</v>
      </c>
      <c r="AE502" t="str">
        <f t="shared" si="142"/>
        <v>McInerneyRamsay</v>
      </c>
      <c r="AF502">
        <v>0</v>
      </c>
      <c r="AG502">
        <v>0</v>
      </c>
      <c r="AH502">
        <v>1</v>
      </c>
      <c r="AI502">
        <v>0</v>
      </c>
      <c r="AJ502">
        <v>0</v>
      </c>
      <c r="AK502" t="s">
        <v>67</v>
      </c>
      <c r="AL502">
        <v>0.54545454545454497</v>
      </c>
      <c r="AM502" t="s">
        <v>62</v>
      </c>
      <c r="AN502">
        <v>0.51041666666666696</v>
      </c>
      <c r="AO502">
        <f t="shared" ref="AO502:AX511" si="158">IF(OR($V502=AO$1,$Y502=AO$1),AO$1,0)</f>
        <v>0</v>
      </c>
      <c r="AP502">
        <f t="shared" si="158"/>
        <v>0</v>
      </c>
      <c r="AQ502">
        <f t="shared" si="158"/>
        <v>0</v>
      </c>
      <c r="AR502">
        <f t="shared" si="158"/>
        <v>0</v>
      </c>
      <c r="AS502">
        <f t="shared" si="158"/>
        <v>0</v>
      </c>
      <c r="AT502">
        <f t="shared" si="158"/>
        <v>0</v>
      </c>
      <c r="AU502">
        <f t="shared" si="158"/>
        <v>0</v>
      </c>
      <c r="AV502">
        <f t="shared" si="158"/>
        <v>0</v>
      </c>
      <c r="AW502">
        <f t="shared" si="158"/>
        <v>0</v>
      </c>
      <c r="AX502">
        <f t="shared" si="158"/>
        <v>0</v>
      </c>
      <c r="AY502">
        <f t="shared" ref="AY502:BH511" si="159">IF(OR($V502=AY$1,$Y502=AY$1),AY$1,0)</f>
        <v>0</v>
      </c>
      <c r="AZ502">
        <f t="shared" si="159"/>
        <v>0</v>
      </c>
      <c r="BA502">
        <f t="shared" si="159"/>
        <v>0</v>
      </c>
      <c r="BB502">
        <f t="shared" si="159"/>
        <v>0</v>
      </c>
      <c r="BC502">
        <f t="shared" si="159"/>
        <v>0</v>
      </c>
      <c r="BD502">
        <f t="shared" si="159"/>
        <v>0</v>
      </c>
      <c r="BE502">
        <f t="shared" si="159"/>
        <v>0</v>
      </c>
      <c r="BF502">
        <f t="shared" si="159"/>
        <v>0</v>
      </c>
      <c r="BG502">
        <f t="shared" si="159"/>
        <v>0</v>
      </c>
      <c r="BH502">
        <f t="shared" si="159"/>
        <v>0</v>
      </c>
      <c r="BI502">
        <f t="shared" ref="BI502:BS511" si="160">IF(OR($V502=BI$1,$Y502=BI$1),BI$1,0)</f>
        <v>0</v>
      </c>
      <c r="BJ502" t="str">
        <f t="shared" si="160"/>
        <v>McInerney</v>
      </c>
      <c r="BK502">
        <f t="shared" si="160"/>
        <v>0</v>
      </c>
      <c r="BL502">
        <f t="shared" si="160"/>
        <v>0</v>
      </c>
      <c r="BM502">
        <f t="shared" si="160"/>
        <v>0</v>
      </c>
      <c r="BN502">
        <f t="shared" si="160"/>
        <v>0</v>
      </c>
      <c r="BO502">
        <f t="shared" si="160"/>
        <v>0</v>
      </c>
      <c r="BP502">
        <f t="shared" si="160"/>
        <v>0</v>
      </c>
      <c r="BQ502" t="str">
        <f t="shared" si="160"/>
        <v>Ramsay</v>
      </c>
      <c r="BR502">
        <f t="shared" si="160"/>
        <v>0</v>
      </c>
      <c r="BS502">
        <f t="shared" si="160"/>
        <v>0</v>
      </c>
    </row>
    <row r="503" spans="2:71" ht="15" customHeight="1" x14ac:dyDescent="0.2">
      <c r="B503">
        <v>14</v>
      </c>
      <c r="C503">
        <v>2</v>
      </c>
      <c r="D503">
        <v>8</v>
      </c>
      <c r="E503" t="s">
        <v>413</v>
      </c>
      <c r="F503" t="s">
        <v>214</v>
      </c>
      <c r="G503" s="5">
        <v>44414</v>
      </c>
      <c r="H503" t="s">
        <v>97</v>
      </c>
      <c r="I503" t="s">
        <v>396</v>
      </c>
      <c r="J503" t="s">
        <v>216</v>
      </c>
      <c r="K503">
        <v>9</v>
      </c>
      <c r="L503" t="s">
        <v>76</v>
      </c>
      <c r="M503" t="s">
        <v>412</v>
      </c>
      <c r="N503" t="s">
        <v>398</v>
      </c>
      <c r="O503">
        <v>70.5</v>
      </c>
      <c r="P503">
        <v>124</v>
      </c>
      <c r="Q503">
        <v>6587</v>
      </c>
      <c r="R503" t="s">
        <v>98</v>
      </c>
      <c r="S503" t="s">
        <v>80</v>
      </c>
      <c r="T503" t="s">
        <v>83</v>
      </c>
      <c r="U503" t="s">
        <v>62</v>
      </c>
      <c r="V503" t="s">
        <v>67</v>
      </c>
      <c r="W503" t="s">
        <v>399</v>
      </c>
      <c r="Y503" t="s">
        <v>62</v>
      </c>
      <c r="AA503">
        <v>1</v>
      </c>
      <c r="AB503" t="s">
        <v>32</v>
      </c>
      <c r="AC503" t="s">
        <v>209</v>
      </c>
      <c r="AE503" t="str">
        <f t="shared" si="142"/>
        <v>DeoterisWelker</v>
      </c>
      <c r="AF503">
        <v>1</v>
      </c>
      <c r="AG503">
        <v>1</v>
      </c>
      <c r="AH503">
        <v>0</v>
      </c>
      <c r="AI503">
        <v>0</v>
      </c>
      <c r="AJ503">
        <v>1</v>
      </c>
      <c r="AK503" t="s">
        <v>61</v>
      </c>
      <c r="AL503">
        <v>0.5</v>
      </c>
      <c r="AM503" t="s">
        <v>68</v>
      </c>
      <c r="AO503">
        <f t="shared" si="158"/>
        <v>0</v>
      </c>
      <c r="AP503">
        <f t="shared" si="158"/>
        <v>0</v>
      </c>
      <c r="AQ503">
        <f t="shared" si="158"/>
        <v>0</v>
      </c>
      <c r="AR503">
        <f t="shared" si="158"/>
        <v>0</v>
      </c>
      <c r="AS503">
        <f t="shared" si="158"/>
        <v>0</v>
      </c>
      <c r="AT503">
        <f t="shared" si="158"/>
        <v>0</v>
      </c>
      <c r="AU503">
        <f t="shared" si="158"/>
        <v>0</v>
      </c>
      <c r="AV503">
        <f t="shared" si="158"/>
        <v>0</v>
      </c>
      <c r="AW503">
        <f t="shared" si="158"/>
        <v>0</v>
      </c>
      <c r="AX503">
        <f t="shared" si="158"/>
        <v>0</v>
      </c>
      <c r="AY503">
        <f t="shared" si="159"/>
        <v>0</v>
      </c>
      <c r="AZ503">
        <f t="shared" si="159"/>
        <v>0</v>
      </c>
      <c r="BA503">
        <f t="shared" si="159"/>
        <v>0</v>
      </c>
      <c r="BB503">
        <f t="shared" si="159"/>
        <v>0</v>
      </c>
      <c r="BC503">
        <f t="shared" si="159"/>
        <v>0</v>
      </c>
      <c r="BD503">
        <f t="shared" si="159"/>
        <v>0</v>
      </c>
      <c r="BE503">
        <f t="shared" si="159"/>
        <v>0</v>
      </c>
      <c r="BF503">
        <f t="shared" si="159"/>
        <v>0</v>
      </c>
      <c r="BG503">
        <f t="shared" si="159"/>
        <v>0</v>
      </c>
      <c r="BH503">
        <f t="shared" si="159"/>
        <v>0</v>
      </c>
      <c r="BI503">
        <f t="shared" si="160"/>
        <v>0</v>
      </c>
      <c r="BJ503">
        <f t="shared" si="160"/>
        <v>0</v>
      </c>
      <c r="BK503" t="str">
        <f t="shared" si="160"/>
        <v>Welker</v>
      </c>
      <c r="BL503">
        <f t="shared" si="160"/>
        <v>0</v>
      </c>
      <c r="BM503">
        <f t="shared" si="160"/>
        <v>0</v>
      </c>
      <c r="BN503">
        <f t="shared" si="160"/>
        <v>0</v>
      </c>
      <c r="BO503">
        <f t="shared" si="160"/>
        <v>0</v>
      </c>
      <c r="BP503" t="str">
        <f t="shared" si="160"/>
        <v>Deoteris</v>
      </c>
      <c r="BQ503">
        <f t="shared" si="160"/>
        <v>0</v>
      </c>
      <c r="BR503">
        <f t="shared" si="160"/>
        <v>0</v>
      </c>
      <c r="BS503">
        <f t="shared" si="160"/>
        <v>0</v>
      </c>
    </row>
    <row r="504" spans="2:71" ht="15" customHeight="1" x14ac:dyDescent="0.2">
      <c r="B504">
        <v>15</v>
      </c>
      <c r="C504">
        <v>3</v>
      </c>
      <c r="D504">
        <v>8</v>
      </c>
      <c r="E504" t="s">
        <v>414</v>
      </c>
      <c r="F504" t="s">
        <v>214</v>
      </c>
      <c r="G504" s="5">
        <v>44414</v>
      </c>
      <c r="H504" t="s">
        <v>97</v>
      </c>
      <c r="I504" t="s">
        <v>396</v>
      </c>
      <c r="J504" t="s">
        <v>216</v>
      </c>
      <c r="K504">
        <v>9</v>
      </c>
      <c r="L504" t="s">
        <v>76</v>
      </c>
      <c r="M504" t="s">
        <v>412</v>
      </c>
      <c r="N504" t="s">
        <v>398</v>
      </c>
      <c r="O504">
        <v>70.5</v>
      </c>
      <c r="P504">
        <v>124</v>
      </c>
      <c r="Q504">
        <v>6587</v>
      </c>
      <c r="R504" t="s">
        <v>98</v>
      </c>
      <c r="S504" t="s">
        <v>80</v>
      </c>
      <c r="T504" t="s">
        <v>83</v>
      </c>
      <c r="U504" t="s">
        <v>62</v>
      </c>
      <c r="V504" t="s">
        <v>45</v>
      </c>
      <c r="W504" t="s">
        <v>399</v>
      </c>
      <c r="Y504" t="s">
        <v>64</v>
      </c>
      <c r="AA504">
        <v>1</v>
      </c>
      <c r="AB504" t="s">
        <v>33</v>
      </c>
      <c r="AC504" t="s">
        <v>174</v>
      </c>
      <c r="AE504" t="str">
        <f t="shared" si="142"/>
        <v>ConnollyDelneky</v>
      </c>
      <c r="AF504">
        <v>0</v>
      </c>
      <c r="AG504">
        <v>0</v>
      </c>
      <c r="AH504">
        <v>1</v>
      </c>
      <c r="AI504">
        <v>0</v>
      </c>
      <c r="AJ504">
        <v>0</v>
      </c>
      <c r="AK504" t="s">
        <v>55</v>
      </c>
      <c r="AL504">
        <v>0.44067796610169502</v>
      </c>
      <c r="AM504" t="s">
        <v>42</v>
      </c>
      <c r="AN504">
        <v>0.6171875</v>
      </c>
      <c r="AO504">
        <f t="shared" si="158"/>
        <v>0</v>
      </c>
      <c r="AP504">
        <f t="shared" si="158"/>
        <v>0</v>
      </c>
      <c r="AQ504">
        <f t="shared" si="158"/>
        <v>0</v>
      </c>
      <c r="AR504">
        <f t="shared" si="158"/>
        <v>0</v>
      </c>
      <c r="AS504">
        <f t="shared" si="158"/>
        <v>0</v>
      </c>
      <c r="AT504" t="str">
        <f t="shared" si="158"/>
        <v>Connolly</v>
      </c>
      <c r="AU504">
        <f t="shared" si="158"/>
        <v>0</v>
      </c>
      <c r="AV504">
        <f t="shared" si="158"/>
        <v>0</v>
      </c>
      <c r="AW504">
        <f t="shared" si="158"/>
        <v>0</v>
      </c>
      <c r="AX504">
        <f t="shared" si="158"/>
        <v>0</v>
      </c>
      <c r="AY504">
        <f t="shared" si="159"/>
        <v>0</v>
      </c>
      <c r="AZ504">
        <f t="shared" si="159"/>
        <v>0</v>
      </c>
      <c r="BA504">
        <f t="shared" si="159"/>
        <v>0</v>
      </c>
      <c r="BB504">
        <f t="shared" si="159"/>
        <v>0</v>
      </c>
      <c r="BC504">
        <f t="shared" si="159"/>
        <v>0</v>
      </c>
      <c r="BD504">
        <f t="shared" si="159"/>
        <v>0</v>
      </c>
      <c r="BE504">
        <f t="shared" si="159"/>
        <v>0</v>
      </c>
      <c r="BF504">
        <f t="shared" si="159"/>
        <v>0</v>
      </c>
      <c r="BG504">
        <f t="shared" si="159"/>
        <v>0</v>
      </c>
      <c r="BH504">
        <f t="shared" si="159"/>
        <v>0</v>
      </c>
      <c r="BI504">
        <f t="shared" si="160"/>
        <v>0</v>
      </c>
      <c r="BJ504">
        <f t="shared" si="160"/>
        <v>0</v>
      </c>
      <c r="BK504">
        <f t="shared" si="160"/>
        <v>0</v>
      </c>
      <c r="BL504">
        <f t="shared" si="160"/>
        <v>0</v>
      </c>
      <c r="BM504" t="str">
        <f t="shared" si="160"/>
        <v>Delneky</v>
      </c>
      <c r="BN504">
        <f t="shared" si="160"/>
        <v>0</v>
      </c>
      <c r="BO504">
        <f t="shared" si="160"/>
        <v>0</v>
      </c>
      <c r="BP504">
        <f t="shared" si="160"/>
        <v>0</v>
      </c>
      <c r="BQ504">
        <f t="shared" si="160"/>
        <v>0</v>
      </c>
      <c r="BR504">
        <f t="shared" si="160"/>
        <v>0</v>
      </c>
      <c r="BS504">
        <f t="shared" si="160"/>
        <v>0</v>
      </c>
    </row>
    <row r="505" spans="2:71" ht="15" customHeight="1" x14ac:dyDescent="0.2">
      <c r="B505">
        <v>15</v>
      </c>
      <c r="C505">
        <v>3</v>
      </c>
      <c r="D505">
        <v>8</v>
      </c>
      <c r="E505" t="s">
        <v>414</v>
      </c>
      <c r="F505" t="s">
        <v>214</v>
      </c>
      <c r="G505" s="5">
        <v>44414</v>
      </c>
      <c r="H505" t="s">
        <v>97</v>
      </c>
      <c r="I505" t="s">
        <v>396</v>
      </c>
      <c r="J505" t="s">
        <v>216</v>
      </c>
      <c r="K505">
        <v>9</v>
      </c>
      <c r="L505" t="s">
        <v>76</v>
      </c>
      <c r="M505" t="s">
        <v>412</v>
      </c>
      <c r="N505" t="s">
        <v>398</v>
      </c>
      <c r="O505">
        <v>70.5</v>
      </c>
      <c r="P505">
        <v>124</v>
      </c>
      <c r="Q505">
        <v>6587</v>
      </c>
      <c r="R505" t="s">
        <v>98</v>
      </c>
      <c r="S505" t="s">
        <v>80</v>
      </c>
      <c r="T505" t="s">
        <v>83</v>
      </c>
      <c r="U505" t="s">
        <v>44</v>
      </c>
      <c r="V505" t="s">
        <v>55</v>
      </c>
      <c r="W505" t="s">
        <v>125</v>
      </c>
      <c r="Y505" t="s">
        <v>42</v>
      </c>
      <c r="AA505">
        <v>1</v>
      </c>
      <c r="AB505" t="s">
        <v>32</v>
      </c>
      <c r="AC505" t="s">
        <v>174</v>
      </c>
      <c r="AE505" t="str">
        <f t="shared" si="142"/>
        <v>ColeJackson</v>
      </c>
      <c r="AF505">
        <v>1</v>
      </c>
      <c r="AG505">
        <v>1</v>
      </c>
      <c r="AH505">
        <v>0</v>
      </c>
      <c r="AI505">
        <v>0</v>
      </c>
      <c r="AJ505">
        <v>1</v>
      </c>
      <c r="AK505" t="s">
        <v>45</v>
      </c>
      <c r="AL505">
        <v>0.59375</v>
      </c>
      <c r="AM505" t="s">
        <v>64</v>
      </c>
      <c r="AN505">
        <v>0.65909090909090895</v>
      </c>
      <c r="AO505">
        <f t="shared" si="158"/>
        <v>0</v>
      </c>
      <c r="AP505">
        <f t="shared" si="158"/>
        <v>0</v>
      </c>
      <c r="AQ505" t="str">
        <f t="shared" si="158"/>
        <v>Jackson</v>
      </c>
      <c r="AR505">
        <f t="shared" si="158"/>
        <v>0</v>
      </c>
      <c r="AS505">
        <f t="shared" si="158"/>
        <v>0</v>
      </c>
      <c r="AT505">
        <f t="shared" si="158"/>
        <v>0</v>
      </c>
      <c r="AU505">
        <f t="shared" si="158"/>
        <v>0</v>
      </c>
      <c r="AV505">
        <f t="shared" si="158"/>
        <v>0</v>
      </c>
      <c r="AW505">
        <f t="shared" si="158"/>
        <v>0</v>
      </c>
      <c r="AX505">
        <f t="shared" si="158"/>
        <v>0</v>
      </c>
      <c r="AY505">
        <f t="shared" si="159"/>
        <v>0</v>
      </c>
      <c r="AZ505">
        <f t="shared" si="159"/>
        <v>0</v>
      </c>
      <c r="BA505">
        <f t="shared" si="159"/>
        <v>0</v>
      </c>
      <c r="BB505">
        <f t="shared" si="159"/>
        <v>0</v>
      </c>
      <c r="BC505">
        <f t="shared" si="159"/>
        <v>0</v>
      </c>
      <c r="BD505" t="str">
        <f t="shared" si="159"/>
        <v>Cole</v>
      </c>
      <c r="BE505">
        <f t="shared" si="159"/>
        <v>0</v>
      </c>
      <c r="BF505">
        <f t="shared" si="159"/>
        <v>0</v>
      </c>
      <c r="BG505">
        <f t="shared" si="159"/>
        <v>0</v>
      </c>
      <c r="BH505">
        <f t="shared" si="159"/>
        <v>0</v>
      </c>
      <c r="BI505">
        <f t="shared" si="160"/>
        <v>0</v>
      </c>
      <c r="BJ505">
        <f t="shared" si="160"/>
        <v>0</v>
      </c>
      <c r="BK505">
        <f t="shared" si="160"/>
        <v>0</v>
      </c>
      <c r="BL505">
        <f t="shared" si="160"/>
        <v>0</v>
      </c>
      <c r="BM505">
        <f t="shared" si="160"/>
        <v>0</v>
      </c>
      <c r="BN505">
        <f t="shared" si="160"/>
        <v>0</v>
      </c>
      <c r="BO505">
        <f t="shared" si="160"/>
        <v>0</v>
      </c>
      <c r="BP505">
        <f t="shared" si="160"/>
        <v>0</v>
      </c>
      <c r="BQ505">
        <f t="shared" si="160"/>
        <v>0</v>
      </c>
      <c r="BR505">
        <f t="shared" si="160"/>
        <v>0</v>
      </c>
      <c r="BS505">
        <f t="shared" si="160"/>
        <v>0</v>
      </c>
    </row>
    <row r="506" spans="2:71" ht="15" customHeight="1" x14ac:dyDescent="0.2">
      <c r="B506">
        <v>16</v>
      </c>
      <c r="C506">
        <v>4</v>
      </c>
      <c r="D506">
        <v>8</v>
      </c>
      <c r="E506" t="s">
        <v>415</v>
      </c>
      <c r="F506" t="s">
        <v>214</v>
      </c>
      <c r="G506" s="5">
        <v>44414</v>
      </c>
      <c r="H506" t="s">
        <v>97</v>
      </c>
      <c r="I506" t="s">
        <v>396</v>
      </c>
      <c r="J506" t="s">
        <v>216</v>
      </c>
      <c r="K506">
        <v>9</v>
      </c>
      <c r="L506" t="s">
        <v>76</v>
      </c>
      <c r="M506" t="s">
        <v>412</v>
      </c>
      <c r="N506" t="s">
        <v>398</v>
      </c>
      <c r="O506">
        <v>70.5</v>
      </c>
      <c r="P506">
        <v>124</v>
      </c>
      <c r="Q506">
        <v>6587</v>
      </c>
      <c r="R506" t="s">
        <v>98</v>
      </c>
      <c r="S506" t="s">
        <v>80</v>
      </c>
      <c r="T506" t="s">
        <v>83</v>
      </c>
      <c r="U506" t="s">
        <v>44</v>
      </c>
      <c r="V506" t="s">
        <v>65</v>
      </c>
      <c r="W506" t="s">
        <v>125</v>
      </c>
      <c r="Y506" t="s">
        <v>49</v>
      </c>
      <c r="AA506">
        <v>1</v>
      </c>
      <c r="AB506" t="s">
        <v>33</v>
      </c>
      <c r="AC506" t="s">
        <v>371</v>
      </c>
      <c r="AE506" t="str">
        <f t="shared" si="142"/>
        <v>PiegariShively</v>
      </c>
      <c r="AF506">
        <v>0</v>
      </c>
      <c r="AG506">
        <v>0</v>
      </c>
      <c r="AH506">
        <v>1</v>
      </c>
      <c r="AI506">
        <v>0</v>
      </c>
      <c r="AJ506">
        <v>0</v>
      </c>
      <c r="AK506" t="s">
        <v>63</v>
      </c>
      <c r="AL506">
        <v>0.46551724137931</v>
      </c>
      <c r="AM506" t="s">
        <v>41</v>
      </c>
      <c r="AN506">
        <v>0.47321428571428598</v>
      </c>
      <c r="AO506">
        <f t="shared" si="158"/>
        <v>0</v>
      </c>
      <c r="AP506">
        <f t="shared" si="158"/>
        <v>0</v>
      </c>
      <c r="AQ506">
        <f t="shared" si="158"/>
        <v>0</v>
      </c>
      <c r="AR506">
        <f t="shared" si="158"/>
        <v>0</v>
      </c>
      <c r="AS506">
        <f t="shared" si="158"/>
        <v>0</v>
      </c>
      <c r="AT506">
        <f t="shared" si="158"/>
        <v>0</v>
      </c>
      <c r="AU506">
        <f t="shared" si="158"/>
        <v>0</v>
      </c>
      <c r="AV506">
        <f t="shared" si="158"/>
        <v>0</v>
      </c>
      <c r="AW506">
        <f t="shared" si="158"/>
        <v>0</v>
      </c>
      <c r="AX506" t="str">
        <f t="shared" si="158"/>
        <v>Shively</v>
      </c>
      <c r="AY506">
        <f t="shared" si="159"/>
        <v>0</v>
      </c>
      <c r="AZ506">
        <f t="shared" si="159"/>
        <v>0</v>
      </c>
      <c r="BA506">
        <f t="shared" si="159"/>
        <v>0</v>
      </c>
      <c r="BB506">
        <f t="shared" si="159"/>
        <v>0</v>
      </c>
      <c r="BC506">
        <f t="shared" si="159"/>
        <v>0</v>
      </c>
      <c r="BD506">
        <f t="shared" si="159"/>
        <v>0</v>
      </c>
      <c r="BE506">
        <f t="shared" si="159"/>
        <v>0</v>
      </c>
      <c r="BF506">
        <f t="shared" si="159"/>
        <v>0</v>
      </c>
      <c r="BG506">
        <f t="shared" si="159"/>
        <v>0</v>
      </c>
      <c r="BH506">
        <f t="shared" si="159"/>
        <v>0</v>
      </c>
      <c r="BI506">
        <f t="shared" si="160"/>
        <v>0</v>
      </c>
      <c r="BJ506">
        <f t="shared" si="160"/>
        <v>0</v>
      </c>
      <c r="BK506">
        <f t="shared" si="160"/>
        <v>0</v>
      </c>
      <c r="BL506">
        <f t="shared" si="160"/>
        <v>0</v>
      </c>
      <c r="BM506">
        <f t="shared" si="160"/>
        <v>0</v>
      </c>
      <c r="BN506" t="str">
        <f t="shared" si="160"/>
        <v>Piegari</v>
      </c>
      <c r="BO506">
        <f t="shared" si="160"/>
        <v>0</v>
      </c>
      <c r="BP506">
        <f t="shared" si="160"/>
        <v>0</v>
      </c>
      <c r="BQ506">
        <f t="shared" si="160"/>
        <v>0</v>
      </c>
      <c r="BR506">
        <f t="shared" si="160"/>
        <v>0</v>
      </c>
      <c r="BS506">
        <f t="shared" si="160"/>
        <v>0</v>
      </c>
    </row>
    <row r="507" spans="2:71" ht="15" customHeight="1" x14ac:dyDescent="0.2">
      <c r="B507">
        <v>16</v>
      </c>
      <c r="C507">
        <v>4</v>
      </c>
      <c r="D507">
        <v>8</v>
      </c>
      <c r="E507" t="s">
        <v>415</v>
      </c>
      <c r="F507" t="s">
        <v>214</v>
      </c>
      <c r="G507" s="5">
        <v>44414</v>
      </c>
      <c r="H507" t="s">
        <v>97</v>
      </c>
      <c r="I507" t="s">
        <v>396</v>
      </c>
      <c r="J507" t="s">
        <v>216</v>
      </c>
      <c r="K507">
        <v>9</v>
      </c>
      <c r="L507" t="s">
        <v>76</v>
      </c>
      <c r="M507" t="s">
        <v>412</v>
      </c>
      <c r="N507" t="s">
        <v>398</v>
      </c>
      <c r="O507">
        <v>70.5</v>
      </c>
      <c r="P507">
        <v>124</v>
      </c>
      <c r="Q507">
        <v>6587</v>
      </c>
      <c r="R507" t="s">
        <v>98</v>
      </c>
      <c r="S507" t="s">
        <v>80</v>
      </c>
      <c r="T507" t="s">
        <v>83</v>
      </c>
      <c r="U507" t="s">
        <v>62</v>
      </c>
      <c r="V507" t="s">
        <v>63</v>
      </c>
      <c r="W507" t="s">
        <v>399</v>
      </c>
      <c r="Y507" t="s">
        <v>41</v>
      </c>
      <c r="AA507">
        <v>1</v>
      </c>
      <c r="AB507" t="s">
        <v>32</v>
      </c>
      <c r="AC507" t="s">
        <v>371</v>
      </c>
      <c r="AE507" t="str">
        <f t="shared" si="142"/>
        <v>DelaneyHilts</v>
      </c>
      <c r="AF507">
        <v>1</v>
      </c>
      <c r="AG507">
        <v>1</v>
      </c>
      <c r="AH507">
        <v>0</v>
      </c>
      <c r="AI507">
        <v>0</v>
      </c>
      <c r="AJ507">
        <v>1</v>
      </c>
      <c r="AK507" t="s">
        <v>65</v>
      </c>
      <c r="AL507">
        <v>0.33333333333333298</v>
      </c>
      <c r="AM507" t="s">
        <v>49</v>
      </c>
      <c r="AO507">
        <f t="shared" si="158"/>
        <v>0</v>
      </c>
      <c r="AP507" t="str">
        <f t="shared" si="158"/>
        <v>Hilts</v>
      </c>
      <c r="AQ507">
        <f t="shared" si="158"/>
        <v>0</v>
      </c>
      <c r="AR507">
        <f t="shared" si="158"/>
        <v>0</v>
      </c>
      <c r="AS507">
        <f t="shared" si="158"/>
        <v>0</v>
      </c>
      <c r="AT507">
        <f t="shared" si="158"/>
        <v>0</v>
      </c>
      <c r="AU507">
        <f t="shared" si="158"/>
        <v>0</v>
      </c>
      <c r="AV507">
        <f t="shared" si="158"/>
        <v>0</v>
      </c>
      <c r="AW507">
        <f t="shared" si="158"/>
        <v>0</v>
      </c>
      <c r="AX507">
        <f t="shared" si="158"/>
        <v>0</v>
      </c>
      <c r="AY507">
        <f t="shared" si="159"/>
        <v>0</v>
      </c>
      <c r="AZ507">
        <f t="shared" si="159"/>
        <v>0</v>
      </c>
      <c r="BA507">
        <f t="shared" si="159"/>
        <v>0</v>
      </c>
      <c r="BB507">
        <f t="shared" si="159"/>
        <v>0</v>
      </c>
      <c r="BC507">
        <f t="shared" si="159"/>
        <v>0</v>
      </c>
      <c r="BD507">
        <f t="shared" si="159"/>
        <v>0</v>
      </c>
      <c r="BE507">
        <f t="shared" si="159"/>
        <v>0</v>
      </c>
      <c r="BF507">
        <f t="shared" si="159"/>
        <v>0</v>
      </c>
      <c r="BG507">
        <f t="shared" si="159"/>
        <v>0</v>
      </c>
      <c r="BH507">
        <f t="shared" si="159"/>
        <v>0</v>
      </c>
      <c r="BI507">
        <f t="shared" si="160"/>
        <v>0</v>
      </c>
      <c r="BJ507">
        <f t="shared" si="160"/>
        <v>0</v>
      </c>
      <c r="BK507">
        <f t="shared" si="160"/>
        <v>0</v>
      </c>
      <c r="BL507" t="str">
        <f t="shared" si="160"/>
        <v>Delaney</v>
      </c>
      <c r="BM507">
        <f t="shared" si="160"/>
        <v>0</v>
      </c>
      <c r="BN507">
        <f t="shared" si="160"/>
        <v>0</v>
      </c>
      <c r="BO507">
        <f t="shared" si="160"/>
        <v>0</v>
      </c>
      <c r="BP507">
        <f t="shared" si="160"/>
        <v>0</v>
      </c>
      <c r="BQ507">
        <f t="shared" si="160"/>
        <v>0</v>
      </c>
      <c r="BR507">
        <f t="shared" si="160"/>
        <v>0</v>
      </c>
      <c r="BS507">
        <f t="shared" si="160"/>
        <v>0</v>
      </c>
    </row>
    <row r="508" spans="2:71" ht="15" customHeight="1" x14ac:dyDescent="0.2">
      <c r="B508">
        <v>17</v>
      </c>
      <c r="C508">
        <v>5</v>
      </c>
      <c r="D508">
        <v>8</v>
      </c>
      <c r="E508" t="s">
        <v>416</v>
      </c>
      <c r="F508" t="s">
        <v>214</v>
      </c>
      <c r="G508" s="5">
        <v>44414</v>
      </c>
      <c r="H508" t="s">
        <v>97</v>
      </c>
      <c r="I508" t="s">
        <v>396</v>
      </c>
      <c r="J508" t="s">
        <v>216</v>
      </c>
      <c r="K508">
        <v>9</v>
      </c>
      <c r="L508" t="s">
        <v>76</v>
      </c>
      <c r="M508" t="s">
        <v>412</v>
      </c>
      <c r="N508" t="s">
        <v>398</v>
      </c>
      <c r="O508">
        <v>70.5</v>
      </c>
      <c r="P508">
        <v>124</v>
      </c>
      <c r="Q508">
        <v>6587</v>
      </c>
      <c r="R508" t="s">
        <v>98</v>
      </c>
      <c r="S508" t="s">
        <v>80</v>
      </c>
      <c r="T508" t="s">
        <v>83</v>
      </c>
      <c r="U508" t="s">
        <v>62</v>
      </c>
      <c r="V508" t="s">
        <v>52</v>
      </c>
      <c r="W508" t="s">
        <v>399</v>
      </c>
      <c r="Y508" t="s">
        <v>66</v>
      </c>
      <c r="AA508">
        <v>1</v>
      </c>
      <c r="AB508" t="s">
        <v>32</v>
      </c>
      <c r="AC508" t="s">
        <v>174</v>
      </c>
      <c r="AE508" t="str">
        <f t="shared" si="142"/>
        <v>ConnorsPerkins</v>
      </c>
      <c r="AF508">
        <v>1</v>
      </c>
      <c r="AG508">
        <v>1</v>
      </c>
      <c r="AH508">
        <v>0</v>
      </c>
      <c r="AI508">
        <v>0</v>
      </c>
      <c r="AJ508">
        <v>1</v>
      </c>
      <c r="AK508" t="s">
        <v>44</v>
      </c>
      <c r="AL508">
        <v>0.4296875</v>
      </c>
      <c r="AM508" t="s">
        <v>54</v>
      </c>
      <c r="AN508">
        <v>0.37288135593220301</v>
      </c>
      <c r="AO508">
        <f t="shared" si="158"/>
        <v>0</v>
      </c>
      <c r="AP508">
        <f t="shared" si="158"/>
        <v>0</v>
      </c>
      <c r="AQ508">
        <f t="shared" si="158"/>
        <v>0</v>
      </c>
      <c r="AR508">
        <f t="shared" si="158"/>
        <v>0</v>
      </c>
      <c r="AS508">
        <f t="shared" si="158"/>
        <v>0</v>
      </c>
      <c r="AT508">
        <f t="shared" si="158"/>
        <v>0</v>
      </c>
      <c r="AU508">
        <f t="shared" si="158"/>
        <v>0</v>
      </c>
      <c r="AV508">
        <f t="shared" si="158"/>
        <v>0</v>
      </c>
      <c r="AW508">
        <f t="shared" si="158"/>
        <v>0</v>
      </c>
      <c r="AX508">
        <f t="shared" si="158"/>
        <v>0</v>
      </c>
      <c r="AY508">
        <f t="shared" si="159"/>
        <v>0</v>
      </c>
      <c r="AZ508">
        <f t="shared" si="159"/>
        <v>0</v>
      </c>
      <c r="BA508" t="str">
        <f t="shared" si="159"/>
        <v>Connors</v>
      </c>
      <c r="BB508">
        <f t="shared" si="159"/>
        <v>0</v>
      </c>
      <c r="BC508">
        <f t="shared" si="159"/>
        <v>0</v>
      </c>
      <c r="BD508">
        <f t="shared" si="159"/>
        <v>0</v>
      </c>
      <c r="BE508">
        <f t="shared" si="159"/>
        <v>0</v>
      </c>
      <c r="BF508">
        <f t="shared" si="159"/>
        <v>0</v>
      </c>
      <c r="BG508">
        <f t="shared" si="159"/>
        <v>0</v>
      </c>
      <c r="BH508">
        <f t="shared" si="159"/>
        <v>0</v>
      </c>
      <c r="BI508">
        <f t="shared" si="160"/>
        <v>0</v>
      </c>
      <c r="BJ508">
        <f t="shared" si="160"/>
        <v>0</v>
      </c>
      <c r="BK508">
        <f t="shared" si="160"/>
        <v>0</v>
      </c>
      <c r="BL508">
        <f t="shared" si="160"/>
        <v>0</v>
      </c>
      <c r="BM508">
        <f t="shared" si="160"/>
        <v>0</v>
      </c>
      <c r="BN508">
        <f t="shared" si="160"/>
        <v>0</v>
      </c>
      <c r="BO508" t="str">
        <f t="shared" si="160"/>
        <v>Perkins</v>
      </c>
      <c r="BP508">
        <f t="shared" si="160"/>
        <v>0</v>
      </c>
      <c r="BQ508">
        <f t="shared" si="160"/>
        <v>0</v>
      </c>
      <c r="BR508">
        <f t="shared" si="160"/>
        <v>0</v>
      </c>
      <c r="BS508">
        <f t="shared" si="160"/>
        <v>0</v>
      </c>
    </row>
    <row r="509" spans="2:71" ht="15" customHeight="1" x14ac:dyDescent="0.2">
      <c r="B509">
        <v>17</v>
      </c>
      <c r="C509">
        <v>5</v>
      </c>
      <c r="D509">
        <v>8</v>
      </c>
      <c r="E509" t="s">
        <v>416</v>
      </c>
      <c r="F509" t="s">
        <v>214</v>
      </c>
      <c r="G509" s="5">
        <v>44414</v>
      </c>
      <c r="H509" t="s">
        <v>97</v>
      </c>
      <c r="I509" t="s">
        <v>396</v>
      </c>
      <c r="J509" t="s">
        <v>216</v>
      </c>
      <c r="K509">
        <v>9</v>
      </c>
      <c r="L509" t="s">
        <v>76</v>
      </c>
      <c r="M509" t="s">
        <v>412</v>
      </c>
      <c r="N509" t="s">
        <v>398</v>
      </c>
      <c r="O509">
        <v>70.5</v>
      </c>
      <c r="P509">
        <v>124</v>
      </c>
      <c r="Q509">
        <v>6587</v>
      </c>
      <c r="R509" t="s">
        <v>98</v>
      </c>
      <c r="S509" t="s">
        <v>80</v>
      </c>
      <c r="T509" t="s">
        <v>83</v>
      </c>
      <c r="U509" t="s">
        <v>44</v>
      </c>
      <c r="V509" t="s">
        <v>44</v>
      </c>
      <c r="W509" t="s">
        <v>125</v>
      </c>
      <c r="Y509" t="s">
        <v>54</v>
      </c>
      <c r="AA509">
        <v>1</v>
      </c>
      <c r="AB509" t="s">
        <v>33</v>
      </c>
      <c r="AC509" t="s">
        <v>174</v>
      </c>
      <c r="AE509" t="str">
        <f t="shared" si="142"/>
        <v>FlandersFogan</v>
      </c>
      <c r="AF509">
        <v>0</v>
      </c>
      <c r="AG509">
        <v>0</v>
      </c>
      <c r="AH509">
        <v>1</v>
      </c>
      <c r="AI509">
        <v>0</v>
      </c>
      <c r="AJ509">
        <v>0</v>
      </c>
      <c r="AK509" t="s">
        <v>52</v>
      </c>
      <c r="AL509">
        <v>0.34745762711864397</v>
      </c>
      <c r="AM509" t="s">
        <v>66</v>
      </c>
      <c r="AN509">
        <v>0.63888888888888895</v>
      </c>
      <c r="AO509">
        <f t="shared" si="158"/>
        <v>0</v>
      </c>
      <c r="AP509">
        <f t="shared" si="158"/>
        <v>0</v>
      </c>
      <c r="AQ509">
        <f t="shared" si="158"/>
        <v>0</v>
      </c>
      <c r="AR509">
        <f t="shared" si="158"/>
        <v>0</v>
      </c>
      <c r="AS509" t="str">
        <f t="shared" si="158"/>
        <v>Flanders</v>
      </c>
      <c r="AT509">
        <f t="shared" si="158"/>
        <v>0</v>
      </c>
      <c r="AU509">
        <f t="shared" si="158"/>
        <v>0</v>
      </c>
      <c r="AV509">
        <f t="shared" si="158"/>
        <v>0</v>
      </c>
      <c r="AW509">
        <f t="shared" si="158"/>
        <v>0</v>
      </c>
      <c r="AX509">
        <f t="shared" si="158"/>
        <v>0</v>
      </c>
      <c r="AY509">
        <f t="shared" si="159"/>
        <v>0</v>
      </c>
      <c r="AZ509">
        <f t="shared" si="159"/>
        <v>0</v>
      </c>
      <c r="BA509">
        <f t="shared" si="159"/>
        <v>0</v>
      </c>
      <c r="BB509">
        <f t="shared" si="159"/>
        <v>0</v>
      </c>
      <c r="BC509" t="str">
        <f t="shared" si="159"/>
        <v>Fogan</v>
      </c>
      <c r="BD509">
        <f t="shared" si="159"/>
        <v>0</v>
      </c>
      <c r="BE509">
        <f t="shared" si="159"/>
        <v>0</v>
      </c>
      <c r="BF509">
        <f t="shared" si="159"/>
        <v>0</v>
      </c>
      <c r="BG509">
        <f t="shared" si="159"/>
        <v>0</v>
      </c>
      <c r="BH509">
        <f t="shared" si="159"/>
        <v>0</v>
      </c>
      <c r="BI509">
        <f t="shared" si="160"/>
        <v>0</v>
      </c>
      <c r="BJ509">
        <f t="shared" si="160"/>
        <v>0</v>
      </c>
      <c r="BK509">
        <f t="shared" si="160"/>
        <v>0</v>
      </c>
      <c r="BL509">
        <f t="shared" si="160"/>
        <v>0</v>
      </c>
      <c r="BM509">
        <f t="shared" si="160"/>
        <v>0</v>
      </c>
      <c r="BN509">
        <f t="shared" si="160"/>
        <v>0</v>
      </c>
      <c r="BO509">
        <f t="shared" si="160"/>
        <v>0</v>
      </c>
      <c r="BP509">
        <f t="shared" si="160"/>
        <v>0</v>
      </c>
      <c r="BQ509">
        <f t="shared" si="160"/>
        <v>0</v>
      </c>
      <c r="BR509">
        <f t="shared" si="160"/>
        <v>0</v>
      </c>
      <c r="BS509">
        <f t="shared" si="160"/>
        <v>0</v>
      </c>
    </row>
    <row r="510" spans="2:71" ht="15" customHeight="1" x14ac:dyDescent="0.2">
      <c r="B510">
        <v>18</v>
      </c>
      <c r="C510">
        <v>6</v>
      </c>
      <c r="D510">
        <v>8</v>
      </c>
      <c r="E510" t="s">
        <v>417</v>
      </c>
      <c r="F510" t="s">
        <v>214</v>
      </c>
      <c r="G510" s="5">
        <v>44414</v>
      </c>
      <c r="H510" t="s">
        <v>97</v>
      </c>
      <c r="I510" t="s">
        <v>396</v>
      </c>
      <c r="J510" t="s">
        <v>216</v>
      </c>
      <c r="K510">
        <v>9</v>
      </c>
      <c r="L510" t="s">
        <v>76</v>
      </c>
      <c r="M510" t="s">
        <v>412</v>
      </c>
      <c r="N510" t="s">
        <v>398</v>
      </c>
      <c r="O510">
        <v>70.5</v>
      </c>
      <c r="P510">
        <v>124</v>
      </c>
      <c r="Q510">
        <v>6587</v>
      </c>
      <c r="R510" t="s">
        <v>98</v>
      </c>
      <c r="S510" t="s">
        <v>80</v>
      </c>
      <c r="T510" t="s">
        <v>83</v>
      </c>
      <c r="U510" t="s">
        <v>44</v>
      </c>
      <c r="V510" t="s">
        <v>48</v>
      </c>
      <c r="W510" t="s">
        <v>125</v>
      </c>
      <c r="Y510" t="s">
        <v>46</v>
      </c>
      <c r="AA510">
        <v>1</v>
      </c>
      <c r="AB510" t="s">
        <v>33</v>
      </c>
      <c r="AC510" t="s">
        <v>221</v>
      </c>
      <c r="AE510" t="str">
        <f t="shared" si="142"/>
        <v>LynchMangold</v>
      </c>
      <c r="AF510">
        <v>0</v>
      </c>
      <c r="AG510">
        <v>0</v>
      </c>
      <c r="AH510">
        <v>1</v>
      </c>
      <c r="AI510">
        <v>0</v>
      </c>
      <c r="AJ510">
        <v>0</v>
      </c>
      <c r="AK510" t="s">
        <v>50</v>
      </c>
      <c r="AL510">
        <v>0.59523809523809501</v>
      </c>
      <c r="AM510" t="s">
        <v>40</v>
      </c>
      <c r="AN510">
        <v>0.546875</v>
      </c>
      <c r="AO510">
        <f t="shared" si="158"/>
        <v>0</v>
      </c>
      <c r="AP510">
        <f t="shared" si="158"/>
        <v>0</v>
      </c>
      <c r="AQ510">
        <f t="shared" si="158"/>
        <v>0</v>
      </c>
      <c r="AR510">
        <f t="shared" si="158"/>
        <v>0</v>
      </c>
      <c r="AS510">
        <f t="shared" si="158"/>
        <v>0</v>
      </c>
      <c r="AT510">
        <f t="shared" si="158"/>
        <v>0</v>
      </c>
      <c r="AU510" t="str">
        <f t="shared" si="158"/>
        <v>Mangold</v>
      </c>
      <c r="AV510">
        <f t="shared" si="158"/>
        <v>0</v>
      </c>
      <c r="AW510" t="str">
        <f t="shared" si="158"/>
        <v>Lynch</v>
      </c>
      <c r="AX510">
        <f t="shared" si="158"/>
        <v>0</v>
      </c>
      <c r="AY510">
        <f t="shared" si="159"/>
        <v>0</v>
      </c>
      <c r="AZ510">
        <f t="shared" si="159"/>
        <v>0</v>
      </c>
      <c r="BA510">
        <f t="shared" si="159"/>
        <v>0</v>
      </c>
      <c r="BB510">
        <f t="shared" si="159"/>
        <v>0</v>
      </c>
      <c r="BC510">
        <f t="shared" si="159"/>
        <v>0</v>
      </c>
      <c r="BD510">
        <f t="shared" si="159"/>
        <v>0</v>
      </c>
      <c r="BE510">
        <f t="shared" si="159"/>
        <v>0</v>
      </c>
      <c r="BF510">
        <f t="shared" si="159"/>
        <v>0</v>
      </c>
      <c r="BG510">
        <f t="shared" si="159"/>
        <v>0</v>
      </c>
      <c r="BH510">
        <f t="shared" si="159"/>
        <v>0</v>
      </c>
      <c r="BI510">
        <f t="shared" si="160"/>
        <v>0</v>
      </c>
      <c r="BJ510">
        <f t="shared" si="160"/>
        <v>0</v>
      </c>
      <c r="BK510">
        <f t="shared" si="160"/>
        <v>0</v>
      </c>
      <c r="BL510">
        <f t="shared" si="160"/>
        <v>0</v>
      </c>
      <c r="BM510">
        <f t="shared" si="160"/>
        <v>0</v>
      </c>
      <c r="BN510">
        <f t="shared" si="160"/>
        <v>0</v>
      </c>
      <c r="BO510">
        <f t="shared" si="160"/>
        <v>0</v>
      </c>
      <c r="BP510">
        <f t="shared" si="160"/>
        <v>0</v>
      </c>
      <c r="BQ510">
        <f t="shared" si="160"/>
        <v>0</v>
      </c>
      <c r="BR510">
        <f t="shared" si="160"/>
        <v>0</v>
      </c>
      <c r="BS510">
        <f t="shared" si="160"/>
        <v>0</v>
      </c>
    </row>
    <row r="511" spans="2:71" ht="15" customHeight="1" x14ac:dyDescent="0.2">
      <c r="B511">
        <v>18</v>
      </c>
      <c r="C511">
        <v>6</v>
      </c>
      <c r="D511">
        <v>8</v>
      </c>
      <c r="E511" t="s">
        <v>417</v>
      </c>
      <c r="F511" t="s">
        <v>214</v>
      </c>
      <c r="G511" s="5">
        <v>44414</v>
      </c>
      <c r="H511" t="s">
        <v>97</v>
      </c>
      <c r="I511" t="s">
        <v>396</v>
      </c>
      <c r="J511" t="s">
        <v>216</v>
      </c>
      <c r="K511">
        <v>9</v>
      </c>
      <c r="L511" t="s">
        <v>76</v>
      </c>
      <c r="M511" t="s">
        <v>412</v>
      </c>
      <c r="N511" t="s">
        <v>398</v>
      </c>
      <c r="O511">
        <v>70.5</v>
      </c>
      <c r="P511">
        <v>124</v>
      </c>
      <c r="Q511">
        <v>6587</v>
      </c>
      <c r="R511" t="s">
        <v>98</v>
      </c>
      <c r="S511" t="s">
        <v>80</v>
      </c>
      <c r="T511" t="s">
        <v>83</v>
      </c>
      <c r="U511" t="s">
        <v>62</v>
      </c>
      <c r="V511" t="s">
        <v>50</v>
      </c>
      <c r="W511" t="s">
        <v>399</v>
      </c>
      <c r="Y511" t="s">
        <v>40</v>
      </c>
      <c r="AA511">
        <v>1</v>
      </c>
      <c r="AB511" t="s">
        <v>32</v>
      </c>
      <c r="AC511" t="s">
        <v>221</v>
      </c>
      <c r="AE511" t="str">
        <f t="shared" si="142"/>
        <v>FerrinGrise</v>
      </c>
      <c r="AF511">
        <v>1</v>
      </c>
      <c r="AG511">
        <v>1</v>
      </c>
      <c r="AH511">
        <v>0</v>
      </c>
      <c r="AI511">
        <v>0</v>
      </c>
      <c r="AJ511">
        <v>1</v>
      </c>
      <c r="AK511" t="s">
        <v>48</v>
      </c>
      <c r="AL511">
        <v>0.5546875</v>
      </c>
      <c r="AM511" t="s">
        <v>46</v>
      </c>
      <c r="AN511">
        <v>0.38392857142857201</v>
      </c>
      <c r="AO511" t="str">
        <f t="shared" si="158"/>
        <v>Grise</v>
      </c>
      <c r="AP511">
        <f t="shared" si="158"/>
        <v>0</v>
      </c>
      <c r="AQ511">
        <f t="shared" si="158"/>
        <v>0</v>
      </c>
      <c r="AR511">
        <f t="shared" si="158"/>
        <v>0</v>
      </c>
      <c r="AS511">
        <f t="shared" si="158"/>
        <v>0</v>
      </c>
      <c r="AT511">
        <f t="shared" si="158"/>
        <v>0</v>
      </c>
      <c r="AU511">
        <f t="shared" si="158"/>
        <v>0</v>
      </c>
      <c r="AV511">
        <f t="shared" si="158"/>
        <v>0</v>
      </c>
      <c r="AW511">
        <f t="shared" si="158"/>
        <v>0</v>
      </c>
      <c r="AX511">
        <f t="shared" si="158"/>
        <v>0</v>
      </c>
      <c r="AY511" t="str">
        <f t="shared" si="159"/>
        <v>Ferrin</v>
      </c>
      <c r="AZ511">
        <f t="shared" si="159"/>
        <v>0</v>
      </c>
      <c r="BA511">
        <f t="shared" si="159"/>
        <v>0</v>
      </c>
      <c r="BB511">
        <f t="shared" si="159"/>
        <v>0</v>
      </c>
      <c r="BC511">
        <f t="shared" si="159"/>
        <v>0</v>
      </c>
      <c r="BD511">
        <f t="shared" si="159"/>
        <v>0</v>
      </c>
      <c r="BE511">
        <f t="shared" si="159"/>
        <v>0</v>
      </c>
      <c r="BF511">
        <f t="shared" si="159"/>
        <v>0</v>
      </c>
      <c r="BG511">
        <f t="shared" si="159"/>
        <v>0</v>
      </c>
      <c r="BH511">
        <f t="shared" si="159"/>
        <v>0</v>
      </c>
      <c r="BI511">
        <f t="shared" si="160"/>
        <v>0</v>
      </c>
      <c r="BJ511">
        <f t="shared" si="160"/>
        <v>0</v>
      </c>
      <c r="BK511">
        <f t="shared" si="160"/>
        <v>0</v>
      </c>
      <c r="BL511">
        <f t="shared" si="160"/>
        <v>0</v>
      </c>
      <c r="BM511">
        <f t="shared" si="160"/>
        <v>0</v>
      </c>
      <c r="BN511">
        <f t="shared" si="160"/>
        <v>0</v>
      </c>
      <c r="BO511">
        <f t="shared" si="160"/>
        <v>0</v>
      </c>
      <c r="BP511">
        <f t="shared" si="160"/>
        <v>0</v>
      </c>
      <c r="BQ511">
        <f t="shared" si="160"/>
        <v>0</v>
      </c>
      <c r="BR511">
        <f t="shared" si="160"/>
        <v>0</v>
      </c>
      <c r="BS511">
        <f t="shared" si="160"/>
        <v>0</v>
      </c>
    </row>
    <row r="512" spans="2:71" ht="15" customHeight="1" x14ac:dyDescent="0.2">
      <c r="B512">
        <v>19</v>
      </c>
      <c r="C512">
        <v>1</v>
      </c>
      <c r="D512">
        <v>8</v>
      </c>
      <c r="E512" t="s">
        <v>418</v>
      </c>
      <c r="F512" t="s">
        <v>214</v>
      </c>
      <c r="G512" s="5">
        <v>44414</v>
      </c>
      <c r="H512" t="s">
        <v>97</v>
      </c>
      <c r="I512" t="s">
        <v>396</v>
      </c>
      <c r="J512" t="s">
        <v>216</v>
      </c>
      <c r="K512">
        <v>9</v>
      </c>
      <c r="L512" t="s">
        <v>90</v>
      </c>
      <c r="M512" t="s">
        <v>412</v>
      </c>
      <c r="N512" t="s">
        <v>398</v>
      </c>
      <c r="O512">
        <v>70.5</v>
      </c>
      <c r="P512">
        <v>124</v>
      </c>
      <c r="Q512">
        <v>6587</v>
      </c>
      <c r="R512" t="s">
        <v>111</v>
      </c>
      <c r="S512" t="s">
        <v>111</v>
      </c>
      <c r="T512" t="s">
        <v>83</v>
      </c>
      <c r="U512" t="s">
        <v>44</v>
      </c>
      <c r="V512" t="s">
        <v>53</v>
      </c>
      <c r="W512" t="s">
        <v>125</v>
      </c>
      <c r="AA512">
        <v>1</v>
      </c>
      <c r="AB512" t="s">
        <v>33</v>
      </c>
      <c r="AC512" t="s">
        <v>221</v>
      </c>
      <c r="AD512" t="s">
        <v>60</v>
      </c>
      <c r="AE512" t="str">
        <f t="shared" si="142"/>
        <v>Forster</v>
      </c>
      <c r="AF512">
        <v>0</v>
      </c>
      <c r="AG512">
        <v>0</v>
      </c>
      <c r="AH512">
        <v>1</v>
      </c>
      <c r="AI512">
        <v>0</v>
      </c>
      <c r="AJ512">
        <v>0</v>
      </c>
      <c r="AK512" t="s">
        <v>60</v>
      </c>
      <c r="AL512">
        <v>0.5</v>
      </c>
      <c r="AO512">
        <f t="shared" ref="AO512:AX521" si="161">IF(OR($V512=AO$1,$Y512=AO$1),AO$1,0)</f>
        <v>0</v>
      </c>
      <c r="AP512">
        <f t="shared" si="161"/>
        <v>0</v>
      </c>
      <c r="AQ512">
        <f t="shared" si="161"/>
        <v>0</v>
      </c>
      <c r="AR512">
        <f t="shared" si="161"/>
        <v>0</v>
      </c>
      <c r="AS512">
        <f t="shared" si="161"/>
        <v>0</v>
      </c>
      <c r="AT512">
        <f t="shared" si="161"/>
        <v>0</v>
      </c>
      <c r="AU512">
        <f t="shared" si="161"/>
        <v>0</v>
      </c>
      <c r="AV512">
        <f t="shared" si="161"/>
        <v>0</v>
      </c>
      <c r="AW512">
        <f t="shared" si="161"/>
        <v>0</v>
      </c>
      <c r="AX512">
        <f t="shared" si="161"/>
        <v>0</v>
      </c>
      <c r="AY512">
        <f t="shared" ref="AY512:BH521" si="162">IF(OR($V512=AY$1,$Y512=AY$1),AY$1,0)</f>
        <v>0</v>
      </c>
      <c r="AZ512">
        <f t="shared" si="162"/>
        <v>0</v>
      </c>
      <c r="BA512">
        <f t="shared" si="162"/>
        <v>0</v>
      </c>
      <c r="BB512" t="str">
        <f t="shared" si="162"/>
        <v>Forster</v>
      </c>
      <c r="BC512">
        <f t="shared" si="162"/>
        <v>0</v>
      </c>
      <c r="BD512">
        <f t="shared" si="162"/>
        <v>0</v>
      </c>
      <c r="BE512">
        <f t="shared" si="162"/>
        <v>0</v>
      </c>
      <c r="BF512">
        <f t="shared" si="162"/>
        <v>0</v>
      </c>
      <c r="BG512">
        <f t="shared" si="162"/>
        <v>0</v>
      </c>
      <c r="BH512">
        <f t="shared" si="162"/>
        <v>0</v>
      </c>
      <c r="BI512">
        <f t="shared" ref="BI512:BS521" si="163">IF(OR($V512=BI$1,$Y512=BI$1),BI$1,0)</f>
        <v>0</v>
      </c>
      <c r="BJ512">
        <f t="shared" si="163"/>
        <v>0</v>
      </c>
      <c r="BK512">
        <f t="shared" si="163"/>
        <v>0</v>
      </c>
      <c r="BL512">
        <f t="shared" si="163"/>
        <v>0</v>
      </c>
      <c r="BM512">
        <f t="shared" si="163"/>
        <v>0</v>
      </c>
      <c r="BN512">
        <f t="shared" si="163"/>
        <v>0</v>
      </c>
      <c r="BO512">
        <f t="shared" si="163"/>
        <v>0</v>
      </c>
      <c r="BP512">
        <f t="shared" si="163"/>
        <v>0</v>
      </c>
      <c r="BQ512">
        <f t="shared" si="163"/>
        <v>0</v>
      </c>
      <c r="BR512">
        <f t="shared" si="163"/>
        <v>0</v>
      </c>
      <c r="BS512">
        <f t="shared" si="163"/>
        <v>0</v>
      </c>
    </row>
    <row r="513" spans="2:71" ht="15" customHeight="1" x14ac:dyDescent="0.2">
      <c r="B513">
        <v>19</v>
      </c>
      <c r="C513">
        <v>1</v>
      </c>
      <c r="D513">
        <v>8</v>
      </c>
      <c r="E513" t="s">
        <v>418</v>
      </c>
      <c r="F513" t="s">
        <v>214</v>
      </c>
      <c r="G513" s="5">
        <v>44414</v>
      </c>
      <c r="H513" t="s">
        <v>97</v>
      </c>
      <c r="I513" t="s">
        <v>396</v>
      </c>
      <c r="J513" t="s">
        <v>216</v>
      </c>
      <c r="K513">
        <v>9</v>
      </c>
      <c r="L513" t="s">
        <v>90</v>
      </c>
      <c r="M513" t="s">
        <v>412</v>
      </c>
      <c r="N513" t="s">
        <v>398</v>
      </c>
      <c r="O513">
        <v>70.5</v>
      </c>
      <c r="P513">
        <v>124</v>
      </c>
      <c r="Q513">
        <v>6587</v>
      </c>
      <c r="R513" t="s">
        <v>111</v>
      </c>
      <c r="S513" t="s">
        <v>111</v>
      </c>
      <c r="T513" t="s">
        <v>83</v>
      </c>
      <c r="U513" t="s">
        <v>62</v>
      </c>
      <c r="V513" t="s">
        <v>60</v>
      </c>
      <c r="W513" t="s">
        <v>399</v>
      </c>
      <c r="AA513">
        <v>1</v>
      </c>
      <c r="AB513" t="s">
        <v>32</v>
      </c>
      <c r="AC513" t="s">
        <v>221</v>
      </c>
      <c r="AD513" t="s">
        <v>53</v>
      </c>
      <c r="AE513" t="str">
        <f t="shared" si="142"/>
        <v>Zimmer</v>
      </c>
      <c r="AF513">
        <v>1</v>
      </c>
      <c r="AG513">
        <v>1</v>
      </c>
      <c r="AH513">
        <v>0</v>
      </c>
      <c r="AI513">
        <v>0</v>
      </c>
      <c r="AJ513">
        <v>1</v>
      </c>
      <c r="AK513" t="s">
        <v>53</v>
      </c>
      <c r="AL513">
        <v>0.59649122807017496</v>
      </c>
      <c r="AO513">
        <f t="shared" si="161"/>
        <v>0</v>
      </c>
      <c r="AP513">
        <f t="shared" si="161"/>
        <v>0</v>
      </c>
      <c r="AQ513">
        <f t="shared" si="161"/>
        <v>0</v>
      </c>
      <c r="AR513">
        <f t="shared" si="161"/>
        <v>0</v>
      </c>
      <c r="AS513">
        <f t="shared" si="161"/>
        <v>0</v>
      </c>
      <c r="AT513">
        <f t="shared" si="161"/>
        <v>0</v>
      </c>
      <c r="AU513">
        <f t="shared" si="161"/>
        <v>0</v>
      </c>
      <c r="AV513">
        <f t="shared" si="161"/>
        <v>0</v>
      </c>
      <c r="AW513">
        <f t="shared" si="161"/>
        <v>0</v>
      </c>
      <c r="AX513">
        <f t="shared" si="161"/>
        <v>0</v>
      </c>
      <c r="AY513">
        <f t="shared" si="162"/>
        <v>0</v>
      </c>
      <c r="AZ513">
        <f t="shared" si="162"/>
        <v>0</v>
      </c>
      <c r="BA513">
        <f t="shared" si="162"/>
        <v>0</v>
      </c>
      <c r="BB513">
        <f t="shared" si="162"/>
        <v>0</v>
      </c>
      <c r="BC513">
        <f t="shared" si="162"/>
        <v>0</v>
      </c>
      <c r="BD513">
        <f t="shared" si="162"/>
        <v>0</v>
      </c>
      <c r="BE513">
        <f t="shared" si="162"/>
        <v>0</v>
      </c>
      <c r="BF513">
        <f t="shared" si="162"/>
        <v>0</v>
      </c>
      <c r="BG513">
        <f t="shared" si="162"/>
        <v>0</v>
      </c>
      <c r="BH513">
        <f t="shared" si="162"/>
        <v>0</v>
      </c>
      <c r="BI513" t="str">
        <f t="shared" si="163"/>
        <v>Zimmer</v>
      </c>
      <c r="BJ513">
        <f t="shared" si="163"/>
        <v>0</v>
      </c>
      <c r="BK513">
        <f t="shared" si="163"/>
        <v>0</v>
      </c>
      <c r="BL513">
        <f t="shared" si="163"/>
        <v>0</v>
      </c>
      <c r="BM513">
        <f t="shared" si="163"/>
        <v>0</v>
      </c>
      <c r="BN513">
        <f t="shared" si="163"/>
        <v>0</v>
      </c>
      <c r="BO513">
        <f t="shared" si="163"/>
        <v>0</v>
      </c>
      <c r="BP513">
        <f t="shared" si="163"/>
        <v>0</v>
      </c>
      <c r="BQ513">
        <f t="shared" si="163"/>
        <v>0</v>
      </c>
      <c r="BR513">
        <f t="shared" si="163"/>
        <v>0</v>
      </c>
      <c r="BS513">
        <f t="shared" si="163"/>
        <v>0</v>
      </c>
    </row>
    <row r="514" spans="2:71" ht="15" customHeight="1" x14ac:dyDescent="0.2">
      <c r="B514">
        <v>20</v>
      </c>
      <c r="C514">
        <v>2</v>
      </c>
      <c r="D514">
        <v>8</v>
      </c>
      <c r="E514" t="s">
        <v>419</v>
      </c>
      <c r="F514" t="s">
        <v>214</v>
      </c>
      <c r="G514" s="5">
        <v>44414</v>
      </c>
      <c r="H514" t="s">
        <v>97</v>
      </c>
      <c r="I514" t="s">
        <v>396</v>
      </c>
      <c r="J514" t="s">
        <v>216</v>
      </c>
      <c r="K514">
        <v>9</v>
      </c>
      <c r="L514" t="s">
        <v>90</v>
      </c>
      <c r="M514" t="s">
        <v>412</v>
      </c>
      <c r="N514" t="s">
        <v>398</v>
      </c>
      <c r="O514">
        <v>70.5</v>
      </c>
      <c r="P514">
        <v>124</v>
      </c>
      <c r="Q514">
        <v>6587</v>
      </c>
      <c r="R514" t="s">
        <v>145</v>
      </c>
      <c r="S514" t="s">
        <v>80</v>
      </c>
      <c r="T514" t="s">
        <v>83</v>
      </c>
      <c r="U514" t="s">
        <v>44</v>
      </c>
      <c r="V514" t="s">
        <v>61</v>
      </c>
      <c r="W514" t="s">
        <v>125</v>
      </c>
      <c r="Y514" t="s">
        <v>68</v>
      </c>
      <c r="AA514">
        <v>1</v>
      </c>
      <c r="AB514" t="s">
        <v>32</v>
      </c>
      <c r="AC514" t="s">
        <v>174</v>
      </c>
      <c r="AE514" t="str">
        <f t="shared" ref="AE514:AE577" si="164">$V514&amp;$Y514</f>
        <v>McInerneyRamsay</v>
      </c>
      <c r="AF514">
        <v>1</v>
      </c>
      <c r="AG514">
        <v>1</v>
      </c>
      <c r="AH514">
        <v>0</v>
      </c>
      <c r="AI514">
        <v>0</v>
      </c>
      <c r="AJ514">
        <v>1</v>
      </c>
      <c r="AK514" t="s">
        <v>67</v>
      </c>
      <c r="AL514">
        <v>0.54545454545454497</v>
      </c>
      <c r="AM514" t="s">
        <v>62</v>
      </c>
      <c r="AN514">
        <v>0.51041666666666696</v>
      </c>
      <c r="AO514">
        <f t="shared" si="161"/>
        <v>0</v>
      </c>
      <c r="AP514">
        <f t="shared" si="161"/>
        <v>0</v>
      </c>
      <c r="AQ514">
        <f t="shared" si="161"/>
        <v>0</v>
      </c>
      <c r="AR514">
        <f t="shared" si="161"/>
        <v>0</v>
      </c>
      <c r="AS514">
        <f t="shared" si="161"/>
        <v>0</v>
      </c>
      <c r="AT514">
        <f t="shared" si="161"/>
        <v>0</v>
      </c>
      <c r="AU514">
        <f t="shared" si="161"/>
        <v>0</v>
      </c>
      <c r="AV514">
        <f t="shared" si="161"/>
        <v>0</v>
      </c>
      <c r="AW514">
        <f t="shared" si="161"/>
        <v>0</v>
      </c>
      <c r="AX514">
        <f t="shared" si="161"/>
        <v>0</v>
      </c>
      <c r="AY514">
        <f t="shared" si="162"/>
        <v>0</v>
      </c>
      <c r="AZ514">
        <f t="shared" si="162"/>
        <v>0</v>
      </c>
      <c r="BA514">
        <f t="shared" si="162"/>
        <v>0</v>
      </c>
      <c r="BB514">
        <f t="shared" si="162"/>
        <v>0</v>
      </c>
      <c r="BC514">
        <f t="shared" si="162"/>
        <v>0</v>
      </c>
      <c r="BD514">
        <f t="shared" si="162"/>
        <v>0</v>
      </c>
      <c r="BE514">
        <f t="shared" si="162"/>
        <v>0</v>
      </c>
      <c r="BF514">
        <f t="shared" si="162"/>
        <v>0</v>
      </c>
      <c r="BG514">
        <f t="shared" si="162"/>
        <v>0</v>
      </c>
      <c r="BH514">
        <f t="shared" si="162"/>
        <v>0</v>
      </c>
      <c r="BI514">
        <f t="shared" si="163"/>
        <v>0</v>
      </c>
      <c r="BJ514" t="str">
        <f t="shared" si="163"/>
        <v>McInerney</v>
      </c>
      <c r="BK514">
        <f t="shared" si="163"/>
        <v>0</v>
      </c>
      <c r="BL514">
        <f t="shared" si="163"/>
        <v>0</v>
      </c>
      <c r="BM514">
        <f t="shared" si="163"/>
        <v>0</v>
      </c>
      <c r="BN514">
        <f t="shared" si="163"/>
        <v>0</v>
      </c>
      <c r="BO514">
        <f t="shared" si="163"/>
        <v>0</v>
      </c>
      <c r="BP514">
        <f t="shared" si="163"/>
        <v>0</v>
      </c>
      <c r="BQ514" t="str">
        <f t="shared" si="163"/>
        <v>Ramsay</v>
      </c>
      <c r="BR514">
        <f t="shared" si="163"/>
        <v>0</v>
      </c>
      <c r="BS514">
        <f t="shared" si="163"/>
        <v>0</v>
      </c>
    </row>
    <row r="515" spans="2:71" ht="15" customHeight="1" x14ac:dyDescent="0.2">
      <c r="B515">
        <v>20</v>
      </c>
      <c r="C515">
        <v>2</v>
      </c>
      <c r="D515">
        <v>8</v>
      </c>
      <c r="E515" t="s">
        <v>419</v>
      </c>
      <c r="F515" t="s">
        <v>214</v>
      </c>
      <c r="G515" s="5">
        <v>44414</v>
      </c>
      <c r="H515" t="s">
        <v>97</v>
      </c>
      <c r="I515" t="s">
        <v>396</v>
      </c>
      <c r="J515" t="s">
        <v>216</v>
      </c>
      <c r="K515">
        <v>9</v>
      </c>
      <c r="L515" t="s">
        <v>90</v>
      </c>
      <c r="M515" t="s">
        <v>412</v>
      </c>
      <c r="N515" t="s">
        <v>398</v>
      </c>
      <c r="O515">
        <v>70.5</v>
      </c>
      <c r="P515">
        <v>124</v>
      </c>
      <c r="Q515">
        <v>6587</v>
      </c>
      <c r="R515" t="s">
        <v>145</v>
      </c>
      <c r="S515" t="s">
        <v>80</v>
      </c>
      <c r="T515" t="s">
        <v>83</v>
      </c>
      <c r="U515" t="s">
        <v>62</v>
      </c>
      <c r="V515" t="s">
        <v>67</v>
      </c>
      <c r="W515" t="s">
        <v>399</v>
      </c>
      <c r="Y515" t="s">
        <v>62</v>
      </c>
      <c r="AA515">
        <v>1</v>
      </c>
      <c r="AB515" t="s">
        <v>33</v>
      </c>
      <c r="AC515" t="s">
        <v>174</v>
      </c>
      <c r="AE515" t="str">
        <f t="shared" si="164"/>
        <v>DeoterisWelker</v>
      </c>
      <c r="AF515">
        <v>0</v>
      </c>
      <c r="AG515">
        <v>0</v>
      </c>
      <c r="AH515">
        <v>1</v>
      </c>
      <c r="AI515">
        <v>0</v>
      </c>
      <c r="AJ515">
        <v>0</v>
      </c>
      <c r="AK515" t="s">
        <v>61</v>
      </c>
      <c r="AL515">
        <v>0.5</v>
      </c>
      <c r="AM515" t="s">
        <v>68</v>
      </c>
      <c r="AO515">
        <f t="shared" si="161"/>
        <v>0</v>
      </c>
      <c r="AP515">
        <f t="shared" si="161"/>
        <v>0</v>
      </c>
      <c r="AQ515">
        <f t="shared" si="161"/>
        <v>0</v>
      </c>
      <c r="AR515">
        <f t="shared" si="161"/>
        <v>0</v>
      </c>
      <c r="AS515">
        <f t="shared" si="161"/>
        <v>0</v>
      </c>
      <c r="AT515">
        <f t="shared" si="161"/>
        <v>0</v>
      </c>
      <c r="AU515">
        <f t="shared" si="161"/>
        <v>0</v>
      </c>
      <c r="AV515">
        <f t="shared" si="161"/>
        <v>0</v>
      </c>
      <c r="AW515">
        <f t="shared" si="161"/>
        <v>0</v>
      </c>
      <c r="AX515">
        <f t="shared" si="161"/>
        <v>0</v>
      </c>
      <c r="AY515">
        <f t="shared" si="162"/>
        <v>0</v>
      </c>
      <c r="AZ515">
        <f t="shared" si="162"/>
        <v>0</v>
      </c>
      <c r="BA515">
        <f t="shared" si="162"/>
        <v>0</v>
      </c>
      <c r="BB515">
        <f t="shared" si="162"/>
        <v>0</v>
      </c>
      <c r="BC515">
        <f t="shared" si="162"/>
        <v>0</v>
      </c>
      <c r="BD515">
        <f t="shared" si="162"/>
        <v>0</v>
      </c>
      <c r="BE515">
        <f t="shared" si="162"/>
        <v>0</v>
      </c>
      <c r="BF515">
        <f t="shared" si="162"/>
        <v>0</v>
      </c>
      <c r="BG515">
        <f t="shared" si="162"/>
        <v>0</v>
      </c>
      <c r="BH515">
        <f t="shared" si="162"/>
        <v>0</v>
      </c>
      <c r="BI515">
        <f t="shared" si="163"/>
        <v>0</v>
      </c>
      <c r="BJ515">
        <f t="shared" si="163"/>
        <v>0</v>
      </c>
      <c r="BK515" t="str">
        <f t="shared" si="163"/>
        <v>Welker</v>
      </c>
      <c r="BL515">
        <f t="shared" si="163"/>
        <v>0</v>
      </c>
      <c r="BM515">
        <f t="shared" si="163"/>
        <v>0</v>
      </c>
      <c r="BN515">
        <f t="shared" si="163"/>
        <v>0</v>
      </c>
      <c r="BO515">
        <f t="shared" si="163"/>
        <v>0</v>
      </c>
      <c r="BP515" t="str">
        <f t="shared" si="163"/>
        <v>Deoteris</v>
      </c>
      <c r="BQ515">
        <f t="shared" si="163"/>
        <v>0</v>
      </c>
      <c r="BR515">
        <f t="shared" si="163"/>
        <v>0</v>
      </c>
      <c r="BS515">
        <f t="shared" si="163"/>
        <v>0</v>
      </c>
    </row>
    <row r="516" spans="2:71" ht="15" customHeight="1" x14ac:dyDescent="0.2">
      <c r="B516">
        <v>21</v>
      </c>
      <c r="C516">
        <v>3</v>
      </c>
      <c r="D516">
        <v>8</v>
      </c>
      <c r="E516" t="s">
        <v>420</v>
      </c>
      <c r="F516" t="s">
        <v>214</v>
      </c>
      <c r="G516" s="5">
        <v>44414</v>
      </c>
      <c r="H516" t="s">
        <v>97</v>
      </c>
      <c r="I516" t="s">
        <v>396</v>
      </c>
      <c r="J516" t="s">
        <v>216</v>
      </c>
      <c r="K516">
        <v>9</v>
      </c>
      <c r="L516" t="s">
        <v>90</v>
      </c>
      <c r="M516" t="s">
        <v>412</v>
      </c>
      <c r="N516" t="s">
        <v>398</v>
      </c>
      <c r="O516">
        <v>70.5</v>
      </c>
      <c r="P516">
        <v>124</v>
      </c>
      <c r="Q516">
        <v>6587</v>
      </c>
      <c r="R516" t="s">
        <v>145</v>
      </c>
      <c r="S516" t="s">
        <v>80</v>
      </c>
      <c r="T516" t="s">
        <v>83</v>
      </c>
      <c r="U516" t="s">
        <v>62</v>
      </c>
      <c r="V516" t="s">
        <v>45</v>
      </c>
      <c r="W516" t="s">
        <v>399</v>
      </c>
      <c r="Y516" t="s">
        <v>64</v>
      </c>
      <c r="AA516">
        <v>1</v>
      </c>
      <c r="AB516" t="s">
        <v>32</v>
      </c>
      <c r="AC516" t="s">
        <v>174</v>
      </c>
      <c r="AE516" t="str">
        <f t="shared" si="164"/>
        <v>ConnollyDelneky</v>
      </c>
      <c r="AF516">
        <v>1</v>
      </c>
      <c r="AG516">
        <v>1</v>
      </c>
      <c r="AH516">
        <v>0</v>
      </c>
      <c r="AI516">
        <v>0</v>
      </c>
      <c r="AJ516">
        <v>1</v>
      </c>
      <c r="AK516" t="s">
        <v>55</v>
      </c>
      <c r="AL516">
        <v>0.44067796610169502</v>
      </c>
      <c r="AM516" t="s">
        <v>42</v>
      </c>
      <c r="AN516">
        <v>0.6171875</v>
      </c>
      <c r="AO516">
        <f t="shared" si="161"/>
        <v>0</v>
      </c>
      <c r="AP516">
        <f t="shared" si="161"/>
        <v>0</v>
      </c>
      <c r="AQ516">
        <f t="shared" si="161"/>
        <v>0</v>
      </c>
      <c r="AR516">
        <f t="shared" si="161"/>
        <v>0</v>
      </c>
      <c r="AS516">
        <f t="shared" si="161"/>
        <v>0</v>
      </c>
      <c r="AT516" t="str">
        <f t="shared" si="161"/>
        <v>Connolly</v>
      </c>
      <c r="AU516">
        <f t="shared" si="161"/>
        <v>0</v>
      </c>
      <c r="AV516">
        <f t="shared" si="161"/>
        <v>0</v>
      </c>
      <c r="AW516">
        <f t="shared" si="161"/>
        <v>0</v>
      </c>
      <c r="AX516">
        <f t="shared" si="161"/>
        <v>0</v>
      </c>
      <c r="AY516">
        <f t="shared" si="162"/>
        <v>0</v>
      </c>
      <c r="AZ516">
        <f t="shared" si="162"/>
        <v>0</v>
      </c>
      <c r="BA516">
        <f t="shared" si="162"/>
        <v>0</v>
      </c>
      <c r="BB516">
        <f t="shared" si="162"/>
        <v>0</v>
      </c>
      <c r="BC516">
        <f t="shared" si="162"/>
        <v>0</v>
      </c>
      <c r="BD516">
        <f t="shared" si="162"/>
        <v>0</v>
      </c>
      <c r="BE516">
        <f t="shared" si="162"/>
        <v>0</v>
      </c>
      <c r="BF516">
        <f t="shared" si="162"/>
        <v>0</v>
      </c>
      <c r="BG516">
        <f t="shared" si="162"/>
        <v>0</v>
      </c>
      <c r="BH516">
        <f t="shared" si="162"/>
        <v>0</v>
      </c>
      <c r="BI516">
        <f t="shared" si="163"/>
        <v>0</v>
      </c>
      <c r="BJ516">
        <f t="shared" si="163"/>
        <v>0</v>
      </c>
      <c r="BK516">
        <f t="shared" si="163"/>
        <v>0</v>
      </c>
      <c r="BL516">
        <f t="shared" si="163"/>
        <v>0</v>
      </c>
      <c r="BM516" t="str">
        <f t="shared" si="163"/>
        <v>Delneky</v>
      </c>
      <c r="BN516">
        <f t="shared" si="163"/>
        <v>0</v>
      </c>
      <c r="BO516">
        <f t="shared" si="163"/>
        <v>0</v>
      </c>
      <c r="BP516">
        <f t="shared" si="163"/>
        <v>0</v>
      </c>
      <c r="BQ516">
        <f t="shared" si="163"/>
        <v>0</v>
      </c>
      <c r="BR516">
        <f t="shared" si="163"/>
        <v>0</v>
      </c>
      <c r="BS516">
        <f t="shared" si="163"/>
        <v>0</v>
      </c>
    </row>
    <row r="517" spans="2:71" ht="15" customHeight="1" x14ac:dyDescent="0.2">
      <c r="B517">
        <v>21</v>
      </c>
      <c r="C517">
        <v>3</v>
      </c>
      <c r="D517">
        <v>8</v>
      </c>
      <c r="E517" t="s">
        <v>420</v>
      </c>
      <c r="F517" t="s">
        <v>214</v>
      </c>
      <c r="G517" s="5">
        <v>44414</v>
      </c>
      <c r="H517" t="s">
        <v>97</v>
      </c>
      <c r="I517" t="s">
        <v>396</v>
      </c>
      <c r="J517" t="s">
        <v>216</v>
      </c>
      <c r="K517">
        <v>9</v>
      </c>
      <c r="L517" t="s">
        <v>90</v>
      </c>
      <c r="M517" t="s">
        <v>412</v>
      </c>
      <c r="N517" t="s">
        <v>398</v>
      </c>
      <c r="O517">
        <v>70.5</v>
      </c>
      <c r="P517">
        <v>124</v>
      </c>
      <c r="Q517">
        <v>6587</v>
      </c>
      <c r="R517" t="s">
        <v>145</v>
      </c>
      <c r="S517" t="s">
        <v>80</v>
      </c>
      <c r="T517" t="s">
        <v>83</v>
      </c>
      <c r="U517" t="s">
        <v>44</v>
      </c>
      <c r="V517" t="s">
        <v>55</v>
      </c>
      <c r="W517" t="s">
        <v>125</v>
      </c>
      <c r="Y517" t="s">
        <v>42</v>
      </c>
      <c r="AA517">
        <v>1</v>
      </c>
      <c r="AB517" t="s">
        <v>33</v>
      </c>
      <c r="AC517" t="s">
        <v>174</v>
      </c>
      <c r="AE517" t="str">
        <f t="shared" si="164"/>
        <v>ColeJackson</v>
      </c>
      <c r="AF517">
        <v>0</v>
      </c>
      <c r="AG517">
        <v>0</v>
      </c>
      <c r="AH517">
        <v>1</v>
      </c>
      <c r="AI517">
        <v>0</v>
      </c>
      <c r="AJ517">
        <v>0</v>
      </c>
      <c r="AK517" t="s">
        <v>45</v>
      </c>
      <c r="AL517">
        <v>0.59375</v>
      </c>
      <c r="AM517" t="s">
        <v>64</v>
      </c>
      <c r="AN517">
        <v>0.65909090909090895</v>
      </c>
      <c r="AO517">
        <f t="shared" si="161"/>
        <v>0</v>
      </c>
      <c r="AP517">
        <f t="shared" si="161"/>
        <v>0</v>
      </c>
      <c r="AQ517" t="str">
        <f t="shared" si="161"/>
        <v>Jackson</v>
      </c>
      <c r="AR517">
        <f t="shared" si="161"/>
        <v>0</v>
      </c>
      <c r="AS517">
        <f t="shared" si="161"/>
        <v>0</v>
      </c>
      <c r="AT517">
        <f t="shared" si="161"/>
        <v>0</v>
      </c>
      <c r="AU517">
        <f t="shared" si="161"/>
        <v>0</v>
      </c>
      <c r="AV517">
        <f t="shared" si="161"/>
        <v>0</v>
      </c>
      <c r="AW517">
        <f t="shared" si="161"/>
        <v>0</v>
      </c>
      <c r="AX517">
        <f t="shared" si="161"/>
        <v>0</v>
      </c>
      <c r="AY517">
        <f t="shared" si="162"/>
        <v>0</v>
      </c>
      <c r="AZ517">
        <f t="shared" si="162"/>
        <v>0</v>
      </c>
      <c r="BA517">
        <f t="shared" si="162"/>
        <v>0</v>
      </c>
      <c r="BB517">
        <f t="shared" si="162"/>
        <v>0</v>
      </c>
      <c r="BC517">
        <f t="shared" si="162"/>
        <v>0</v>
      </c>
      <c r="BD517" t="str">
        <f t="shared" si="162"/>
        <v>Cole</v>
      </c>
      <c r="BE517">
        <f t="shared" si="162"/>
        <v>0</v>
      </c>
      <c r="BF517">
        <f t="shared" si="162"/>
        <v>0</v>
      </c>
      <c r="BG517">
        <f t="shared" si="162"/>
        <v>0</v>
      </c>
      <c r="BH517">
        <f t="shared" si="162"/>
        <v>0</v>
      </c>
      <c r="BI517">
        <f t="shared" si="163"/>
        <v>0</v>
      </c>
      <c r="BJ517">
        <f t="shared" si="163"/>
        <v>0</v>
      </c>
      <c r="BK517">
        <f t="shared" si="163"/>
        <v>0</v>
      </c>
      <c r="BL517">
        <f t="shared" si="163"/>
        <v>0</v>
      </c>
      <c r="BM517">
        <f t="shared" si="163"/>
        <v>0</v>
      </c>
      <c r="BN517">
        <f t="shared" si="163"/>
        <v>0</v>
      </c>
      <c r="BO517">
        <f t="shared" si="163"/>
        <v>0</v>
      </c>
      <c r="BP517">
        <f t="shared" si="163"/>
        <v>0</v>
      </c>
      <c r="BQ517">
        <f t="shared" si="163"/>
        <v>0</v>
      </c>
      <c r="BR517">
        <f t="shared" si="163"/>
        <v>0</v>
      </c>
      <c r="BS517">
        <f t="shared" si="163"/>
        <v>0</v>
      </c>
    </row>
    <row r="518" spans="2:71" ht="15" customHeight="1" x14ac:dyDescent="0.2">
      <c r="B518">
        <v>22</v>
      </c>
      <c r="C518">
        <v>4</v>
      </c>
      <c r="D518">
        <v>8</v>
      </c>
      <c r="E518" t="s">
        <v>421</v>
      </c>
      <c r="F518" t="s">
        <v>214</v>
      </c>
      <c r="G518" s="5">
        <v>44414</v>
      </c>
      <c r="H518" t="s">
        <v>97</v>
      </c>
      <c r="I518" t="s">
        <v>396</v>
      </c>
      <c r="J518" t="s">
        <v>216</v>
      </c>
      <c r="K518">
        <v>9</v>
      </c>
      <c r="L518" t="s">
        <v>90</v>
      </c>
      <c r="M518" t="s">
        <v>412</v>
      </c>
      <c r="N518" t="s">
        <v>398</v>
      </c>
      <c r="O518">
        <v>70.5</v>
      </c>
      <c r="P518">
        <v>124</v>
      </c>
      <c r="Q518">
        <v>6587</v>
      </c>
      <c r="R518" t="s">
        <v>145</v>
      </c>
      <c r="S518" t="s">
        <v>80</v>
      </c>
      <c r="T518" t="s">
        <v>83</v>
      </c>
      <c r="U518" t="s">
        <v>44</v>
      </c>
      <c r="V518" t="s">
        <v>65</v>
      </c>
      <c r="W518" t="s">
        <v>125</v>
      </c>
      <c r="Y518" t="s">
        <v>49</v>
      </c>
      <c r="AA518">
        <v>1</v>
      </c>
      <c r="AB518" t="s">
        <v>32</v>
      </c>
      <c r="AC518" t="s">
        <v>171</v>
      </c>
      <c r="AE518" t="str">
        <f t="shared" si="164"/>
        <v>PiegariShively</v>
      </c>
      <c r="AF518">
        <v>1</v>
      </c>
      <c r="AG518">
        <v>1</v>
      </c>
      <c r="AH518">
        <v>0</v>
      </c>
      <c r="AI518">
        <v>0</v>
      </c>
      <c r="AJ518">
        <v>1</v>
      </c>
      <c r="AK518" t="s">
        <v>63</v>
      </c>
      <c r="AL518">
        <v>0.46551724137931</v>
      </c>
      <c r="AM518" t="s">
        <v>41</v>
      </c>
      <c r="AN518">
        <v>0.47321428571428598</v>
      </c>
      <c r="AO518">
        <f t="shared" si="161"/>
        <v>0</v>
      </c>
      <c r="AP518">
        <f t="shared" si="161"/>
        <v>0</v>
      </c>
      <c r="AQ518">
        <f t="shared" si="161"/>
        <v>0</v>
      </c>
      <c r="AR518">
        <f t="shared" si="161"/>
        <v>0</v>
      </c>
      <c r="AS518">
        <f t="shared" si="161"/>
        <v>0</v>
      </c>
      <c r="AT518">
        <f t="shared" si="161"/>
        <v>0</v>
      </c>
      <c r="AU518">
        <f t="shared" si="161"/>
        <v>0</v>
      </c>
      <c r="AV518">
        <f t="shared" si="161"/>
        <v>0</v>
      </c>
      <c r="AW518">
        <f t="shared" si="161"/>
        <v>0</v>
      </c>
      <c r="AX518" t="str">
        <f t="shared" si="161"/>
        <v>Shively</v>
      </c>
      <c r="AY518">
        <f t="shared" si="162"/>
        <v>0</v>
      </c>
      <c r="AZ518">
        <f t="shared" si="162"/>
        <v>0</v>
      </c>
      <c r="BA518">
        <f t="shared" si="162"/>
        <v>0</v>
      </c>
      <c r="BB518">
        <f t="shared" si="162"/>
        <v>0</v>
      </c>
      <c r="BC518">
        <f t="shared" si="162"/>
        <v>0</v>
      </c>
      <c r="BD518">
        <f t="shared" si="162"/>
        <v>0</v>
      </c>
      <c r="BE518">
        <f t="shared" si="162"/>
        <v>0</v>
      </c>
      <c r="BF518">
        <f t="shared" si="162"/>
        <v>0</v>
      </c>
      <c r="BG518">
        <f t="shared" si="162"/>
        <v>0</v>
      </c>
      <c r="BH518">
        <f t="shared" si="162"/>
        <v>0</v>
      </c>
      <c r="BI518">
        <f t="shared" si="163"/>
        <v>0</v>
      </c>
      <c r="BJ518">
        <f t="shared" si="163"/>
        <v>0</v>
      </c>
      <c r="BK518">
        <f t="shared" si="163"/>
        <v>0</v>
      </c>
      <c r="BL518">
        <f t="shared" si="163"/>
        <v>0</v>
      </c>
      <c r="BM518">
        <f t="shared" si="163"/>
        <v>0</v>
      </c>
      <c r="BN518" t="str">
        <f t="shared" si="163"/>
        <v>Piegari</v>
      </c>
      <c r="BO518">
        <f t="shared" si="163"/>
        <v>0</v>
      </c>
      <c r="BP518">
        <f t="shared" si="163"/>
        <v>0</v>
      </c>
      <c r="BQ518">
        <f t="shared" si="163"/>
        <v>0</v>
      </c>
      <c r="BR518">
        <f t="shared" si="163"/>
        <v>0</v>
      </c>
      <c r="BS518">
        <f t="shared" si="163"/>
        <v>0</v>
      </c>
    </row>
    <row r="519" spans="2:71" ht="15" customHeight="1" x14ac:dyDescent="0.2">
      <c r="B519">
        <v>22</v>
      </c>
      <c r="C519">
        <v>4</v>
      </c>
      <c r="D519">
        <v>8</v>
      </c>
      <c r="E519" t="s">
        <v>421</v>
      </c>
      <c r="F519" t="s">
        <v>214</v>
      </c>
      <c r="G519" s="5">
        <v>44414</v>
      </c>
      <c r="H519" t="s">
        <v>97</v>
      </c>
      <c r="I519" t="s">
        <v>396</v>
      </c>
      <c r="J519" t="s">
        <v>216</v>
      </c>
      <c r="K519">
        <v>9</v>
      </c>
      <c r="L519" t="s">
        <v>90</v>
      </c>
      <c r="M519" t="s">
        <v>412</v>
      </c>
      <c r="N519" t="s">
        <v>398</v>
      </c>
      <c r="O519">
        <v>70.5</v>
      </c>
      <c r="P519">
        <v>124</v>
      </c>
      <c r="Q519">
        <v>6587</v>
      </c>
      <c r="R519" t="s">
        <v>145</v>
      </c>
      <c r="S519" t="s">
        <v>80</v>
      </c>
      <c r="T519" t="s">
        <v>83</v>
      </c>
      <c r="U519" t="s">
        <v>62</v>
      </c>
      <c r="V519" t="s">
        <v>63</v>
      </c>
      <c r="W519" t="s">
        <v>399</v>
      </c>
      <c r="Y519" t="s">
        <v>41</v>
      </c>
      <c r="AA519">
        <v>1</v>
      </c>
      <c r="AB519" t="s">
        <v>33</v>
      </c>
      <c r="AC519" t="s">
        <v>171</v>
      </c>
      <c r="AE519" t="str">
        <f t="shared" si="164"/>
        <v>DelaneyHilts</v>
      </c>
      <c r="AF519">
        <v>0</v>
      </c>
      <c r="AG519">
        <v>0</v>
      </c>
      <c r="AH519">
        <v>1</v>
      </c>
      <c r="AI519">
        <v>0</v>
      </c>
      <c r="AJ519">
        <v>0</v>
      </c>
      <c r="AK519" t="s">
        <v>65</v>
      </c>
      <c r="AL519">
        <v>0.33333333333333298</v>
      </c>
      <c r="AM519" t="s">
        <v>49</v>
      </c>
      <c r="AO519">
        <f t="shared" si="161"/>
        <v>0</v>
      </c>
      <c r="AP519" t="str">
        <f t="shared" si="161"/>
        <v>Hilts</v>
      </c>
      <c r="AQ519">
        <f t="shared" si="161"/>
        <v>0</v>
      </c>
      <c r="AR519">
        <f t="shared" si="161"/>
        <v>0</v>
      </c>
      <c r="AS519">
        <f t="shared" si="161"/>
        <v>0</v>
      </c>
      <c r="AT519">
        <f t="shared" si="161"/>
        <v>0</v>
      </c>
      <c r="AU519">
        <f t="shared" si="161"/>
        <v>0</v>
      </c>
      <c r="AV519">
        <f t="shared" si="161"/>
        <v>0</v>
      </c>
      <c r="AW519">
        <f t="shared" si="161"/>
        <v>0</v>
      </c>
      <c r="AX519">
        <f t="shared" si="161"/>
        <v>0</v>
      </c>
      <c r="AY519">
        <f t="shared" si="162"/>
        <v>0</v>
      </c>
      <c r="AZ519">
        <f t="shared" si="162"/>
        <v>0</v>
      </c>
      <c r="BA519">
        <f t="shared" si="162"/>
        <v>0</v>
      </c>
      <c r="BB519">
        <f t="shared" si="162"/>
        <v>0</v>
      </c>
      <c r="BC519">
        <f t="shared" si="162"/>
        <v>0</v>
      </c>
      <c r="BD519">
        <f t="shared" si="162"/>
        <v>0</v>
      </c>
      <c r="BE519">
        <f t="shared" si="162"/>
        <v>0</v>
      </c>
      <c r="BF519">
        <f t="shared" si="162"/>
        <v>0</v>
      </c>
      <c r="BG519">
        <f t="shared" si="162"/>
        <v>0</v>
      </c>
      <c r="BH519">
        <f t="shared" si="162"/>
        <v>0</v>
      </c>
      <c r="BI519">
        <f t="shared" si="163"/>
        <v>0</v>
      </c>
      <c r="BJ519">
        <f t="shared" si="163"/>
        <v>0</v>
      </c>
      <c r="BK519">
        <f t="shared" si="163"/>
        <v>0</v>
      </c>
      <c r="BL519" t="str">
        <f t="shared" si="163"/>
        <v>Delaney</v>
      </c>
      <c r="BM519">
        <f t="shared" si="163"/>
        <v>0</v>
      </c>
      <c r="BN519">
        <f t="shared" si="163"/>
        <v>0</v>
      </c>
      <c r="BO519">
        <f t="shared" si="163"/>
        <v>0</v>
      </c>
      <c r="BP519">
        <f t="shared" si="163"/>
        <v>0</v>
      </c>
      <c r="BQ519">
        <f t="shared" si="163"/>
        <v>0</v>
      </c>
      <c r="BR519">
        <f t="shared" si="163"/>
        <v>0</v>
      </c>
      <c r="BS519">
        <f t="shared" si="163"/>
        <v>0</v>
      </c>
    </row>
    <row r="520" spans="2:71" ht="15" customHeight="1" x14ac:dyDescent="0.2">
      <c r="B520">
        <v>23</v>
      </c>
      <c r="C520">
        <v>5</v>
      </c>
      <c r="D520">
        <v>8</v>
      </c>
      <c r="E520" t="s">
        <v>422</v>
      </c>
      <c r="F520" t="s">
        <v>214</v>
      </c>
      <c r="G520" s="5">
        <v>44414</v>
      </c>
      <c r="H520" t="s">
        <v>97</v>
      </c>
      <c r="I520" t="s">
        <v>396</v>
      </c>
      <c r="J520" t="s">
        <v>216</v>
      </c>
      <c r="K520">
        <v>9</v>
      </c>
      <c r="L520" t="s">
        <v>90</v>
      </c>
      <c r="M520" t="s">
        <v>412</v>
      </c>
      <c r="N520" t="s">
        <v>398</v>
      </c>
      <c r="O520">
        <v>70.5</v>
      </c>
      <c r="P520">
        <v>124</v>
      </c>
      <c r="Q520">
        <v>6587</v>
      </c>
      <c r="R520" t="s">
        <v>145</v>
      </c>
      <c r="S520" t="s">
        <v>80</v>
      </c>
      <c r="T520" t="s">
        <v>83</v>
      </c>
      <c r="U520" t="s">
        <v>62</v>
      </c>
      <c r="V520" t="s">
        <v>52</v>
      </c>
      <c r="W520" t="s">
        <v>399</v>
      </c>
      <c r="Y520" t="s">
        <v>66</v>
      </c>
      <c r="AA520">
        <v>1</v>
      </c>
      <c r="AB520" t="s">
        <v>34</v>
      </c>
      <c r="AC520" t="s">
        <v>92</v>
      </c>
      <c r="AE520" t="str">
        <f t="shared" si="164"/>
        <v>ConnorsPerkins</v>
      </c>
      <c r="AF520">
        <v>0.5</v>
      </c>
      <c r="AG520">
        <v>0</v>
      </c>
      <c r="AH520">
        <v>0</v>
      </c>
      <c r="AI520">
        <v>1</v>
      </c>
      <c r="AJ520">
        <v>0.5</v>
      </c>
      <c r="AK520" t="s">
        <v>44</v>
      </c>
      <c r="AL520">
        <v>0.4296875</v>
      </c>
      <c r="AM520" t="s">
        <v>54</v>
      </c>
      <c r="AN520">
        <v>0.37288135593220301</v>
      </c>
      <c r="AO520">
        <f t="shared" si="161"/>
        <v>0</v>
      </c>
      <c r="AP520">
        <f t="shared" si="161"/>
        <v>0</v>
      </c>
      <c r="AQ520">
        <f t="shared" si="161"/>
        <v>0</v>
      </c>
      <c r="AR520">
        <f t="shared" si="161"/>
        <v>0</v>
      </c>
      <c r="AS520">
        <f t="shared" si="161"/>
        <v>0</v>
      </c>
      <c r="AT520">
        <f t="shared" si="161"/>
        <v>0</v>
      </c>
      <c r="AU520">
        <f t="shared" si="161"/>
        <v>0</v>
      </c>
      <c r="AV520">
        <f t="shared" si="161"/>
        <v>0</v>
      </c>
      <c r="AW520">
        <f t="shared" si="161"/>
        <v>0</v>
      </c>
      <c r="AX520">
        <f t="shared" si="161"/>
        <v>0</v>
      </c>
      <c r="AY520">
        <f t="shared" si="162"/>
        <v>0</v>
      </c>
      <c r="AZ520">
        <f t="shared" si="162"/>
        <v>0</v>
      </c>
      <c r="BA520" t="str">
        <f t="shared" si="162"/>
        <v>Connors</v>
      </c>
      <c r="BB520">
        <f t="shared" si="162"/>
        <v>0</v>
      </c>
      <c r="BC520">
        <f t="shared" si="162"/>
        <v>0</v>
      </c>
      <c r="BD520">
        <f t="shared" si="162"/>
        <v>0</v>
      </c>
      <c r="BE520">
        <f t="shared" si="162"/>
        <v>0</v>
      </c>
      <c r="BF520">
        <f t="shared" si="162"/>
        <v>0</v>
      </c>
      <c r="BG520">
        <f t="shared" si="162"/>
        <v>0</v>
      </c>
      <c r="BH520">
        <f t="shared" si="162"/>
        <v>0</v>
      </c>
      <c r="BI520">
        <f t="shared" si="163"/>
        <v>0</v>
      </c>
      <c r="BJ520">
        <f t="shared" si="163"/>
        <v>0</v>
      </c>
      <c r="BK520">
        <f t="shared" si="163"/>
        <v>0</v>
      </c>
      <c r="BL520">
        <f t="shared" si="163"/>
        <v>0</v>
      </c>
      <c r="BM520">
        <f t="shared" si="163"/>
        <v>0</v>
      </c>
      <c r="BN520">
        <f t="shared" si="163"/>
        <v>0</v>
      </c>
      <c r="BO520" t="str">
        <f t="shared" si="163"/>
        <v>Perkins</v>
      </c>
      <c r="BP520">
        <f t="shared" si="163"/>
        <v>0</v>
      </c>
      <c r="BQ520">
        <f t="shared" si="163"/>
        <v>0</v>
      </c>
      <c r="BR520">
        <f t="shared" si="163"/>
        <v>0</v>
      </c>
      <c r="BS520">
        <f t="shared" si="163"/>
        <v>0</v>
      </c>
    </row>
    <row r="521" spans="2:71" ht="15" customHeight="1" x14ac:dyDescent="0.2">
      <c r="B521">
        <v>23</v>
      </c>
      <c r="C521">
        <v>5</v>
      </c>
      <c r="D521">
        <v>8</v>
      </c>
      <c r="E521" t="s">
        <v>422</v>
      </c>
      <c r="F521" t="s">
        <v>214</v>
      </c>
      <c r="G521" s="5">
        <v>44414</v>
      </c>
      <c r="H521" t="s">
        <v>97</v>
      </c>
      <c r="I521" t="s">
        <v>396</v>
      </c>
      <c r="J521" t="s">
        <v>216</v>
      </c>
      <c r="K521">
        <v>9</v>
      </c>
      <c r="L521" t="s">
        <v>90</v>
      </c>
      <c r="M521" t="s">
        <v>412</v>
      </c>
      <c r="N521" t="s">
        <v>398</v>
      </c>
      <c r="O521">
        <v>70.5</v>
      </c>
      <c r="P521">
        <v>124</v>
      </c>
      <c r="Q521">
        <v>6587</v>
      </c>
      <c r="R521" t="s">
        <v>145</v>
      </c>
      <c r="S521" t="s">
        <v>80</v>
      </c>
      <c r="T521" t="s">
        <v>83</v>
      </c>
      <c r="U521" t="s">
        <v>44</v>
      </c>
      <c r="V521" t="s">
        <v>44</v>
      </c>
      <c r="W521" t="s">
        <v>125</v>
      </c>
      <c r="Y521" t="s">
        <v>54</v>
      </c>
      <c r="AA521">
        <v>1</v>
      </c>
      <c r="AB521" t="s">
        <v>34</v>
      </c>
      <c r="AC521" t="s">
        <v>92</v>
      </c>
      <c r="AE521" t="str">
        <f t="shared" si="164"/>
        <v>FlandersFogan</v>
      </c>
      <c r="AF521">
        <v>0.5</v>
      </c>
      <c r="AG521">
        <v>0</v>
      </c>
      <c r="AH521">
        <v>0</v>
      </c>
      <c r="AI521">
        <v>1</v>
      </c>
      <c r="AJ521">
        <v>0.5</v>
      </c>
      <c r="AK521" t="s">
        <v>52</v>
      </c>
      <c r="AL521">
        <v>0.34745762711864397</v>
      </c>
      <c r="AM521" t="s">
        <v>66</v>
      </c>
      <c r="AN521">
        <v>0.63888888888888895</v>
      </c>
      <c r="AO521">
        <f t="shared" si="161"/>
        <v>0</v>
      </c>
      <c r="AP521">
        <f t="shared" si="161"/>
        <v>0</v>
      </c>
      <c r="AQ521">
        <f t="shared" si="161"/>
        <v>0</v>
      </c>
      <c r="AR521">
        <f t="shared" si="161"/>
        <v>0</v>
      </c>
      <c r="AS521" t="str">
        <f t="shared" si="161"/>
        <v>Flanders</v>
      </c>
      <c r="AT521">
        <f t="shared" si="161"/>
        <v>0</v>
      </c>
      <c r="AU521">
        <f t="shared" si="161"/>
        <v>0</v>
      </c>
      <c r="AV521">
        <f t="shared" si="161"/>
        <v>0</v>
      </c>
      <c r="AW521">
        <f t="shared" si="161"/>
        <v>0</v>
      </c>
      <c r="AX521">
        <f t="shared" si="161"/>
        <v>0</v>
      </c>
      <c r="AY521">
        <f t="shared" si="162"/>
        <v>0</v>
      </c>
      <c r="AZ521">
        <f t="shared" si="162"/>
        <v>0</v>
      </c>
      <c r="BA521">
        <f t="shared" si="162"/>
        <v>0</v>
      </c>
      <c r="BB521">
        <f t="shared" si="162"/>
        <v>0</v>
      </c>
      <c r="BC521" t="str">
        <f t="shared" si="162"/>
        <v>Fogan</v>
      </c>
      <c r="BD521">
        <f t="shared" si="162"/>
        <v>0</v>
      </c>
      <c r="BE521">
        <f t="shared" si="162"/>
        <v>0</v>
      </c>
      <c r="BF521">
        <f t="shared" si="162"/>
        <v>0</v>
      </c>
      <c r="BG521">
        <f t="shared" si="162"/>
        <v>0</v>
      </c>
      <c r="BH521">
        <f t="shared" si="162"/>
        <v>0</v>
      </c>
      <c r="BI521">
        <f t="shared" si="163"/>
        <v>0</v>
      </c>
      <c r="BJ521">
        <f t="shared" si="163"/>
        <v>0</v>
      </c>
      <c r="BK521">
        <f t="shared" si="163"/>
        <v>0</v>
      </c>
      <c r="BL521">
        <f t="shared" si="163"/>
        <v>0</v>
      </c>
      <c r="BM521">
        <f t="shared" si="163"/>
        <v>0</v>
      </c>
      <c r="BN521">
        <f t="shared" si="163"/>
        <v>0</v>
      </c>
      <c r="BO521">
        <f t="shared" si="163"/>
        <v>0</v>
      </c>
      <c r="BP521">
        <f t="shared" si="163"/>
        <v>0</v>
      </c>
      <c r="BQ521">
        <f t="shared" si="163"/>
        <v>0</v>
      </c>
      <c r="BR521">
        <f t="shared" si="163"/>
        <v>0</v>
      </c>
      <c r="BS521">
        <f t="shared" si="163"/>
        <v>0</v>
      </c>
    </row>
    <row r="522" spans="2:71" ht="15" customHeight="1" x14ac:dyDescent="0.2">
      <c r="B522">
        <v>24</v>
      </c>
      <c r="C522">
        <v>6</v>
      </c>
      <c r="D522">
        <v>8</v>
      </c>
      <c r="E522" t="s">
        <v>423</v>
      </c>
      <c r="F522" t="s">
        <v>214</v>
      </c>
      <c r="G522" s="5">
        <v>44414</v>
      </c>
      <c r="H522" t="s">
        <v>97</v>
      </c>
      <c r="I522" t="s">
        <v>396</v>
      </c>
      <c r="J522" t="s">
        <v>216</v>
      </c>
      <c r="K522">
        <v>9</v>
      </c>
      <c r="L522" t="s">
        <v>90</v>
      </c>
      <c r="M522" t="s">
        <v>412</v>
      </c>
      <c r="N522" t="s">
        <v>398</v>
      </c>
      <c r="O522">
        <v>70.5</v>
      </c>
      <c r="P522">
        <v>124</v>
      </c>
      <c r="Q522">
        <v>6587</v>
      </c>
      <c r="R522" t="s">
        <v>145</v>
      </c>
      <c r="S522" t="s">
        <v>80</v>
      </c>
      <c r="T522" t="s">
        <v>83</v>
      </c>
      <c r="U522" t="s">
        <v>44</v>
      </c>
      <c r="V522" t="s">
        <v>48</v>
      </c>
      <c r="W522" t="s">
        <v>125</v>
      </c>
      <c r="Y522" t="s">
        <v>46</v>
      </c>
      <c r="AA522">
        <v>1</v>
      </c>
      <c r="AB522" t="s">
        <v>34</v>
      </c>
      <c r="AC522" t="s">
        <v>92</v>
      </c>
      <c r="AE522" t="str">
        <f t="shared" si="164"/>
        <v>LynchMangold</v>
      </c>
      <c r="AF522">
        <v>0.5</v>
      </c>
      <c r="AG522">
        <v>0</v>
      </c>
      <c r="AH522">
        <v>0</v>
      </c>
      <c r="AI522">
        <v>1</v>
      </c>
      <c r="AJ522">
        <v>0.5</v>
      </c>
      <c r="AK522" t="s">
        <v>50</v>
      </c>
      <c r="AL522">
        <v>0.59523809523809501</v>
      </c>
      <c r="AM522" t="s">
        <v>40</v>
      </c>
      <c r="AN522">
        <v>0.546875</v>
      </c>
      <c r="AO522">
        <f t="shared" ref="AO522:AX531" si="165">IF(OR($V522=AO$1,$Y522=AO$1),AO$1,0)</f>
        <v>0</v>
      </c>
      <c r="AP522">
        <f t="shared" si="165"/>
        <v>0</v>
      </c>
      <c r="AQ522">
        <f t="shared" si="165"/>
        <v>0</v>
      </c>
      <c r="AR522">
        <f t="shared" si="165"/>
        <v>0</v>
      </c>
      <c r="AS522">
        <f t="shared" si="165"/>
        <v>0</v>
      </c>
      <c r="AT522">
        <f t="shared" si="165"/>
        <v>0</v>
      </c>
      <c r="AU522" t="str">
        <f t="shared" si="165"/>
        <v>Mangold</v>
      </c>
      <c r="AV522">
        <f t="shared" si="165"/>
        <v>0</v>
      </c>
      <c r="AW522" t="str">
        <f t="shared" si="165"/>
        <v>Lynch</v>
      </c>
      <c r="AX522">
        <f t="shared" si="165"/>
        <v>0</v>
      </c>
      <c r="AY522">
        <f t="shared" ref="AY522:BH531" si="166">IF(OR($V522=AY$1,$Y522=AY$1),AY$1,0)</f>
        <v>0</v>
      </c>
      <c r="AZ522">
        <f t="shared" si="166"/>
        <v>0</v>
      </c>
      <c r="BA522">
        <f t="shared" si="166"/>
        <v>0</v>
      </c>
      <c r="BB522">
        <f t="shared" si="166"/>
        <v>0</v>
      </c>
      <c r="BC522">
        <f t="shared" si="166"/>
        <v>0</v>
      </c>
      <c r="BD522">
        <f t="shared" si="166"/>
        <v>0</v>
      </c>
      <c r="BE522">
        <f t="shared" si="166"/>
        <v>0</v>
      </c>
      <c r="BF522">
        <f t="shared" si="166"/>
        <v>0</v>
      </c>
      <c r="BG522">
        <f t="shared" si="166"/>
        <v>0</v>
      </c>
      <c r="BH522">
        <f t="shared" si="166"/>
        <v>0</v>
      </c>
      <c r="BI522">
        <f t="shared" ref="BI522:BS531" si="167">IF(OR($V522=BI$1,$Y522=BI$1),BI$1,0)</f>
        <v>0</v>
      </c>
      <c r="BJ522">
        <f t="shared" si="167"/>
        <v>0</v>
      </c>
      <c r="BK522">
        <f t="shared" si="167"/>
        <v>0</v>
      </c>
      <c r="BL522">
        <f t="shared" si="167"/>
        <v>0</v>
      </c>
      <c r="BM522">
        <f t="shared" si="167"/>
        <v>0</v>
      </c>
      <c r="BN522">
        <f t="shared" si="167"/>
        <v>0</v>
      </c>
      <c r="BO522">
        <f t="shared" si="167"/>
        <v>0</v>
      </c>
      <c r="BP522">
        <f t="shared" si="167"/>
        <v>0</v>
      </c>
      <c r="BQ522">
        <f t="shared" si="167"/>
        <v>0</v>
      </c>
      <c r="BR522">
        <f t="shared" si="167"/>
        <v>0</v>
      </c>
      <c r="BS522">
        <f t="shared" si="167"/>
        <v>0</v>
      </c>
    </row>
    <row r="523" spans="2:71" ht="15" customHeight="1" x14ac:dyDescent="0.2">
      <c r="B523">
        <v>24</v>
      </c>
      <c r="C523">
        <v>6</v>
      </c>
      <c r="D523">
        <v>8</v>
      </c>
      <c r="E523" t="s">
        <v>423</v>
      </c>
      <c r="F523" t="s">
        <v>214</v>
      </c>
      <c r="G523" s="5">
        <v>44414</v>
      </c>
      <c r="H523" t="s">
        <v>97</v>
      </c>
      <c r="I523" t="s">
        <v>396</v>
      </c>
      <c r="J523" t="s">
        <v>216</v>
      </c>
      <c r="K523">
        <v>9</v>
      </c>
      <c r="L523" t="s">
        <v>90</v>
      </c>
      <c r="M523" t="s">
        <v>412</v>
      </c>
      <c r="N523" t="s">
        <v>398</v>
      </c>
      <c r="O523">
        <v>70.5</v>
      </c>
      <c r="P523">
        <v>124</v>
      </c>
      <c r="Q523">
        <v>6587</v>
      </c>
      <c r="R523" t="s">
        <v>145</v>
      </c>
      <c r="S523" t="s">
        <v>80</v>
      </c>
      <c r="T523" t="s">
        <v>83</v>
      </c>
      <c r="U523" t="s">
        <v>62</v>
      </c>
      <c r="V523" t="s">
        <v>50</v>
      </c>
      <c r="W523" t="s">
        <v>399</v>
      </c>
      <c r="Y523" t="s">
        <v>40</v>
      </c>
      <c r="AA523">
        <v>1</v>
      </c>
      <c r="AB523" t="s">
        <v>34</v>
      </c>
      <c r="AC523" t="s">
        <v>92</v>
      </c>
      <c r="AE523" t="str">
        <f t="shared" si="164"/>
        <v>FerrinGrise</v>
      </c>
      <c r="AF523">
        <v>0.5</v>
      </c>
      <c r="AG523">
        <v>0</v>
      </c>
      <c r="AH523">
        <v>0</v>
      </c>
      <c r="AI523">
        <v>1</v>
      </c>
      <c r="AJ523">
        <v>0.5</v>
      </c>
      <c r="AK523" t="s">
        <v>48</v>
      </c>
      <c r="AL523">
        <v>0.5546875</v>
      </c>
      <c r="AM523" t="s">
        <v>46</v>
      </c>
      <c r="AN523">
        <v>0.38392857142857201</v>
      </c>
      <c r="AO523" t="str">
        <f t="shared" si="165"/>
        <v>Grise</v>
      </c>
      <c r="AP523">
        <f t="shared" si="165"/>
        <v>0</v>
      </c>
      <c r="AQ523">
        <f t="shared" si="165"/>
        <v>0</v>
      </c>
      <c r="AR523">
        <f t="shared" si="165"/>
        <v>0</v>
      </c>
      <c r="AS523">
        <f t="shared" si="165"/>
        <v>0</v>
      </c>
      <c r="AT523">
        <f t="shared" si="165"/>
        <v>0</v>
      </c>
      <c r="AU523">
        <f t="shared" si="165"/>
        <v>0</v>
      </c>
      <c r="AV523">
        <f t="shared" si="165"/>
        <v>0</v>
      </c>
      <c r="AW523">
        <f t="shared" si="165"/>
        <v>0</v>
      </c>
      <c r="AX523">
        <f t="shared" si="165"/>
        <v>0</v>
      </c>
      <c r="AY523" t="str">
        <f t="shared" si="166"/>
        <v>Ferrin</v>
      </c>
      <c r="AZ523">
        <f t="shared" si="166"/>
        <v>0</v>
      </c>
      <c r="BA523">
        <f t="shared" si="166"/>
        <v>0</v>
      </c>
      <c r="BB523">
        <f t="shared" si="166"/>
        <v>0</v>
      </c>
      <c r="BC523">
        <f t="shared" si="166"/>
        <v>0</v>
      </c>
      <c r="BD523">
        <f t="shared" si="166"/>
        <v>0</v>
      </c>
      <c r="BE523">
        <f t="shared" si="166"/>
        <v>0</v>
      </c>
      <c r="BF523">
        <f t="shared" si="166"/>
        <v>0</v>
      </c>
      <c r="BG523">
        <f t="shared" si="166"/>
        <v>0</v>
      </c>
      <c r="BH523">
        <f t="shared" si="166"/>
        <v>0</v>
      </c>
      <c r="BI523">
        <f t="shared" si="167"/>
        <v>0</v>
      </c>
      <c r="BJ523">
        <f t="shared" si="167"/>
        <v>0</v>
      </c>
      <c r="BK523">
        <f t="shared" si="167"/>
        <v>0</v>
      </c>
      <c r="BL523">
        <f t="shared" si="167"/>
        <v>0</v>
      </c>
      <c r="BM523">
        <f t="shared" si="167"/>
        <v>0</v>
      </c>
      <c r="BN523">
        <f t="shared" si="167"/>
        <v>0</v>
      </c>
      <c r="BO523">
        <f t="shared" si="167"/>
        <v>0</v>
      </c>
      <c r="BP523">
        <f t="shared" si="167"/>
        <v>0</v>
      </c>
      <c r="BQ523">
        <f t="shared" si="167"/>
        <v>0</v>
      </c>
      <c r="BR523">
        <f t="shared" si="167"/>
        <v>0</v>
      </c>
      <c r="BS523">
        <f t="shared" si="167"/>
        <v>0</v>
      </c>
    </row>
    <row r="524" spans="2:71" ht="15" customHeight="1" x14ac:dyDescent="0.2">
      <c r="B524" t="s">
        <v>245</v>
      </c>
      <c r="D524">
        <v>8</v>
      </c>
      <c r="E524" t="s">
        <v>424</v>
      </c>
      <c r="F524" t="s">
        <v>214</v>
      </c>
      <c r="G524" s="5">
        <v>44414</v>
      </c>
      <c r="H524" t="s">
        <v>97</v>
      </c>
      <c r="I524" t="s">
        <v>396</v>
      </c>
      <c r="J524" t="s">
        <v>216</v>
      </c>
      <c r="K524">
        <v>9</v>
      </c>
      <c r="L524" t="s">
        <v>90</v>
      </c>
      <c r="M524" t="s">
        <v>425</v>
      </c>
      <c r="N524" t="s">
        <v>426</v>
      </c>
      <c r="R524" t="s">
        <v>248</v>
      </c>
      <c r="S524" t="s">
        <v>248</v>
      </c>
      <c r="T524" t="s">
        <v>83</v>
      </c>
      <c r="U524" t="s">
        <v>44</v>
      </c>
      <c r="V524" t="s">
        <v>53</v>
      </c>
      <c r="W524" t="s">
        <v>125</v>
      </c>
      <c r="AA524">
        <v>0.5</v>
      </c>
      <c r="AB524" t="s">
        <v>32</v>
      </c>
      <c r="AE524" t="str">
        <f t="shared" si="164"/>
        <v>Forster</v>
      </c>
      <c r="AF524">
        <v>0.5</v>
      </c>
      <c r="AG524">
        <v>1</v>
      </c>
      <c r="AH524">
        <v>0</v>
      </c>
      <c r="AI524">
        <v>0</v>
      </c>
      <c r="AJ524">
        <v>1</v>
      </c>
      <c r="AO524">
        <f t="shared" si="165"/>
        <v>0</v>
      </c>
      <c r="AP524">
        <f t="shared" si="165"/>
        <v>0</v>
      </c>
      <c r="AQ524">
        <f t="shared" si="165"/>
        <v>0</v>
      </c>
      <c r="AR524">
        <f t="shared" si="165"/>
        <v>0</v>
      </c>
      <c r="AS524">
        <f t="shared" si="165"/>
        <v>0</v>
      </c>
      <c r="AT524">
        <f t="shared" si="165"/>
        <v>0</v>
      </c>
      <c r="AU524">
        <f t="shared" si="165"/>
        <v>0</v>
      </c>
      <c r="AV524">
        <f t="shared" si="165"/>
        <v>0</v>
      </c>
      <c r="AW524">
        <f t="shared" si="165"/>
        <v>0</v>
      </c>
      <c r="AX524">
        <f t="shared" si="165"/>
        <v>0</v>
      </c>
      <c r="AY524">
        <f t="shared" si="166"/>
        <v>0</v>
      </c>
      <c r="AZ524">
        <f t="shared" si="166"/>
        <v>0</v>
      </c>
      <c r="BA524">
        <f t="shared" si="166"/>
        <v>0</v>
      </c>
      <c r="BB524" t="str">
        <f t="shared" si="166"/>
        <v>Forster</v>
      </c>
      <c r="BC524">
        <f t="shared" si="166"/>
        <v>0</v>
      </c>
      <c r="BD524">
        <f t="shared" si="166"/>
        <v>0</v>
      </c>
      <c r="BE524">
        <f t="shared" si="166"/>
        <v>0</v>
      </c>
      <c r="BF524">
        <f t="shared" si="166"/>
        <v>0</v>
      </c>
      <c r="BG524">
        <f t="shared" si="166"/>
        <v>0</v>
      </c>
      <c r="BH524">
        <f t="shared" si="166"/>
        <v>0</v>
      </c>
      <c r="BI524">
        <f t="shared" si="167"/>
        <v>0</v>
      </c>
      <c r="BJ524">
        <f t="shared" si="167"/>
        <v>0</v>
      </c>
      <c r="BK524">
        <f t="shared" si="167"/>
        <v>0</v>
      </c>
      <c r="BL524">
        <f t="shared" si="167"/>
        <v>0</v>
      </c>
      <c r="BM524">
        <f t="shared" si="167"/>
        <v>0</v>
      </c>
      <c r="BN524">
        <f t="shared" si="167"/>
        <v>0</v>
      </c>
      <c r="BO524">
        <f t="shared" si="167"/>
        <v>0</v>
      </c>
      <c r="BP524">
        <f t="shared" si="167"/>
        <v>0</v>
      </c>
      <c r="BQ524">
        <f t="shared" si="167"/>
        <v>0</v>
      </c>
      <c r="BR524">
        <f t="shared" si="167"/>
        <v>0</v>
      </c>
      <c r="BS524">
        <f t="shared" si="167"/>
        <v>0</v>
      </c>
    </row>
    <row r="525" spans="2:71" ht="15" customHeight="1" x14ac:dyDescent="0.2">
      <c r="B525" t="s">
        <v>245</v>
      </c>
      <c r="D525">
        <v>8</v>
      </c>
      <c r="E525" t="s">
        <v>424</v>
      </c>
      <c r="F525" t="s">
        <v>214</v>
      </c>
      <c r="G525" s="5">
        <v>44414</v>
      </c>
      <c r="H525" t="s">
        <v>97</v>
      </c>
      <c r="I525" t="s">
        <v>396</v>
      </c>
      <c r="J525" t="s">
        <v>216</v>
      </c>
      <c r="K525">
        <v>9</v>
      </c>
      <c r="L525" t="s">
        <v>90</v>
      </c>
      <c r="M525" t="s">
        <v>425</v>
      </c>
      <c r="N525" t="s">
        <v>426</v>
      </c>
      <c r="R525" t="s">
        <v>248</v>
      </c>
      <c r="S525" t="s">
        <v>248</v>
      </c>
      <c r="T525" t="s">
        <v>83</v>
      </c>
      <c r="U525" t="s">
        <v>44</v>
      </c>
      <c r="V525" t="s">
        <v>61</v>
      </c>
      <c r="W525" t="s">
        <v>125</v>
      </c>
      <c r="AA525">
        <v>0.5</v>
      </c>
      <c r="AB525" t="s">
        <v>32</v>
      </c>
      <c r="AE525" t="str">
        <f t="shared" si="164"/>
        <v>McInerney</v>
      </c>
      <c r="AF525">
        <v>0.5</v>
      </c>
      <c r="AG525">
        <v>1</v>
      </c>
      <c r="AH525">
        <v>0</v>
      </c>
      <c r="AI525">
        <v>0</v>
      </c>
      <c r="AJ525">
        <v>1</v>
      </c>
      <c r="AO525">
        <f t="shared" si="165"/>
        <v>0</v>
      </c>
      <c r="AP525">
        <f t="shared" si="165"/>
        <v>0</v>
      </c>
      <c r="AQ525">
        <f t="shared" si="165"/>
        <v>0</v>
      </c>
      <c r="AR525">
        <f t="shared" si="165"/>
        <v>0</v>
      </c>
      <c r="AS525">
        <f t="shared" si="165"/>
        <v>0</v>
      </c>
      <c r="AT525">
        <f t="shared" si="165"/>
        <v>0</v>
      </c>
      <c r="AU525">
        <f t="shared" si="165"/>
        <v>0</v>
      </c>
      <c r="AV525">
        <f t="shared" si="165"/>
        <v>0</v>
      </c>
      <c r="AW525">
        <f t="shared" si="165"/>
        <v>0</v>
      </c>
      <c r="AX525">
        <f t="shared" si="165"/>
        <v>0</v>
      </c>
      <c r="AY525">
        <f t="shared" si="166"/>
        <v>0</v>
      </c>
      <c r="AZ525">
        <f t="shared" si="166"/>
        <v>0</v>
      </c>
      <c r="BA525">
        <f t="shared" si="166"/>
        <v>0</v>
      </c>
      <c r="BB525">
        <f t="shared" si="166"/>
        <v>0</v>
      </c>
      <c r="BC525">
        <f t="shared" si="166"/>
        <v>0</v>
      </c>
      <c r="BD525">
        <f t="shared" si="166"/>
        <v>0</v>
      </c>
      <c r="BE525">
        <f t="shared" si="166"/>
        <v>0</v>
      </c>
      <c r="BF525">
        <f t="shared" si="166"/>
        <v>0</v>
      </c>
      <c r="BG525">
        <f t="shared" si="166"/>
        <v>0</v>
      </c>
      <c r="BH525">
        <f t="shared" si="166"/>
        <v>0</v>
      </c>
      <c r="BI525">
        <f t="shared" si="167"/>
        <v>0</v>
      </c>
      <c r="BJ525" t="str">
        <f t="shared" si="167"/>
        <v>McInerney</v>
      </c>
      <c r="BK525">
        <f t="shared" si="167"/>
        <v>0</v>
      </c>
      <c r="BL525">
        <f t="shared" si="167"/>
        <v>0</v>
      </c>
      <c r="BM525">
        <f t="shared" si="167"/>
        <v>0</v>
      </c>
      <c r="BN525">
        <f t="shared" si="167"/>
        <v>0</v>
      </c>
      <c r="BO525">
        <f t="shared" si="167"/>
        <v>0</v>
      </c>
      <c r="BP525">
        <f t="shared" si="167"/>
        <v>0</v>
      </c>
      <c r="BQ525">
        <f t="shared" si="167"/>
        <v>0</v>
      </c>
      <c r="BR525">
        <f t="shared" si="167"/>
        <v>0</v>
      </c>
      <c r="BS525">
        <f t="shared" si="167"/>
        <v>0</v>
      </c>
    </row>
    <row r="526" spans="2:71" ht="15" customHeight="1" x14ac:dyDescent="0.2">
      <c r="B526" t="s">
        <v>245</v>
      </c>
      <c r="D526">
        <v>8</v>
      </c>
      <c r="E526" t="s">
        <v>424</v>
      </c>
      <c r="F526" t="s">
        <v>214</v>
      </c>
      <c r="G526" s="5">
        <v>44414</v>
      </c>
      <c r="H526" t="s">
        <v>97</v>
      </c>
      <c r="I526" t="s">
        <v>396</v>
      </c>
      <c r="J526" t="s">
        <v>216</v>
      </c>
      <c r="K526">
        <v>9</v>
      </c>
      <c r="L526" t="s">
        <v>90</v>
      </c>
      <c r="M526" t="s">
        <v>425</v>
      </c>
      <c r="N526" t="s">
        <v>426</v>
      </c>
      <c r="R526" t="s">
        <v>248</v>
      </c>
      <c r="S526" t="s">
        <v>248</v>
      </c>
      <c r="T526" t="s">
        <v>83</v>
      </c>
      <c r="U526" t="s">
        <v>44</v>
      </c>
      <c r="V526" t="s">
        <v>68</v>
      </c>
      <c r="W526" t="s">
        <v>125</v>
      </c>
      <c r="AA526">
        <v>0.5</v>
      </c>
      <c r="AB526" t="s">
        <v>32</v>
      </c>
      <c r="AE526" t="str">
        <f t="shared" si="164"/>
        <v>Ramsay</v>
      </c>
      <c r="AF526">
        <v>0.5</v>
      </c>
      <c r="AG526">
        <v>1</v>
      </c>
      <c r="AH526">
        <v>0</v>
      </c>
      <c r="AI526">
        <v>0</v>
      </c>
      <c r="AJ526">
        <v>1</v>
      </c>
      <c r="AO526">
        <f t="shared" si="165"/>
        <v>0</v>
      </c>
      <c r="AP526">
        <f t="shared" si="165"/>
        <v>0</v>
      </c>
      <c r="AQ526">
        <f t="shared" si="165"/>
        <v>0</v>
      </c>
      <c r="AR526">
        <f t="shared" si="165"/>
        <v>0</v>
      </c>
      <c r="AS526">
        <f t="shared" si="165"/>
        <v>0</v>
      </c>
      <c r="AT526">
        <f t="shared" si="165"/>
        <v>0</v>
      </c>
      <c r="AU526">
        <f t="shared" si="165"/>
        <v>0</v>
      </c>
      <c r="AV526">
        <f t="shared" si="165"/>
        <v>0</v>
      </c>
      <c r="AW526">
        <f t="shared" si="165"/>
        <v>0</v>
      </c>
      <c r="AX526">
        <f t="shared" si="165"/>
        <v>0</v>
      </c>
      <c r="AY526">
        <f t="shared" si="166"/>
        <v>0</v>
      </c>
      <c r="AZ526">
        <f t="shared" si="166"/>
        <v>0</v>
      </c>
      <c r="BA526">
        <f t="shared" si="166"/>
        <v>0</v>
      </c>
      <c r="BB526">
        <f t="shared" si="166"/>
        <v>0</v>
      </c>
      <c r="BC526">
        <f t="shared" si="166"/>
        <v>0</v>
      </c>
      <c r="BD526">
        <f t="shared" si="166"/>
        <v>0</v>
      </c>
      <c r="BE526">
        <f t="shared" si="166"/>
        <v>0</v>
      </c>
      <c r="BF526">
        <f t="shared" si="166"/>
        <v>0</v>
      </c>
      <c r="BG526">
        <f t="shared" si="166"/>
        <v>0</v>
      </c>
      <c r="BH526">
        <f t="shared" si="166"/>
        <v>0</v>
      </c>
      <c r="BI526">
        <f t="shared" si="167"/>
        <v>0</v>
      </c>
      <c r="BJ526">
        <f t="shared" si="167"/>
        <v>0</v>
      </c>
      <c r="BK526">
        <f t="shared" si="167"/>
        <v>0</v>
      </c>
      <c r="BL526">
        <f t="shared" si="167"/>
        <v>0</v>
      </c>
      <c r="BM526">
        <f t="shared" si="167"/>
        <v>0</v>
      </c>
      <c r="BN526">
        <f t="shared" si="167"/>
        <v>0</v>
      </c>
      <c r="BO526">
        <f t="shared" si="167"/>
        <v>0</v>
      </c>
      <c r="BP526">
        <f t="shared" si="167"/>
        <v>0</v>
      </c>
      <c r="BQ526" t="str">
        <f t="shared" si="167"/>
        <v>Ramsay</v>
      </c>
      <c r="BR526">
        <f t="shared" si="167"/>
        <v>0</v>
      </c>
      <c r="BS526">
        <f t="shared" si="167"/>
        <v>0</v>
      </c>
    </row>
    <row r="527" spans="2:71" ht="15" customHeight="1" x14ac:dyDescent="0.2">
      <c r="B527" t="s">
        <v>245</v>
      </c>
      <c r="D527">
        <v>8</v>
      </c>
      <c r="E527" t="s">
        <v>424</v>
      </c>
      <c r="F527" t="s">
        <v>214</v>
      </c>
      <c r="G527" s="5">
        <v>44414</v>
      </c>
      <c r="H527" t="s">
        <v>97</v>
      </c>
      <c r="I527" t="s">
        <v>396</v>
      </c>
      <c r="J527" t="s">
        <v>216</v>
      </c>
      <c r="K527">
        <v>9</v>
      </c>
      <c r="L527" t="s">
        <v>90</v>
      </c>
      <c r="M527" t="s">
        <v>425</v>
      </c>
      <c r="N527" t="s">
        <v>426</v>
      </c>
      <c r="R527" t="s">
        <v>248</v>
      </c>
      <c r="S527" t="s">
        <v>248</v>
      </c>
      <c r="T527" t="s">
        <v>83</v>
      </c>
      <c r="U527" t="s">
        <v>44</v>
      </c>
      <c r="V527" t="s">
        <v>42</v>
      </c>
      <c r="W527" t="s">
        <v>125</v>
      </c>
      <c r="AA527">
        <v>0.5</v>
      </c>
      <c r="AB527" t="s">
        <v>32</v>
      </c>
      <c r="AE527" t="str">
        <f t="shared" si="164"/>
        <v>Jackson</v>
      </c>
      <c r="AF527">
        <v>0.5</v>
      </c>
      <c r="AG527">
        <v>1</v>
      </c>
      <c r="AH527">
        <v>0</v>
      </c>
      <c r="AI527">
        <v>0</v>
      </c>
      <c r="AJ527">
        <v>1</v>
      </c>
      <c r="AO527">
        <f t="shared" si="165"/>
        <v>0</v>
      </c>
      <c r="AP527">
        <f t="shared" si="165"/>
        <v>0</v>
      </c>
      <c r="AQ527" t="str">
        <f t="shared" si="165"/>
        <v>Jackson</v>
      </c>
      <c r="AR527">
        <f t="shared" si="165"/>
        <v>0</v>
      </c>
      <c r="AS527">
        <f t="shared" si="165"/>
        <v>0</v>
      </c>
      <c r="AT527">
        <f t="shared" si="165"/>
        <v>0</v>
      </c>
      <c r="AU527">
        <f t="shared" si="165"/>
        <v>0</v>
      </c>
      <c r="AV527">
        <f t="shared" si="165"/>
        <v>0</v>
      </c>
      <c r="AW527">
        <f t="shared" si="165"/>
        <v>0</v>
      </c>
      <c r="AX527">
        <f t="shared" si="165"/>
        <v>0</v>
      </c>
      <c r="AY527">
        <f t="shared" si="166"/>
        <v>0</v>
      </c>
      <c r="AZ527">
        <f t="shared" si="166"/>
        <v>0</v>
      </c>
      <c r="BA527">
        <f t="shared" si="166"/>
        <v>0</v>
      </c>
      <c r="BB527">
        <f t="shared" si="166"/>
        <v>0</v>
      </c>
      <c r="BC527">
        <f t="shared" si="166"/>
        <v>0</v>
      </c>
      <c r="BD527">
        <f t="shared" si="166"/>
        <v>0</v>
      </c>
      <c r="BE527">
        <f t="shared" si="166"/>
        <v>0</v>
      </c>
      <c r="BF527">
        <f t="shared" si="166"/>
        <v>0</v>
      </c>
      <c r="BG527">
        <f t="shared" si="166"/>
        <v>0</v>
      </c>
      <c r="BH527">
        <f t="shared" si="166"/>
        <v>0</v>
      </c>
      <c r="BI527">
        <f t="shared" si="167"/>
        <v>0</v>
      </c>
      <c r="BJ527">
        <f t="shared" si="167"/>
        <v>0</v>
      </c>
      <c r="BK527">
        <f t="shared" si="167"/>
        <v>0</v>
      </c>
      <c r="BL527">
        <f t="shared" si="167"/>
        <v>0</v>
      </c>
      <c r="BM527">
        <f t="shared" si="167"/>
        <v>0</v>
      </c>
      <c r="BN527">
        <f t="shared" si="167"/>
        <v>0</v>
      </c>
      <c r="BO527">
        <f t="shared" si="167"/>
        <v>0</v>
      </c>
      <c r="BP527">
        <f t="shared" si="167"/>
        <v>0</v>
      </c>
      <c r="BQ527">
        <f t="shared" si="167"/>
        <v>0</v>
      </c>
      <c r="BR527">
        <f t="shared" si="167"/>
        <v>0</v>
      </c>
      <c r="BS527">
        <f t="shared" si="167"/>
        <v>0</v>
      </c>
    </row>
    <row r="528" spans="2:71" ht="15" customHeight="1" x14ac:dyDescent="0.2">
      <c r="B528" t="s">
        <v>245</v>
      </c>
      <c r="D528">
        <v>8</v>
      </c>
      <c r="E528" t="s">
        <v>424</v>
      </c>
      <c r="F528" t="s">
        <v>214</v>
      </c>
      <c r="G528" s="5">
        <v>44414</v>
      </c>
      <c r="H528" t="s">
        <v>97</v>
      </c>
      <c r="I528" t="s">
        <v>396</v>
      </c>
      <c r="J528" t="s">
        <v>216</v>
      </c>
      <c r="K528">
        <v>17</v>
      </c>
      <c r="L528" t="s">
        <v>76</v>
      </c>
      <c r="M528" t="s">
        <v>425</v>
      </c>
      <c r="N528" t="s">
        <v>426</v>
      </c>
      <c r="R528" t="s">
        <v>248</v>
      </c>
      <c r="S528" t="s">
        <v>248</v>
      </c>
      <c r="T528" t="s">
        <v>83</v>
      </c>
      <c r="U528" t="s">
        <v>44</v>
      </c>
      <c r="V528" t="s">
        <v>55</v>
      </c>
      <c r="W528" t="s">
        <v>125</v>
      </c>
      <c r="AA528">
        <v>0.5</v>
      </c>
      <c r="AB528" t="s">
        <v>32</v>
      </c>
      <c r="AE528" t="str">
        <f t="shared" si="164"/>
        <v>Cole</v>
      </c>
      <c r="AF528">
        <v>0.5</v>
      </c>
      <c r="AG528">
        <v>1</v>
      </c>
      <c r="AH528">
        <v>0</v>
      </c>
      <c r="AI528">
        <v>0</v>
      </c>
      <c r="AJ528">
        <v>1</v>
      </c>
      <c r="AO528">
        <f t="shared" si="165"/>
        <v>0</v>
      </c>
      <c r="AP528">
        <f t="shared" si="165"/>
        <v>0</v>
      </c>
      <c r="AQ528">
        <f t="shared" si="165"/>
        <v>0</v>
      </c>
      <c r="AR528">
        <f t="shared" si="165"/>
        <v>0</v>
      </c>
      <c r="AS528">
        <f t="shared" si="165"/>
        <v>0</v>
      </c>
      <c r="AT528">
        <f t="shared" si="165"/>
        <v>0</v>
      </c>
      <c r="AU528">
        <f t="shared" si="165"/>
        <v>0</v>
      </c>
      <c r="AV528">
        <f t="shared" si="165"/>
        <v>0</v>
      </c>
      <c r="AW528">
        <f t="shared" si="165"/>
        <v>0</v>
      </c>
      <c r="AX528">
        <f t="shared" si="165"/>
        <v>0</v>
      </c>
      <c r="AY528">
        <f t="shared" si="166"/>
        <v>0</v>
      </c>
      <c r="AZ528">
        <f t="shared" si="166"/>
        <v>0</v>
      </c>
      <c r="BA528">
        <f t="shared" si="166"/>
        <v>0</v>
      </c>
      <c r="BB528">
        <f t="shared" si="166"/>
        <v>0</v>
      </c>
      <c r="BC528">
        <f t="shared" si="166"/>
        <v>0</v>
      </c>
      <c r="BD528" t="str">
        <f t="shared" si="166"/>
        <v>Cole</v>
      </c>
      <c r="BE528">
        <f t="shared" si="166"/>
        <v>0</v>
      </c>
      <c r="BF528">
        <f t="shared" si="166"/>
        <v>0</v>
      </c>
      <c r="BG528">
        <f t="shared" si="166"/>
        <v>0</v>
      </c>
      <c r="BH528">
        <f t="shared" si="166"/>
        <v>0</v>
      </c>
      <c r="BI528">
        <f t="shared" si="167"/>
        <v>0</v>
      </c>
      <c r="BJ528">
        <f t="shared" si="167"/>
        <v>0</v>
      </c>
      <c r="BK528">
        <f t="shared" si="167"/>
        <v>0</v>
      </c>
      <c r="BL528">
        <f t="shared" si="167"/>
        <v>0</v>
      </c>
      <c r="BM528">
        <f t="shared" si="167"/>
        <v>0</v>
      </c>
      <c r="BN528">
        <f t="shared" si="167"/>
        <v>0</v>
      </c>
      <c r="BO528">
        <f t="shared" si="167"/>
        <v>0</v>
      </c>
      <c r="BP528">
        <f t="shared" si="167"/>
        <v>0</v>
      </c>
      <c r="BQ528">
        <f t="shared" si="167"/>
        <v>0</v>
      </c>
      <c r="BR528">
        <f t="shared" si="167"/>
        <v>0</v>
      </c>
      <c r="BS528">
        <f t="shared" si="167"/>
        <v>0</v>
      </c>
    </row>
    <row r="529" spans="2:71" ht="15" customHeight="1" x14ac:dyDescent="0.2">
      <c r="B529" t="s">
        <v>245</v>
      </c>
      <c r="D529">
        <v>8</v>
      </c>
      <c r="E529" t="s">
        <v>424</v>
      </c>
      <c r="F529" t="s">
        <v>214</v>
      </c>
      <c r="G529" s="5">
        <v>44414</v>
      </c>
      <c r="H529" t="s">
        <v>97</v>
      </c>
      <c r="I529" t="s">
        <v>396</v>
      </c>
      <c r="J529" t="s">
        <v>216</v>
      </c>
      <c r="K529">
        <v>17</v>
      </c>
      <c r="L529" t="s">
        <v>76</v>
      </c>
      <c r="M529" t="s">
        <v>425</v>
      </c>
      <c r="N529" t="s">
        <v>426</v>
      </c>
      <c r="R529" t="s">
        <v>248</v>
      </c>
      <c r="S529" t="s">
        <v>248</v>
      </c>
      <c r="T529" t="s">
        <v>83</v>
      </c>
      <c r="U529" t="s">
        <v>44</v>
      </c>
      <c r="V529" t="s">
        <v>65</v>
      </c>
      <c r="W529" t="s">
        <v>125</v>
      </c>
      <c r="AA529">
        <v>0.5</v>
      </c>
      <c r="AB529" t="s">
        <v>32</v>
      </c>
      <c r="AE529" t="str">
        <f t="shared" si="164"/>
        <v>Piegari</v>
      </c>
      <c r="AF529">
        <v>0.5</v>
      </c>
      <c r="AG529">
        <v>1</v>
      </c>
      <c r="AH529">
        <v>0</v>
      </c>
      <c r="AI529">
        <v>0</v>
      </c>
      <c r="AJ529">
        <v>1</v>
      </c>
      <c r="AO529">
        <f t="shared" si="165"/>
        <v>0</v>
      </c>
      <c r="AP529">
        <f t="shared" si="165"/>
        <v>0</v>
      </c>
      <c r="AQ529">
        <f t="shared" si="165"/>
        <v>0</v>
      </c>
      <c r="AR529">
        <f t="shared" si="165"/>
        <v>0</v>
      </c>
      <c r="AS529">
        <f t="shared" si="165"/>
        <v>0</v>
      </c>
      <c r="AT529">
        <f t="shared" si="165"/>
        <v>0</v>
      </c>
      <c r="AU529">
        <f t="shared" si="165"/>
        <v>0</v>
      </c>
      <c r="AV529">
        <f t="shared" si="165"/>
        <v>0</v>
      </c>
      <c r="AW529">
        <f t="shared" si="165"/>
        <v>0</v>
      </c>
      <c r="AX529">
        <f t="shared" si="165"/>
        <v>0</v>
      </c>
      <c r="AY529">
        <f t="shared" si="166"/>
        <v>0</v>
      </c>
      <c r="AZ529">
        <f t="shared" si="166"/>
        <v>0</v>
      </c>
      <c r="BA529">
        <f t="shared" si="166"/>
        <v>0</v>
      </c>
      <c r="BB529">
        <f t="shared" si="166"/>
        <v>0</v>
      </c>
      <c r="BC529">
        <f t="shared" si="166"/>
        <v>0</v>
      </c>
      <c r="BD529">
        <f t="shared" si="166"/>
        <v>0</v>
      </c>
      <c r="BE529">
        <f t="shared" si="166"/>
        <v>0</v>
      </c>
      <c r="BF529">
        <f t="shared" si="166"/>
        <v>0</v>
      </c>
      <c r="BG529">
        <f t="shared" si="166"/>
        <v>0</v>
      </c>
      <c r="BH529">
        <f t="shared" si="166"/>
        <v>0</v>
      </c>
      <c r="BI529">
        <f t="shared" si="167"/>
        <v>0</v>
      </c>
      <c r="BJ529">
        <f t="shared" si="167"/>
        <v>0</v>
      </c>
      <c r="BK529">
        <f t="shared" si="167"/>
        <v>0</v>
      </c>
      <c r="BL529">
        <f t="shared" si="167"/>
        <v>0</v>
      </c>
      <c r="BM529">
        <f t="shared" si="167"/>
        <v>0</v>
      </c>
      <c r="BN529" t="str">
        <f t="shared" si="167"/>
        <v>Piegari</v>
      </c>
      <c r="BO529">
        <f t="shared" si="167"/>
        <v>0</v>
      </c>
      <c r="BP529">
        <f t="shared" si="167"/>
        <v>0</v>
      </c>
      <c r="BQ529">
        <f t="shared" si="167"/>
        <v>0</v>
      </c>
      <c r="BR529">
        <f t="shared" si="167"/>
        <v>0</v>
      </c>
      <c r="BS529">
        <f t="shared" si="167"/>
        <v>0</v>
      </c>
    </row>
    <row r="530" spans="2:71" ht="15" customHeight="1" x14ac:dyDescent="0.2">
      <c r="B530" t="s">
        <v>245</v>
      </c>
      <c r="D530">
        <v>8</v>
      </c>
      <c r="E530" t="s">
        <v>424</v>
      </c>
      <c r="F530" t="s">
        <v>214</v>
      </c>
      <c r="G530" s="5">
        <v>44414</v>
      </c>
      <c r="H530" t="s">
        <v>97</v>
      </c>
      <c r="I530" t="s">
        <v>396</v>
      </c>
      <c r="J530" t="s">
        <v>216</v>
      </c>
      <c r="K530">
        <v>17</v>
      </c>
      <c r="L530" t="s">
        <v>76</v>
      </c>
      <c r="M530" t="s">
        <v>425</v>
      </c>
      <c r="N530" t="s">
        <v>426</v>
      </c>
      <c r="R530" t="s">
        <v>248</v>
      </c>
      <c r="S530" t="s">
        <v>248</v>
      </c>
      <c r="T530" t="s">
        <v>83</v>
      </c>
      <c r="U530" t="s">
        <v>44</v>
      </c>
      <c r="V530" t="s">
        <v>49</v>
      </c>
      <c r="W530" t="s">
        <v>125</v>
      </c>
      <c r="AA530">
        <v>0.5</v>
      </c>
      <c r="AB530" t="s">
        <v>32</v>
      </c>
      <c r="AE530" t="str">
        <f t="shared" si="164"/>
        <v>Shively</v>
      </c>
      <c r="AF530">
        <v>0.5</v>
      </c>
      <c r="AG530">
        <v>1</v>
      </c>
      <c r="AH530">
        <v>0</v>
      </c>
      <c r="AI530">
        <v>0</v>
      </c>
      <c r="AJ530">
        <v>1</v>
      </c>
      <c r="AO530">
        <f t="shared" si="165"/>
        <v>0</v>
      </c>
      <c r="AP530">
        <f t="shared" si="165"/>
        <v>0</v>
      </c>
      <c r="AQ530">
        <f t="shared" si="165"/>
        <v>0</v>
      </c>
      <c r="AR530">
        <f t="shared" si="165"/>
        <v>0</v>
      </c>
      <c r="AS530">
        <f t="shared" si="165"/>
        <v>0</v>
      </c>
      <c r="AT530">
        <f t="shared" si="165"/>
        <v>0</v>
      </c>
      <c r="AU530">
        <f t="shared" si="165"/>
        <v>0</v>
      </c>
      <c r="AV530">
        <f t="shared" si="165"/>
        <v>0</v>
      </c>
      <c r="AW530">
        <f t="shared" si="165"/>
        <v>0</v>
      </c>
      <c r="AX530" t="str">
        <f t="shared" si="165"/>
        <v>Shively</v>
      </c>
      <c r="AY530">
        <f t="shared" si="166"/>
        <v>0</v>
      </c>
      <c r="AZ530">
        <f t="shared" si="166"/>
        <v>0</v>
      </c>
      <c r="BA530">
        <f t="shared" si="166"/>
        <v>0</v>
      </c>
      <c r="BB530">
        <f t="shared" si="166"/>
        <v>0</v>
      </c>
      <c r="BC530">
        <f t="shared" si="166"/>
        <v>0</v>
      </c>
      <c r="BD530">
        <f t="shared" si="166"/>
        <v>0</v>
      </c>
      <c r="BE530">
        <f t="shared" si="166"/>
        <v>0</v>
      </c>
      <c r="BF530">
        <f t="shared" si="166"/>
        <v>0</v>
      </c>
      <c r="BG530">
        <f t="shared" si="166"/>
        <v>0</v>
      </c>
      <c r="BH530">
        <f t="shared" si="166"/>
        <v>0</v>
      </c>
      <c r="BI530">
        <f t="shared" si="167"/>
        <v>0</v>
      </c>
      <c r="BJ530">
        <f t="shared" si="167"/>
        <v>0</v>
      </c>
      <c r="BK530">
        <f t="shared" si="167"/>
        <v>0</v>
      </c>
      <c r="BL530">
        <f t="shared" si="167"/>
        <v>0</v>
      </c>
      <c r="BM530">
        <f t="shared" si="167"/>
        <v>0</v>
      </c>
      <c r="BN530">
        <f t="shared" si="167"/>
        <v>0</v>
      </c>
      <c r="BO530">
        <f t="shared" si="167"/>
        <v>0</v>
      </c>
      <c r="BP530">
        <f t="shared" si="167"/>
        <v>0</v>
      </c>
      <c r="BQ530">
        <f t="shared" si="167"/>
        <v>0</v>
      </c>
      <c r="BR530">
        <f t="shared" si="167"/>
        <v>0</v>
      </c>
      <c r="BS530">
        <f t="shared" si="167"/>
        <v>0</v>
      </c>
    </row>
    <row r="531" spans="2:71" ht="15" customHeight="1" x14ac:dyDescent="0.2">
      <c r="B531" t="s">
        <v>245</v>
      </c>
      <c r="D531">
        <v>8</v>
      </c>
      <c r="E531" t="s">
        <v>424</v>
      </c>
      <c r="F531" t="s">
        <v>214</v>
      </c>
      <c r="G531" s="5">
        <v>44414</v>
      </c>
      <c r="H531" t="s">
        <v>97</v>
      </c>
      <c r="I531" t="s">
        <v>396</v>
      </c>
      <c r="J531" t="s">
        <v>216</v>
      </c>
      <c r="K531">
        <v>17</v>
      </c>
      <c r="L531" t="s">
        <v>76</v>
      </c>
      <c r="M531" t="s">
        <v>425</v>
      </c>
      <c r="N531" t="s">
        <v>426</v>
      </c>
      <c r="R531" t="s">
        <v>248</v>
      </c>
      <c r="S531" t="s">
        <v>248</v>
      </c>
      <c r="T531" t="s">
        <v>83</v>
      </c>
      <c r="U531" t="s">
        <v>44</v>
      </c>
      <c r="V531" t="s">
        <v>44</v>
      </c>
      <c r="W531" t="s">
        <v>125</v>
      </c>
      <c r="AA531">
        <v>0.5</v>
      </c>
      <c r="AB531" t="s">
        <v>32</v>
      </c>
      <c r="AE531" t="str">
        <f t="shared" si="164"/>
        <v>Flanders</v>
      </c>
      <c r="AF531">
        <v>0.5</v>
      </c>
      <c r="AG531">
        <v>1</v>
      </c>
      <c r="AH531">
        <v>0</v>
      </c>
      <c r="AI531">
        <v>0</v>
      </c>
      <c r="AJ531">
        <v>1</v>
      </c>
      <c r="AO531">
        <f t="shared" si="165"/>
        <v>0</v>
      </c>
      <c r="AP531">
        <f t="shared" si="165"/>
        <v>0</v>
      </c>
      <c r="AQ531">
        <f t="shared" si="165"/>
        <v>0</v>
      </c>
      <c r="AR531">
        <f t="shared" si="165"/>
        <v>0</v>
      </c>
      <c r="AS531" t="str">
        <f t="shared" si="165"/>
        <v>Flanders</v>
      </c>
      <c r="AT531">
        <f t="shared" si="165"/>
        <v>0</v>
      </c>
      <c r="AU531">
        <f t="shared" si="165"/>
        <v>0</v>
      </c>
      <c r="AV531">
        <f t="shared" si="165"/>
        <v>0</v>
      </c>
      <c r="AW531">
        <f t="shared" si="165"/>
        <v>0</v>
      </c>
      <c r="AX531">
        <f t="shared" si="165"/>
        <v>0</v>
      </c>
      <c r="AY531">
        <f t="shared" si="166"/>
        <v>0</v>
      </c>
      <c r="AZ531">
        <f t="shared" si="166"/>
        <v>0</v>
      </c>
      <c r="BA531">
        <f t="shared" si="166"/>
        <v>0</v>
      </c>
      <c r="BB531">
        <f t="shared" si="166"/>
        <v>0</v>
      </c>
      <c r="BC531">
        <f t="shared" si="166"/>
        <v>0</v>
      </c>
      <c r="BD531">
        <f t="shared" si="166"/>
        <v>0</v>
      </c>
      <c r="BE531">
        <f t="shared" si="166"/>
        <v>0</v>
      </c>
      <c r="BF531">
        <f t="shared" si="166"/>
        <v>0</v>
      </c>
      <c r="BG531">
        <f t="shared" si="166"/>
        <v>0</v>
      </c>
      <c r="BH531">
        <f t="shared" si="166"/>
        <v>0</v>
      </c>
      <c r="BI531">
        <f t="shared" si="167"/>
        <v>0</v>
      </c>
      <c r="BJ531">
        <f t="shared" si="167"/>
        <v>0</v>
      </c>
      <c r="BK531">
        <f t="shared" si="167"/>
        <v>0</v>
      </c>
      <c r="BL531">
        <f t="shared" si="167"/>
        <v>0</v>
      </c>
      <c r="BM531">
        <f t="shared" si="167"/>
        <v>0</v>
      </c>
      <c r="BN531">
        <f t="shared" si="167"/>
        <v>0</v>
      </c>
      <c r="BO531">
        <f t="shared" si="167"/>
        <v>0</v>
      </c>
      <c r="BP531">
        <f t="shared" si="167"/>
        <v>0</v>
      </c>
      <c r="BQ531">
        <f t="shared" si="167"/>
        <v>0</v>
      </c>
      <c r="BR531">
        <f t="shared" si="167"/>
        <v>0</v>
      </c>
      <c r="BS531">
        <f t="shared" si="167"/>
        <v>0</v>
      </c>
    </row>
    <row r="532" spans="2:71" ht="15" customHeight="1" x14ac:dyDescent="0.2">
      <c r="B532" t="s">
        <v>245</v>
      </c>
      <c r="D532">
        <v>8</v>
      </c>
      <c r="E532" t="s">
        <v>424</v>
      </c>
      <c r="F532" t="s">
        <v>214</v>
      </c>
      <c r="G532" s="5">
        <v>44414</v>
      </c>
      <c r="H532" t="s">
        <v>97</v>
      </c>
      <c r="I532" t="s">
        <v>396</v>
      </c>
      <c r="J532" t="s">
        <v>216</v>
      </c>
      <c r="K532">
        <v>17</v>
      </c>
      <c r="L532" t="s">
        <v>76</v>
      </c>
      <c r="M532" t="s">
        <v>425</v>
      </c>
      <c r="N532" t="s">
        <v>426</v>
      </c>
      <c r="R532" t="s">
        <v>248</v>
      </c>
      <c r="S532" t="s">
        <v>248</v>
      </c>
      <c r="T532" t="s">
        <v>83</v>
      </c>
      <c r="U532" t="s">
        <v>44</v>
      </c>
      <c r="V532" t="s">
        <v>54</v>
      </c>
      <c r="W532" t="s">
        <v>125</v>
      </c>
      <c r="AA532">
        <v>0.5</v>
      </c>
      <c r="AB532" t="s">
        <v>32</v>
      </c>
      <c r="AE532" t="str">
        <f t="shared" si="164"/>
        <v>Fogan</v>
      </c>
      <c r="AF532">
        <v>0.5</v>
      </c>
      <c r="AG532">
        <v>1</v>
      </c>
      <c r="AH532">
        <v>0</v>
      </c>
      <c r="AI532">
        <v>0</v>
      </c>
      <c r="AJ532">
        <v>1</v>
      </c>
      <c r="AO532">
        <f t="shared" ref="AO532:AX541" si="168">IF(OR($V532=AO$1,$Y532=AO$1),AO$1,0)</f>
        <v>0</v>
      </c>
      <c r="AP532">
        <f t="shared" si="168"/>
        <v>0</v>
      </c>
      <c r="AQ532">
        <f t="shared" si="168"/>
        <v>0</v>
      </c>
      <c r="AR532">
        <f t="shared" si="168"/>
        <v>0</v>
      </c>
      <c r="AS532">
        <f t="shared" si="168"/>
        <v>0</v>
      </c>
      <c r="AT532">
        <f t="shared" si="168"/>
        <v>0</v>
      </c>
      <c r="AU532">
        <f t="shared" si="168"/>
        <v>0</v>
      </c>
      <c r="AV532">
        <f t="shared" si="168"/>
        <v>0</v>
      </c>
      <c r="AW532">
        <f t="shared" si="168"/>
        <v>0</v>
      </c>
      <c r="AX532">
        <f t="shared" si="168"/>
        <v>0</v>
      </c>
      <c r="AY532">
        <f t="shared" ref="AY532:BH541" si="169">IF(OR($V532=AY$1,$Y532=AY$1),AY$1,0)</f>
        <v>0</v>
      </c>
      <c r="AZ532">
        <f t="shared" si="169"/>
        <v>0</v>
      </c>
      <c r="BA532">
        <f t="shared" si="169"/>
        <v>0</v>
      </c>
      <c r="BB532">
        <f t="shared" si="169"/>
        <v>0</v>
      </c>
      <c r="BC532" t="str">
        <f t="shared" si="169"/>
        <v>Fogan</v>
      </c>
      <c r="BD532">
        <f t="shared" si="169"/>
        <v>0</v>
      </c>
      <c r="BE532">
        <f t="shared" si="169"/>
        <v>0</v>
      </c>
      <c r="BF532">
        <f t="shared" si="169"/>
        <v>0</v>
      </c>
      <c r="BG532">
        <f t="shared" si="169"/>
        <v>0</v>
      </c>
      <c r="BH532">
        <f t="shared" si="169"/>
        <v>0</v>
      </c>
      <c r="BI532">
        <f t="shared" ref="BI532:BS541" si="170">IF(OR($V532=BI$1,$Y532=BI$1),BI$1,0)</f>
        <v>0</v>
      </c>
      <c r="BJ532">
        <f t="shared" si="170"/>
        <v>0</v>
      </c>
      <c r="BK532">
        <f t="shared" si="170"/>
        <v>0</v>
      </c>
      <c r="BL532">
        <f t="shared" si="170"/>
        <v>0</v>
      </c>
      <c r="BM532">
        <f t="shared" si="170"/>
        <v>0</v>
      </c>
      <c r="BN532">
        <f t="shared" si="170"/>
        <v>0</v>
      </c>
      <c r="BO532">
        <f t="shared" si="170"/>
        <v>0</v>
      </c>
      <c r="BP532">
        <f t="shared" si="170"/>
        <v>0</v>
      </c>
      <c r="BQ532">
        <f t="shared" si="170"/>
        <v>0</v>
      </c>
      <c r="BR532">
        <f t="shared" si="170"/>
        <v>0</v>
      </c>
      <c r="BS532">
        <f t="shared" si="170"/>
        <v>0</v>
      </c>
    </row>
    <row r="533" spans="2:71" ht="15" customHeight="1" x14ac:dyDescent="0.2">
      <c r="B533" t="s">
        <v>245</v>
      </c>
      <c r="D533">
        <v>8</v>
      </c>
      <c r="E533" t="s">
        <v>424</v>
      </c>
      <c r="F533" t="s">
        <v>214</v>
      </c>
      <c r="G533" s="5">
        <v>44414</v>
      </c>
      <c r="H533" t="s">
        <v>97</v>
      </c>
      <c r="I533" t="s">
        <v>396</v>
      </c>
      <c r="J533" t="s">
        <v>216</v>
      </c>
      <c r="K533">
        <v>17</v>
      </c>
      <c r="L533" t="s">
        <v>76</v>
      </c>
      <c r="M533" t="s">
        <v>425</v>
      </c>
      <c r="N533" t="s">
        <v>426</v>
      </c>
      <c r="R533" t="s">
        <v>248</v>
      </c>
      <c r="S533" t="s">
        <v>248</v>
      </c>
      <c r="T533" t="s">
        <v>83</v>
      </c>
      <c r="U533" t="s">
        <v>44</v>
      </c>
      <c r="V533" t="s">
        <v>48</v>
      </c>
      <c r="W533" t="s">
        <v>125</v>
      </c>
      <c r="AA533">
        <v>0.5</v>
      </c>
      <c r="AB533" t="s">
        <v>32</v>
      </c>
      <c r="AE533" t="str">
        <f t="shared" si="164"/>
        <v>Lynch</v>
      </c>
      <c r="AF533">
        <v>0.5</v>
      </c>
      <c r="AG533">
        <v>1</v>
      </c>
      <c r="AH533">
        <v>0</v>
      </c>
      <c r="AI533">
        <v>0</v>
      </c>
      <c r="AJ533">
        <v>1</v>
      </c>
      <c r="AO533">
        <f t="shared" si="168"/>
        <v>0</v>
      </c>
      <c r="AP533">
        <f t="shared" si="168"/>
        <v>0</v>
      </c>
      <c r="AQ533">
        <f t="shared" si="168"/>
        <v>0</v>
      </c>
      <c r="AR533">
        <f t="shared" si="168"/>
        <v>0</v>
      </c>
      <c r="AS533">
        <f t="shared" si="168"/>
        <v>0</v>
      </c>
      <c r="AT533">
        <f t="shared" si="168"/>
        <v>0</v>
      </c>
      <c r="AU533">
        <f t="shared" si="168"/>
        <v>0</v>
      </c>
      <c r="AV533">
        <f t="shared" si="168"/>
        <v>0</v>
      </c>
      <c r="AW533" t="str">
        <f t="shared" si="168"/>
        <v>Lynch</v>
      </c>
      <c r="AX533">
        <f t="shared" si="168"/>
        <v>0</v>
      </c>
      <c r="AY533">
        <f t="shared" si="169"/>
        <v>0</v>
      </c>
      <c r="AZ533">
        <f t="shared" si="169"/>
        <v>0</v>
      </c>
      <c r="BA533">
        <f t="shared" si="169"/>
        <v>0</v>
      </c>
      <c r="BB533">
        <f t="shared" si="169"/>
        <v>0</v>
      </c>
      <c r="BC533">
        <f t="shared" si="169"/>
        <v>0</v>
      </c>
      <c r="BD533">
        <f t="shared" si="169"/>
        <v>0</v>
      </c>
      <c r="BE533">
        <f t="shared" si="169"/>
        <v>0</v>
      </c>
      <c r="BF533">
        <f t="shared" si="169"/>
        <v>0</v>
      </c>
      <c r="BG533">
        <f t="shared" si="169"/>
        <v>0</v>
      </c>
      <c r="BH533">
        <f t="shared" si="169"/>
        <v>0</v>
      </c>
      <c r="BI533">
        <f t="shared" si="170"/>
        <v>0</v>
      </c>
      <c r="BJ533">
        <f t="shared" si="170"/>
        <v>0</v>
      </c>
      <c r="BK533">
        <f t="shared" si="170"/>
        <v>0</v>
      </c>
      <c r="BL533">
        <f t="shared" si="170"/>
        <v>0</v>
      </c>
      <c r="BM533">
        <f t="shared" si="170"/>
        <v>0</v>
      </c>
      <c r="BN533">
        <f t="shared" si="170"/>
        <v>0</v>
      </c>
      <c r="BO533">
        <f t="shared" si="170"/>
        <v>0</v>
      </c>
      <c r="BP533">
        <f t="shared" si="170"/>
        <v>0</v>
      </c>
      <c r="BQ533">
        <f t="shared" si="170"/>
        <v>0</v>
      </c>
      <c r="BR533">
        <f t="shared" si="170"/>
        <v>0</v>
      </c>
      <c r="BS533">
        <f t="shared" si="170"/>
        <v>0</v>
      </c>
    </row>
    <row r="534" spans="2:71" ht="15" customHeight="1" x14ac:dyDescent="0.2">
      <c r="B534" t="s">
        <v>245</v>
      </c>
      <c r="D534">
        <v>8</v>
      </c>
      <c r="E534" t="s">
        <v>424</v>
      </c>
      <c r="F534" t="s">
        <v>214</v>
      </c>
      <c r="G534" s="5">
        <v>44414</v>
      </c>
      <c r="H534" t="s">
        <v>97</v>
      </c>
      <c r="I534" t="s">
        <v>396</v>
      </c>
      <c r="J534" t="s">
        <v>216</v>
      </c>
      <c r="K534">
        <v>17</v>
      </c>
      <c r="L534" t="s">
        <v>76</v>
      </c>
      <c r="M534" t="s">
        <v>425</v>
      </c>
      <c r="N534" t="s">
        <v>426</v>
      </c>
      <c r="R534" t="s">
        <v>248</v>
      </c>
      <c r="S534" t="s">
        <v>248</v>
      </c>
      <c r="T534" t="s">
        <v>83</v>
      </c>
      <c r="U534" t="s">
        <v>44</v>
      </c>
      <c r="V534" t="s">
        <v>46</v>
      </c>
      <c r="W534" t="s">
        <v>125</v>
      </c>
      <c r="AA534">
        <v>0.5</v>
      </c>
      <c r="AB534" t="s">
        <v>32</v>
      </c>
      <c r="AE534" t="str">
        <f t="shared" si="164"/>
        <v>Mangold</v>
      </c>
      <c r="AF534">
        <v>0.5</v>
      </c>
      <c r="AG534">
        <v>1</v>
      </c>
      <c r="AH534">
        <v>0</v>
      </c>
      <c r="AI534">
        <v>0</v>
      </c>
      <c r="AJ534">
        <v>1</v>
      </c>
      <c r="AO534">
        <f t="shared" si="168"/>
        <v>0</v>
      </c>
      <c r="AP534">
        <f t="shared" si="168"/>
        <v>0</v>
      </c>
      <c r="AQ534">
        <f t="shared" si="168"/>
        <v>0</v>
      </c>
      <c r="AR534">
        <f t="shared" si="168"/>
        <v>0</v>
      </c>
      <c r="AS534">
        <f t="shared" si="168"/>
        <v>0</v>
      </c>
      <c r="AT534">
        <f t="shared" si="168"/>
        <v>0</v>
      </c>
      <c r="AU534" t="str">
        <f t="shared" si="168"/>
        <v>Mangold</v>
      </c>
      <c r="AV534">
        <f t="shared" si="168"/>
        <v>0</v>
      </c>
      <c r="AW534">
        <f t="shared" si="168"/>
        <v>0</v>
      </c>
      <c r="AX534">
        <f t="shared" si="168"/>
        <v>0</v>
      </c>
      <c r="AY534">
        <f t="shared" si="169"/>
        <v>0</v>
      </c>
      <c r="AZ534">
        <f t="shared" si="169"/>
        <v>0</v>
      </c>
      <c r="BA534">
        <f t="shared" si="169"/>
        <v>0</v>
      </c>
      <c r="BB534">
        <f t="shared" si="169"/>
        <v>0</v>
      </c>
      <c r="BC534">
        <f t="shared" si="169"/>
        <v>0</v>
      </c>
      <c r="BD534">
        <f t="shared" si="169"/>
        <v>0</v>
      </c>
      <c r="BE534">
        <f t="shared" si="169"/>
        <v>0</v>
      </c>
      <c r="BF534">
        <f t="shared" si="169"/>
        <v>0</v>
      </c>
      <c r="BG534">
        <f t="shared" si="169"/>
        <v>0</v>
      </c>
      <c r="BH534">
        <f t="shared" si="169"/>
        <v>0</v>
      </c>
      <c r="BI534">
        <f t="shared" si="170"/>
        <v>0</v>
      </c>
      <c r="BJ534">
        <f t="shared" si="170"/>
        <v>0</v>
      </c>
      <c r="BK534">
        <f t="shared" si="170"/>
        <v>0</v>
      </c>
      <c r="BL534">
        <f t="shared" si="170"/>
        <v>0</v>
      </c>
      <c r="BM534">
        <f t="shared" si="170"/>
        <v>0</v>
      </c>
      <c r="BN534">
        <f t="shared" si="170"/>
        <v>0</v>
      </c>
      <c r="BO534">
        <f t="shared" si="170"/>
        <v>0</v>
      </c>
      <c r="BP534">
        <f t="shared" si="170"/>
        <v>0</v>
      </c>
      <c r="BQ534">
        <f t="shared" si="170"/>
        <v>0</v>
      </c>
      <c r="BR534">
        <f t="shared" si="170"/>
        <v>0</v>
      </c>
      <c r="BS534">
        <f t="shared" si="170"/>
        <v>0</v>
      </c>
    </row>
    <row r="535" spans="2:71" ht="15" customHeight="1" x14ac:dyDescent="0.2">
      <c r="B535" t="s">
        <v>245</v>
      </c>
      <c r="D535">
        <v>8</v>
      </c>
      <c r="E535" t="s">
        <v>424</v>
      </c>
      <c r="F535" t="s">
        <v>214</v>
      </c>
      <c r="G535" s="5">
        <v>44414</v>
      </c>
      <c r="H535" t="s">
        <v>97</v>
      </c>
      <c r="I535" t="s">
        <v>396</v>
      </c>
      <c r="J535" t="s">
        <v>216</v>
      </c>
      <c r="K535">
        <v>17</v>
      </c>
      <c r="L535" t="s">
        <v>76</v>
      </c>
      <c r="M535" t="s">
        <v>425</v>
      </c>
      <c r="N535" t="s">
        <v>426</v>
      </c>
      <c r="R535" t="s">
        <v>248</v>
      </c>
      <c r="S535" t="s">
        <v>248</v>
      </c>
      <c r="T535" t="s">
        <v>83</v>
      </c>
      <c r="U535" t="s">
        <v>62</v>
      </c>
      <c r="V535" t="s">
        <v>60</v>
      </c>
      <c r="W535" t="s">
        <v>399</v>
      </c>
      <c r="AA535">
        <v>0.5</v>
      </c>
      <c r="AB535" t="s">
        <v>33</v>
      </c>
      <c r="AE535" t="str">
        <f t="shared" si="164"/>
        <v>Zimmer</v>
      </c>
      <c r="AF535">
        <v>0</v>
      </c>
      <c r="AG535">
        <v>0</v>
      </c>
      <c r="AH535">
        <v>1</v>
      </c>
      <c r="AI535">
        <v>0</v>
      </c>
      <c r="AJ535">
        <v>0</v>
      </c>
      <c r="AO535">
        <f t="shared" si="168"/>
        <v>0</v>
      </c>
      <c r="AP535">
        <f t="shared" si="168"/>
        <v>0</v>
      </c>
      <c r="AQ535">
        <f t="shared" si="168"/>
        <v>0</v>
      </c>
      <c r="AR535">
        <f t="shared" si="168"/>
        <v>0</v>
      </c>
      <c r="AS535">
        <f t="shared" si="168"/>
        <v>0</v>
      </c>
      <c r="AT535">
        <f t="shared" si="168"/>
        <v>0</v>
      </c>
      <c r="AU535">
        <f t="shared" si="168"/>
        <v>0</v>
      </c>
      <c r="AV535">
        <f t="shared" si="168"/>
        <v>0</v>
      </c>
      <c r="AW535">
        <f t="shared" si="168"/>
        <v>0</v>
      </c>
      <c r="AX535">
        <f t="shared" si="168"/>
        <v>0</v>
      </c>
      <c r="AY535">
        <f t="shared" si="169"/>
        <v>0</v>
      </c>
      <c r="AZ535">
        <f t="shared" si="169"/>
        <v>0</v>
      </c>
      <c r="BA535">
        <f t="shared" si="169"/>
        <v>0</v>
      </c>
      <c r="BB535">
        <f t="shared" si="169"/>
        <v>0</v>
      </c>
      <c r="BC535">
        <f t="shared" si="169"/>
        <v>0</v>
      </c>
      <c r="BD535">
        <f t="shared" si="169"/>
        <v>0</v>
      </c>
      <c r="BE535">
        <f t="shared" si="169"/>
        <v>0</v>
      </c>
      <c r="BF535">
        <f t="shared" si="169"/>
        <v>0</v>
      </c>
      <c r="BG535">
        <f t="shared" si="169"/>
        <v>0</v>
      </c>
      <c r="BH535">
        <f t="shared" si="169"/>
        <v>0</v>
      </c>
      <c r="BI535" t="str">
        <f t="shared" si="170"/>
        <v>Zimmer</v>
      </c>
      <c r="BJ535">
        <f t="shared" si="170"/>
        <v>0</v>
      </c>
      <c r="BK535">
        <f t="shared" si="170"/>
        <v>0</v>
      </c>
      <c r="BL535">
        <f t="shared" si="170"/>
        <v>0</v>
      </c>
      <c r="BM535">
        <f t="shared" si="170"/>
        <v>0</v>
      </c>
      <c r="BN535">
        <f t="shared" si="170"/>
        <v>0</v>
      </c>
      <c r="BO535">
        <f t="shared" si="170"/>
        <v>0</v>
      </c>
      <c r="BP535">
        <f t="shared" si="170"/>
        <v>0</v>
      </c>
      <c r="BQ535">
        <f t="shared" si="170"/>
        <v>0</v>
      </c>
      <c r="BR535">
        <f t="shared" si="170"/>
        <v>0</v>
      </c>
      <c r="BS535">
        <f t="shared" si="170"/>
        <v>0</v>
      </c>
    </row>
    <row r="536" spans="2:71" ht="15" customHeight="1" x14ac:dyDescent="0.2">
      <c r="B536" t="s">
        <v>245</v>
      </c>
      <c r="D536">
        <v>8</v>
      </c>
      <c r="E536" t="s">
        <v>424</v>
      </c>
      <c r="F536" t="s">
        <v>214</v>
      </c>
      <c r="G536" s="5">
        <v>44414</v>
      </c>
      <c r="H536" t="s">
        <v>97</v>
      </c>
      <c r="I536" t="s">
        <v>396</v>
      </c>
      <c r="J536" t="s">
        <v>216</v>
      </c>
      <c r="K536">
        <v>17</v>
      </c>
      <c r="L536" t="s">
        <v>76</v>
      </c>
      <c r="M536" t="s">
        <v>425</v>
      </c>
      <c r="N536" t="s">
        <v>426</v>
      </c>
      <c r="R536" t="s">
        <v>248</v>
      </c>
      <c r="S536" t="s">
        <v>248</v>
      </c>
      <c r="T536" t="s">
        <v>83</v>
      </c>
      <c r="U536" t="s">
        <v>62</v>
      </c>
      <c r="V536" t="s">
        <v>62</v>
      </c>
      <c r="W536" t="s">
        <v>399</v>
      </c>
      <c r="AA536">
        <v>0.5</v>
      </c>
      <c r="AB536" t="s">
        <v>33</v>
      </c>
      <c r="AE536" t="str">
        <f t="shared" si="164"/>
        <v>Welker</v>
      </c>
      <c r="AF536">
        <v>0</v>
      </c>
      <c r="AG536">
        <v>0</v>
      </c>
      <c r="AH536">
        <v>1</v>
      </c>
      <c r="AI536">
        <v>0</v>
      </c>
      <c r="AJ536">
        <v>0</v>
      </c>
      <c r="AO536">
        <f t="shared" si="168"/>
        <v>0</v>
      </c>
      <c r="AP536">
        <f t="shared" si="168"/>
        <v>0</v>
      </c>
      <c r="AQ536">
        <f t="shared" si="168"/>
        <v>0</v>
      </c>
      <c r="AR536">
        <f t="shared" si="168"/>
        <v>0</v>
      </c>
      <c r="AS536">
        <f t="shared" si="168"/>
        <v>0</v>
      </c>
      <c r="AT536">
        <f t="shared" si="168"/>
        <v>0</v>
      </c>
      <c r="AU536">
        <f t="shared" si="168"/>
        <v>0</v>
      </c>
      <c r="AV536">
        <f t="shared" si="168"/>
        <v>0</v>
      </c>
      <c r="AW536">
        <f t="shared" si="168"/>
        <v>0</v>
      </c>
      <c r="AX536">
        <f t="shared" si="168"/>
        <v>0</v>
      </c>
      <c r="AY536">
        <f t="shared" si="169"/>
        <v>0</v>
      </c>
      <c r="AZ536">
        <f t="shared" si="169"/>
        <v>0</v>
      </c>
      <c r="BA536">
        <f t="shared" si="169"/>
        <v>0</v>
      </c>
      <c r="BB536">
        <f t="shared" si="169"/>
        <v>0</v>
      </c>
      <c r="BC536">
        <f t="shared" si="169"/>
        <v>0</v>
      </c>
      <c r="BD536">
        <f t="shared" si="169"/>
        <v>0</v>
      </c>
      <c r="BE536">
        <f t="shared" si="169"/>
        <v>0</v>
      </c>
      <c r="BF536">
        <f t="shared" si="169"/>
        <v>0</v>
      </c>
      <c r="BG536">
        <f t="shared" si="169"/>
        <v>0</v>
      </c>
      <c r="BH536">
        <f t="shared" si="169"/>
        <v>0</v>
      </c>
      <c r="BI536">
        <f t="shared" si="170"/>
        <v>0</v>
      </c>
      <c r="BJ536">
        <f t="shared" si="170"/>
        <v>0</v>
      </c>
      <c r="BK536" t="str">
        <f t="shared" si="170"/>
        <v>Welker</v>
      </c>
      <c r="BL536">
        <f t="shared" si="170"/>
        <v>0</v>
      </c>
      <c r="BM536">
        <f t="shared" si="170"/>
        <v>0</v>
      </c>
      <c r="BN536">
        <f t="shared" si="170"/>
        <v>0</v>
      </c>
      <c r="BO536">
        <f t="shared" si="170"/>
        <v>0</v>
      </c>
      <c r="BP536">
        <f t="shared" si="170"/>
        <v>0</v>
      </c>
      <c r="BQ536">
        <f t="shared" si="170"/>
        <v>0</v>
      </c>
      <c r="BR536">
        <f t="shared" si="170"/>
        <v>0</v>
      </c>
      <c r="BS536">
        <f t="shared" si="170"/>
        <v>0</v>
      </c>
    </row>
    <row r="537" spans="2:71" ht="15" customHeight="1" x14ac:dyDescent="0.2">
      <c r="B537" t="s">
        <v>245</v>
      </c>
      <c r="D537">
        <v>8</v>
      </c>
      <c r="E537" t="s">
        <v>424</v>
      </c>
      <c r="F537" t="s">
        <v>214</v>
      </c>
      <c r="G537" s="5">
        <v>44414</v>
      </c>
      <c r="H537" t="s">
        <v>97</v>
      </c>
      <c r="I537" t="s">
        <v>396</v>
      </c>
      <c r="J537" t="s">
        <v>216</v>
      </c>
      <c r="K537">
        <v>17</v>
      </c>
      <c r="L537" t="s">
        <v>76</v>
      </c>
      <c r="M537" t="s">
        <v>425</v>
      </c>
      <c r="N537" t="s">
        <v>426</v>
      </c>
      <c r="R537" t="s">
        <v>248</v>
      </c>
      <c r="S537" t="s">
        <v>248</v>
      </c>
      <c r="T537" t="s">
        <v>83</v>
      </c>
      <c r="U537" t="s">
        <v>62</v>
      </c>
      <c r="V537" t="s">
        <v>67</v>
      </c>
      <c r="W537" t="s">
        <v>399</v>
      </c>
      <c r="AA537">
        <v>0.5</v>
      </c>
      <c r="AB537" t="s">
        <v>33</v>
      </c>
      <c r="AE537" t="str">
        <f t="shared" si="164"/>
        <v>Deoteris</v>
      </c>
      <c r="AF537">
        <v>0</v>
      </c>
      <c r="AG537">
        <v>0</v>
      </c>
      <c r="AH537">
        <v>1</v>
      </c>
      <c r="AI537">
        <v>0</v>
      </c>
      <c r="AJ537">
        <v>0</v>
      </c>
      <c r="AO537">
        <f t="shared" si="168"/>
        <v>0</v>
      </c>
      <c r="AP537">
        <f t="shared" si="168"/>
        <v>0</v>
      </c>
      <c r="AQ537">
        <f t="shared" si="168"/>
        <v>0</v>
      </c>
      <c r="AR537">
        <f t="shared" si="168"/>
        <v>0</v>
      </c>
      <c r="AS537">
        <f t="shared" si="168"/>
        <v>0</v>
      </c>
      <c r="AT537">
        <f t="shared" si="168"/>
        <v>0</v>
      </c>
      <c r="AU537">
        <f t="shared" si="168"/>
        <v>0</v>
      </c>
      <c r="AV537">
        <f t="shared" si="168"/>
        <v>0</v>
      </c>
      <c r="AW537">
        <f t="shared" si="168"/>
        <v>0</v>
      </c>
      <c r="AX537">
        <f t="shared" si="168"/>
        <v>0</v>
      </c>
      <c r="AY537">
        <f t="shared" si="169"/>
        <v>0</v>
      </c>
      <c r="AZ537">
        <f t="shared" si="169"/>
        <v>0</v>
      </c>
      <c r="BA537">
        <f t="shared" si="169"/>
        <v>0</v>
      </c>
      <c r="BB537">
        <f t="shared" si="169"/>
        <v>0</v>
      </c>
      <c r="BC537">
        <f t="shared" si="169"/>
        <v>0</v>
      </c>
      <c r="BD537">
        <f t="shared" si="169"/>
        <v>0</v>
      </c>
      <c r="BE537">
        <f t="shared" si="169"/>
        <v>0</v>
      </c>
      <c r="BF537">
        <f t="shared" si="169"/>
        <v>0</v>
      </c>
      <c r="BG537">
        <f t="shared" si="169"/>
        <v>0</v>
      </c>
      <c r="BH537">
        <f t="shared" si="169"/>
        <v>0</v>
      </c>
      <c r="BI537">
        <f t="shared" si="170"/>
        <v>0</v>
      </c>
      <c r="BJ537">
        <f t="shared" si="170"/>
        <v>0</v>
      </c>
      <c r="BK537">
        <f t="shared" si="170"/>
        <v>0</v>
      </c>
      <c r="BL537">
        <f t="shared" si="170"/>
        <v>0</v>
      </c>
      <c r="BM537">
        <f t="shared" si="170"/>
        <v>0</v>
      </c>
      <c r="BN537">
        <f t="shared" si="170"/>
        <v>0</v>
      </c>
      <c r="BO537">
        <f t="shared" si="170"/>
        <v>0</v>
      </c>
      <c r="BP537" t="str">
        <f t="shared" si="170"/>
        <v>Deoteris</v>
      </c>
      <c r="BQ537">
        <f t="shared" si="170"/>
        <v>0</v>
      </c>
      <c r="BR537">
        <f t="shared" si="170"/>
        <v>0</v>
      </c>
      <c r="BS537">
        <f t="shared" si="170"/>
        <v>0</v>
      </c>
    </row>
    <row r="538" spans="2:71" ht="15" customHeight="1" x14ac:dyDescent="0.2">
      <c r="B538" t="s">
        <v>245</v>
      </c>
      <c r="D538">
        <v>8</v>
      </c>
      <c r="E538" t="s">
        <v>424</v>
      </c>
      <c r="F538" t="s">
        <v>214</v>
      </c>
      <c r="G538" s="5">
        <v>44414</v>
      </c>
      <c r="H538" t="s">
        <v>97</v>
      </c>
      <c r="I538" t="s">
        <v>396</v>
      </c>
      <c r="J538" t="s">
        <v>216</v>
      </c>
      <c r="K538">
        <v>17</v>
      </c>
      <c r="L538" t="s">
        <v>76</v>
      </c>
      <c r="M538" t="s">
        <v>425</v>
      </c>
      <c r="N538" t="s">
        <v>426</v>
      </c>
      <c r="R538" t="s">
        <v>248</v>
      </c>
      <c r="S538" t="s">
        <v>248</v>
      </c>
      <c r="T538" t="s">
        <v>83</v>
      </c>
      <c r="U538" t="s">
        <v>62</v>
      </c>
      <c r="V538" t="s">
        <v>64</v>
      </c>
      <c r="W538" t="s">
        <v>399</v>
      </c>
      <c r="AA538">
        <v>0.5</v>
      </c>
      <c r="AB538" t="s">
        <v>33</v>
      </c>
      <c r="AE538" t="str">
        <f t="shared" si="164"/>
        <v>Delneky</v>
      </c>
      <c r="AF538">
        <v>0</v>
      </c>
      <c r="AG538">
        <v>0</v>
      </c>
      <c r="AH538">
        <v>1</v>
      </c>
      <c r="AI538">
        <v>0</v>
      </c>
      <c r="AJ538">
        <v>0</v>
      </c>
      <c r="AO538">
        <f t="shared" si="168"/>
        <v>0</v>
      </c>
      <c r="AP538">
        <f t="shared" si="168"/>
        <v>0</v>
      </c>
      <c r="AQ538">
        <f t="shared" si="168"/>
        <v>0</v>
      </c>
      <c r="AR538">
        <f t="shared" si="168"/>
        <v>0</v>
      </c>
      <c r="AS538">
        <f t="shared" si="168"/>
        <v>0</v>
      </c>
      <c r="AT538">
        <f t="shared" si="168"/>
        <v>0</v>
      </c>
      <c r="AU538">
        <f t="shared" si="168"/>
        <v>0</v>
      </c>
      <c r="AV538">
        <f t="shared" si="168"/>
        <v>0</v>
      </c>
      <c r="AW538">
        <f t="shared" si="168"/>
        <v>0</v>
      </c>
      <c r="AX538">
        <f t="shared" si="168"/>
        <v>0</v>
      </c>
      <c r="AY538">
        <f t="shared" si="169"/>
        <v>0</v>
      </c>
      <c r="AZ538">
        <f t="shared" si="169"/>
        <v>0</v>
      </c>
      <c r="BA538">
        <f t="shared" si="169"/>
        <v>0</v>
      </c>
      <c r="BB538">
        <f t="shared" si="169"/>
        <v>0</v>
      </c>
      <c r="BC538">
        <f t="shared" si="169"/>
        <v>0</v>
      </c>
      <c r="BD538">
        <f t="shared" si="169"/>
        <v>0</v>
      </c>
      <c r="BE538">
        <f t="shared" si="169"/>
        <v>0</v>
      </c>
      <c r="BF538">
        <f t="shared" si="169"/>
        <v>0</v>
      </c>
      <c r="BG538">
        <f t="shared" si="169"/>
        <v>0</v>
      </c>
      <c r="BH538">
        <f t="shared" si="169"/>
        <v>0</v>
      </c>
      <c r="BI538">
        <f t="shared" si="170"/>
        <v>0</v>
      </c>
      <c r="BJ538">
        <f t="shared" si="170"/>
        <v>0</v>
      </c>
      <c r="BK538">
        <f t="shared" si="170"/>
        <v>0</v>
      </c>
      <c r="BL538">
        <f t="shared" si="170"/>
        <v>0</v>
      </c>
      <c r="BM538" t="str">
        <f t="shared" si="170"/>
        <v>Delneky</v>
      </c>
      <c r="BN538">
        <f t="shared" si="170"/>
        <v>0</v>
      </c>
      <c r="BO538">
        <f t="shared" si="170"/>
        <v>0</v>
      </c>
      <c r="BP538">
        <f t="shared" si="170"/>
        <v>0</v>
      </c>
      <c r="BQ538">
        <f t="shared" si="170"/>
        <v>0</v>
      </c>
      <c r="BR538">
        <f t="shared" si="170"/>
        <v>0</v>
      </c>
      <c r="BS538">
        <f t="shared" si="170"/>
        <v>0</v>
      </c>
    </row>
    <row r="539" spans="2:71" ht="15" customHeight="1" x14ac:dyDescent="0.2">
      <c r="B539" t="s">
        <v>245</v>
      </c>
      <c r="D539">
        <v>8</v>
      </c>
      <c r="E539" t="s">
        <v>424</v>
      </c>
      <c r="F539" t="s">
        <v>214</v>
      </c>
      <c r="G539" s="5">
        <v>44414</v>
      </c>
      <c r="H539" t="s">
        <v>97</v>
      </c>
      <c r="I539" t="s">
        <v>396</v>
      </c>
      <c r="J539" t="s">
        <v>216</v>
      </c>
      <c r="K539">
        <v>17</v>
      </c>
      <c r="L539" t="s">
        <v>76</v>
      </c>
      <c r="M539" t="s">
        <v>425</v>
      </c>
      <c r="N539" t="s">
        <v>426</v>
      </c>
      <c r="R539" t="s">
        <v>248</v>
      </c>
      <c r="S539" t="s">
        <v>248</v>
      </c>
      <c r="T539" t="s">
        <v>83</v>
      </c>
      <c r="U539" t="s">
        <v>62</v>
      </c>
      <c r="V539" t="s">
        <v>45</v>
      </c>
      <c r="W539" t="s">
        <v>399</v>
      </c>
      <c r="AA539">
        <v>0.5</v>
      </c>
      <c r="AB539" t="s">
        <v>33</v>
      </c>
      <c r="AE539" t="str">
        <f t="shared" si="164"/>
        <v>Connolly</v>
      </c>
      <c r="AF539">
        <v>0</v>
      </c>
      <c r="AG539">
        <v>0</v>
      </c>
      <c r="AH539">
        <v>1</v>
      </c>
      <c r="AI539">
        <v>0</v>
      </c>
      <c r="AJ539">
        <v>0</v>
      </c>
      <c r="AO539">
        <f t="shared" si="168"/>
        <v>0</v>
      </c>
      <c r="AP539">
        <f t="shared" si="168"/>
        <v>0</v>
      </c>
      <c r="AQ539">
        <f t="shared" si="168"/>
        <v>0</v>
      </c>
      <c r="AR539">
        <f t="shared" si="168"/>
        <v>0</v>
      </c>
      <c r="AS539">
        <f t="shared" si="168"/>
        <v>0</v>
      </c>
      <c r="AT539" t="str">
        <f t="shared" si="168"/>
        <v>Connolly</v>
      </c>
      <c r="AU539">
        <f t="shared" si="168"/>
        <v>0</v>
      </c>
      <c r="AV539">
        <f t="shared" si="168"/>
        <v>0</v>
      </c>
      <c r="AW539">
        <f t="shared" si="168"/>
        <v>0</v>
      </c>
      <c r="AX539">
        <f t="shared" si="168"/>
        <v>0</v>
      </c>
      <c r="AY539">
        <f t="shared" si="169"/>
        <v>0</v>
      </c>
      <c r="AZ539">
        <f t="shared" si="169"/>
        <v>0</v>
      </c>
      <c r="BA539">
        <f t="shared" si="169"/>
        <v>0</v>
      </c>
      <c r="BB539">
        <f t="shared" si="169"/>
        <v>0</v>
      </c>
      <c r="BC539">
        <f t="shared" si="169"/>
        <v>0</v>
      </c>
      <c r="BD539">
        <f t="shared" si="169"/>
        <v>0</v>
      </c>
      <c r="BE539">
        <f t="shared" si="169"/>
        <v>0</v>
      </c>
      <c r="BF539">
        <f t="shared" si="169"/>
        <v>0</v>
      </c>
      <c r="BG539">
        <f t="shared" si="169"/>
        <v>0</v>
      </c>
      <c r="BH539">
        <f t="shared" si="169"/>
        <v>0</v>
      </c>
      <c r="BI539">
        <f t="shared" si="170"/>
        <v>0</v>
      </c>
      <c r="BJ539">
        <f t="shared" si="170"/>
        <v>0</v>
      </c>
      <c r="BK539">
        <f t="shared" si="170"/>
        <v>0</v>
      </c>
      <c r="BL539">
        <f t="shared" si="170"/>
        <v>0</v>
      </c>
      <c r="BM539">
        <f t="shared" si="170"/>
        <v>0</v>
      </c>
      <c r="BN539">
        <f t="shared" si="170"/>
        <v>0</v>
      </c>
      <c r="BO539">
        <f t="shared" si="170"/>
        <v>0</v>
      </c>
      <c r="BP539">
        <f t="shared" si="170"/>
        <v>0</v>
      </c>
      <c r="BQ539">
        <f t="shared" si="170"/>
        <v>0</v>
      </c>
      <c r="BR539">
        <f t="shared" si="170"/>
        <v>0</v>
      </c>
      <c r="BS539">
        <f t="shared" si="170"/>
        <v>0</v>
      </c>
    </row>
    <row r="540" spans="2:71" ht="15" customHeight="1" x14ac:dyDescent="0.2">
      <c r="B540" t="s">
        <v>245</v>
      </c>
      <c r="D540">
        <v>8</v>
      </c>
      <c r="E540" t="s">
        <v>424</v>
      </c>
      <c r="F540" t="s">
        <v>214</v>
      </c>
      <c r="G540" s="5">
        <v>44414</v>
      </c>
      <c r="H540" t="s">
        <v>97</v>
      </c>
      <c r="I540" t="s">
        <v>396</v>
      </c>
      <c r="J540" t="s">
        <v>216</v>
      </c>
      <c r="K540">
        <v>17</v>
      </c>
      <c r="L540" t="s">
        <v>76</v>
      </c>
      <c r="M540" t="s">
        <v>425</v>
      </c>
      <c r="N540" t="s">
        <v>426</v>
      </c>
      <c r="R540" t="s">
        <v>248</v>
      </c>
      <c r="S540" t="s">
        <v>248</v>
      </c>
      <c r="T540" t="s">
        <v>83</v>
      </c>
      <c r="U540" t="s">
        <v>62</v>
      </c>
      <c r="V540" t="s">
        <v>63</v>
      </c>
      <c r="W540" t="s">
        <v>399</v>
      </c>
      <c r="AA540">
        <v>0.5</v>
      </c>
      <c r="AB540" t="s">
        <v>33</v>
      </c>
      <c r="AE540" t="str">
        <f t="shared" si="164"/>
        <v>Delaney</v>
      </c>
      <c r="AF540">
        <v>0</v>
      </c>
      <c r="AG540">
        <v>0</v>
      </c>
      <c r="AH540">
        <v>1</v>
      </c>
      <c r="AI540">
        <v>0</v>
      </c>
      <c r="AJ540">
        <v>0</v>
      </c>
      <c r="AO540">
        <f t="shared" si="168"/>
        <v>0</v>
      </c>
      <c r="AP540">
        <f t="shared" si="168"/>
        <v>0</v>
      </c>
      <c r="AQ540">
        <f t="shared" si="168"/>
        <v>0</v>
      </c>
      <c r="AR540">
        <f t="shared" si="168"/>
        <v>0</v>
      </c>
      <c r="AS540">
        <f t="shared" si="168"/>
        <v>0</v>
      </c>
      <c r="AT540">
        <f t="shared" si="168"/>
        <v>0</v>
      </c>
      <c r="AU540">
        <f t="shared" si="168"/>
        <v>0</v>
      </c>
      <c r="AV540">
        <f t="shared" si="168"/>
        <v>0</v>
      </c>
      <c r="AW540">
        <f t="shared" si="168"/>
        <v>0</v>
      </c>
      <c r="AX540">
        <f t="shared" si="168"/>
        <v>0</v>
      </c>
      <c r="AY540">
        <f t="shared" si="169"/>
        <v>0</v>
      </c>
      <c r="AZ540">
        <f t="shared" si="169"/>
        <v>0</v>
      </c>
      <c r="BA540">
        <f t="shared" si="169"/>
        <v>0</v>
      </c>
      <c r="BB540">
        <f t="shared" si="169"/>
        <v>0</v>
      </c>
      <c r="BC540">
        <f t="shared" si="169"/>
        <v>0</v>
      </c>
      <c r="BD540">
        <f t="shared" si="169"/>
        <v>0</v>
      </c>
      <c r="BE540">
        <f t="shared" si="169"/>
        <v>0</v>
      </c>
      <c r="BF540">
        <f t="shared" si="169"/>
        <v>0</v>
      </c>
      <c r="BG540">
        <f t="shared" si="169"/>
        <v>0</v>
      </c>
      <c r="BH540">
        <f t="shared" si="169"/>
        <v>0</v>
      </c>
      <c r="BI540">
        <f t="shared" si="170"/>
        <v>0</v>
      </c>
      <c r="BJ540">
        <f t="shared" si="170"/>
        <v>0</v>
      </c>
      <c r="BK540">
        <f t="shared" si="170"/>
        <v>0</v>
      </c>
      <c r="BL540" t="str">
        <f t="shared" si="170"/>
        <v>Delaney</v>
      </c>
      <c r="BM540">
        <f t="shared" si="170"/>
        <v>0</v>
      </c>
      <c r="BN540">
        <f t="shared" si="170"/>
        <v>0</v>
      </c>
      <c r="BO540">
        <f t="shared" si="170"/>
        <v>0</v>
      </c>
      <c r="BP540">
        <f t="shared" si="170"/>
        <v>0</v>
      </c>
      <c r="BQ540">
        <f t="shared" si="170"/>
        <v>0</v>
      </c>
      <c r="BR540">
        <f t="shared" si="170"/>
        <v>0</v>
      </c>
      <c r="BS540">
        <f t="shared" si="170"/>
        <v>0</v>
      </c>
    </row>
    <row r="541" spans="2:71" ht="15" customHeight="1" x14ac:dyDescent="0.2">
      <c r="B541" t="s">
        <v>245</v>
      </c>
      <c r="D541">
        <v>8</v>
      </c>
      <c r="E541" t="s">
        <v>424</v>
      </c>
      <c r="F541" t="s">
        <v>214</v>
      </c>
      <c r="G541" s="5">
        <v>44414</v>
      </c>
      <c r="H541" t="s">
        <v>97</v>
      </c>
      <c r="I541" t="s">
        <v>396</v>
      </c>
      <c r="J541" t="s">
        <v>216</v>
      </c>
      <c r="K541">
        <v>17</v>
      </c>
      <c r="L541" t="s">
        <v>76</v>
      </c>
      <c r="M541" t="s">
        <v>425</v>
      </c>
      <c r="N541" t="s">
        <v>426</v>
      </c>
      <c r="R541" t="s">
        <v>248</v>
      </c>
      <c r="S541" t="s">
        <v>248</v>
      </c>
      <c r="T541" t="s">
        <v>83</v>
      </c>
      <c r="U541" t="s">
        <v>62</v>
      </c>
      <c r="V541" t="s">
        <v>41</v>
      </c>
      <c r="W541" t="s">
        <v>399</v>
      </c>
      <c r="AA541">
        <v>0.5</v>
      </c>
      <c r="AB541" t="s">
        <v>33</v>
      </c>
      <c r="AE541" t="str">
        <f t="shared" si="164"/>
        <v>Hilts</v>
      </c>
      <c r="AF541">
        <v>0</v>
      </c>
      <c r="AG541">
        <v>0</v>
      </c>
      <c r="AH541">
        <v>1</v>
      </c>
      <c r="AI541">
        <v>0</v>
      </c>
      <c r="AJ541">
        <v>0</v>
      </c>
      <c r="AO541">
        <f t="shared" si="168"/>
        <v>0</v>
      </c>
      <c r="AP541" t="str">
        <f t="shared" si="168"/>
        <v>Hilts</v>
      </c>
      <c r="AQ541">
        <f t="shared" si="168"/>
        <v>0</v>
      </c>
      <c r="AR541">
        <f t="shared" si="168"/>
        <v>0</v>
      </c>
      <c r="AS541">
        <f t="shared" si="168"/>
        <v>0</v>
      </c>
      <c r="AT541">
        <f t="shared" si="168"/>
        <v>0</v>
      </c>
      <c r="AU541">
        <f t="shared" si="168"/>
        <v>0</v>
      </c>
      <c r="AV541">
        <f t="shared" si="168"/>
        <v>0</v>
      </c>
      <c r="AW541">
        <f t="shared" si="168"/>
        <v>0</v>
      </c>
      <c r="AX541">
        <f t="shared" si="168"/>
        <v>0</v>
      </c>
      <c r="AY541">
        <f t="shared" si="169"/>
        <v>0</v>
      </c>
      <c r="AZ541">
        <f t="shared" si="169"/>
        <v>0</v>
      </c>
      <c r="BA541">
        <f t="shared" si="169"/>
        <v>0</v>
      </c>
      <c r="BB541">
        <f t="shared" si="169"/>
        <v>0</v>
      </c>
      <c r="BC541">
        <f t="shared" si="169"/>
        <v>0</v>
      </c>
      <c r="BD541">
        <f t="shared" si="169"/>
        <v>0</v>
      </c>
      <c r="BE541">
        <f t="shared" si="169"/>
        <v>0</v>
      </c>
      <c r="BF541">
        <f t="shared" si="169"/>
        <v>0</v>
      </c>
      <c r="BG541">
        <f t="shared" si="169"/>
        <v>0</v>
      </c>
      <c r="BH541">
        <f t="shared" si="169"/>
        <v>0</v>
      </c>
      <c r="BI541">
        <f t="shared" si="170"/>
        <v>0</v>
      </c>
      <c r="BJ541">
        <f t="shared" si="170"/>
        <v>0</v>
      </c>
      <c r="BK541">
        <f t="shared" si="170"/>
        <v>0</v>
      </c>
      <c r="BL541">
        <f t="shared" si="170"/>
        <v>0</v>
      </c>
      <c r="BM541">
        <f t="shared" si="170"/>
        <v>0</v>
      </c>
      <c r="BN541">
        <f t="shared" si="170"/>
        <v>0</v>
      </c>
      <c r="BO541">
        <f t="shared" si="170"/>
        <v>0</v>
      </c>
      <c r="BP541">
        <f t="shared" si="170"/>
        <v>0</v>
      </c>
      <c r="BQ541">
        <f t="shared" si="170"/>
        <v>0</v>
      </c>
      <c r="BR541">
        <f t="shared" si="170"/>
        <v>0</v>
      </c>
      <c r="BS541">
        <f t="shared" si="170"/>
        <v>0</v>
      </c>
    </row>
    <row r="542" spans="2:71" ht="15" customHeight="1" x14ac:dyDescent="0.2">
      <c r="B542" t="s">
        <v>245</v>
      </c>
      <c r="D542">
        <v>8</v>
      </c>
      <c r="E542" t="s">
        <v>424</v>
      </c>
      <c r="F542" t="s">
        <v>214</v>
      </c>
      <c r="G542" s="5">
        <v>44414</v>
      </c>
      <c r="H542" t="s">
        <v>97</v>
      </c>
      <c r="I542" t="s">
        <v>396</v>
      </c>
      <c r="J542" t="s">
        <v>216</v>
      </c>
      <c r="K542">
        <v>17</v>
      </c>
      <c r="L542" t="s">
        <v>76</v>
      </c>
      <c r="M542" t="s">
        <v>425</v>
      </c>
      <c r="N542" t="s">
        <v>426</v>
      </c>
      <c r="R542" t="s">
        <v>248</v>
      </c>
      <c r="S542" t="s">
        <v>248</v>
      </c>
      <c r="T542" t="s">
        <v>83</v>
      </c>
      <c r="U542" t="s">
        <v>62</v>
      </c>
      <c r="V542" t="s">
        <v>66</v>
      </c>
      <c r="W542" t="s">
        <v>399</v>
      </c>
      <c r="AA542">
        <v>0.5</v>
      </c>
      <c r="AB542" t="s">
        <v>33</v>
      </c>
      <c r="AE542" t="str">
        <f t="shared" si="164"/>
        <v>Perkins</v>
      </c>
      <c r="AF542">
        <v>0</v>
      </c>
      <c r="AG542">
        <v>0</v>
      </c>
      <c r="AH542">
        <v>1</v>
      </c>
      <c r="AI542">
        <v>0</v>
      </c>
      <c r="AJ542">
        <v>0</v>
      </c>
      <c r="AO542">
        <f t="shared" ref="AO542:AX551" si="171">IF(OR($V542=AO$1,$Y542=AO$1),AO$1,0)</f>
        <v>0</v>
      </c>
      <c r="AP542">
        <f t="shared" si="171"/>
        <v>0</v>
      </c>
      <c r="AQ542">
        <f t="shared" si="171"/>
        <v>0</v>
      </c>
      <c r="AR542">
        <f t="shared" si="171"/>
        <v>0</v>
      </c>
      <c r="AS542">
        <f t="shared" si="171"/>
        <v>0</v>
      </c>
      <c r="AT542">
        <f t="shared" si="171"/>
        <v>0</v>
      </c>
      <c r="AU542">
        <f t="shared" si="171"/>
        <v>0</v>
      </c>
      <c r="AV542">
        <f t="shared" si="171"/>
        <v>0</v>
      </c>
      <c r="AW542">
        <f t="shared" si="171"/>
        <v>0</v>
      </c>
      <c r="AX542">
        <f t="shared" si="171"/>
        <v>0</v>
      </c>
      <c r="AY542">
        <f t="shared" ref="AY542:BH551" si="172">IF(OR($V542=AY$1,$Y542=AY$1),AY$1,0)</f>
        <v>0</v>
      </c>
      <c r="AZ542">
        <f t="shared" si="172"/>
        <v>0</v>
      </c>
      <c r="BA542">
        <f t="shared" si="172"/>
        <v>0</v>
      </c>
      <c r="BB542">
        <f t="shared" si="172"/>
        <v>0</v>
      </c>
      <c r="BC542">
        <f t="shared" si="172"/>
        <v>0</v>
      </c>
      <c r="BD542">
        <f t="shared" si="172"/>
        <v>0</v>
      </c>
      <c r="BE542">
        <f t="shared" si="172"/>
        <v>0</v>
      </c>
      <c r="BF542">
        <f t="shared" si="172"/>
        <v>0</v>
      </c>
      <c r="BG542">
        <f t="shared" si="172"/>
        <v>0</v>
      </c>
      <c r="BH542">
        <f t="shared" si="172"/>
        <v>0</v>
      </c>
      <c r="BI542">
        <f t="shared" ref="BI542:BS551" si="173">IF(OR($V542=BI$1,$Y542=BI$1),BI$1,0)</f>
        <v>0</v>
      </c>
      <c r="BJ542">
        <f t="shared" si="173"/>
        <v>0</v>
      </c>
      <c r="BK542">
        <f t="shared" si="173"/>
        <v>0</v>
      </c>
      <c r="BL542">
        <f t="shared" si="173"/>
        <v>0</v>
      </c>
      <c r="BM542">
        <f t="shared" si="173"/>
        <v>0</v>
      </c>
      <c r="BN542">
        <f t="shared" si="173"/>
        <v>0</v>
      </c>
      <c r="BO542" t="str">
        <f t="shared" si="173"/>
        <v>Perkins</v>
      </c>
      <c r="BP542">
        <f t="shared" si="173"/>
        <v>0</v>
      </c>
      <c r="BQ542">
        <f t="shared" si="173"/>
        <v>0</v>
      </c>
      <c r="BR542">
        <f t="shared" si="173"/>
        <v>0</v>
      </c>
      <c r="BS542">
        <f t="shared" si="173"/>
        <v>0</v>
      </c>
    </row>
    <row r="543" spans="2:71" ht="15" customHeight="1" x14ac:dyDescent="0.2">
      <c r="B543" t="s">
        <v>245</v>
      </c>
      <c r="D543">
        <v>8</v>
      </c>
      <c r="E543" t="s">
        <v>424</v>
      </c>
      <c r="F543" t="s">
        <v>214</v>
      </c>
      <c r="G543" s="5">
        <v>44414</v>
      </c>
      <c r="H543" t="s">
        <v>97</v>
      </c>
      <c r="I543" t="s">
        <v>396</v>
      </c>
      <c r="J543" t="s">
        <v>216</v>
      </c>
      <c r="K543">
        <v>17</v>
      </c>
      <c r="L543" t="s">
        <v>76</v>
      </c>
      <c r="M543" t="s">
        <v>425</v>
      </c>
      <c r="N543" t="s">
        <v>426</v>
      </c>
      <c r="R543" t="s">
        <v>248</v>
      </c>
      <c r="S543" t="s">
        <v>248</v>
      </c>
      <c r="T543" t="s">
        <v>83</v>
      </c>
      <c r="U543" t="s">
        <v>62</v>
      </c>
      <c r="V543" t="s">
        <v>52</v>
      </c>
      <c r="W543" t="s">
        <v>399</v>
      </c>
      <c r="AA543">
        <v>0.5</v>
      </c>
      <c r="AB543" t="s">
        <v>33</v>
      </c>
      <c r="AE543" t="str">
        <f t="shared" si="164"/>
        <v>Connors</v>
      </c>
      <c r="AF543">
        <v>0</v>
      </c>
      <c r="AG543">
        <v>0</v>
      </c>
      <c r="AH543">
        <v>1</v>
      </c>
      <c r="AI543">
        <v>0</v>
      </c>
      <c r="AJ543">
        <v>0</v>
      </c>
      <c r="AO543">
        <f t="shared" si="171"/>
        <v>0</v>
      </c>
      <c r="AP543">
        <f t="shared" si="171"/>
        <v>0</v>
      </c>
      <c r="AQ543">
        <f t="shared" si="171"/>
        <v>0</v>
      </c>
      <c r="AR543">
        <f t="shared" si="171"/>
        <v>0</v>
      </c>
      <c r="AS543">
        <f t="shared" si="171"/>
        <v>0</v>
      </c>
      <c r="AT543">
        <f t="shared" si="171"/>
        <v>0</v>
      </c>
      <c r="AU543">
        <f t="shared" si="171"/>
        <v>0</v>
      </c>
      <c r="AV543">
        <f t="shared" si="171"/>
        <v>0</v>
      </c>
      <c r="AW543">
        <f t="shared" si="171"/>
        <v>0</v>
      </c>
      <c r="AX543">
        <f t="shared" si="171"/>
        <v>0</v>
      </c>
      <c r="AY543">
        <f t="shared" si="172"/>
        <v>0</v>
      </c>
      <c r="AZ543">
        <f t="shared" si="172"/>
        <v>0</v>
      </c>
      <c r="BA543" t="str">
        <f t="shared" si="172"/>
        <v>Connors</v>
      </c>
      <c r="BB543">
        <f t="shared" si="172"/>
        <v>0</v>
      </c>
      <c r="BC543">
        <f t="shared" si="172"/>
        <v>0</v>
      </c>
      <c r="BD543">
        <f t="shared" si="172"/>
        <v>0</v>
      </c>
      <c r="BE543">
        <f t="shared" si="172"/>
        <v>0</v>
      </c>
      <c r="BF543">
        <f t="shared" si="172"/>
        <v>0</v>
      </c>
      <c r="BG543">
        <f t="shared" si="172"/>
        <v>0</v>
      </c>
      <c r="BH543">
        <f t="shared" si="172"/>
        <v>0</v>
      </c>
      <c r="BI543">
        <f t="shared" si="173"/>
        <v>0</v>
      </c>
      <c r="BJ543">
        <f t="shared" si="173"/>
        <v>0</v>
      </c>
      <c r="BK543">
        <f t="shared" si="173"/>
        <v>0</v>
      </c>
      <c r="BL543">
        <f t="shared" si="173"/>
        <v>0</v>
      </c>
      <c r="BM543">
        <f t="shared" si="173"/>
        <v>0</v>
      </c>
      <c r="BN543">
        <f t="shared" si="173"/>
        <v>0</v>
      </c>
      <c r="BO543">
        <f t="shared" si="173"/>
        <v>0</v>
      </c>
      <c r="BP543">
        <f t="shared" si="173"/>
        <v>0</v>
      </c>
      <c r="BQ543">
        <f t="shared" si="173"/>
        <v>0</v>
      </c>
      <c r="BR543">
        <f t="shared" si="173"/>
        <v>0</v>
      </c>
      <c r="BS543">
        <f t="shared" si="173"/>
        <v>0</v>
      </c>
    </row>
    <row r="544" spans="2:71" ht="15" customHeight="1" x14ac:dyDescent="0.2">
      <c r="B544" t="s">
        <v>245</v>
      </c>
      <c r="D544">
        <v>8</v>
      </c>
      <c r="E544" t="s">
        <v>424</v>
      </c>
      <c r="F544" t="s">
        <v>214</v>
      </c>
      <c r="G544" s="5">
        <v>44414</v>
      </c>
      <c r="H544" t="s">
        <v>97</v>
      </c>
      <c r="I544" t="s">
        <v>396</v>
      </c>
      <c r="J544" t="s">
        <v>216</v>
      </c>
      <c r="K544">
        <v>17</v>
      </c>
      <c r="L544" t="s">
        <v>76</v>
      </c>
      <c r="M544" t="s">
        <v>425</v>
      </c>
      <c r="N544" t="s">
        <v>426</v>
      </c>
      <c r="R544" t="s">
        <v>248</v>
      </c>
      <c r="S544" t="s">
        <v>248</v>
      </c>
      <c r="T544" t="s">
        <v>83</v>
      </c>
      <c r="U544" t="s">
        <v>62</v>
      </c>
      <c r="V544" t="s">
        <v>50</v>
      </c>
      <c r="W544" t="s">
        <v>399</v>
      </c>
      <c r="AA544">
        <v>0.5</v>
      </c>
      <c r="AB544" t="s">
        <v>33</v>
      </c>
      <c r="AE544" t="str">
        <f t="shared" si="164"/>
        <v>Ferrin</v>
      </c>
      <c r="AF544">
        <v>0</v>
      </c>
      <c r="AG544">
        <v>0</v>
      </c>
      <c r="AH544">
        <v>1</v>
      </c>
      <c r="AI544">
        <v>0</v>
      </c>
      <c r="AJ544">
        <v>0</v>
      </c>
      <c r="AO544">
        <f t="shared" si="171"/>
        <v>0</v>
      </c>
      <c r="AP544">
        <f t="shared" si="171"/>
        <v>0</v>
      </c>
      <c r="AQ544">
        <f t="shared" si="171"/>
        <v>0</v>
      </c>
      <c r="AR544">
        <f t="shared" si="171"/>
        <v>0</v>
      </c>
      <c r="AS544">
        <f t="shared" si="171"/>
        <v>0</v>
      </c>
      <c r="AT544">
        <f t="shared" si="171"/>
        <v>0</v>
      </c>
      <c r="AU544">
        <f t="shared" si="171"/>
        <v>0</v>
      </c>
      <c r="AV544">
        <f t="shared" si="171"/>
        <v>0</v>
      </c>
      <c r="AW544">
        <f t="shared" si="171"/>
        <v>0</v>
      </c>
      <c r="AX544">
        <f t="shared" si="171"/>
        <v>0</v>
      </c>
      <c r="AY544" t="str">
        <f t="shared" si="172"/>
        <v>Ferrin</v>
      </c>
      <c r="AZ544">
        <f t="shared" si="172"/>
        <v>0</v>
      </c>
      <c r="BA544">
        <f t="shared" si="172"/>
        <v>0</v>
      </c>
      <c r="BB544">
        <f t="shared" si="172"/>
        <v>0</v>
      </c>
      <c r="BC544">
        <f t="shared" si="172"/>
        <v>0</v>
      </c>
      <c r="BD544">
        <f t="shared" si="172"/>
        <v>0</v>
      </c>
      <c r="BE544">
        <f t="shared" si="172"/>
        <v>0</v>
      </c>
      <c r="BF544">
        <f t="shared" si="172"/>
        <v>0</v>
      </c>
      <c r="BG544">
        <f t="shared" si="172"/>
        <v>0</v>
      </c>
      <c r="BH544">
        <f t="shared" si="172"/>
        <v>0</v>
      </c>
      <c r="BI544">
        <f t="shared" si="173"/>
        <v>0</v>
      </c>
      <c r="BJ544">
        <f t="shared" si="173"/>
        <v>0</v>
      </c>
      <c r="BK544">
        <f t="shared" si="173"/>
        <v>0</v>
      </c>
      <c r="BL544">
        <f t="shared" si="173"/>
        <v>0</v>
      </c>
      <c r="BM544">
        <f t="shared" si="173"/>
        <v>0</v>
      </c>
      <c r="BN544">
        <f t="shared" si="173"/>
        <v>0</v>
      </c>
      <c r="BO544">
        <f t="shared" si="173"/>
        <v>0</v>
      </c>
      <c r="BP544">
        <f t="shared" si="173"/>
        <v>0</v>
      </c>
      <c r="BQ544">
        <f t="shared" si="173"/>
        <v>0</v>
      </c>
      <c r="BR544">
        <f t="shared" si="173"/>
        <v>0</v>
      </c>
      <c r="BS544">
        <f t="shared" si="173"/>
        <v>0</v>
      </c>
    </row>
    <row r="545" spans="2:71" ht="15" customHeight="1" x14ac:dyDescent="0.2">
      <c r="B545" t="s">
        <v>245</v>
      </c>
      <c r="D545">
        <v>8</v>
      </c>
      <c r="E545" t="s">
        <v>424</v>
      </c>
      <c r="F545" t="s">
        <v>214</v>
      </c>
      <c r="G545" s="5">
        <v>44414</v>
      </c>
      <c r="H545" t="s">
        <v>97</v>
      </c>
      <c r="I545" t="s">
        <v>396</v>
      </c>
      <c r="J545" t="s">
        <v>216</v>
      </c>
      <c r="K545">
        <v>17</v>
      </c>
      <c r="L545" t="s">
        <v>76</v>
      </c>
      <c r="M545" t="s">
        <v>425</v>
      </c>
      <c r="N545" t="s">
        <v>426</v>
      </c>
      <c r="R545" t="s">
        <v>248</v>
      </c>
      <c r="S545" t="s">
        <v>248</v>
      </c>
      <c r="T545" t="s">
        <v>83</v>
      </c>
      <c r="U545" t="s">
        <v>62</v>
      </c>
      <c r="V545" t="s">
        <v>40</v>
      </c>
      <c r="W545" t="s">
        <v>399</v>
      </c>
      <c r="AA545">
        <v>0.5</v>
      </c>
      <c r="AB545" t="s">
        <v>33</v>
      </c>
      <c r="AE545" t="str">
        <f t="shared" si="164"/>
        <v>Grise</v>
      </c>
      <c r="AF545">
        <v>0</v>
      </c>
      <c r="AG545">
        <v>0</v>
      </c>
      <c r="AH545">
        <v>1</v>
      </c>
      <c r="AI545">
        <v>0</v>
      </c>
      <c r="AJ545">
        <v>0</v>
      </c>
      <c r="AO545" t="str">
        <f t="shared" si="171"/>
        <v>Grise</v>
      </c>
      <c r="AP545">
        <f t="shared" si="171"/>
        <v>0</v>
      </c>
      <c r="AQ545">
        <f t="shared" si="171"/>
        <v>0</v>
      </c>
      <c r="AR545">
        <f t="shared" si="171"/>
        <v>0</v>
      </c>
      <c r="AS545">
        <f t="shared" si="171"/>
        <v>0</v>
      </c>
      <c r="AT545">
        <f t="shared" si="171"/>
        <v>0</v>
      </c>
      <c r="AU545">
        <f t="shared" si="171"/>
        <v>0</v>
      </c>
      <c r="AV545">
        <f t="shared" si="171"/>
        <v>0</v>
      </c>
      <c r="AW545">
        <f t="shared" si="171"/>
        <v>0</v>
      </c>
      <c r="AX545">
        <f t="shared" si="171"/>
        <v>0</v>
      </c>
      <c r="AY545">
        <f t="shared" si="172"/>
        <v>0</v>
      </c>
      <c r="AZ545">
        <f t="shared" si="172"/>
        <v>0</v>
      </c>
      <c r="BA545">
        <f t="shared" si="172"/>
        <v>0</v>
      </c>
      <c r="BB545">
        <f t="shared" si="172"/>
        <v>0</v>
      </c>
      <c r="BC545">
        <f t="shared" si="172"/>
        <v>0</v>
      </c>
      <c r="BD545">
        <f t="shared" si="172"/>
        <v>0</v>
      </c>
      <c r="BE545">
        <f t="shared" si="172"/>
        <v>0</v>
      </c>
      <c r="BF545">
        <f t="shared" si="172"/>
        <v>0</v>
      </c>
      <c r="BG545">
        <f t="shared" si="172"/>
        <v>0</v>
      </c>
      <c r="BH545">
        <f t="shared" si="172"/>
        <v>0</v>
      </c>
      <c r="BI545">
        <f t="shared" si="173"/>
        <v>0</v>
      </c>
      <c r="BJ545">
        <f t="shared" si="173"/>
        <v>0</v>
      </c>
      <c r="BK545">
        <f t="shared" si="173"/>
        <v>0</v>
      </c>
      <c r="BL545">
        <f t="shared" si="173"/>
        <v>0</v>
      </c>
      <c r="BM545">
        <f t="shared" si="173"/>
        <v>0</v>
      </c>
      <c r="BN545">
        <f t="shared" si="173"/>
        <v>0</v>
      </c>
      <c r="BO545">
        <f t="shared" si="173"/>
        <v>0</v>
      </c>
      <c r="BP545">
        <f t="shared" si="173"/>
        <v>0</v>
      </c>
      <c r="BQ545">
        <f t="shared" si="173"/>
        <v>0</v>
      </c>
      <c r="BR545">
        <f t="shared" si="173"/>
        <v>0</v>
      </c>
      <c r="BS545">
        <f t="shared" si="173"/>
        <v>0</v>
      </c>
    </row>
    <row r="546" spans="2:71" ht="15" customHeight="1" x14ac:dyDescent="0.2">
      <c r="B546">
        <v>25</v>
      </c>
      <c r="C546">
        <v>1</v>
      </c>
      <c r="D546">
        <v>8</v>
      </c>
      <c r="E546" t="s">
        <v>427</v>
      </c>
      <c r="F546" t="s">
        <v>106</v>
      </c>
      <c r="G546" s="5">
        <v>44430</v>
      </c>
      <c r="H546" t="s">
        <v>97</v>
      </c>
      <c r="I546" t="s">
        <v>428</v>
      </c>
      <c r="J546" t="s">
        <v>168</v>
      </c>
      <c r="K546">
        <v>18</v>
      </c>
      <c r="L546" t="s">
        <v>107</v>
      </c>
      <c r="M546" t="s">
        <v>429</v>
      </c>
      <c r="R546" t="s">
        <v>110</v>
      </c>
      <c r="S546" t="s">
        <v>111</v>
      </c>
      <c r="T546" t="s">
        <v>83</v>
      </c>
      <c r="U546" t="s">
        <v>44</v>
      </c>
      <c r="V546" t="s">
        <v>54</v>
      </c>
      <c r="AA546">
        <v>2</v>
      </c>
      <c r="AB546" t="s">
        <v>32</v>
      </c>
      <c r="AC546" t="s">
        <v>204</v>
      </c>
      <c r="AD546" t="s">
        <v>63</v>
      </c>
      <c r="AE546" t="str">
        <f t="shared" si="164"/>
        <v>Fogan</v>
      </c>
      <c r="AF546">
        <v>2</v>
      </c>
      <c r="AG546">
        <v>1</v>
      </c>
      <c r="AH546">
        <v>0</v>
      </c>
      <c r="AI546">
        <v>0</v>
      </c>
      <c r="AJ546">
        <v>1</v>
      </c>
      <c r="AK546" t="s">
        <v>63</v>
      </c>
      <c r="AL546">
        <v>0.46551724137931</v>
      </c>
      <c r="AO546">
        <f t="shared" si="171"/>
        <v>0</v>
      </c>
      <c r="AP546">
        <f t="shared" si="171"/>
        <v>0</v>
      </c>
      <c r="AQ546">
        <f t="shared" si="171"/>
        <v>0</v>
      </c>
      <c r="AR546">
        <f t="shared" si="171"/>
        <v>0</v>
      </c>
      <c r="AS546">
        <f t="shared" si="171"/>
        <v>0</v>
      </c>
      <c r="AT546">
        <f t="shared" si="171"/>
        <v>0</v>
      </c>
      <c r="AU546">
        <f t="shared" si="171"/>
        <v>0</v>
      </c>
      <c r="AV546">
        <f t="shared" si="171"/>
        <v>0</v>
      </c>
      <c r="AW546">
        <f t="shared" si="171"/>
        <v>0</v>
      </c>
      <c r="AX546">
        <f t="shared" si="171"/>
        <v>0</v>
      </c>
      <c r="AY546">
        <f t="shared" si="172"/>
        <v>0</v>
      </c>
      <c r="AZ546">
        <f t="shared" si="172"/>
        <v>0</v>
      </c>
      <c r="BA546">
        <f t="shared" si="172"/>
        <v>0</v>
      </c>
      <c r="BB546">
        <f t="shared" si="172"/>
        <v>0</v>
      </c>
      <c r="BC546" t="str">
        <f t="shared" si="172"/>
        <v>Fogan</v>
      </c>
      <c r="BD546">
        <f t="shared" si="172"/>
        <v>0</v>
      </c>
      <c r="BE546">
        <f t="shared" si="172"/>
        <v>0</v>
      </c>
      <c r="BF546">
        <f t="shared" si="172"/>
        <v>0</v>
      </c>
      <c r="BG546">
        <f t="shared" si="172"/>
        <v>0</v>
      </c>
      <c r="BH546">
        <f t="shared" si="172"/>
        <v>0</v>
      </c>
      <c r="BI546">
        <f t="shared" si="173"/>
        <v>0</v>
      </c>
      <c r="BJ546">
        <f t="shared" si="173"/>
        <v>0</v>
      </c>
      <c r="BK546">
        <f t="shared" si="173"/>
        <v>0</v>
      </c>
      <c r="BL546">
        <f t="shared" si="173"/>
        <v>0</v>
      </c>
      <c r="BM546">
        <f t="shared" si="173"/>
        <v>0</v>
      </c>
      <c r="BN546">
        <f t="shared" si="173"/>
        <v>0</v>
      </c>
      <c r="BO546">
        <f t="shared" si="173"/>
        <v>0</v>
      </c>
      <c r="BP546">
        <f t="shared" si="173"/>
        <v>0</v>
      </c>
      <c r="BQ546">
        <f t="shared" si="173"/>
        <v>0</v>
      </c>
      <c r="BR546">
        <f t="shared" si="173"/>
        <v>0</v>
      </c>
      <c r="BS546">
        <f t="shared" si="173"/>
        <v>0</v>
      </c>
    </row>
    <row r="547" spans="2:71" ht="15" customHeight="1" x14ac:dyDescent="0.2">
      <c r="B547">
        <v>26</v>
      </c>
      <c r="C547">
        <v>2</v>
      </c>
      <c r="D547">
        <v>8</v>
      </c>
      <c r="E547" t="s">
        <v>430</v>
      </c>
      <c r="F547" t="s">
        <v>106</v>
      </c>
      <c r="G547" s="5">
        <v>44451</v>
      </c>
      <c r="H547" t="s">
        <v>73</v>
      </c>
      <c r="I547" t="s">
        <v>431</v>
      </c>
      <c r="J547" t="s">
        <v>168</v>
      </c>
      <c r="K547">
        <v>18</v>
      </c>
      <c r="L547" t="s">
        <v>107</v>
      </c>
      <c r="M547" t="s">
        <v>432</v>
      </c>
      <c r="R547" t="s">
        <v>110</v>
      </c>
      <c r="S547" t="s">
        <v>111</v>
      </c>
      <c r="T547" t="s">
        <v>83</v>
      </c>
      <c r="U547" t="s">
        <v>44</v>
      </c>
      <c r="V547" t="s">
        <v>48</v>
      </c>
      <c r="AA547">
        <v>2</v>
      </c>
      <c r="AB547" t="s">
        <v>32</v>
      </c>
      <c r="AC547" t="s">
        <v>171</v>
      </c>
      <c r="AD547" t="s">
        <v>50</v>
      </c>
      <c r="AE547" t="str">
        <f t="shared" si="164"/>
        <v>Lynch</v>
      </c>
      <c r="AF547">
        <v>2</v>
      </c>
      <c r="AG547">
        <v>1</v>
      </c>
      <c r="AH547">
        <v>0</v>
      </c>
      <c r="AI547">
        <v>0</v>
      </c>
      <c r="AJ547">
        <v>1</v>
      </c>
      <c r="AK547" t="s">
        <v>50</v>
      </c>
      <c r="AL547">
        <v>0.59523809523809501</v>
      </c>
      <c r="AO547">
        <f t="shared" si="171"/>
        <v>0</v>
      </c>
      <c r="AP547">
        <f t="shared" si="171"/>
        <v>0</v>
      </c>
      <c r="AQ547">
        <f t="shared" si="171"/>
        <v>0</v>
      </c>
      <c r="AR547">
        <f t="shared" si="171"/>
        <v>0</v>
      </c>
      <c r="AS547">
        <f t="shared" si="171"/>
        <v>0</v>
      </c>
      <c r="AT547">
        <f t="shared" si="171"/>
        <v>0</v>
      </c>
      <c r="AU547">
        <f t="shared" si="171"/>
        <v>0</v>
      </c>
      <c r="AV547">
        <f t="shared" si="171"/>
        <v>0</v>
      </c>
      <c r="AW547" t="str">
        <f t="shared" si="171"/>
        <v>Lynch</v>
      </c>
      <c r="AX547">
        <f t="shared" si="171"/>
        <v>0</v>
      </c>
      <c r="AY547">
        <f t="shared" si="172"/>
        <v>0</v>
      </c>
      <c r="AZ547">
        <f t="shared" si="172"/>
        <v>0</v>
      </c>
      <c r="BA547">
        <f t="shared" si="172"/>
        <v>0</v>
      </c>
      <c r="BB547">
        <f t="shared" si="172"/>
        <v>0</v>
      </c>
      <c r="BC547">
        <f t="shared" si="172"/>
        <v>0</v>
      </c>
      <c r="BD547">
        <f t="shared" si="172"/>
        <v>0</v>
      </c>
      <c r="BE547">
        <f t="shared" si="172"/>
        <v>0</v>
      </c>
      <c r="BF547">
        <f t="shared" si="172"/>
        <v>0</v>
      </c>
      <c r="BG547">
        <f t="shared" si="172"/>
        <v>0</v>
      </c>
      <c r="BH547">
        <f t="shared" si="172"/>
        <v>0</v>
      </c>
      <c r="BI547">
        <f t="shared" si="173"/>
        <v>0</v>
      </c>
      <c r="BJ547">
        <f t="shared" si="173"/>
        <v>0</v>
      </c>
      <c r="BK547">
        <f t="shared" si="173"/>
        <v>0</v>
      </c>
      <c r="BL547">
        <f t="shared" si="173"/>
        <v>0</v>
      </c>
      <c r="BM547">
        <f t="shared" si="173"/>
        <v>0</v>
      </c>
      <c r="BN547">
        <f t="shared" si="173"/>
        <v>0</v>
      </c>
      <c r="BO547">
        <f t="shared" si="173"/>
        <v>0</v>
      </c>
      <c r="BP547">
        <f t="shared" si="173"/>
        <v>0</v>
      </c>
      <c r="BQ547">
        <f t="shared" si="173"/>
        <v>0</v>
      </c>
      <c r="BR547">
        <f t="shared" si="173"/>
        <v>0</v>
      </c>
      <c r="BS547">
        <f t="shared" si="173"/>
        <v>0</v>
      </c>
    </row>
    <row r="548" spans="2:71" ht="15" customHeight="1" x14ac:dyDescent="0.2">
      <c r="B548">
        <v>27</v>
      </c>
      <c r="C548">
        <v>3</v>
      </c>
      <c r="D548">
        <v>8</v>
      </c>
      <c r="E548" t="s">
        <v>433</v>
      </c>
      <c r="F548" t="s">
        <v>106</v>
      </c>
      <c r="G548" s="5">
        <v>44451</v>
      </c>
      <c r="H548" t="s">
        <v>73</v>
      </c>
      <c r="I548" t="s">
        <v>431</v>
      </c>
      <c r="J548" t="s">
        <v>168</v>
      </c>
      <c r="K548">
        <v>18</v>
      </c>
      <c r="L548" t="s">
        <v>107</v>
      </c>
      <c r="M548" t="s">
        <v>432</v>
      </c>
      <c r="R548" t="s">
        <v>110</v>
      </c>
      <c r="S548" t="s">
        <v>111</v>
      </c>
      <c r="T548" t="s">
        <v>83</v>
      </c>
      <c r="U548" t="s">
        <v>44</v>
      </c>
      <c r="V548" t="s">
        <v>42</v>
      </c>
      <c r="AA548">
        <v>2</v>
      </c>
      <c r="AB548" t="s">
        <v>33</v>
      </c>
      <c r="AC548" t="s">
        <v>171</v>
      </c>
      <c r="AD548" t="s">
        <v>60</v>
      </c>
      <c r="AE548" t="str">
        <f t="shared" si="164"/>
        <v>Jackson</v>
      </c>
      <c r="AF548">
        <v>0</v>
      </c>
      <c r="AG548">
        <v>0</v>
      </c>
      <c r="AH548">
        <v>1</v>
      </c>
      <c r="AI548">
        <v>0</v>
      </c>
      <c r="AJ548">
        <v>0</v>
      </c>
      <c r="AK548" t="s">
        <v>60</v>
      </c>
      <c r="AL548">
        <v>0.5</v>
      </c>
      <c r="AO548">
        <f t="shared" si="171"/>
        <v>0</v>
      </c>
      <c r="AP548">
        <f t="shared" si="171"/>
        <v>0</v>
      </c>
      <c r="AQ548" t="str">
        <f t="shared" si="171"/>
        <v>Jackson</v>
      </c>
      <c r="AR548">
        <f t="shared" si="171"/>
        <v>0</v>
      </c>
      <c r="AS548">
        <f t="shared" si="171"/>
        <v>0</v>
      </c>
      <c r="AT548">
        <f t="shared" si="171"/>
        <v>0</v>
      </c>
      <c r="AU548">
        <f t="shared" si="171"/>
        <v>0</v>
      </c>
      <c r="AV548">
        <f t="shared" si="171"/>
        <v>0</v>
      </c>
      <c r="AW548">
        <f t="shared" si="171"/>
        <v>0</v>
      </c>
      <c r="AX548">
        <f t="shared" si="171"/>
        <v>0</v>
      </c>
      <c r="AY548">
        <f t="shared" si="172"/>
        <v>0</v>
      </c>
      <c r="AZ548">
        <f t="shared" si="172"/>
        <v>0</v>
      </c>
      <c r="BA548">
        <f t="shared" si="172"/>
        <v>0</v>
      </c>
      <c r="BB548">
        <f t="shared" si="172"/>
        <v>0</v>
      </c>
      <c r="BC548">
        <f t="shared" si="172"/>
        <v>0</v>
      </c>
      <c r="BD548">
        <f t="shared" si="172"/>
        <v>0</v>
      </c>
      <c r="BE548">
        <f t="shared" si="172"/>
        <v>0</v>
      </c>
      <c r="BF548">
        <f t="shared" si="172"/>
        <v>0</v>
      </c>
      <c r="BG548">
        <f t="shared" si="172"/>
        <v>0</v>
      </c>
      <c r="BH548">
        <f t="shared" si="172"/>
        <v>0</v>
      </c>
      <c r="BI548">
        <f t="shared" si="173"/>
        <v>0</v>
      </c>
      <c r="BJ548">
        <f t="shared" si="173"/>
        <v>0</v>
      </c>
      <c r="BK548">
        <f t="shared" si="173"/>
        <v>0</v>
      </c>
      <c r="BL548">
        <f t="shared" si="173"/>
        <v>0</v>
      </c>
      <c r="BM548">
        <f t="shared" si="173"/>
        <v>0</v>
      </c>
      <c r="BN548">
        <f t="shared" si="173"/>
        <v>0</v>
      </c>
      <c r="BO548">
        <f t="shared" si="173"/>
        <v>0</v>
      </c>
      <c r="BP548">
        <f t="shared" si="173"/>
        <v>0</v>
      </c>
      <c r="BQ548">
        <f t="shared" si="173"/>
        <v>0</v>
      </c>
      <c r="BR548">
        <f t="shared" si="173"/>
        <v>0</v>
      </c>
      <c r="BS548">
        <f t="shared" si="173"/>
        <v>0</v>
      </c>
    </row>
    <row r="549" spans="2:71" ht="15" customHeight="1" x14ac:dyDescent="0.2">
      <c r="B549">
        <v>28</v>
      </c>
      <c r="C549">
        <v>4</v>
      </c>
      <c r="D549">
        <v>8</v>
      </c>
      <c r="E549" t="s">
        <v>434</v>
      </c>
      <c r="F549" t="s">
        <v>106</v>
      </c>
      <c r="G549" s="5">
        <v>44451</v>
      </c>
      <c r="H549" t="s">
        <v>73</v>
      </c>
      <c r="I549" t="s">
        <v>431</v>
      </c>
      <c r="J549" t="s">
        <v>168</v>
      </c>
      <c r="K549">
        <v>18</v>
      </c>
      <c r="L549" t="s">
        <v>107</v>
      </c>
      <c r="M549" t="s">
        <v>432</v>
      </c>
      <c r="R549" t="s">
        <v>110</v>
      </c>
      <c r="S549" t="s">
        <v>111</v>
      </c>
      <c r="T549" t="s">
        <v>83</v>
      </c>
      <c r="U549" t="s">
        <v>44</v>
      </c>
      <c r="V549" t="s">
        <v>61</v>
      </c>
      <c r="AA549">
        <v>2</v>
      </c>
      <c r="AB549" t="s">
        <v>33</v>
      </c>
      <c r="AC549" t="s">
        <v>184</v>
      </c>
      <c r="AD549" t="s">
        <v>45</v>
      </c>
      <c r="AE549" t="str">
        <f t="shared" si="164"/>
        <v>McInerney</v>
      </c>
      <c r="AF549">
        <v>0</v>
      </c>
      <c r="AG549">
        <v>0</v>
      </c>
      <c r="AH549">
        <v>1</v>
      </c>
      <c r="AI549">
        <v>0</v>
      </c>
      <c r="AJ549">
        <v>0</v>
      </c>
      <c r="AK549" t="s">
        <v>45</v>
      </c>
      <c r="AL549">
        <v>0.59375</v>
      </c>
      <c r="AO549">
        <f t="shared" si="171"/>
        <v>0</v>
      </c>
      <c r="AP549">
        <f t="shared" si="171"/>
        <v>0</v>
      </c>
      <c r="AQ549">
        <f t="shared" si="171"/>
        <v>0</v>
      </c>
      <c r="AR549">
        <f t="shared" si="171"/>
        <v>0</v>
      </c>
      <c r="AS549">
        <f t="shared" si="171"/>
        <v>0</v>
      </c>
      <c r="AT549">
        <f t="shared" si="171"/>
        <v>0</v>
      </c>
      <c r="AU549">
        <f t="shared" si="171"/>
        <v>0</v>
      </c>
      <c r="AV549">
        <f t="shared" si="171"/>
        <v>0</v>
      </c>
      <c r="AW549">
        <f t="shared" si="171"/>
        <v>0</v>
      </c>
      <c r="AX549">
        <f t="shared" si="171"/>
        <v>0</v>
      </c>
      <c r="AY549">
        <f t="shared" si="172"/>
        <v>0</v>
      </c>
      <c r="AZ549">
        <f t="shared" si="172"/>
        <v>0</v>
      </c>
      <c r="BA549">
        <f t="shared" si="172"/>
        <v>0</v>
      </c>
      <c r="BB549">
        <f t="shared" si="172"/>
        <v>0</v>
      </c>
      <c r="BC549">
        <f t="shared" si="172"/>
        <v>0</v>
      </c>
      <c r="BD549">
        <f t="shared" si="172"/>
        <v>0</v>
      </c>
      <c r="BE549">
        <f t="shared" si="172"/>
        <v>0</v>
      </c>
      <c r="BF549">
        <f t="shared" si="172"/>
        <v>0</v>
      </c>
      <c r="BG549">
        <f t="shared" si="172"/>
        <v>0</v>
      </c>
      <c r="BH549">
        <f t="shared" si="172"/>
        <v>0</v>
      </c>
      <c r="BI549">
        <f t="shared" si="173"/>
        <v>0</v>
      </c>
      <c r="BJ549" t="str">
        <f t="shared" si="173"/>
        <v>McInerney</v>
      </c>
      <c r="BK549">
        <f t="shared" si="173"/>
        <v>0</v>
      </c>
      <c r="BL549">
        <f t="shared" si="173"/>
        <v>0</v>
      </c>
      <c r="BM549">
        <f t="shared" si="173"/>
        <v>0</v>
      </c>
      <c r="BN549">
        <f t="shared" si="173"/>
        <v>0</v>
      </c>
      <c r="BO549">
        <f t="shared" si="173"/>
        <v>0</v>
      </c>
      <c r="BP549">
        <f t="shared" si="173"/>
        <v>0</v>
      </c>
      <c r="BQ549">
        <f t="shared" si="173"/>
        <v>0</v>
      </c>
      <c r="BR549">
        <f t="shared" si="173"/>
        <v>0</v>
      </c>
      <c r="BS549">
        <f t="shared" si="173"/>
        <v>0</v>
      </c>
    </row>
    <row r="550" spans="2:71" ht="15" customHeight="1" x14ac:dyDescent="0.2">
      <c r="B550">
        <v>29</v>
      </c>
      <c r="C550">
        <v>5</v>
      </c>
      <c r="D550">
        <v>8</v>
      </c>
      <c r="E550" t="s">
        <v>435</v>
      </c>
      <c r="F550" t="s">
        <v>106</v>
      </c>
      <c r="G550" s="5">
        <v>44451</v>
      </c>
      <c r="H550" t="s">
        <v>73</v>
      </c>
      <c r="I550" t="s">
        <v>431</v>
      </c>
      <c r="J550" t="s">
        <v>168</v>
      </c>
      <c r="K550">
        <v>18</v>
      </c>
      <c r="L550" t="s">
        <v>107</v>
      </c>
      <c r="M550" t="s">
        <v>432</v>
      </c>
      <c r="R550" t="s">
        <v>110</v>
      </c>
      <c r="S550" t="s">
        <v>111</v>
      </c>
      <c r="T550" t="s">
        <v>83</v>
      </c>
      <c r="U550" t="s">
        <v>44</v>
      </c>
      <c r="V550" t="s">
        <v>55</v>
      </c>
      <c r="AA550">
        <v>2</v>
      </c>
      <c r="AB550" t="s">
        <v>32</v>
      </c>
      <c r="AC550" t="s">
        <v>204</v>
      </c>
      <c r="AD550" t="s">
        <v>52</v>
      </c>
      <c r="AE550" t="str">
        <f t="shared" si="164"/>
        <v>Cole</v>
      </c>
      <c r="AF550">
        <v>2</v>
      </c>
      <c r="AG550">
        <v>1</v>
      </c>
      <c r="AH550">
        <v>0</v>
      </c>
      <c r="AI550">
        <v>0</v>
      </c>
      <c r="AJ550">
        <v>1</v>
      </c>
      <c r="AK550" t="s">
        <v>52</v>
      </c>
      <c r="AL550">
        <v>0.34745762711864397</v>
      </c>
      <c r="AO550">
        <f t="shared" si="171"/>
        <v>0</v>
      </c>
      <c r="AP550">
        <f t="shared" si="171"/>
        <v>0</v>
      </c>
      <c r="AQ550">
        <f t="shared" si="171"/>
        <v>0</v>
      </c>
      <c r="AR550">
        <f t="shared" si="171"/>
        <v>0</v>
      </c>
      <c r="AS550">
        <f t="shared" si="171"/>
        <v>0</v>
      </c>
      <c r="AT550">
        <f t="shared" si="171"/>
        <v>0</v>
      </c>
      <c r="AU550">
        <f t="shared" si="171"/>
        <v>0</v>
      </c>
      <c r="AV550">
        <f t="shared" si="171"/>
        <v>0</v>
      </c>
      <c r="AW550">
        <f t="shared" si="171"/>
        <v>0</v>
      </c>
      <c r="AX550">
        <f t="shared" si="171"/>
        <v>0</v>
      </c>
      <c r="AY550">
        <f t="shared" si="172"/>
        <v>0</v>
      </c>
      <c r="AZ550">
        <f t="shared" si="172"/>
        <v>0</v>
      </c>
      <c r="BA550">
        <f t="shared" si="172"/>
        <v>0</v>
      </c>
      <c r="BB550">
        <f t="shared" si="172"/>
        <v>0</v>
      </c>
      <c r="BC550">
        <f t="shared" si="172"/>
        <v>0</v>
      </c>
      <c r="BD550" t="str">
        <f t="shared" si="172"/>
        <v>Cole</v>
      </c>
      <c r="BE550">
        <f t="shared" si="172"/>
        <v>0</v>
      </c>
      <c r="BF550">
        <f t="shared" si="172"/>
        <v>0</v>
      </c>
      <c r="BG550">
        <f t="shared" si="172"/>
        <v>0</v>
      </c>
      <c r="BH550">
        <f t="shared" si="172"/>
        <v>0</v>
      </c>
      <c r="BI550">
        <f t="shared" si="173"/>
        <v>0</v>
      </c>
      <c r="BJ550">
        <f t="shared" si="173"/>
        <v>0</v>
      </c>
      <c r="BK550">
        <f t="shared" si="173"/>
        <v>0</v>
      </c>
      <c r="BL550">
        <f t="shared" si="173"/>
        <v>0</v>
      </c>
      <c r="BM550">
        <f t="shared" si="173"/>
        <v>0</v>
      </c>
      <c r="BN550">
        <f t="shared" si="173"/>
        <v>0</v>
      </c>
      <c r="BO550">
        <f t="shared" si="173"/>
        <v>0</v>
      </c>
      <c r="BP550">
        <f t="shared" si="173"/>
        <v>0</v>
      </c>
      <c r="BQ550">
        <f t="shared" si="173"/>
        <v>0</v>
      </c>
      <c r="BR550">
        <f t="shared" si="173"/>
        <v>0</v>
      </c>
      <c r="BS550">
        <f t="shared" si="173"/>
        <v>0</v>
      </c>
    </row>
    <row r="551" spans="2:71" ht="15" customHeight="1" x14ac:dyDescent="0.2">
      <c r="B551">
        <v>30</v>
      </c>
      <c r="C551">
        <v>6</v>
      </c>
      <c r="D551">
        <v>8</v>
      </c>
      <c r="E551" t="s">
        <v>436</v>
      </c>
      <c r="F551" t="s">
        <v>106</v>
      </c>
      <c r="G551" s="5">
        <v>44451</v>
      </c>
      <c r="H551" t="s">
        <v>73</v>
      </c>
      <c r="I551" t="s">
        <v>431</v>
      </c>
      <c r="J551" t="s">
        <v>168</v>
      </c>
      <c r="K551">
        <v>18</v>
      </c>
      <c r="L551" t="s">
        <v>107</v>
      </c>
      <c r="M551" t="s">
        <v>432</v>
      </c>
      <c r="R551" t="s">
        <v>110</v>
      </c>
      <c r="S551" t="s">
        <v>111</v>
      </c>
      <c r="T551" t="s">
        <v>83</v>
      </c>
      <c r="U551" t="s">
        <v>44</v>
      </c>
      <c r="V551" t="s">
        <v>49</v>
      </c>
      <c r="AA551">
        <v>2</v>
      </c>
      <c r="AB551" t="s">
        <v>33</v>
      </c>
      <c r="AC551" t="s">
        <v>249</v>
      </c>
      <c r="AD551" t="s">
        <v>40</v>
      </c>
      <c r="AE551" t="str">
        <f t="shared" si="164"/>
        <v>Shively</v>
      </c>
      <c r="AF551">
        <v>0</v>
      </c>
      <c r="AG551">
        <v>0</v>
      </c>
      <c r="AH551">
        <v>1</v>
      </c>
      <c r="AI551">
        <v>0</v>
      </c>
      <c r="AJ551">
        <v>0</v>
      </c>
      <c r="AK551" t="s">
        <v>40</v>
      </c>
      <c r="AL551">
        <v>0.546875</v>
      </c>
      <c r="AO551">
        <f t="shared" si="171"/>
        <v>0</v>
      </c>
      <c r="AP551">
        <f t="shared" si="171"/>
        <v>0</v>
      </c>
      <c r="AQ551">
        <f t="shared" si="171"/>
        <v>0</v>
      </c>
      <c r="AR551">
        <f t="shared" si="171"/>
        <v>0</v>
      </c>
      <c r="AS551">
        <f t="shared" si="171"/>
        <v>0</v>
      </c>
      <c r="AT551">
        <f t="shared" si="171"/>
        <v>0</v>
      </c>
      <c r="AU551">
        <f t="shared" si="171"/>
        <v>0</v>
      </c>
      <c r="AV551">
        <f t="shared" si="171"/>
        <v>0</v>
      </c>
      <c r="AW551">
        <f t="shared" si="171"/>
        <v>0</v>
      </c>
      <c r="AX551" t="str">
        <f t="shared" si="171"/>
        <v>Shively</v>
      </c>
      <c r="AY551">
        <f t="shared" si="172"/>
        <v>0</v>
      </c>
      <c r="AZ551">
        <f t="shared" si="172"/>
        <v>0</v>
      </c>
      <c r="BA551">
        <f t="shared" si="172"/>
        <v>0</v>
      </c>
      <c r="BB551">
        <f t="shared" si="172"/>
        <v>0</v>
      </c>
      <c r="BC551">
        <f t="shared" si="172"/>
        <v>0</v>
      </c>
      <c r="BD551">
        <f t="shared" si="172"/>
        <v>0</v>
      </c>
      <c r="BE551">
        <f t="shared" si="172"/>
        <v>0</v>
      </c>
      <c r="BF551">
        <f t="shared" si="172"/>
        <v>0</v>
      </c>
      <c r="BG551">
        <f t="shared" si="172"/>
        <v>0</v>
      </c>
      <c r="BH551">
        <f t="shared" si="172"/>
        <v>0</v>
      </c>
      <c r="BI551">
        <f t="shared" si="173"/>
        <v>0</v>
      </c>
      <c r="BJ551">
        <f t="shared" si="173"/>
        <v>0</v>
      </c>
      <c r="BK551">
        <f t="shared" si="173"/>
        <v>0</v>
      </c>
      <c r="BL551">
        <f t="shared" si="173"/>
        <v>0</v>
      </c>
      <c r="BM551">
        <f t="shared" si="173"/>
        <v>0</v>
      </c>
      <c r="BN551">
        <f t="shared" si="173"/>
        <v>0</v>
      </c>
      <c r="BO551">
        <f t="shared" si="173"/>
        <v>0</v>
      </c>
      <c r="BP551">
        <f t="shared" si="173"/>
        <v>0</v>
      </c>
      <c r="BQ551">
        <f t="shared" si="173"/>
        <v>0</v>
      </c>
      <c r="BR551">
        <f t="shared" si="173"/>
        <v>0</v>
      </c>
      <c r="BS551">
        <f t="shared" si="173"/>
        <v>0</v>
      </c>
    </row>
    <row r="552" spans="2:71" ht="15" customHeight="1" x14ac:dyDescent="0.2">
      <c r="B552">
        <v>31</v>
      </c>
      <c r="C552">
        <v>7</v>
      </c>
      <c r="D552">
        <v>8</v>
      </c>
      <c r="E552" t="s">
        <v>437</v>
      </c>
      <c r="F552" t="s">
        <v>106</v>
      </c>
      <c r="G552" s="5">
        <v>44451</v>
      </c>
      <c r="H552" t="s">
        <v>73</v>
      </c>
      <c r="I552" t="s">
        <v>438</v>
      </c>
      <c r="J552" t="s">
        <v>168</v>
      </c>
      <c r="K552">
        <v>18</v>
      </c>
      <c r="L552" t="s">
        <v>107</v>
      </c>
      <c r="M552" t="s">
        <v>439</v>
      </c>
      <c r="R552" t="s">
        <v>110</v>
      </c>
      <c r="S552" t="s">
        <v>111</v>
      </c>
      <c r="T552" t="s">
        <v>83</v>
      </c>
      <c r="U552" t="s">
        <v>44</v>
      </c>
      <c r="V552" t="s">
        <v>44</v>
      </c>
      <c r="AA552">
        <v>2</v>
      </c>
      <c r="AB552" t="s">
        <v>32</v>
      </c>
      <c r="AC552" t="s">
        <v>371</v>
      </c>
      <c r="AD552" t="s">
        <v>62</v>
      </c>
      <c r="AE552" t="str">
        <f t="shared" si="164"/>
        <v>Flanders</v>
      </c>
      <c r="AF552">
        <v>2</v>
      </c>
      <c r="AG552">
        <v>1</v>
      </c>
      <c r="AH552">
        <v>0</v>
      </c>
      <c r="AI552">
        <v>0</v>
      </c>
      <c r="AJ552">
        <v>1</v>
      </c>
      <c r="AK552" t="s">
        <v>62</v>
      </c>
      <c r="AL552">
        <v>0.51041666666666696</v>
      </c>
      <c r="AO552">
        <f t="shared" ref="AO552:AX561" si="174">IF(OR($V552=AO$1,$Y552=AO$1),AO$1,0)</f>
        <v>0</v>
      </c>
      <c r="AP552">
        <f t="shared" si="174"/>
        <v>0</v>
      </c>
      <c r="AQ552">
        <f t="shared" si="174"/>
        <v>0</v>
      </c>
      <c r="AR552">
        <f t="shared" si="174"/>
        <v>0</v>
      </c>
      <c r="AS552" t="str">
        <f t="shared" si="174"/>
        <v>Flanders</v>
      </c>
      <c r="AT552">
        <f t="shared" si="174"/>
        <v>0</v>
      </c>
      <c r="AU552">
        <f t="shared" si="174"/>
        <v>0</v>
      </c>
      <c r="AV552">
        <f t="shared" si="174"/>
        <v>0</v>
      </c>
      <c r="AW552">
        <f t="shared" si="174"/>
        <v>0</v>
      </c>
      <c r="AX552">
        <f t="shared" si="174"/>
        <v>0</v>
      </c>
      <c r="AY552">
        <f t="shared" ref="AY552:BH561" si="175">IF(OR($V552=AY$1,$Y552=AY$1),AY$1,0)</f>
        <v>0</v>
      </c>
      <c r="AZ552">
        <f t="shared" si="175"/>
        <v>0</v>
      </c>
      <c r="BA552">
        <f t="shared" si="175"/>
        <v>0</v>
      </c>
      <c r="BB552">
        <f t="shared" si="175"/>
        <v>0</v>
      </c>
      <c r="BC552">
        <f t="shared" si="175"/>
        <v>0</v>
      </c>
      <c r="BD552">
        <f t="shared" si="175"/>
        <v>0</v>
      </c>
      <c r="BE552">
        <f t="shared" si="175"/>
        <v>0</v>
      </c>
      <c r="BF552">
        <f t="shared" si="175"/>
        <v>0</v>
      </c>
      <c r="BG552">
        <f t="shared" si="175"/>
        <v>0</v>
      </c>
      <c r="BH552">
        <f t="shared" si="175"/>
        <v>0</v>
      </c>
      <c r="BI552">
        <f t="shared" ref="BI552:BS561" si="176">IF(OR($V552=BI$1,$Y552=BI$1),BI$1,0)</f>
        <v>0</v>
      </c>
      <c r="BJ552">
        <f t="shared" si="176"/>
        <v>0</v>
      </c>
      <c r="BK552">
        <f t="shared" si="176"/>
        <v>0</v>
      </c>
      <c r="BL552">
        <f t="shared" si="176"/>
        <v>0</v>
      </c>
      <c r="BM552">
        <f t="shared" si="176"/>
        <v>0</v>
      </c>
      <c r="BN552">
        <f t="shared" si="176"/>
        <v>0</v>
      </c>
      <c r="BO552">
        <f t="shared" si="176"/>
        <v>0</v>
      </c>
      <c r="BP552">
        <f t="shared" si="176"/>
        <v>0</v>
      </c>
      <c r="BQ552">
        <f t="shared" si="176"/>
        <v>0</v>
      </c>
      <c r="BR552">
        <f t="shared" si="176"/>
        <v>0</v>
      </c>
      <c r="BS552">
        <f t="shared" si="176"/>
        <v>0</v>
      </c>
    </row>
    <row r="553" spans="2:71" ht="15" customHeight="1" x14ac:dyDescent="0.2">
      <c r="B553">
        <v>32</v>
      </c>
      <c r="C553">
        <v>8</v>
      </c>
      <c r="D553">
        <v>8</v>
      </c>
      <c r="E553" t="s">
        <v>440</v>
      </c>
      <c r="F553" t="s">
        <v>106</v>
      </c>
      <c r="G553" s="5">
        <v>44821</v>
      </c>
      <c r="H553" t="s">
        <v>73</v>
      </c>
      <c r="I553" t="s">
        <v>441</v>
      </c>
      <c r="J553" t="s">
        <v>348</v>
      </c>
      <c r="K553">
        <v>18</v>
      </c>
      <c r="L553" t="s">
        <v>107</v>
      </c>
      <c r="M553" t="s">
        <v>442</v>
      </c>
      <c r="R553" t="s">
        <v>110</v>
      </c>
      <c r="S553" t="s">
        <v>111</v>
      </c>
      <c r="T553" t="s">
        <v>83</v>
      </c>
      <c r="U553" t="s">
        <v>44</v>
      </c>
      <c r="V553" t="s">
        <v>65</v>
      </c>
      <c r="AA553">
        <v>2</v>
      </c>
      <c r="AB553" t="s">
        <v>33</v>
      </c>
      <c r="AC553" t="s">
        <v>371</v>
      </c>
      <c r="AD553" t="s">
        <v>66</v>
      </c>
      <c r="AE553" t="str">
        <f t="shared" si="164"/>
        <v>Piegari</v>
      </c>
      <c r="AF553">
        <v>0</v>
      </c>
      <c r="AG553">
        <v>0</v>
      </c>
      <c r="AH553">
        <v>1</v>
      </c>
      <c r="AI553">
        <v>0</v>
      </c>
      <c r="AJ553">
        <v>0</v>
      </c>
      <c r="AK553" t="s">
        <v>66</v>
      </c>
      <c r="AL553">
        <v>0.63888888888888895</v>
      </c>
      <c r="AO553">
        <f t="shared" si="174"/>
        <v>0</v>
      </c>
      <c r="AP553">
        <f t="shared" si="174"/>
        <v>0</v>
      </c>
      <c r="AQ553">
        <f t="shared" si="174"/>
        <v>0</v>
      </c>
      <c r="AR553">
        <f t="shared" si="174"/>
        <v>0</v>
      </c>
      <c r="AS553">
        <f t="shared" si="174"/>
        <v>0</v>
      </c>
      <c r="AT553">
        <f t="shared" si="174"/>
        <v>0</v>
      </c>
      <c r="AU553">
        <f t="shared" si="174"/>
        <v>0</v>
      </c>
      <c r="AV553">
        <f t="shared" si="174"/>
        <v>0</v>
      </c>
      <c r="AW553">
        <f t="shared" si="174"/>
        <v>0</v>
      </c>
      <c r="AX553">
        <f t="shared" si="174"/>
        <v>0</v>
      </c>
      <c r="AY553">
        <f t="shared" si="175"/>
        <v>0</v>
      </c>
      <c r="AZ553">
        <f t="shared" si="175"/>
        <v>0</v>
      </c>
      <c r="BA553">
        <f t="shared" si="175"/>
        <v>0</v>
      </c>
      <c r="BB553">
        <f t="shared" si="175"/>
        <v>0</v>
      </c>
      <c r="BC553">
        <f t="shared" si="175"/>
        <v>0</v>
      </c>
      <c r="BD553">
        <f t="shared" si="175"/>
        <v>0</v>
      </c>
      <c r="BE553">
        <f t="shared" si="175"/>
        <v>0</v>
      </c>
      <c r="BF553">
        <f t="shared" si="175"/>
        <v>0</v>
      </c>
      <c r="BG553">
        <f t="shared" si="175"/>
        <v>0</v>
      </c>
      <c r="BH553">
        <f t="shared" si="175"/>
        <v>0</v>
      </c>
      <c r="BI553">
        <f t="shared" si="176"/>
        <v>0</v>
      </c>
      <c r="BJ553">
        <f t="shared" si="176"/>
        <v>0</v>
      </c>
      <c r="BK553">
        <f t="shared" si="176"/>
        <v>0</v>
      </c>
      <c r="BL553">
        <f t="shared" si="176"/>
        <v>0</v>
      </c>
      <c r="BM553">
        <f t="shared" si="176"/>
        <v>0</v>
      </c>
      <c r="BN553" t="str">
        <f t="shared" si="176"/>
        <v>Piegari</v>
      </c>
      <c r="BO553">
        <f t="shared" si="176"/>
        <v>0</v>
      </c>
      <c r="BP553">
        <f t="shared" si="176"/>
        <v>0</v>
      </c>
      <c r="BQ553">
        <f t="shared" si="176"/>
        <v>0</v>
      </c>
      <c r="BR553">
        <f t="shared" si="176"/>
        <v>0</v>
      </c>
      <c r="BS553">
        <f t="shared" si="176"/>
        <v>0</v>
      </c>
    </row>
    <row r="554" spans="2:71" ht="15" customHeight="1" x14ac:dyDescent="0.2">
      <c r="B554">
        <v>25</v>
      </c>
      <c r="C554">
        <v>1</v>
      </c>
      <c r="D554">
        <v>8</v>
      </c>
      <c r="E554" t="s">
        <v>427</v>
      </c>
      <c r="F554" t="s">
        <v>106</v>
      </c>
      <c r="G554" s="5">
        <v>44430</v>
      </c>
      <c r="H554" t="s">
        <v>97</v>
      </c>
      <c r="I554" t="s">
        <v>428</v>
      </c>
      <c r="J554" t="s">
        <v>168</v>
      </c>
      <c r="K554">
        <v>18</v>
      </c>
      <c r="L554" t="s">
        <v>107</v>
      </c>
      <c r="M554" t="s">
        <v>429</v>
      </c>
      <c r="R554" t="s">
        <v>110</v>
      </c>
      <c r="S554" t="s">
        <v>111</v>
      </c>
      <c r="T554" t="s">
        <v>83</v>
      </c>
      <c r="U554" t="s">
        <v>62</v>
      </c>
      <c r="V554" t="s">
        <v>63</v>
      </c>
      <c r="AA554">
        <v>2</v>
      </c>
      <c r="AB554" t="s">
        <v>33</v>
      </c>
      <c r="AC554" t="s">
        <v>204</v>
      </c>
      <c r="AD554" t="s">
        <v>54</v>
      </c>
      <c r="AE554" t="str">
        <f t="shared" si="164"/>
        <v>Delaney</v>
      </c>
      <c r="AF554">
        <v>0</v>
      </c>
      <c r="AG554">
        <v>0</v>
      </c>
      <c r="AH554">
        <v>1</v>
      </c>
      <c r="AI554">
        <v>0</v>
      </c>
      <c r="AJ554">
        <v>0</v>
      </c>
      <c r="AK554" t="s">
        <v>54</v>
      </c>
      <c r="AL554">
        <v>0.37288135593220301</v>
      </c>
      <c r="AO554">
        <f t="shared" si="174"/>
        <v>0</v>
      </c>
      <c r="AP554">
        <f t="shared" si="174"/>
        <v>0</v>
      </c>
      <c r="AQ554">
        <f t="shared" si="174"/>
        <v>0</v>
      </c>
      <c r="AR554">
        <f t="shared" si="174"/>
        <v>0</v>
      </c>
      <c r="AS554">
        <f t="shared" si="174"/>
        <v>0</v>
      </c>
      <c r="AT554">
        <f t="shared" si="174"/>
        <v>0</v>
      </c>
      <c r="AU554">
        <f t="shared" si="174"/>
        <v>0</v>
      </c>
      <c r="AV554">
        <f t="shared" si="174"/>
        <v>0</v>
      </c>
      <c r="AW554">
        <f t="shared" si="174"/>
        <v>0</v>
      </c>
      <c r="AX554">
        <f t="shared" si="174"/>
        <v>0</v>
      </c>
      <c r="AY554">
        <f t="shared" si="175"/>
        <v>0</v>
      </c>
      <c r="AZ554">
        <f t="shared" si="175"/>
        <v>0</v>
      </c>
      <c r="BA554">
        <f t="shared" si="175"/>
        <v>0</v>
      </c>
      <c r="BB554">
        <f t="shared" si="175"/>
        <v>0</v>
      </c>
      <c r="BC554">
        <f t="shared" si="175"/>
        <v>0</v>
      </c>
      <c r="BD554">
        <f t="shared" si="175"/>
        <v>0</v>
      </c>
      <c r="BE554">
        <f t="shared" si="175"/>
        <v>0</v>
      </c>
      <c r="BF554">
        <f t="shared" si="175"/>
        <v>0</v>
      </c>
      <c r="BG554">
        <f t="shared" si="175"/>
        <v>0</v>
      </c>
      <c r="BH554">
        <f t="shared" si="175"/>
        <v>0</v>
      </c>
      <c r="BI554">
        <f t="shared" si="176"/>
        <v>0</v>
      </c>
      <c r="BJ554">
        <f t="shared" si="176"/>
        <v>0</v>
      </c>
      <c r="BK554">
        <f t="shared" si="176"/>
        <v>0</v>
      </c>
      <c r="BL554" t="str">
        <f t="shared" si="176"/>
        <v>Delaney</v>
      </c>
      <c r="BM554">
        <f t="shared" si="176"/>
        <v>0</v>
      </c>
      <c r="BN554">
        <f t="shared" si="176"/>
        <v>0</v>
      </c>
      <c r="BO554">
        <f t="shared" si="176"/>
        <v>0</v>
      </c>
      <c r="BP554">
        <f t="shared" si="176"/>
        <v>0</v>
      </c>
      <c r="BQ554">
        <f t="shared" si="176"/>
        <v>0</v>
      </c>
      <c r="BR554">
        <f t="shared" si="176"/>
        <v>0</v>
      </c>
      <c r="BS554">
        <f t="shared" si="176"/>
        <v>0</v>
      </c>
    </row>
    <row r="555" spans="2:71" ht="15" customHeight="1" x14ac:dyDescent="0.2">
      <c r="B555">
        <v>26</v>
      </c>
      <c r="C555">
        <v>2</v>
      </c>
      <c r="D555">
        <v>8</v>
      </c>
      <c r="E555" t="s">
        <v>430</v>
      </c>
      <c r="F555" t="s">
        <v>106</v>
      </c>
      <c r="G555" s="5">
        <v>44451</v>
      </c>
      <c r="H555" t="s">
        <v>73</v>
      </c>
      <c r="I555" t="s">
        <v>431</v>
      </c>
      <c r="J555" t="s">
        <v>168</v>
      </c>
      <c r="K555">
        <v>18</v>
      </c>
      <c r="L555" t="s">
        <v>107</v>
      </c>
      <c r="M555" t="s">
        <v>432</v>
      </c>
      <c r="R555" t="s">
        <v>110</v>
      </c>
      <c r="S555" t="s">
        <v>111</v>
      </c>
      <c r="T555" t="s">
        <v>83</v>
      </c>
      <c r="U555" t="s">
        <v>62</v>
      </c>
      <c r="V555" t="s">
        <v>50</v>
      </c>
      <c r="AA555">
        <v>2</v>
      </c>
      <c r="AB555" t="s">
        <v>33</v>
      </c>
      <c r="AC555" t="s">
        <v>171</v>
      </c>
      <c r="AD555" t="s">
        <v>48</v>
      </c>
      <c r="AE555" t="str">
        <f t="shared" si="164"/>
        <v>Ferrin</v>
      </c>
      <c r="AF555">
        <v>0</v>
      </c>
      <c r="AG555">
        <v>0</v>
      </c>
      <c r="AH555">
        <v>1</v>
      </c>
      <c r="AI555">
        <v>0</v>
      </c>
      <c r="AJ555">
        <v>0</v>
      </c>
      <c r="AK555" t="s">
        <v>48</v>
      </c>
      <c r="AL555">
        <v>0.5546875</v>
      </c>
      <c r="AO555">
        <f t="shared" si="174"/>
        <v>0</v>
      </c>
      <c r="AP555">
        <f t="shared" si="174"/>
        <v>0</v>
      </c>
      <c r="AQ555">
        <f t="shared" si="174"/>
        <v>0</v>
      </c>
      <c r="AR555">
        <f t="shared" si="174"/>
        <v>0</v>
      </c>
      <c r="AS555">
        <f t="shared" si="174"/>
        <v>0</v>
      </c>
      <c r="AT555">
        <f t="shared" si="174"/>
        <v>0</v>
      </c>
      <c r="AU555">
        <f t="shared" si="174"/>
        <v>0</v>
      </c>
      <c r="AV555">
        <f t="shared" si="174"/>
        <v>0</v>
      </c>
      <c r="AW555">
        <f t="shared" si="174"/>
        <v>0</v>
      </c>
      <c r="AX555">
        <f t="shared" si="174"/>
        <v>0</v>
      </c>
      <c r="AY555" t="str">
        <f t="shared" si="175"/>
        <v>Ferrin</v>
      </c>
      <c r="AZ555">
        <f t="shared" si="175"/>
        <v>0</v>
      </c>
      <c r="BA555">
        <f t="shared" si="175"/>
        <v>0</v>
      </c>
      <c r="BB555">
        <f t="shared" si="175"/>
        <v>0</v>
      </c>
      <c r="BC555">
        <f t="shared" si="175"/>
        <v>0</v>
      </c>
      <c r="BD555">
        <f t="shared" si="175"/>
        <v>0</v>
      </c>
      <c r="BE555">
        <f t="shared" si="175"/>
        <v>0</v>
      </c>
      <c r="BF555">
        <f t="shared" si="175"/>
        <v>0</v>
      </c>
      <c r="BG555">
        <f t="shared" si="175"/>
        <v>0</v>
      </c>
      <c r="BH555">
        <f t="shared" si="175"/>
        <v>0</v>
      </c>
      <c r="BI555">
        <f t="shared" si="176"/>
        <v>0</v>
      </c>
      <c r="BJ555">
        <f t="shared" si="176"/>
        <v>0</v>
      </c>
      <c r="BK555">
        <f t="shared" si="176"/>
        <v>0</v>
      </c>
      <c r="BL555">
        <f t="shared" si="176"/>
        <v>0</v>
      </c>
      <c r="BM555">
        <f t="shared" si="176"/>
        <v>0</v>
      </c>
      <c r="BN555">
        <f t="shared" si="176"/>
        <v>0</v>
      </c>
      <c r="BO555">
        <f t="shared" si="176"/>
        <v>0</v>
      </c>
      <c r="BP555">
        <f t="shared" si="176"/>
        <v>0</v>
      </c>
      <c r="BQ555">
        <f t="shared" si="176"/>
        <v>0</v>
      </c>
      <c r="BR555">
        <f t="shared" si="176"/>
        <v>0</v>
      </c>
      <c r="BS555">
        <f t="shared" si="176"/>
        <v>0</v>
      </c>
    </row>
    <row r="556" spans="2:71" ht="15" customHeight="1" x14ac:dyDescent="0.2">
      <c r="B556">
        <v>27</v>
      </c>
      <c r="C556">
        <v>3</v>
      </c>
      <c r="D556">
        <v>8</v>
      </c>
      <c r="E556" t="s">
        <v>433</v>
      </c>
      <c r="F556" t="s">
        <v>106</v>
      </c>
      <c r="G556" s="5">
        <v>44451</v>
      </c>
      <c r="H556" t="s">
        <v>73</v>
      </c>
      <c r="I556" t="s">
        <v>431</v>
      </c>
      <c r="J556" t="s">
        <v>168</v>
      </c>
      <c r="K556">
        <v>18</v>
      </c>
      <c r="L556" t="s">
        <v>107</v>
      </c>
      <c r="M556" t="s">
        <v>432</v>
      </c>
      <c r="R556" t="s">
        <v>110</v>
      </c>
      <c r="S556" t="s">
        <v>111</v>
      </c>
      <c r="T556" t="s">
        <v>83</v>
      </c>
      <c r="U556" t="s">
        <v>62</v>
      </c>
      <c r="V556" t="s">
        <v>60</v>
      </c>
      <c r="AA556">
        <v>2</v>
      </c>
      <c r="AB556" t="s">
        <v>32</v>
      </c>
      <c r="AC556" t="s">
        <v>171</v>
      </c>
      <c r="AD556" t="s">
        <v>42</v>
      </c>
      <c r="AE556" t="str">
        <f t="shared" si="164"/>
        <v>Zimmer</v>
      </c>
      <c r="AF556">
        <v>2</v>
      </c>
      <c r="AG556">
        <v>1</v>
      </c>
      <c r="AH556">
        <v>0</v>
      </c>
      <c r="AI556">
        <v>0</v>
      </c>
      <c r="AJ556">
        <v>1</v>
      </c>
      <c r="AK556" t="s">
        <v>42</v>
      </c>
      <c r="AL556">
        <v>0.6171875</v>
      </c>
      <c r="AO556">
        <f t="shared" si="174"/>
        <v>0</v>
      </c>
      <c r="AP556">
        <f t="shared" si="174"/>
        <v>0</v>
      </c>
      <c r="AQ556">
        <f t="shared" si="174"/>
        <v>0</v>
      </c>
      <c r="AR556">
        <f t="shared" si="174"/>
        <v>0</v>
      </c>
      <c r="AS556">
        <f t="shared" si="174"/>
        <v>0</v>
      </c>
      <c r="AT556">
        <f t="shared" si="174"/>
        <v>0</v>
      </c>
      <c r="AU556">
        <f t="shared" si="174"/>
        <v>0</v>
      </c>
      <c r="AV556">
        <f t="shared" si="174"/>
        <v>0</v>
      </c>
      <c r="AW556">
        <f t="shared" si="174"/>
        <v>0</v>
      </c>
      <c r="AX556">
        <f t="shared" si="174"/>
        <v>0</v>
      </c>
      <c r="AY556">
        <f t="shared" si="175"/>
        <v>0</v>
      </c>
      <c r="AZ556">
        <f t="shared" si="175"/>
        <v>0</v>
      </c>
      <c r="BA556">
        <f t="shared" si="175"/>
        <v>0</v>
      </c>
      <c r="BB556">
        <f t="shared" si="175"/>
        <v>0</v>
      </c>
      <c r="BC556">
        <f t="shared" si="175"/>
        <v>0</v>
      </c>
      <c r="BD556">
        <f t="shared" si="175"/>
        <v>0</v>
      </c>
      <c r="BE556">
        <f t="shared" si="175"/>
        <v>0</v>
      </c>
      <c r="BF556">
        <f t="shared" si="175"/>
        <v>0</v>
      </c>
      <c r="BG556">
        <f t="shared" si="175"/>
        <v>0</v>
      </c>
      <c r="BH556">
        <f t="shared" si="175"/>
        <v>0</v>
      </c>
      <c r="BI556" t="str">
        <f t="shared" si="176"/>
        <v>Zimmer</v>
      </c>
      <c r="BJ556">
        <f t="shared" si="176"/>
        <v>0</v>
      </c>
      <c r="BK556">
        <f t="shared" si="176"/>
        <v>0</v>
      </c>
      <c r="BL556">
        <f t="shared" si="176"/>
        <v>0</v>
      </c>
      <c r="BM556">
        <f t="shared" si="176"/>
        <v>0</v>
      </c>
      <c r="BN556">
        <f t="shared" si="176"/>
        <v>0</v>
      </c>
      <c r="BO556">
        <f t="shared" si="176"/>
        <v>0</v>
      </c>
      <c r="BP556">
        <f t="shared" si="176"/>
        <v>0</v>
      </c>
      <c r="BQ556">
        <f t="shared" si="176"/>
        <v>0</v>
      </c>
      <c r="BR556">
        <f t="shared" si="176"/>
        <v>0</v>
      </c>
      <c r="BS556">
        <f t="shared" si="176"/>
        <v>0</v>
      </c>
    </row>
    <row r="557" spans="2:71" ht="15" customHeight="1" x14ac:dyDescent="0.2">
      <c r="B557">
        <v>28</v>
      </c>
      <c r="C557">
        <v>4</v>
      </c>
      <c r="D557">
        <v>8</v>
      </c>
      <c r="E557" t="s">
        <v>434</v>
      </c>
      <c r="F557" t="s">
        <v>106</v>
      </c>
      <c r="G557" s="5">
        <v>44451</v>
      </c>
      <c r="H557" t="s">
        <v>73</v>
      </c>
      <c r="I557" t="s">
        <v>431</v>
      </c>
      <c r="J557" t="s">
        <v>168</v>
      </c>
      <c r="K557">
        <v>18</v>
      </c>
      <c r="L557" t="s">
        <v>107</v>
      </c>
      <c r="M557" t="s">
        <v>432</v>
      </c>
      <c r="R557" t="s">
        <v>110</v>
      </c>
      <c r="S557" t="s">
        <v>111</v>
      </c>
      <c r="T557" t="s">
        <v>83</v>
      </c>
      <c r="U557" t="s">
        <v>62</v>
      </c>
      <c r="V557" t="s">
        <v>45</v>
      </c>
      <c r="AA557">
        <v>2</v>
      </c>
      <c r="AB557" t="s">
        <v>32</v>
      </c>
      <c r="AC557" t="s">
        <v>184</v>
      </c>
      <c r="AD557" t="s">
        <v>61</v>
      </c>
      <c r="AE557" t="str">
        <f t="shared" si="164"/>
        <v>Connolly</v>
      </c>
      <c r="AF557">
        <v>2</v>
      </c>
      <c r="AG557">
        <v>1</v>
      </c>
      <c r="AH557">
        <v>0</v>
      </c>
      <c r="AI557">
        <v>0</v>
      </c>
      <c r="AJ557">
        <v>1</v>
      </c>
      <c r="AK557" t="s">
        <v>61</v>
      </c>
      <c r="AL557">
        <v>0.5</v>
      </c>
      <c r="AO557">
        <f t="shared" si="174"/>
        <v>0</v>
      </c>
      <c r="AP557">
        <f t="shared" si="174"/>
        <v>0</v>
      </c>
      <c r="AQ557">
        <f t="shared" si="174"/>
        <v>0</v>
      </c>
      <c r="AR557">
        <f t="shared" si="174"/>
        <v>0</v>
      </c>
      <c r="AS557">
        <f t="shared" si="174"/>
        <v>0</v>
      </c>
      <c r="AT557" t="str">
        <f t="shared" si="174"/>
        <v>Connolly</v>
      </c>
      <c r="AU557">
        <f t="shared" si="174"/>
        <v>0</v>
      </c>
      <c r="AV557">
        <f t="shared" si="174"/>
        <v>0</v>
      </c>
      <c r="AW557">
        <f t="shared" si="174"/>
        <v>0</v>
      </c>
      <c r="AX557">
        <f t="shared" si="174"/>
        <v>0</v>
      </c>
      <c r="AY557">
        <f t="shared" si="175"/>
        <v>0</v>
      </c>
      <c r="AZ557">
        <f t="shared" si="175"/>
        <v>0</v>
      </c>
      <c r="BA557">
        <f t="shared" si="175"/>
        <v>0</v>
      </c>
      <c r="BB557">
        <f t="shared" si="175"/>
        <v>0</v>
      </c>
      <c r="BC557">
        <f t="shared" si="175"/>
        <v>0</v>
      </c>
      <c r="BD557">
        <f t="shared" si="175"/>
        <v>0</v>
      </c>
      <c r="BE557">
        <f t="shared" si="175"/>
        <v>0</v>
      </c>
      <c r="BF557">
        <f t="shared" si="175"/>
        <v>0</v>
      </c>
      <c r="BG557">
        <f t="shared" si="175"/>
        <v>0</v>
      </c>
      <c r="BH557">
        <f t="shared" si="175"/>
        <v>0</v>
      </c>
      <c r="BI557">
        <f t="shared" si="176"/>
        <v>0</v>
      </c>
      <c r="BJ557">
        <f t="shared" si="176"/>
        <v>0</v>
      </c>
      <c r="BK557">
        <f t="shared" si="176"/>
        <v>0</v>
      </c>
      <c r="BL557">
        <f t="shared" si="176"/>
        <v>0</v>
      </c>
      <c r="BM557">
        <f t="shared" si="176"/>
        <v>0</v>
      </c>
      <c r="BN557">
        <f t="shared" si="176"/>
        <v>0</v>
      </c>
      <c r="BO557">
        <f t="shared" si="176"/>
        <v>0</v>
      </c>
      <c r="BP557">
        <f t="shared" si="176"/>
        <v>0</v>
      </c>
      <c r="BQ557">
        <f t="shared" si="176"/>
        <v>0</v>
      </c>
      <c r="BR557">
        <f t="shared" si="176"/>
        <v>0</v>
      </c>
      <c r="BS557">
        <f t="shared" si="176"/>
        <v>0</v>
      </c>
    </row>
    <row r="558" spans="2:71" ht="15" customHeight="1" x14ac:dyDescent="0.2">
      <c r="B558">
        <v>29</v>
      </c>
      <c r="C558">
        <v>5</v>
      </c>
      <c r="D558">
        <v>8</v>
      </c>
      <c r="E558" t="s">
        <v>435</v>
      </c>
      <c r="F558" t="s">
        <v>106</v>
      </c>
      <c r="G558" s="5">
        <v>44451</v>
      </c>
      <c r="H558" t="s">
        <v>73</v>
      </c>
      <c r="I558" t="s">
        <v>431</v>
      </c>
      <c r="J558" t="s">
        <v>168</v>
      </c>
      <c r="K558">
        <v>18</v>
      </c>
      <c r="L558" t="s">
        <v>107</v>
      </c>
      <c r="M558" t="s">
        <v>432</v>
      </c>
      <c r="R558" t="s">
        <v>110</v>
      </c>
      <c r="S558" t="s">
        <v>111</v>
      </c>
      <c r="T558" t="s">
        <v>83</v>
      </c>
      <c r="U558" t="s">
        <v>62</v>
      </c>
      <c r="V558" t="s">
        <v>52</v>
      </c>
      <c r="AA558">
        <v>2</v>
      </c>
      <c r="AB558" t="s">
        <v>33</v>
      </c>
      <c r="AC558" t="s">
        <v>204</v>
      </c>
      <c r="AD558" t="s">
        <v>55</v>
      </c>
      <c r="AE558" t="str">
        <f t="shared" si="164"/>
        <v>Connors</v>
      </c>
      <c r="AF558">
        <v>0</v>
      </c>
      <c r="AG558">
        <v>0</v>
      </c>
      <c r="AH558">
        <v>1</v>
      </c>
      <c r="AI558">
        <v>0</v>
      </c>
      <c r="AJ558">
        <v>0</v>
      </c>
      <c r="AK558" t="s">
        <v>55</v>
      </c>
      <c r="AL558">
        <v>0.44067796610169502</v>
      </c>
      <c r="AO558">
        <f t="shared" si="174"/>
        <v>0</v>
      </c>
      <c r="AP558">
        <f t="shared" si="174"/>
        <v>0</v>
      </c>
      <c r="AQ558">
        <f t="shared" si="174"/>
        <v>0</v>
      </c>
      <c r="AR558">
        <f t="shared" si="174"/>
        <v>0</v>
      </c>
      <c r="AS558">
        <f t="shared" si="174"/>
        <v>0</v>
      </c>
      <c r="AT558">
        <f t="shared" si="174"/>
        <v>0</v>
      </c>
      <c r="AU558">
        <f t="shared" si="174"/>
        <v>0</v>
      </c>
      <c r="AV558">
        <f t="shared" si="174"/>
        <v>0</v>
      </c>
      <c r="AW558">
        <f t="shared" si="174"/>
        <v>0</v>
      </c>
      <c r="AX558">
        <f t="shared" si="174"/>
        <v>0</v>
      </c>
      <c r="AY558">
        <f t="shared" si="175"/>
        <v>0</v>
      </c>
      <c r="AZ558">
        <f t="shared" si="175"/>
        <v>0</v>
      </c>
      <c r="BA558" t="str">
        <f t="shared" si="175"/>
        <v>Connors</v>
      </c>
      <c r="BB558">
        <f t="shared" si="175"/>
        <v>0</v>
      </c>
      <c r="BC558">
        <f t="shared" si="175"/>
        <v>0</v>
      </c>
      <c r="BD558">
        <f t="shared" si="175"/>
        <v>0</v>
      </c>
      <c r="BE558">
        <f t="shared" si="175"/>
        <v>0</v>
      </c>
      <c r="BF558">
        <f t="shared" si="175"/>
        <v>0</v>
      </c>
      <c r="BG558">
        <f t="shared" si="175"/>
        <v>0</v>
      </c>
      <c r="BH558">
        <f t="shared" si="175"/>
        <v>0</v>
      </c>
      <c r="BI558">
        <f t="shared" si="176"/>
        <v>0</v>
      </c>
      <c r="BJ558">
        <f t="shared" si="176"/>
        <v>0</v>
      </c>
      <c r="BK558">
        <f t="shared" si="176"/>
        <v>0</v>
      </c>
      <c r="BL558">
        <f t="shared" si="176"/>
        <v>0</v>
      </c>
      <c r="BM558">
        <f t="shared" si="176"/>
        <v>0</v>
      </c>
      <c r="BN558">
        <f t="shared" si="176"/>
        <v>0</v>
      </c>
      <c r="BO558">
        <f t="shared" si="176"/>
        <v>0</v>
      </c>
      <c r="BP558">
        <f t="shared" si="176"/>
        <v>0</v>
      </c>
      <c r="BQ558">
        <f t="shared" si="176"/>
        <v>0</v>
      </c>
      <c r="BR558">
        <f t="shared" si="176"/>
        <v>0</v>
      </c>
      <c r="BS558">
        <f t="shared" si="176"/>
        <v>0</v>
      </c>
    </row>
    <row r="559" spans="2:71" ht="15" customHeight="1" x14ac:dyDescent="0.2">
      <c r="B559">
        <v>30</v>
      </c>
      <c r="C559">
        <v>6</v>
      </c>
      <c r="D559">
        <v>8</v>
      </c>
      <c r="E559" t="s">
        <v>436</v>
      </c>
      <c r="F559" t="s">
        <v>106</v>
      </c>
      <c r="G559" s="5">
        <v>44451</v>
      </c>
      <c r="H559" t="s">
        <v>73</v>
      </c>
      <c r="I559" t="s">
        <v>431</v>
      </c>
      <c r="J559" t="s">
        <v>168</v>
      </c>
      <c r="K559">
        <v>18</v>
      </c>
      <c r="L559" t="s">
        <v>107</v>
      </c>
      <c r="M559" t="s">
        <v>432</v>
      </c>
      <c r="R559" t="s">
        <v>110</v>
      </c>
      <c r="S559" t="s">
        <v>111</v>
      </c>
      <c r="T559" t="s">
        <v>83</v>
      </c>
      <c r="U559" t="s">
        <v>62</v>
      </c>
      <c r="V559" t="s">
        <v>40</v>
      </c>
      <c r="AA559">
        <v>2</v>
      </c>
      <c r="AB559" t="s">
        <v>32</v>
      </c>
      <c r="AC559" t="s">
        <v>249</v>
      </c>
      <c r="AD559" t="s">
        <v>49</v>
      </c>
      <c r="AE559" t="str">
        <f t="shared" si="164"/>
        <v>Grise</v>
      </c>
      <c r="AF559">
        <v>2</v>
      </c>
      <c r="AG559">
        <v>1</v>
      </c>
      <c r="AH559">
        <v>0</v>
      </c>
      <c r="AI559">
        <v>0</v>
      </c>
      <c r="AJ559">
        <v>1</v>
      </c>
      <c r="AK559" t="s">
        <v>49</v>
      </c>
      <c r="AO559" t="str">
        <f t="shared" si="174"/>
        <v>Grise</v>
      </c>
      <c r="AP559">
        <f t="shared" si="174"/>
        <v>0</v>
      </c>
      <c r="AQ559">
        <f t="shared" si="174"/>
        <v>0</v>
      </c>
      <c r="AR559">
        <f t="shared" si="174"/>
        <v>0</v>
      </c>
      <c r="AS559">
        <f t="shared" si="174"/>
        <v>0</v>
      </c>
      <c r="AT559">
        <f t="shared" si="174"/>
        <v>0</v>
      </c>
      <c r="AU559">
        <f t="shared" si="174"/>
        <v>0</v>
      </c>
      <c r="AV559">
        <f t="shared" si="174"/>
        <v>0</v>
      </c>
      <c r="AW559">
        <f t="shared" si="174"/>
        <v>0</v>
      </c>
      <c r="AX559">
        <f t="shared" si="174"/>
        <v>0</v>
      </c>
      <c r="AY559">
        <f t="shared" si="175"/>
        <v>0</v>
      </c>
      <c r="AZ559">
        <f t="shared" si="175"/>
        <v>0</v>
      </c>
      <c r="BA559">
        <f t="shared" si="175"/>
        <v>0</v>
      </c>
      <c r="BB559">
        <f t="shared" si="175"/>
        <v>0</v>
      </c>
      <c r="BC559">
        <f t="shared" si="175"/>
        <v>0</v>
      </c>
      <c r="BD559">
        <f t="shared" si="175"/>
        <v>0</v>
      </c>
      <c r="BE559">
        <f t="shared" si="175"/>
        <v>0</v>
      </c>
      <c r="BF559">
        <f t="shared" si="175"/>
        <v>0</v>
      </c>
      <c r="BG559">
        <f t="shared" si="175"/>
        <v>0</v>
      </c>
      <c r="BH559">
        <f t="shared" si="175"/>
        <v>0</v>
      </c>
      <c r="BI559">
        <f t="shared" si="176"/>
        <v>0</v>
      </c>
      <c r="BJ559">
        <f t="shared" si="176"/>
        <v>0</v>
      </c>
      <c r="BK559">
        <f t="shared" si="176"/>
        <v>0</v>
      </c>
      <c r="BL559">
        <f t="shared" si="176"/>
        <v>0</v>
      </c>
      <c r="BM559">
        <f t="shared" si="176"/>
        <v>0</v>
      </c>
      <c r="BN559">
        <f t="shared" si="176"/>
        <v>0</v>
      </c>
      <c r="BO559">
        <f t="shared" si="176"/>
        <v>0</v>
      </c>
      <c r="BP559">
        <f t="shared" si="176"/>
        <v>0</v>
      </c>
      <c r="BQ559">
        <f t="shared" si="176"/>
        <v>0</v>
      </c>
      <c r="BR559">
        <f t="shared" si="176"/>
        <v>0</v>
      </c>
      <c r="BS559">
        <f t="shared" si="176"/>
        <v>0</v>
      </c>
    </row>
    <row r="560" spans="2:71" ht="15" customHeight="1" x14ac:dyDescent="0.2">
      <c r="B560">
        <v>31</v>
      </c>
      <c r="C560">
        <v>7</v>
      </c>
      <c r="D560">
        <v>8</v>
      </c>
      <c r="E560" t="s">
        <v>437</v>
      </c>
      <c r="F560" t="s">
        <v>106</v>
      </c>
      <c r="G560" s="5">
        <v>44451</v>
      </c>
      <c r="H560" t="s">
        <v>73</v>
      </c>
      <c r="I560" t="s">
        <v>438</v>
      </c>
      <c r="J560" t="s">
        <v>168</v>
      </c>
      <c r="K560">
        <v>18</v>
      </c>
      <c r="L560" t="s">
        <v>107</v>
      </c>
      <c r="M560" t="s">
        <v>439</v>
      </c>
      <c r="R560" t="s">
        <v>110</v>
      </c>
      <c r="S560" t="s">
        <v>111</v>
      </c>
      <c r="T560" t="s">
        <v>83</v>
      </c>
      <c r="U560" t="s">
        <v>62</v>
      </c>
      <c r="V560" t="s">
        <v>62</v>
      </c>
      <c r="AA560">
        <v>2</v>
      </c>
      <c r="AB560" t="s">
        <v>33</v>
      </c>
      <c r="AC560" t="s">
        <v>371</v>
      </c>
      <c r="AD560" t="s">
        <v>44</v>
      </c>
      <c r="AE560" t="str">
        <f t="shared" si="164"/>
        <v>Welker</v>
      </c>
      <c r="AF560">
        <v>0</v>
      </c>
      <c r="AG560">
        <v>0</v>
      </c>
      <c r="AH560">
        <v>1</v>
      </c>
      <c r="AI560">
        <v>0</v>
      </c>
      <c r="AJ560">
        <v>0</v>
      </c>
      <c r="AK560" t="s">
        <v>44</v>
      </c>
      <c r="AL560">
        <v>0.4296875</v>
      </c>
      <c r="AO560">
        <f t="shared" si="174"/>
        <v>0</v>
      </c>
      <c r="AP560">
        <f t="shared" si="174"/>
        <v>0</v>
      </c>
      <c r="AQ560">
        <f t="shared" si="174"/>
        <v>0</v>
      </c>
      <c r="AR560">
        <f t="shared" si="174"/>
        <v>0</v>
      </c>
      <c r="AS560">
        <f t="shared" si="174"/>
        <v>0</v>
      </c>
      <c r="AT560">
        <f t="shared" si="174"/>
        <v>0</v>
      </c>
      <c r="AU560">
        <f t="shared" si="174"/>
        <v>0</v>
      </c>
      <c r="AV560">
        <f t="shared" si="174"/>
        <v>0</v>
      </c>
      <c r="AW560">
        <f t="shared" si="174"/>
        <v>0</v>
      </c>
      <c r="AX560">
        <f t="shared" si="174"/>
        <v>0</v>
      </c>
      <c r="AY560">
        <f t="shared" si="175"/>
        <v>0</v>
      </c>
      <c r="AZ560">
        <f t="shared" si="175"/>
        <v>0</v>
      </c>
      <c r="BA560">
        <f t="shared" si="175"/>
        <v>0</v>
      </c>
      <c r="BB560">
        <f t="shared" si="175"/>
        <v>0</v>
      </c>
      <c r="BC560">
        <f t="shared" si="175"/>
        <v>0</v>
      </c>
      <c r="BD560">
        <f t="shared" si="175"/>
        <v>0</v>
      </c>
      <c r="BE560">
        <f t="shared" si="175"/>
        <v>0</v>
      </c>
      <c r="BF560">
        <f t="shared" si="175"/>
        <v>0</v>
      </c>
      <c r="BG560">
        <f t="shared" si="175"/>
        <v>0</v>
      </c>
      <c r="BH560">
        <f t="shared" si="175"/>
        <v>0</v>
      </c>
      <c r="BI560">
        <f t="shared" si="176"/>
        <v>0</v>
      </c>
      <c r="BJ560">
        <f t="shared" si="176"/>
        <v>0</v>
      </c>
      <c r="BK560" t="str">
        <f t="shared" si="176"/>
        <v>Welker</v>
      </c>
      <c r="BL560">
        <f t="shared" si="176"/>
        <v>0</v>
      </c>
      <c r="BM560">
        <f t="shared" si="176"/>
        <v>0</v>
      </c>
      <c r="BN560">
        <f t="shared" si="176"/>
        <v>0</v>
      </c>
      <c r="BO560">
        <f t="shared" si="176"/>
        <v>0</v>
      </c>
      <c r="BP560">
        <f t="shared" si="176"/>
        <v>0</v>
      </c>
      <c r="BQ560">
        <f t="shared" si="176"/>
        <v>0</v>
      </c>
      <c r="BR560">
        <f t="shared" si="176"/>
        <v>0</v>
      </c>
      <c r="BS560">
        <f t="shared" si="176"/>
        <v>0</v>
      </c>
    </row>
    <row r="561" spans="2:71" ht="15" customHeight="1" x14ac:dyDescent="0.2">
      <c r="B561">
        <v>1</v>
      </c>
      <c r="C561">
        <v>1</v>
      </c>
      <c r="D561">
        <v>9</v>
      </c>
      <c r="E561" t="s">
        <v>443</v>
      </c>
      <c r="F561" t="s">
        <v>214</v>
      </c>
      <c r="G561" s="5">
        <v>44757</v>
      </c>
      <c r="H561" t="s">
        <v>73</v>
      </c>
      <c r="I561" t="s">
        <v>167</v>
      </c>
      <c r="J561" t="s">
        <v>168</v>
      </c>
      <c r="K561">
        <v>9</v>
      </c>
      <c r="L561" t="s">
        <v>76</v>
      </c>
      <c r="M561" t="s">
        <v>169</v>
      </c>
      <c r="N561" t="s">
        <v>123</v>
      </c>
      <c r="O561">
        <v>70.900000000000006</v>
      </c>
      <c r="P561">
        <v>133</v>
      </c>
      <c r="Q561">
        <v>6264</v>
      </c>
      <c r="R561" t="s">
        <v>79</v>
      </c>
      <c r="S561" t="s">
        <v>80</v>
      </c>
      <c r="U561" t="s">
        <v>58</v>
      </c>
      <c r="V561" t="s">
        <v>45</v>
      </c>
      <c r="W561" t="s">
        <v>109</v>
      </c>
      <c r="Y561" t="s">
        <v>66</v>
      </c>
      <c r="AA561">
        <v>1</v>
      </c>
      <c r="AB561" t="s">
        <v>32</v>
      </c>
      <c r="AC561" t="s">
        <v>249</v>
      </c>
      <c r="AE561" t="str">
        <f t="shared" si="164"/>
        <v>ConnollyPerkins</v>
      </c>
      <c r="AF561">
        <v>1</v>
      </c>
      <c r="AG561">
        <v>1</v>
      </c>
      <c r="AH561">
        <v>0</v>
      </c>
      <c r="AI561">
        <v>0</v>
      </c>
      <c r="AJ561">
        <v>1</v>
      </c>
      <c r="AK561" t="s">
        <v>50</v>
      </c>
      <c r="AL561">
        <v>0.59523809523809501</v>
      </c>
      <c r="AM561" t="s">
        <v>42</v>
      </c>
      <c r="AN561">
        <v>0.6171875</v>
      </c>
      <c r="AO561">
        <f t="shared" si="174"/>
        <v>0</v>
      </c>
      <c r="AP561">
        <f t="shared" si="174"/>
        <v>0</v>
      </c>
      <c r="AQ561">
        <f t="shared" si="174"/>
        <v>0</v>
      </c>
      <c r="AR561">
        <f t="shared" si="174"/>
        <v>0</v>
      </c>
      <c r="AS561">
        <f t="shared" si="174"/>
        <v>0</v>
      </c>
      <c r="AT561" t="str">
        <f t="shared" si="174"/>
        <v>Connolly</v>
      </c>
      <c r="AU561">
        <f t="shared" si="174"/>
        <v>0</v>
      </c>
      <c r="AV561">
        <f t="shared" si="174"/>
        <v>0</v>
      </c>
      <c r="AW561">
        <f t="shared" si="174"/>
        <v>0</v>
      </c>
      <c r="AX561">
        <f t="shared" si="174"/>
        <v>0</v>
      </c>
      <c r="AY561">
        <f t="shared" si="175"/>
        <v>0</v>
      </c>
      <c r="AZ561">
        <f t="shared" si="175"/>
        <v>0</v>
      </c>
      <c r="BA561">
        <f t="shared" si="175"/>
        <v>0</v>
      </c>
      <c r="BB561">
        <f t="shared" si="175"/>
        <v>0</v>
      </c>
      <c r="BC561">
        <f t="shared" si="175"/>
        <v>0</v>
      </c>
      <c r="BD561">
        <f t="shared" si="175"/>
        <v>0</v>
      </c>
      <c r="BE561">
        <f t="shared" si="175"/>
        <v>0</v>
      </c>
      <c r="BF561">
        <f t="shared" si="175"/>
        <v>0</v>
      </c>
      <c r="BG561">
        <f t="shared" si="175"/>
        <v>0</v>
      </c>
      <c r="BH561">
        <f t="shared" si="175"/>
        <v>0</v>
      </c>
      <c r="BI561">
        <f t="shared" si="176"/>
        <v>0</v>
      </c>
      <c r="BJ561">
        <f t="shared" si="176"/>
        <v>0</v>
      </c>
      <c r="BK561">
        <f t="shared" si="176"/>
        <v>0</v>
      </c>
      <c r="BL561">
        <f t="shared" si="176"/>
        <v>0</v>
      </c>
      <c r="BM561">
        <f t="shared" si="176"/>
        <v>0</v>
      </c>
      <c r="BN561">
        <f t="shared" si="176"/>
        <v>0</v>
      </c>
      <c r="BO561" t="str">
        <f t="shared" si="176"/>
        <v>Perkins</v>
      </c>
      <c r="BP561">
        <f t="shared" si="176"/>
        <v>0</v>
      </c>
      <c r="BQ561">
        <f t="shared" si="176"/>
        <v>0</v>
      </c>
      <c r="BR561">
        <f t="shared" si="176"/>
        <v>0</v>
      </c>
      <c r="BS561">
        <f t="shared" si="176"/>
        <v>0</v>
      </c>
    </row>
    <row r="562" spans="2:71" ht="15" customHeight="1" x14ac:dyDescent="0.2">
      <c r="B562">
        <v>1</v>
      </c>
      <c r="C562">
        <v>1</v>
      </c>
      <c r="D562">
        <v>9</v>
      </c>
      <c r="E562" t="s">
        <v>443</v>
      </c>
      <c r="F562" t="s">
        <v>214</v>
      </c>
      <c r="G562" s="5">
        <v>44757</v>
      </c>
      <c r="H562" t="s">
        <v>73</v>
      </c>
      <c r="I562" t="s">
        <v>167</v>
      </c>
      <c r="J562" t="s">
        <v>168</v>
      </c>
      <c r="K562">
        <v>9</v>
      </c>
      <c r="L562" t="s">
        <v>76</v>
      </c>
      <c r="M562" t="s">
        <v>169</v>
      </c>
      <c r="N562" t="s">
        <v>123</v>
      </c>
      <c r="O562">
        <v>70.5</v>
      </c>
      <c r="P562">
        <v>134</v>
      </c>
      <c r="Q562">
        <v>6389</v>
      </c>
      <c r="R562" t="s">
        <v>79</v>
      </c>
      <c r="S562" t="s">
        <v>80</v>
      </c>
      <c r="U562" t="s">
        <v>60</v>
      </c>
      <c r="V562" t="s">
        <v>50</v>
      </c>
      <c r="W562" t="s">
        <v>109</v>
      </c>
      <c r="Y562" t="s">
        <v>42</v>
      </c>
      <c r="AA562">
        <v>1</v>
      </c>
      <c r="AB562" t="s">
        <v>33</v>
      </c>
      <c r="AC562" t="s">
        <v>249</v>
      </c>
      <c r="AE562" t="str">
        <f t="shared" si="164"/>
        <v>FerrinJackson</v>
      </c>
      <c r="AF562">
        <v>0</v>
      </c>
      <c r="AG562">
        <v>0</v>
      </c>
      <c r="AH562">
        <v>1</v>
      </c>
      <c r="AI562">
        <v>0</v>
      </c>
      <c r="AJ562">
        <v>0</v>
      </c>
      <c r="AK562" t="s">
        <v>45</v>
      </c>
      <c r="AL562">
        <v>0.59375</v>
      </c>
      <c r="AM562" t="s">
        <v>66</v>
      </c>
      <c r="AN562">
        <v>0.63888888888888895</v>
      </c>
      <c r="AO562">
        <f t="shared" ref="AO562:AX571" si="177">IF(OR($V562=AO$1,$Y562=AO$1),AO$1,0)</f>
        <v>0</v>
      </c>
      <c r="AP562">
        <f t="shared" si="177"/>
        <v>0</v>
      </c>
      <c r="AQ562" t="str">
        <f t="shared" si="177"/>
        <v>Jackson</v>
      </c>
      <c r="AR562">
        <f t="shared" si="177"/>
        <v>0</v>
      </c>
      <c r="AS562">
        <f t="shared" si="177"/>
        <v>0</v>
      </c>
      <c r="AT562">
        <f t="shared" si="177"/>
        <v>0</v>
      </c>
      <c r="AU562">
        <f t="shared" si="177"/>
        <v>0</v>
      </c>
      <c r="AV562">
        <f t="shared" si="177"/>
        <v>0</v>
      </c>
      <c r="AW562">
        <f t="shared" si="177"/>
        <v>0</v>
      </c>
      <c r="AX562">
        <f t="shared" si="177"/>
        <v>0</v>
      </c>
      <c r="AY562" t="str">
        <f t="shared" ref="AY562:BH571" si="178">IF(OR($V562=AY$1,$Y562=AY$1),AY$1,0)</f>
        <v>Ferrin</v>
      </c>
      <c r="AZ562">
        <f t="shared" si="178"/>
        <v>0</v>
      </c>
      <c r="BA562">
        <f t="shared" si="178"/>
        <v>0</v>
      </c>
      <c r="BB562">
        <f t="shared" si="178"/>
        <v>0</v>
      </c>
      <c r="BC562">
        <f t="shared" si="178"/>
        <v>0</v>
      </c>
      <c r="BD562">
        <f t="shared" si="178"/>
        <v>0</v>
      </c>
      <c r="BE562">
        <f t="shared" si="178"/>
        <v>0</v>
      </c>
      <c r="BF562">
        <f t="shared" si="178"/>
        <v>0</v>
      </c>
      <c r="BG562">
        <f t="shared" si="178"/>
        <v>0</v>
      </c>
      <c r="BH562">
        <f t="shared" si="178"/>
        <v>0</v>
      </c>
      <c r="BI562">
        <f t="shared" ref="BI562:BS571" si="179">IF(OR($V562=BI$1,$Y562=BI$1),BI$1,0)</f>
        <v>0</v>
      </c>
      <c r="BJ562">
        <f t="shared" si="179"/>
        <v>0</v>
      </c>
      <c r="BK562">
        <f t="shared" si="179"/>
        <v>0</v>
      </c>
      <c r="BL562">
        <f t="shared" si="179"/>
        <v>0</v>
      </c>
      <c r="BM562">
        <f t="shared" si="179"/>
        <v>0</v>
      </c>
      <c r="BN562">
        <f t="shared" si="179"/>
        <v>0</v>
      </c>
      <c r="BO562">
        <f t="shared" si="179"/>
        <v>0</v>
      </c>
      <c r="BP562">
        <f t="shared" si="179"/>
        <v>0</v>
      </c>
      <c r="BQ562">
        <f t="shared" si="179"/>
        <v>0</v>
      </c>
      <c r="BR562">
        <f t="shared" si="179"/>
        <v>0</v>
      </c>
      <c r="BS562">
        <f t="shared" si="179"/>
        <v>0</v>
      </c>
    </row>
    <row r="563" spans="2:71" ht="15" customHeight="1" x14ac:dyDescent="0.2">
      <c r="B563">
        <v>2</v>
      </c>
      <c r="C563">
        <v>2</v>
      </c>
      <c r="D563">
        <v>9</v>
      </c>
      <c r="E563" t="s">
        <v>444</v>
      </c>
      <c r="F563" t="s">
        <v>214</v>
      </c>
      <c r="G563" s="5">
        <v>44757</v>
      </c>
      <c r="H563" t="s">
        <v>73</v>
      </c>
      <c r="I563" t="s">
        <v>167</v>
      </c>
      <c r="J563" t="s">
        <v>168</v>
      </c>
      <c r="K563">
        <v>9</v>
      </c>
      <c r="L563" t="s">
        <v>76</v>
      </c>
      <c r="M563" t="s">
        <v>169</v>
      </c>
      <c r="N563" t="s">
        <v>123</v>
      </c>
      <c r="O563">
        <v>70.5</v>
      </c>
      <c r="P563">
        <v>134</v>
      </c>
      <c r="Q563">
        <v>6389</v>
      </c>
      <c r="R563" t="s">
        <v>79</v>
      </c>
      <c r="S563" t="s">
        <v>80</v>
      </c>
      <c r="U563" t="s">
        <v>60</v>
      </c>
      <c r="V563" t="s">
        <v>67</v>
      </c>
      <c r="W563" t="s">
        <v>109</v>
      </c>
      <c r="Y563" t="s">
        <v>60</v>
      </c>
      <c r="AA563">
        <v>1</v>
      </c>
      <c r="AB563" t="s">
        <v>33</v>
      </c>
      <c r="AC563" t="s">
        <v>171</v>
      </c>
      <c r="AE563" t="str">
        <f t="shared" si="164"/>
        <v>DeoterisZimmer</v>
      </c>
      <c r="AF563">
        <v>0</v>
      </c>
      <c r="AG563">
        <v>0</v>
      </c>
      <c r="AH563">
        <v>1</v>
      </c>
      <c r="AI563">
        <v>0</v>
      </c>
      <c r="AJ563">
        <v>0</v>
      </c>
      <c r="AK563" t="s">
        <v>63</v>
      </c>
      <c r="AL563">
        <v>0.46551724137931</v>
      </c>
      <c r="AM563" t="s">
        <v>49</v>
      </c>
      <c r="AO563">
        <f t="shared" si="177"/>
        <v>0</v>
      </c>
      <c r="AP563">
        <f t="shared" si="177"/>
        <v>0</v>
      </c>
      <c r="AQ563">
        <f t="shared" si="177"/>
        <v>0</v>
      </c>
      <c r="AR563">
        <f t="shared" si="177"/>
        <v>0</v>
      </c>
      <c r="AS563">
        <f t="shared" si="177"/>
        <v>0</v>
      </c>
      <c r="AT563">
        <f t="shared" si="177"/>
        <v>0</v>
      </c>
      <c r="AU563">
        <f t="shared" si="177"/>
        <v>0</v>
      </c>
      <c r="AV563">
        <f t="shared" si="177"/>
        <v>0</v>
      </c>
      <c r="AW563">
        <f t="shared" si="177"/>
        <v>0</v>
      </c>
      <c r="AX563">
        <f t="shared" si="177"/>
        <v>0</v>
      </c>
      <c r="AY563">
        <f t="shared" si="178"/>
        <v>0</v>
      </c>
      <c r="AZ563">
        <f t="shared" si="178"/>
        <v>0</v>
      </c>
      <c r="BA563">
        <f t="shared" si="178"/>
        <v>0</v>
      </c>
      <c r="BB563">
        <f t="shared" si="178"/>
        <v>0</v>
      </c>
      <c r="BC563">
        <f t="shared" si="178"/>
        <v>0</v>
      </c>
      <c r="BD563">
        <f t="shared" si="178"/>
        <v>0</v>
      </c>
      <c r="BE563">
        <f t="shared" si="178"/>
        <v>0</v>
      </c>
      <c r="BF563">
        <f t="shared" si="178"/>
        <v>0</v>
      </c>
      <c r="BG563">
        <f t="shared" si="178"/>
        <v>0</v>
      </c>
      <c r="BH563">
        <f t="shared" si="178"/>
        <v>0</v>
      </c>
      <c r="BI563" t="str">
        <f t="shared" si="179"/>
        <v>Zimmer</v>
      </c>
      <c r="BJ563">
        <f t="shared" si="179"/>
        <v>0</v>
      </c>
      <c r="BK563">
        <f t="shared" si="179"/>
        <v>0</v>
      </c>
      <c r="BL563">
        <f t="shared" si="179"/>
        <v>0</v>
      </c>
      <c r="BM563">
        <f t="shared" si="179"/>
        <v>0</v>
      </c>
      <c r="BN563">
        <f t="shared" si="179"/>
        <v>0</v>
      </c>
      <c r="BO563">
        <f t="shared" si="179"/>
        <v>0</v>
      </c>
      <c r="BP563" t="str">
        <f t="shared" si="179"/>
        <v>Deoteris</v>
      </c>
      <c r="BQ563">
        <f t="shared" si="179"/>
        <v>0</v>
      </c>
      <c r="BR563">
        <f t="shared" si="179"/>
        <v>0</v>
      </c>
      <c r="BS563">
        <f t="shared" si="179"/>
        <v>0</v>
      </c>
    </row>
    <row r="564" spans="2:71" ht="15" customHeight="1" x14ac:dyDescent="0.2">
      <c r="B564">
        <v>2</v>
      </c>
      <c r="C564">
        <v>2</v>
      </c>
      <c r="D564">
        <v>9</v>
      </c>
      <c r="E564" t="s">
        <v>444</v>
      </c>
      <c r="F564" t="s">
        <v>214</v>
      </c>
      <c r="G564" s="5">
        <v>44757</v>
      </c>
      <c r="H564" t="s">
        <v>73</v>
      </c>
      <c r="I564" t="s">
        <v>167</v>
      </c>
      <c r="J564" t="s">
        <v>168</v>
      </c>
      <c r="K564">
        <v>9</v>
      </c>
      <c r="L564" t="s">
        <v>76</v>
      </c>
      <c r="M564" t="s">
        <v>169</v>
      </c>
      <c r="N564" t="s">
        <v>123</v>
      </c>
      <c r="O564">
        <v>70.5</v>
      </c>
      <c r="P564">
        <v>134</v>
      </c>
      <c r="Q564">
        <v>6389</v>
      </c>
      <c r="R564" t="s">
        <v>79</v>
      </c>
      <c r="S564" t="s">
        <v>80</v>
      </c>
      <c r="U564" t="s">
        <v>58</v>
      </c>
      <c r="V564" t="s">
        <v>63</v>
      </c>
      <c r="W564" t="s">
        <v>109</v>
      </c>
      <c r="Y564" t="s">
        <v>49</v>
      </c>
      <c r="AA564">
        <v>1</v>
      </c>
      <c r="AB564" t="s">
        <v>32</v>
      </c>
      <c r="AC564" t="s">
        <v>171</v>
      </c>
      <c r="AE564" t="str">
        <f t="shared" si="164"/>
        <v>DelaneyShively</v>
      </c>
      <c r="AF564">
        <v>1</v>
      </c>
      <c r="AG564">
        <v>1</v>
      </c>
      <c r="AH564">
        <v>0</v>
      </c>
      <c r="AI564">
        <v>0</v>
      </c>
      <c r="AJ564">
        <v>1</v>
      </c>
      <c r="AK564" t="s">
        <v>67</v>
      </c>
      <c r="AL564">
        <v>0.54545454545454497</v>
      </c>
      <c r="AM564" t="s">
        <v>60</v>
      </c>
      <c r="AN564">
        <v>0.5</v>
      </c>
      <c r="AO564">
        <f t="shared" si="177"/>
        <v>0</v>
      </c>
      <c r="AP564">
        <f t="shared" si="177"/>
        <v>0</v>
      </c>
      <c r="AQ564">
        <f t="shared" si="177"/>
        <v>0</v>
      </c>
      <c r="AR564">
        <f t="shared" si="177"/>
        <v>0</v>
      </c>
      <c r="AS564">
        <f t="shared" si="177"/>
        <v>0</v>
      </c>
      <c r="AT564">
        <f t="shared" si="177"/>
        <v>0</v>
      </c>
      <c r="AU564">
        <f t="shared" si="177"/>
        <v>0</v>
      </c>
      <c r="AV564">
        <f t="shared" si="177"/>
        <v>0</v>
      </c>
      <c r="AW564">
        <f t="shared" si="177"/>
        <v>0</v>
      </c>
      <c r="AX564" t="str">
        <f t="shared" si="177"/>
        <v>Shively</v>
      </c>
      <c r="AY564">
        <f t="shared" si="178"/>
        <v>0</v>
      </c>
      <c r="AZ564">
        <f t="shared" si="178"/>
        <v>0</v>
      </c>
      <c r="BA564">
        <f t="shared" si="178"/>
        <v>0</v>
      </c>
      <c r="BB564">
        <f t="shared" si="178"/>
        <v>0</v>
      </c>
      <c r="BC564">
        <f t="shared" si="178"/>
        <v>0</v>
      </c>
      <c r="BD564">
        <f t="shared" si="178"/>
        <v>0</v>
      </c>
      <c r="BE564">
        <f t="shared" si="178"/>
        <v>0</v>
      </c>
      <c r="BF564">
        <f t="shared" si="178"/>
        <v>0</v>
      </c>
      <c r="BG564">
        <f t="shared" si="178"/>
        <v>0</v>
      </c>
      <c r="BH564">
        <f t="shared" si="178"/>
        <v>0</v>
      </c>
      <c r="BI564">
        <f t="shared" si="179"/>
        <v>0</v>
      </c>
      <c r="BJ564">
        <f t="shared" si="179"/>
        <v>0</v>
      </c>
      <c r="BK564">
        <f t="shared" si="179"/>
        <v>0</v>
      </c>
      <c r="BL564" t="str">
        <f t="shared" si="179"/>
        <v>Delaney</v>
      </c>
      <c r="BM564">
        <f t="shared" si="179"/>
        <v>0</v>
      </c>
      <c r="BN564">
        <f t="shared" si="179"/>
        <v>0</v>
      </c>
      <c r="BO564">
        <f t="shared" si="179"/>
        <v>0</v>
      </c>
      <c r="BP564">
        <f t="shared" si="179"/>
        <v>0</v>
      </c>
      <c r="BQ564">
        <f t="shared" si="179"/>
        <v>0</v>
      </c>
      <c r="BR564">
        <f t="shared" si="179"/>
        <v>0</v>
      </c>
      <c r="BS564">
        <f t="shared" si="179"/>
        <v>0</v>
      </c>
    </row>
    <row r="565" spans="2:71" ht="15" customHeight="1" x14ac:dyDescent="0.2">
      <c r="B565">
        <v>3</v>
      </c>
      <c r="C565">
        <v>3</v>
      </c>
      <c r="D565">
        <v>9</v>
      </c>
      <c r="E565" t="s">
        <v>445</v>
      </c>
      <c r="F565" t="s">
        <v>214</v>
      </c>
      <c r="G565" s="5">
        <v>44757</v>
      </c>
      <c r="H565" t="s">
        <v>73</v>
      </c>
      <c r="I565" t="s">
        <v>167</v>
      </c>
      <c r="J565" t="s">
        <v>168</v>
      </c>
      <c r="K565">
        <v>9</v>
      </c>
      <c r="L565" t="s">
        <v>76</v>
      </c>
      <c r="M565" t="s">
        <v>169</v>
      </c>
      <c r="N565" t="s">
        <v>123</v>
      </c>
      <c r="O565">
        <v>70.5</v>
      </c>
      <c r="P565">
        <v>134</v>
      </c>
      <c r="Q565">
        <v>6389</v>
      </c>
      <c r="R565" t="s">
        <v>79</v>
      </c>
      <c r="S565" t="s">
        <v>80</v>
      </c>
      <c r="U565" t="s">
        <v>58</v>
      </c>
      <c r="V565" t="s">
        <v>52</v>
      </c>
      <c r="W565" t="s">
        <v>109</v>
      </c>
      <c r="Y565" t="s">
        <v>61</v>
      </c>
      <c r="AA565">
        <v>1</v>
      </c>
      <c r="AB565" t="s">
        <v>33</v>
      </c>
      <c r="AC565" t="s">
        <v>184</v>
      </c>
      <c r="AE565" t="str">
        <f t="shared" si="164"/>
        <v>ConnorsMcInerney</v>
      </c>
      <c r="AF565">
        <v>0</v>
      </c>
      <c r="AG565">
        <v>0</v>
      </c>
      <c r="AH565">
        <v>1</v>
      </c>
      <c r="AI565">
        <v>0</v>
      </c>
      <c r="AJ565">
        <v>0</v>
      </c>
      <c r="AK565" t="s">
        <v>64</v>
      </c>
      <c r="AL565">
        <v>0.65909090909090895</v>
      </c>
      <c r="AM565" t="s">
        <v>53</v>
      </c>
      <c r="AN565">
        <v>0.59649122807017496</v>
      </c>
      <c r="AO565">
        <f t="shared" si="177"/>
        <v>0</v>
      </c>
      <c r="AP565">
        <f t="shared" si="177"/>
        <v>0</v>
      </c>
      <c r="AQ565">
        <f t="shared" si="177"/>
        <v>0</v>
      </c>
      <c r="AR565">
        <f t="shared" si="177"/>
        <v>0</v>
      </c>
      <c r="AS565">
        <f t="shared" si="177"/>
        <v>0</v>
      </c>
      <c r="AT565">
        <f t="shared" si="177"/>
        <v>0</v>
      </c>
      <c r="AU565">
        <f t="shared" si="177"/>
        <v>0</v>
      </c>
      <c r="AV565">
        <f t="shared" si="177"/>
        <v>0</v>
      </c>
      <c r="AW565">
        <f t="shared" si="177"/>
        <v>0</v>
      </c>
      <c r="AX565">
        <f t="shared" si="177"/>
        <v>0</v>
      </c>
      <c r="AY565">
        <f t="shared" si="178"/>
        <v>0</v>
      </c>
      <c r="AZ565">
        <f t="shared" si="178"/>
        <v>0</v>
      </c>
      <c r="BA565" t="str">
        <f t="shared" si="178"/>
        <v>Connors</v>
      </c>
      <c r="BB565">
        <f t="shared" si="178"/>
        <v>0</v>
      </c>
      <c r="BC565">
        <f t="shared" si="178"/>
        <v>0</v>
      </c>
      <c r="BD565">
        <f t="shared" si="178"/>
        <v>0</v>
      </c>
      <c r="BE565">
        <f t="shared" si="178"/>
        <v>0</v>
      </c>
      <c r="BF565">
        <f t="shared" si="178"/>
        <v>0</v>
      </c>
      <c r="BG565">
        <f t="shared" si="178"/>
        <v>0</v>
      </c>
      <c r="BH565">
        <f t="shared" si="178"/>
        <v>0</v>
      </c>
      <c r="BI565">
        <f t="shared" si="179"/>
        <v>0</v>
      </c>
      <c r="BJ565" t="str">
        <f t="shared" si="179"/>
        <v>McInerney</v>
      </c>
      <c r="BK565">
        <f t="shared" si="179"/>
        <v>0</v>
      </c>
      <c r="BL565">
        <f t="shared" si="179"/>
        <v>0</v>
      </c>
      <c r="BM565">
        <f t="shared" si="179"/>
        <v>0</v>
      </c>
      <c r="BN565">
        <f t="shared" si="179"/>
        <v>0</v>
      </c>
      <c r="BO565">
        <f t="shared" si="179"/>
        <v>0</v>
      </c>
      <c r="BP565">
        <f t="shared" si="179"/>
        <v>0</v>
      </c>
      <c r="BQ565">
        <f t="shared" si="179"/>
        <v>0</v>
      </c>
      <c r="BR565">
        <f t="shared" si="179"/>
        <v>0</v>
      </c>
      <c r="BS565">
        <f t="shared" si="179"/>
        <v>0</v>
      </c>
    </row>
    <row r="566" spans="2:71" ht="15" customHeight="1" x14ac:dyDescent="0.2">
      <c r="B566">
        <v>3</v>
      </c>
      <c r="C566">
        <v>3</v>
      </c>
      <c r="D566">
        <v>9</v>
      </c>
      <c r="E566" t="s">
        <v>445</v>
      </c>
      <c r="F566" t="s">
        <v>214</v>
      </c>
      <c r="G566" s="5">
        <v>44757</v>
      </c>
      <c r="H566" t="s">
        <v>73</v>
      </c>
      <c r="I566" t="s">
        <v>167</v>
      </c>
      <c r="J566" t="s">
        <v>168</v>
      </c>
      <c r="K566">
        <v>9</v>
      </c>
      <c r="L566" t="s">
        <v>76</v>
      </c>
      <c r="M566" t="s">
        <v>169</v>
      </c>
      <c r="N566" t="s">
        <v>123</v>
      </c>
      <c r="O566">
        <v>70.5</v>
      </c>
      <c r="P566">
        <v>134</v>
      </c>
      <c r="Q566">
        <v>6389</v>
      </c>
      <c r="R566" t="s">
        <v>79</v>
      </c>
      <c r="S566" t="s">
        <v>80</v>
      </c>
      <c r="U566" t="s">
        <v>60</v>
      </c>
      <c r="V566" t="s">
        <v>64</v>
      </c>
      <c r="W566" t="s">
        <v>109</v>
      </c>
      <c r="Y566" t="s">
        <v>53</v>
      </c>
      <c r="AA566">
        <v>1</v>
      </c>
      <c r="AB566" t="s">
        <v>32</v>
      </c>
      <c r="AC566" t="s">
        <v>184</v>
      </c>
      <c r="AE566" t="str">
        <f t="shared" si="164"/>
        <v>DelnekyForster</v>
      </c>
      <c r="AF566">
        <v>1</v>
      </c>
      <c r="AG566">
        <v>1</v>
      </c>
      <c r="AH566">
        <v>0</v>
      </c>
      <c r="AI566">
        <v>0</v>
      </c>
      <c r="AJ566">
        <v>1</v>
      </c>
      <c r="AK566" t="s">
        <v>52</v>
      </c>
      <c r="AL566">
        <v>0.34745762711864397</v>
      </c>
      <c r="AM566" t="s">
        <v>61</v>
      </c>
      <c r="AN566">
        <v>0.5</v>
      </c>
      <c r="AO566">
        <f t="shared" si="177"/>
        <v>0</v>
      </c>
      <c r="AP566">
        <f t="shared" si="177"/>
        <v>0</v>
      </c>
      <c r="AQ566">
        <f t="shared" si="177"/>
        <v>0</v>
      </c>
      <c r="AR566">
        <f t="shared" si="177"/>
        <v>0</v>
      </c>
      <c r="AS566">
        <f t="shared" si="177"/>
        <v>0</v>
      </c>
      <c r="AT566">
        <f t="shared" si="177"/>
        <v>0</v>
      </c>
      <c r="AU566">
        <f t="shared" si="177"/>
        <v>0</v>
      </c>
      <c r="AV566">
        <f t="shared" si="177"/>
        <v>0</v>
      </c>
      <c r="AW566">
        <f t="shared" si="177"/>
        <v>0</v>
      </c>
      <c r="AX566">
        <f t="shared" si="177"/>
        <v>0</v>
      </c>
      <c r="AY566">
        <f t="shared" si="178"/>
        <v>0</v>
      </c>
      <c r="AZ566">
        <f t="shared" si="178"/>
        <v>0</v>
      </c>
      <c r="BA566">
        <f t="shared" si="178"/>
        <v>0</v>
      </c>
      <c r="BB566" t="str">
        <f t="shared" si="178"/>
        <v>Forster</v>
      </c>
      <c r="BC566">
        <f t="shared" si="178"/>
        <v>0</v>
      </c>
      <c r="BD566">
        <f t="shared" si="178"/>
        <v>0</v>
      </c>
      <c r="BE566">
        <f t="shared" si="178"/>
        <v>0</v>
      </c>
      <c r="BF566">
        <f t="shared" si="178"/>
        <v>0</v>
      </c>
      <c r="BG566">
        <f t="shared" si="178"/>
        <v>0</v>
      </c>
      <c r="BH566">
        <f t="shared" si="178"/>
        <v>0</v>
      </c>
      <c r="BI566">
        <f t="shared" si="179"/>
        <v>0</v>
      </c>
      <c r="BJ566">
        <f t="shared" si="179"/>
        <v>0</v>
      </c>
      <c r="BK566">
        <f t="shared" si="179"/>
        <v>0</v>
      </c>
      <c r="BL566">
        <f t="shared" si="179"/>
        <v>0</v>
      </c>
      <c r="BM566" t="str">
        <f t="shared" si="179"/>
        <v>Delneky</v>
      </c>
      <c r="BN566">
        <f t="shared" si="179"/>
        <v>0</v>
      </c>
      <c r="BO566">
        <f t="shared" si="179"/>
        <v>0</v>
      </c>
      <c r="BP566">
        <f t="shared" si="179"/>
        <v>0</v>
      </c>
      <c r="BQ566">
        <f t="shared" si="179"/>
        <v>0</v>
      </c>
      <c r="BR566">
        <f t="shared" si="179"/>
        <v>0</v>
      </c>
      <c r="BS566">
        <f t="shared" si="179"/>
        <v>0</v>
      </c>
    </row>
    <row r="567" spans="2:71" ht="15" customHeight="1" x14ac:dyDescent="0.2">
      <c r="B567">
        <v>4</v>
      </c>
      <c r="C567">
        <v>4</v>
      </c>
      <c r="D567">
        <v>9</v>
      </c>
      <c r="E567" t="s">
        <v>446</v>
      </c>
      <c r="F567" t="s">
        <v>214</v>
      </c>
      <c r="G567" s="5">
        <v>44757</v>
      </c>
      <c r="H567" t="s">
        <v>73</v>
      </c>
      <c r="I567" t="s">
        <v>167</v>
      </c>
      <c r="J567" t="s">
        <v>168</v>
      </c>
      <c r="K567">
        <v>9</v>
      </c>
      <c r="L567" t="s">
        <v>76</v>
      </c>
      <c r="M567" t="s">
        <v>169</v>
      </c>
      <c r="N567" t="s">
        <v>123</v>
      </c>
      <c r="O567">
        <v>70.5</v>
      </c>
      <c r="P567">
        <v>134</v>
      </c>
      <c r="Q567">
        <v>6389</v>
      </c>
      <c r="R567" t="s">
        <v>79</v>
      </c>
      <c r="S567" t="s">
        <v>80</v>
      </c>
      <c r="U567" t="s">
        <v>60</v>
      </c>
      <c r="V567" t="s">
        <v>54</v>
      </c>
      <c r="W567" t="s">
        <v>109</v>
      </c>
      <c r="Y567" t="s">
        <v>62</v>
      </c>
      <c r="AA567">
        <v>1</v>
      </c>
      <c r="AB567" t="s">
        <v>33</v>
      </c>
      <c r="AC567" t="s">
        <v>184</v>
      </c>
      <c r="AE567" t="str">
        <f t="shared" si="164"/>
        <v>FoganWelker</v>
      </c>
      <c r="AF567">
        <v>0</v>
      </c>
      <c r="AG567">
        <v>0</v>
      </c>
      <c r="AH567">
        <v>1</v>
      </c>
      <c r="AI567">
        <v>0</v>
      </c>
      <c r="AJ567">
        <v>0</v>
      </c>
      <c r="AK567" t="s">
        <v>41</v>
      </c>
      <c r="AL567">
        <v>0.47321428571428598</v>
      </c>
      <c r="AM567" t="s">
        <v>48</v>
      </c>
      <c r="AN567">
        <v>0.5546875</v>
      </c>
      <c r="AO567">
        <f t="shared" si="177"/>
        <v>0</v>
      </c>
      <c r="AP567">
        <f t="shared" si="177"/>
        <v>0</v>
      </c>
      <c r="AQ567">
        <f t="shared" si="177"/>
        <v>0</v>
      </c>
      <c r="AR567">
        <f t="shared" si="177"/>
        <v>0</v>
      </c>
      <c r="AS567">
        <f t="shared" si="177"/>
        <v>0</v>
      </c>
      <c r="AT567">
        <f t="shared" si="177"/>
        <v>0</v>
      </c>
      <c r="AU567">
        <f t="shared" si="177"/>
        <v>0</v>
      </c>
      <c r="AV567">
        <f t="shared" si="177"/>
        <v>0</v>
      </c>
      <c r="AW567">
        <f t="shared" si="177"/>
        <v>0</v>
      </c>
      <c r="AX567">
        <f t="shared" si="177"/>
        <v>0</v>
      </c>
      <c r="AY567">
        <f t="shared" si="178"/>
        <v>0</v>
      </c>
      <c r="AZ567">
        <f t="shared" si="178"/>
        <v>0</v>
      </c>
      <c r="BA567">
        <f t="shared" si="178"/>
        <v>0</v>
      </c>
      <c r="BB567">
        <f t="shared" si="178"/>
        <v>0</v>
      </c>
      <c r="BC567" t="str">
        <f t="shared" si="178"/>
        <v>Fogan</v>
      </c>
      <c r="BD567">
        <f t="shared" si="178"/>
        <v>0</v>
      </c>
      <c r="BE567">
        <f t="shared" si="178"/>
        <v>0</v>
      </c>
      <c r="BF567">
        <f t="shared" si="178"/>
        <v>0</v>
      </c>
      <c r="BG567">
        <f t="shared" si="178"/>
        <v>0</v>
      </c>
      <c r="BH567">
        <f t="shared" si="178"/>
        <v>0</v>
      </c>
      <c r="BI567">
        <f t="shared" si="179"/>
        <v>0</v>
      </c>
      <c r="BJ567">
        <f t="shared" si="179"/>
        <v>0</v>
      </c>
      <c r="BK567" t="str">
        <f t="shared" si="179"/>
        <v>Welker</v>
      </c>
      <c r="BL567">
        <f t="shared" si="179"/>
        <v>0</v>
      </c>
      <c r="BM567">
        <f t="shared" si="179"/>
        <v>0</v>
      </c>
      <c r="BN567">
        <f t="shared" si="179"/>
        <v>0</v>
      </c>
      <c r="BO567">
        <f t="shared" si="179"/>
        <v>0</v>
      </c>
      <c r="BP567">
        <f t="shared" si="179"/>
        <v>0</v>
      </c>
      <c r="BQ567">
        <f t="shared" si="179"/>
        <v>0</v>
      </c>
      <c r="BR567">
        <f t="shared" si="179"/>
        <v>0</v>
      </c>
      <c r="BS567">
        <f t="shared" si="179"/>
        <v>0</v>
      </c>
    </row>
    <row r="568" spans="2:71" ht="15" customHeight="1" x14ac:dyDescent="0.2">
      <c r="B568">
        <v>4</v>
      </c>
      <c r="C568">
        <v>4</v>
      </c>
      <c r="D568">
        <v>9</v>
      </c>
      <c r="E568" t="s">
        <v>446</v>
      </c>
      <c r="F568" t="s">
        <v>214</v>
      </c>
      <c r="G568" s="5">
        <v>44757</v>
      </c>
      <c r="H568" t="s">
        <v>73</v>
      </c>
      <c r="I568" t="s">
        <v>167</v>
      </c>
      <c r="J568" t="s">
        <v>168</v>
      </c>
      <c r="K568">
        <v>9</v>
      </c>
      <c r="L568" t="s">
        <v>76</v>
      </c>
      <c r="M568" t="s">
        <v>169</v>
      </c>
      <c r="N568" t="s">
        <v>123</v>
      </c>
      <c r="O568">
        <v>70.5</v>
      </c>
      <c r="P568">
        <v>134</v>
      </c>
      <c r="Q568">
        <v>6389</v>
      </c>
      <c r="R568" t="s">
        <v>79</v>
      </c>
      <c r="S568" t="s">
        <v>80</v>
      </c>
      <c r="U568" t="s">
        <v>58</v>
      </c>
      <c r="V568" t="s">
        <v>41</v>
      </c>
      <c r="W568" t="s">
        <v>109</v>
      </c>
      <c r="Y568" t="s">
        <v>48</v>
      </c>
      <c r="AA568">
        <v>1</v>
      </c>
      <c r="AB568" t="s">
        <v>32</v>
      </c>
      <c r="AC568" t="s">
        <v>184</v>
      </c>
      <c r="AE568" t="str">
        <f t="shared" si="164"/>
        <v>HiltsLynch</v>
      </c>
      <c r="AF568">
        <v>1</v>
      </c>
      <c r="AG568">
        <v>1</v>
      </c>
      <c r="AH568">
        <v>0</v>
      </c>
      <c r="AI568">
        <v>0</v>
      </c>
      <c r="AJ568">
        <v>1</v>
      </c>
      <c r="AK568" t="s">
        <v>54</v>
      </c>
      <c r="AL568">
        <v>0.37288135593220301</v>
      </c>
      <c r="AM568" t="s">
        <v>62</v>
      </c>
      <c r="AN568">
        <v>0.51041666666666696</v>
      </c>
      <c r="AO568">
        <f t="shared" si="177"/>
        <v>0</v>
      </c>
      <c r="AP568" t="str">
        <f t="shared" si="177"/>
        <v>Hilts</v>
      </c>
      <c r="AQ568">
        <f t="shared" si="177"/>
        <v>0</v>
      </c>
      <c r="AR568">
        <f t="shared" si="177"/>
        <v>0</v>
      </c>
      <c r="AS568">
        <f t="shared" si="177"/>
        <v>0</v>
      </c>
      <c r="AT568">
        <f t="shared" si="177"/>
        <v>0</v>
      </c>
      <c r="AU568">
        <f t="shared" si="177"/>
        <v>0</v>
      </c>
      <c r="AV568">
        <f t="shared" si="177"/>
        <v>0</v>
      </c>
      <c r="AW568" t="str">
        <f t="shared" si="177"/>
        <v>Lynch</v>
      </c>
      <c r="AX568">
        <f t="shared" si="177"/>
        <v>0</v>
      </c>
      <c r="AY568">
        <f t="shared" si="178"/>
        <v>0</v>
      </c>
      <c r="AZ568">
        <f t="shared" si="178"/>
        <v>0</v>
      </c>
      <c r="BA568">
        <f t="shared" si="178"/>
        <v>0</v>
      </c>
      <c r="BB568">
        <f t="shared" si="178"/>
        <v>0</v>
      </c>
      <c r="BC568">
        <f t="shared" si="178"/>
        <v>0</v>
      </c>
      <c r="BD568">
        <f t="shared" si="178"/>
        <v>0</v>
      </c>
      <c r="BE568">
        <f t="shared" si="178"/>
        <v>0</v>
      </c>
      <c r="BF568">
        <f t="shared" si="178"/>
        <v>0</v>
      </c>
      <c r="BG568">
        <f t="shared" si="178"/>
        <v>0</v>
      </c>
      <c r="BH568">
        <f t="shared" si="178"/>
        <v>0</v>
      </c>
      <c r="BI568">
        <f t="shared" si="179"/>
        <v>0</v>
      </c>
      <c r="BJ568">
        <f t="shared" si="179"/>
        <v>0</v>
      </c>
      <c r="BK568">
        <f t="shared" si="179"/>
        <v>0</v>
      </c>
      <c r="BL568">
        <f t="shared" si="179"/>
        <v>0</v>
      </c>
      <c r="BM568">
        <f t="shared" si="179"/>
        <v>0</v>
      </c>
      <c r="BN568">
        <f t="shared" si="179"/>
        <v>0</v>
      </c>
      <c r="BO568">
        <f t="shared" si="179"/>
        <v>0</v>
      </c>
      <c r="BP568">
        <f t="shared" si="179"/>
        <v>0</v>
      </c>
      <c r="BQ568">
        <f t="shared" si="179"/>
        <v>0</v>
      </c>
      <c r="BR568">
        <f t="shared" si="179"/>
        <v>0</v>
      </c>
      <c r="BS568">
        <f t="shared" si="179"/>
        <v>0</v>
      </c>
    </row>
    <row r="569" spans="2:71" ht="15" customHeight="1" x14ac:dyDescent="0.2">
      <c r="B569">
        <v>5</v>
      </c>
      <c r="C569">
        <v>5</v>
      </c>
      <c r="D569">
        <v>9</v>
      </c>
      <c r="E569" t="s">
        <v>447</v>
      </c>
      <c r="F569" t="s">
        <v>214</v>
      </c>
      <c r="G569" s="5">
        <v>44757</v>
      </c>
      <c r="H569" t="s">
        <v>73</v>
      </c>
      <c r="I569" t="s">
        <v>167</v>
      </c>
      <c r="J569" t="s">
        <v>168</v>
      </c>
      <c r="K569">
        <v>9</v>
      </c>
      <c r="L569" t="s">
        <v>76</v>
      </c>
      <c r="M569" t="s">
        <v>169</v>
      </c>
      <c r="N569" t="s">
        <v>123</v>
      </c>
      <c r="O569">
        <v>70.5</v>
      </c>
      <c r="P569">
        <v>134</v>
      </c>
      <c r="Q569">
        <v>6389</v>
      </c>
      <c r="R569" t="s">
        <v>79</v>
      </c>
      <c r="S569" t="s">
        <v>80</v>
      </c>
      <c r="U569" t="s">
        <v>58</v>
      </c>
      <c r="V569" t="s">
        <v>44</v>
      </c>
      <c r="W569" t="s">
        <v>109</v>
      </c>
      <c r="Y569" t="s">
        <v>55</v>
      </c>
      <c r="AA569">
        <v>1</v>
      </c>
      <c r="AB569" t="s">
        <v>33</v>
      </c>
      <c r="AC569" t="s">
        <v>356</v>
      </c>
      <c r="AE569" t="str">
        <f t="shared" si="164"/>
        <v>FlandersCole</v>
      </c>
      <c r="AF569">
        <v>0</v>
      </c>
      <c r="AG569">
        <v>0</v>
      </c>
      <c r="AH569">
        <v>1</v>
      </c>
      <c r="AI569">
        <v>0</v>
      </c>
      <c r="AJ569">
        <v>0</v>
      </c>
      <c r="AK569" t="s">
        <v>40</v>
      </c>
      <c r="AL569">
        <v>0.546875</v>
      </c>
      <c r="AM569" t="s">
        <v>43</v>
      </c>
      <c r="AN569">
        <v>0.48611111111111099</v>
      </c>
      <c r="AO569">
        <f t="shared" si="177"/>
        <v>0</v>
      </c>
      <c r="AP569">
        <f t="shared" si="177"/>
        <v>0</v>
      </c>
      <c r="AQ569">
        <f t="shared" si="177"/>
        <v>0</v>
      </c>
      <c r="AR569">
        <f t="shared" si="177"/>
        <v>0</v>
      </c>
      <c r="AS569" t="str">
        <f t="shared" si="177"/>
        <v>Flanders</v>
      </c>
      <c r="AT569">
        <f t="shared" si="177"/>
        <v>0</v>
      </c>
      <c r="AU569">
        <f t="shared" si="177"/>
        <v>0</v>
      </c>
      <c r="AV569">
        <f t="shared" si="177"/>
        <v>0</v>
      </c>
      <c r="AW569">
        <f t="shared" si="177"/>
        <v>0</v>
      </c>
      <c r="AX569">
        <f t="shared" si="177"/>
        <v>0</v>
      </c>
      <c r="AY569">
        <f t="shared" si="178"/>
        <v>0</v>
      </c>
      <c r="AZ569">
        <f t="shared" si="178"/>
        <v>0</v>
      </c>
      <c r="BA569">
        <f t="shared" si="178"/>
        <v>0</v>
      </c>
      <c r="BB569">
        <f t="shared" si="178"/>
        <v>0</v>
      </c>
      <c r="BC569">
        <f t="shared" si="178"/>
        <v>0</v>
      </c>
      <c r="BD569" t="str">
        <f t="shared" si="178"/>
        <v>Cole</v>
      </c>
      <c r="BE569">
        <f t="shared" si="178"/>
        <v>0</v>
      </c>
      <c r="BF569">
        <f t="shared" si="178"/>
        <v>0</v>
      </c>
      <c r="BG569">
        <f t="shared" si="178"/>
        <v>0</v>
      </c>
      <c r="BH569">
        <f t="shared" si="178"/>
        <v>0</v>
      </c>
      <c r="BI569">
        <f t="shared" si="179"/>
        <v>0</v>
      </c>
      <c r="BJ569">
        <f t="shared" si="179"/>
        <v>0</v>
      </c>
      <c r="BK569">
        <f t="shared" si="179"/>
        <v>0</v>
      </c>
      <c r="BL569">
        <f t="shared" si="179"/>
        <v>0</v>
      </c>
      <c r="BM569">
        <f t="shared" si="179"/>
        <v>0</v>
      </c>
      <c r="BN569">
        <f t="shared" si="179"/>
        <v>0</v>
      </c>
      <c r="BO569">
        <f t="shared" si="179"/>
        <v>0</v>
      </c>
      <c r="BP569">
        <f t="shared" si="179"/>
        <v>0</v>
      </c>
      <c r="BQ569">
        <f t="shared" si="179"/>
        <v>0</v>
      </c>
      <c r="BR569">
        <f t="shared" si="179"/>
        <v>0</v>
      </c>
      <c r="BS569">
        <f t="shared" si="179"/>
        <v>0</v>
      </c>
    </row>
    <row r="570" spans="2:71" ht="15" customHeight="1" x14ac:dyDescent="0.2">
      <c r="B570">
        <v>5</v>
      </c>
      <c r="C570">
        <v>5</v>
      </c>
      <c r="D570">
        <v>9</v>
      </c>
      <c r="E570" t="s">
        <v>447</v>
      </c>
      <c r="F570" t="s">
        <v>214</v>
      </c>
      <c r="G570" s="5">
        <v>44757</v>
      </c>
      <c r="H570" t="s">
        <v>73</v>
      </c>
      <c r="I570" t="s">
        <v>167</v>
      </c>
      <c r="J570" t="s">
        <v>168</v>
      </c>
      <c r="K570">
        <v>9</v>
      </c>
      <c r="L570" t="s">
        <v>76</v>
      </c>
      <c r="M570" t="s">
        <v>169</v>
      </c>
      <c r="N570" t="s">
        <v>123</v>
      </c>
      <c r="O570">
        <v>70.5</v>
      </c>
      <c r="P570">
        <v>134</v>
      </c>
      <c r="Q570">
        <v>6389</v>
      </c>
      <c r="R570" t="s">
        <v>79</v>
      </c>
      <c r="S570" t="s">
        <v>80</v>
      </c>
      <c r="U570" t="s">
        <v>60</v>
      </c>
      <c r="V570" t="s">
        <v>40</v>
      </c>
      <c r="W570" t="s">
        <v>109</v>
      </c>
      <c r="Y570" t="s">
        <v>43</v>
      </c>
      <c r="AA570">
        <v>1</v>
      </c>
      <c r="AB570" t="s">
        <v>32</v>
      </c>
      <c r="AC570" t="s">
        <v>249</v>
      </c>
      <c r="AE570" t="str">
        <f t="shared" si="164"/>
        <v>GrisePoirier</v>
      </c>
      <c r="AF570">
        <v>1</v>
      </c>
      <c r="AG570">
        <v>1</v>
      </c>
      <c r="AH570">
        <v>0</v>
      </c>
      <c r="AI570">
        <v>0</v>
      </c>
      <c r="AJ570">
        <v>1</v>
      </c>
      <c r="AK570" t="s">
        <v>44</v>
      </c>
      <c r="AL570">
        <v>0.4296875</v>
      </c>
      <c r="AM570" t="s">
        <v>55</v>
      </c>
      <c r="AN570">
        <v>0.44067796610169502</v>
      </c>
      <c r="AO570" t="str">
        <f t="shared" si="177"/>
        <v>Grise</v>
      </c>
      <c r="AP570">
        <f t="shared" si="177"/>
        <v>0</v>
      </c>
      <c r="AQ570">
        <f t="shared" si="177"/>
        <v>0</v>
      </c>
      <c r="AR570" t="str">
        <f t="shared" si="177"/>
        <v>Poirier</v>
      </c>
      <c r="AS570">
        <f t="shared" si="177"/>
        <v>0</v>
      </c>
      <c r="AT570">
        <f t="shared" si="177"/>
        <v>0</v>
      </c>
      <c r="AU570">
        <f t="shared" si="177"/>
        <v>0</v>
      </c>
      <c r="AV570">
        <f t="shared" si="177"/>
        <v>0</v>
      </c>
      <c r="AW570">
        <f t="shared" si="177"/>
        <v>0</v>
      </c>
      <c r="AX570">
        <f t="shared" si="177"/>
        <v>0</v>
      </c>
      <c r="AY570">
        <f t="shared" si="178"/>
        <v>0</v>
      </c>
      <c r="AZ570">
        <f t="shared" si="178"/>
        <v>0</v>
      </c>
      <c r="BA570">
        <f t="shared" si="178"/>
        <v>0</v>
      </c>
      <c r="BB570">
        <f t="shared" si="178"/>
        <v>0</v>
      </c>
      <c r="BC570">
        <f t="shared" si="178"/>
        <v>0</v>
      </c>
      <c r="BD570">
        <f t="shared" si="178"/>
        <v>0</v>
      </c>
      <c r="BE570">
        <f t="shared" si="178"/>
        <v>0</v>
      </c>
      <c r="BF570">
        <f t="shared" si="178"/>
        <v>0</v>
      </c>
      <c r="BG570">
        <f t="shared" si="178"/>
        <v>0</v>
      </c>
      <c r="BH570">
        <f t="shared" si="178"/>
        <v>0</v>
      </c>
      <c r="BI570">
        <f t="shared" si="179"/>
        <v>0</v>
      </c>
      <c r="BJ570">
        <f t="shared" si="179"/>
        <v>0</v>
      </c>
      <c r="BK570">
        <f t="shared" si="179"/>
        <v>0</v>
      </c>
      <c r="BL570">
        <f t="shared" si="179"/>
        <v>0</v>
      </c>
      <c r="BM570">
        <f t="shared" si="179"/>
        <v>0</v>
      </c>
      <c r="BN570">
        <f t="shared" si="179"/>
        <v>0</v>
      </c>
      <c r="BO570">
        <f t="shared" si="179"/>
        <v>0</v>
      </c>
      <c r="BP570">
        <f t="shared" si="179"/>
        <v>0</v>
      </c>
      <c r="BQ570">
        <f t="shared" si="179"/>
        <v>0</v>
      </c>
      <c r="BR570">
        <f t="shared" si="179"/>
        <v>0</v>
      </c>
      <c r="BS570">
        <f t="shared" si="179"/>
        <v>0</v>
      </c>
    </row>
    <row r="571" spans="2:71" ht="15" customHeight="1" x14ac:dyDescent="0.2">
      <c r="B571">
        <v>6</v>
      </c>
      <c r="C571">
        <v>1</v>
      </c>
      <c r="D571">
        <v>9</v>
      </c>
      <c r="E571" t="s">
        <v>448</v>
      </c>
      <c r="F571" t="s">
        <v>214</v>
      </c>
      <c r="G571" s="5">
        <v>44757</v>
      </c>
      <c r="H571" t="s">
        <v>73</v>
      </c>
      <c r="I571" t="s">
        <v>167</v>
      </c>
      <c r="J571" t="s">
        <v>168</v>
      </c>
      <c r="K571">
        <v>9</v>
      </c>
      <c r="L571" t="s">
        <v>90</v>
      </c>
      <c r="M571" t="s">
        <v>169</v>
      </c>
      <c r="N571" t="s">
        <v>123</v>
      </c>
      <c r="O571">
        <v>70.5</v>
      </c>
      <c r="P571">
        <v>134</v>
      </c>
      <c r="Q571">
        <v>6389</v>
      </c>
      <c r="R571" t="s">
        <v>313</v>
      </c>
      <c r="S571" t="s">
        <v>80</v>
      </c>
      <c r="U571" t="s">
        <v>58</v>
      </c>
      <c r="V571" t="s">
        <v>45</v>
      </c>
      <c r="W571" t="s">
        <v>109</v>
      </c>
      <c r="Y571" t="s">
        <v>66</v>
      </c>
      <c r="AA571">
        <v>1</v>
      </c>
      <c r="AB571" t="s">
        <v>32</v>
      </c>
      <c r="AC571" t="s">
        <v>174</v>
      </c>
      <c r="AE571" t="str">
        <f t="shared" si="164"/>
        <v>ConnollyPerkins</v>
      </c>
      <c r="AF571">
        <v>1</v>
      </c>
      <c r="AG571">
        <v>1</v>
      </c>
      <c r="AH571">
        <v>0</v>
      </c>
      <c r="AI571">
        <v>0</v>
      </c>
      <c r="AJ571">
        <v>1</v>
      </c>
      <c r="AK571" t="s">
        <v>50</v>
      </c>
      <c r="AL571">
        <v>0.59523809523809501</v>
      </c>
      <c r="AM571" t="s">
        <v>42</v>
      </c>
      <c r="AN571">
        <v>0.6171875</v>
      </c>
      <c r="AO571">
        <f t="shared" si="177"/>
        <v>0</v>
      </c>
      <c r="AP571">
        <f t="shared" si="177"/>
        <v>0</v>
      </c>
      <c r="AQ571">
        <f t="shared" si="177"/>
        <v>0</v>
      </c>
      <c r="AR571">
        <f t="shared" si="177"/>
        <v>0</v>
      </c>
      <c r="AS571">
        <f t="shared" si="177"/>
        <v>0</v>
      </c>
      <c r="AT571" t="str">
        <f t="shared" si="177"/>
        <v>Connolly</v>
      </c>
      <c r="AU571">
        <f t="shared" si="177"/>
        <v>0</v>
      </c>
      <c r="AV571">
        <f t="shared" si="177"/>
        <v>0</v>
      </c>
      <c r="AW571">
        <f t="shared" si="177"/>
        <v>0</v>
      </c>
      <c r="AX571">
        <f t="shared" si="177"/>
        <v>0</v>
      </c>
      <c r="AY571">
        <f t="shared" si="178"/>
        <v>0</v>
      </c>
      <c r="AZ571">
        <f t="shared" si="178"/>
        <v>0</v>
      </c>
      <c r="BA571">
        <f t="shared" si="178"/>
        <v>0</v>
      </c>
      <c r="BB571">
        <f t="shared" si="178"/>
        <v>0</v>
      </c>
      <c r="BC571">
        <f t="shared" si="178"/>
        <v>0</v>
      </c>
      <c r="BD571">
        <f t="shared" si="178"/>
        <v>0</v>
      </c>
      <c r="BE571">
        <f t="shared" si="178"/>
        <v>0</v>
      </c>
      <c r="BF571">
        <f t="shared" si="178"/>
        <v>0</v>
      </c>
      <c r="BG571">
        <f t="shared" si="178"/>
        <v>0</v>
      </c>
      <c r="BH571">
        <f t="shared" si="178"/>
        <v>0</v>
      </c>
      <c r="BI571">
        <f t="shared" si="179"/>
        <v>0</v>
      </c>
      <c r="BJ571">
        <f t="shared" si="179"/>
        <v>0</v>
      </c>
      <c r="BK571">
        <f t="shared" si="179"/>
        <v>0</v>
      </c>
      <c r="BL571">
        <f t="shared" si="179"/>
        <v>0</v>
      </c>
      <c r="BM571">
        <f t="shared" si="179"/>
        <v>0</v>
      </c>
      <c r="BN571">
        <f t="shared" si="179"/>
        <v>0</v>
      </c>
      <c r="BO571" t="str">
        <f t="shared" si="179"/>
        <v>Perkins</v>
      </c>
      <c r="BP571">
        <f t="shared" si="179"/>
        <v>0</v>
      </c>
      <c r="BQ571">
        <f t="shared" si="179"/>
        <v>0</v>
      </c>
      <c r="BR571">
        <f t="shared" si="179"/>
        <v>0</v>
      </c>
      <c r="BS571">
        <f t="shared" si="179"/>
        <v>0</v>
      </c>
    </row>
    <row r="572" spans="2:71" ht="15" customHeight="1" x14ac:dyDescent="0.2">
      <c r="B572">
        <v>6</v>
      </c>
      <c r="C572">
        <v>1</v>
      </c>
      <c r="D572">
        <v>9</v>
      </c>
      <c r="E572" t="s">
        <v>448</v>
      </c>
      <c r="F572" t="s">
        <v>214</v>
      </c>
      <c r="G572" s="5">
        <v>44757</v>
      </c>
      <c r="H572" t="s">
        <v>73</v>
      </c>
      <c r="I572" t="s">
        <v>167</v>
      </c>
      <c r="J572" t="s">
        <v>168</v>
      </c>
      <c r="K572">
        <v>9</v>
      </c>
      <c r="L572" t="s">
        <v>90</v>
      </c>
      <c r="M572" t="s">
        <v>169</v>
      </c>
      <c r="N572" t="s">
        <v>123</v>
      </c>
      <c r="O572">
        <v>70.5</v>
      </c>
      <c r="P572">
        <v>134</v>
      </c>
      <c r="Q572">
        <v>6389</v>
      </c>
      <c r="R572" t="s">
        <v>313</v>
      </c>
      <c r="S572" t="s">
        <v>80</v>
      </c>
      <c r="U572" t="s">
        <v>60</v>
      </c>
      <c r="V572" t="s">
        <v>50</v>
      </c>
      <c r="W572" t="s">
        <v>109</v>
      </c>
      <c r="Y572" t="s">
        <v>42</v>
      </c>
      <c r="AA572">
        <v>1</v>
      </c>
      <c r="AB572" t="s">
        <v>33</v>
      </c>
      <c r="AC572" t="s">
        <v>174</v>
      </c>
      <c r="AE572" t="str">
        <f t="shared" si="164"/>
        <v>FerrinJackson</v>
      </c>
      <c r="AF572">
        <v>0</v>
      </c>
      <c r="AG572">
        <v>0</v>
      </c>
      <c r="AH572">
        <v>1</v>
      </c>
      <c r="AI572">
        <v>0</v>
      </c>
      <c r="AJ572">
        <v>0</v>
      </c>
      <c r="AK572" t="s">
        <v>45</v>
      </c>
      <c r="AL572">
        <v>0.59375</v>
      </c>
      <c r="AM572" t="s">
        <v>66</v>
      </c>
      <c r="AN572">
        <v>0.63888888888888895</v>
      </c>
      <c r="AO572">
        <f t="shared" ref="AO572:AX581" si="180">IF(OR($V572=AO$1,$Y572=AO$1),AO$1,0)</f>
        <v>0</v>
      </c>
      <c r="AP572">
        <f t="shared" si="180"/>
        <v>0</v>
      </c>
      <c r="AQ572" t="str">
        <f t="shared" si="180"/>
        <v>Jackson</v>
      </c>
      <c r="AR572">
        <f t="shared" si="180"/>
        <v>0</v>
      </c>
      <c r="AS572">
        <f t="shared" si="180"/>
        <v>0</v>
      </c>
      <c r="AT572">
        <f t="shared" si="180"/>
        <v>0</v>
      </c>
      <c r="AU572">
        <f t="shared" si="180"/>
        <v>0</v>
      </c>
      <c r="AV572">
        <f t="shared" si="180"/>
        <v>0</v>
      </c>
      <c r="AW572">
        <f t="shared" si="180"/>
        <v>0</v>
      </c>
      <c r="AX572">
        <f t="shared" si="180"/>
        <v>0</v>
      </c>
      <c r="AY572" t="str">
        <f t="shared" ref="AY572:BH581" si="181">IF(OR($V572=AY$1,$Y572=AY$1),AY$1,0)</f>
        <v>Ferrin</v>
      </c>
      <c r="AZ572">
        <f t="shared" si="181"/>
        <v>0</v>
      </c>
      <c r="BA572">
        <f t="shared" si="181"/>
        <v>0</v>
      </c>
      <c r="BB572">
        <f t="shared" si="181"/>
        <v>0</v>
      </c>
      <c r="BC572">
        <f t="shared" si="181"/>
        <v>0</v>
      </c>
      <c r="BD572">
        <f t="shared" si="181"/>
        <v>0</v>
      </c>
      <c r="BE572">
        <f t="shared" si="181"/>
        <v>0</v>
      </c>
      <c r="BF572">
        <f t="shared" si="181"/>
        <v>0</v>
      </c>
      <c r="BG572">
        <f t="shared" si="181"/>
        <v>0</v>
      </c>
      <c r="BH572">
        <f t="shared" si="181"/>
        <v>0</v>
      </c>
      <c r="BI572">
        <f t="shared" ref="BI572:BS581" si="182">IF(OR($V572=BI$1,$Y572=BI$1),BI$1,0)</f>
        <v>0</v>
      </c>
      <c r="BJ572">
        <f t="shared" si="182"/>
        <v>0</v>
      </c>
      <c r="BK572">
        <f t="shared" si="182"/>
        <v>0</v>
      </c>
      <c r="BL572">
        <f t="shared" si="182"/>
        <v>0</v>
      </c>
      <c r="BM572">
        <f t="shared" si="182"/>
        <v>0</v>
      </c>
      <c r="BN572">
        <f t="shared" si="182"/>
        <v>0</v>
      </c>
      <c r="BO572">
        <f t="shared" si="182"/>
        <v>0</v>
      </c>
      <c r="BP572">
        <f t="shared" si="182"/>
        <v>0</v>
      </c>
      <c r="BQ572">
        <f t="shared" si="182"/>
        <v>0</v>
      </c>
      <c r="BR572">
        <f t="shared" si="182"/>
        <v>0</v>
      </c>
      <c r="BS572">
        <f t="shared" si="182"/>
        <v>0</v>
      </c>
    </row>
    <row r="573" spans="2:71" ht="15" customHeight="1" x14ac:dyDescent="0.2">
      <c r="B573">
        <v>7</v>
      </c>
      <c r="C573">
        <v>2</v>
      </c>
      <c r="D573">
        <v>9</v>
      </c>
      <c r="E573" t="s">
        <v>449</v>
      </c>
      <c r="F573" t="s">
        <v>214</v>
      </c>
      <c r="G573" s="5">
        <v>44757</v>
      </c>
      <c r="H573" t="s">
        <v>73</v>
      </c>
      <c r="I573" t="s">
        <v>167</v>
      </c>
      <c r="J573" t="s">
        <v>168</v>
      </c>
      <c r="K573">
        <v>9</v>
      </c>
      <c r="L573" t="s">
        <v>90</v>
      </c>
      <c r="M573" t="s">
        <v>169</v>
      </c>
      <c r="N573" t="s">
        <v>123</v>
      </c>
      <c r="O573">
        <v>70.5</v>
      </c>
      <c r="P573">
        <v>134</v>
      </c>
      <c r="Q573">
        <v>6389</v>
      </c>
      <c r="R573" t="s">
        <v>313</v>
      </c>
      <c r="S573" t="s">
        <v>80</v>
      </c>
      <c r="U573" t="s">
        <v>60</v>
      </c>
      <c r="V573" t="s">
        <v>67</v>
      </c>
      <c r="W573" t="s">
        <v>109</v>
      </c>
      <c r="Y573" t="s">
        <v>60</v>
      </c>
      <c r="AA573">
        <v>1</v>
      </c>
      <c r="AB573" t="s">
        <v>32</v>
      </c>
      <c r="AC573" t="s">
        <v>174</v>
      </c>
      <c r="AE573" t="str">
        <f t="shared" si="164"/>
        <v>DeoterisZimmer</v>
      </c>
      <c r="AF573">
        <v>1</v>
      </c>
      <c r="AG573">
        <v>1</v>
      </c>
      <c r="AH573">
        <v>0</v>
      </c>
      <c r="AI573">
        <v>0</v>
      </c>
      <c r="AJ573">
        <v>1</v>
      </c>
      <c r="AK573" t="s">
        <v>63</v>
      </c>
      <c r="AL573">
        <v>0.46551724137931</v>
      </c>
      <c r="AM573" t="s">
        <v>49</v>
      </c>
      <c r="AO573">
        <f t="shared" si="180"/>
        <v>0</v>
      </c>
      <c r="AP573">
        <f t="shared" si="180"/>
        <v>0</v>
      </c>
      <c r="AQ573">
        <f t="shared" si="180"/>
        <v>0</v>
      </c>
      <c r="AR573">
        <f t="shared" si="180"/>
        <v>0</v>
      </c>
      <c r="AS573">
        <f t="shared" si="180"/>
        <v>0</v>
      </c>
      <c r="AT573">
        <f t="shared" si="180"/>
        <v>0</v>
      </c>
      <c r="AU573">
        <f t="shared" si="180"/>
        <v>0</v>
      </c>
      <c r="AV573">
        <f t="shared" si="180"/>
        <v>0</v>
      </c>
      <c r="AW573">
        <f t="shared" si="180"/>
        <v>0</v>
      </c>
      <c r="AX573">
        <f t="shared" si="180"/>
        <v>0</v>
      </c>
      <c r="AY573">
        <f t="shared" si="181"/>
        <v>0</v>
      </c>
      <c r="AZ573">
        <f t="shared" si="181"/>
        <v>0</v>
      </c>
      <c r="BA573">
        <f t="shared" si="181"/>
        <v>0</v>
      </c>
      <c r="BB573">
        <f t="shared" si="181"/>
        <v>0</v>
      </c>
      <c r="BC573">
        <f t="shared" si="181"/>
        <v>0</v>
      </c>
      <c r="BD573">
        <f t="shared" si="181"/>
        <v>0</v>
      </c>
      <c r="BE573">
        <f t="shared" si="181"/>
        <v>0</v>
      </c>
      <c r="BF573">
        <f t="shared" si="181"/>
        <v>0</v>
      </c>
      <c r="BG573">
        <f t="shared" si="181"/>
        <v>0</v>
      </c>
      <c r="BH573">
        <f t="shared" si="181"/>
        <v>0</v>
      </c>
      <c r="BI573" t="str">
        <f t="shared" si="182"/>
        <v>Zimmer</v>
      </c>
      <c r="BJ573">
        <f t="shared" si="182"/>
        <v>0</v>
      </c>
      <c r="BK573">
        <f t="shared" si="182"/>
        <v>0</v>
      </c>
      <c r="BL573">
        <f t="shared" si="182"/>
        <v>0</v>
      </c>
      <c r="BM573">
        <f t="shared" si="182"/>
        <v>0</v>
      </c>
      <c r="BN573">
        <f t="shared" si="182"/>
        <v>0</v>
      </c>
      <c r="BO573">
        <f t="shared" si="182"/>
        <v>0</v>
      </c>
      <c r="BP573" t="str">
        <f t="shared" si="182"/>
        <v>Deoteris</v>
      </c>
      <c r="BQ573">
        <f t="shared" si="182"/>
        <v>0</v>
      </c>
      <c r="BR573">
        <f t="shared" si="182"/>
        <v>0</v>
      </c>
      <c r="BS573">
        <f t="shared" si="182"/>
        <v>0</v>
      </c>
    </row>
    <row r="574" spans="2:71" ht="15" customHeight="1" x14ac:dyDescent="0.2">
      <c r="B574">
        <v>7</v>
      </c>
      <c r="C574">
        <v>2</v>
      </c>
      <c r="D574">
        <v>9</v>
      </c>
      <c r="E574" t="s">
        <v>449</v>
      </c>
      <c r="F574" t="s">
        <v>214</v>
      </c>
      <c r="G574" s="5">
        <v>44757</v>
      </c>
      <c r="H574" t="s">
        <v>73</v>
      </c>
      <c r="I574" t="s">
        <v>167</v>
      </c>
      <c r="J574" t="s">
        <v>168</v>
      </c>
      <c r="K574">
        <v>9</v>
      </c>
      <c r="L574" t="s">
        <v>90</v>
      </c>
      <c r="M574" t="s">
        <v>169</v>
      </c>
      <c r="N574" t="s">
        <v>123</v>
      </c>
      <c r="O574">
        <v>70.5</v>
      </c>
      <c r="P574">
        <v>134</v>
      </c>
      <c r="Q574">
        <v>6389</v>
      </c>
      <c r="R574" t="s">
        <v>313</v>
      </c>
      <c r="S574" t="s">
        <v>80</v>
      </c>
      <c r="U574" t="s">
        <v>58</v>
      </c>
      <c r="V574" t="s">
        <v>63</v>
      </c>
      <c r="W574" t="s">
        <v>109</v>
      </c>
      <c r="Y574" t="s">
        <v>49</v>
      </c>
      <c r="AA574">
        <v>1</v>
      </c>
      <c r="AB574" t="s">
        <v>33</v>
      </c>
      <c r="AC574" t="s">
        <v>174</v>
      </c>
      <c r="AE574" t="str">
        <f t="shared" si="164"/>
        <v>DelaneyShively</v>
      </c>
      <c r="AF574">
        <v>0</v>
      </c>
      <c r="AG574">
        <v>0</v>
      </c>
      <c r="AH574">
        <v>1</v>
      </c>
      <c r="AI574">
        <v>0</v>
      </c>
      <c r="AJ574">
        <v>0</v>
      </c>
      <c r="AK574" t="s">
        <v>67</v>
      </c>
      <c r="AL574">
        <v>0.54545454545454497</v>
      </c>
      <c r="AM574" t="s">
        <v>60</v>
      </c>
      <c r="AN574">
        <v>0.5</v>
      </c>
      <c r="AO574">
        <f t="shared" si="180"/>
        <v>0</v>
      </c>
      <c r="AP574">
        <f t="shared" si="180"/>
        <v>0</v>
      </c>
      <c r="AQ574">
        <f t="shared" si="180"/>
        <v>0</v>
      </c>
      <c r="AR574">
        <f t="shared" si="180"/>
        <v>0</v>
      </c>
      <c r="AS574">
        <f t="shared" si="180"/>
        <v>0</v>
      </c>
      <c r="AT574">
        <f t="shared" si="180"/>
        <v>0</v>
      </c>
      <c r="AU574">
        <f t="shared" si="180"/>
        <v>0</v>
      </c>
      <c r="AV574">
        <f t="shared" si="180"/>
        <v>0</v>
      </c>
      <c r="AW574">
        <f t="shared" si="180"/>
        <v>0</v>
      </c>
      <c r="AX574" t="str">
        <f t="shared" si="180"/>
        <v>Shively</v>
      </c>
      <c r="AY574">
        <f t="shared" si="181"/>
        <v>0</v>
      </c>
      <c r="AZ574">
        <f t="shared" si="181"/>
        <v>0</v>
      </c>
      <c r="BA574">
        <f t="shared" si="181"/>
        <v>0</v>
      </c>
      <c r="BB574">
        <f t="shared" si="181"/>
        <v>0</v>
      </c>
      <c r="BC574">
        <f t="shared" si="181"/>
        <v>0</v>
      </c>
      <c r="BD574">
        <f t="shared" si="181"/>
        <v>0</v>
      </c>
      <c r="BE574">
        <f t="shared" si="181"/>
        <v>0</v>
      </c>
      <c r="BF574">
        <f t="shared" si="181"/>
        <v>0</v>
      </c>
      <c r="BG574">
        <f t="shared" si="181"/>
        <v>0</v>
      </c>
      <c r="BH574">
        <f t="shared" si="181"/>
        <v>0</v>
      </c>
      <c r="BI574">
        <f t="shared" si="182"/>
        <v>0</v>
      </c>
      <c r="BJ574">
        <f t="shared" si="182"/>
        <v>0</v>
      </c>
      <c r="BK574">
        <f t="shared" si="182"/>
        <v>0</v>
      </c>
      <c r="BL574" t="str">
        <f t="shared" si="182"/>
        <v>Delaney</v>
      </c>
      <c r="BM574">
        <f t="shared" si="182"/>
        <v>0</v>
      </c>
      <c r="BN574">
        <f t="shared" si="182"/>
        <v>0</v>
      </c>
      <c r="BO574">
        <f t="shared" si="182"/>
        <v>0</v>
      </c>
      <c r="BP574">
        <f t="shared" si="182"/>
        <v>0</v>
      </c>
      <c r="BQ574">
        <f t="shared" si="182"/>
        <v>0</v>
      </c>
      <c r="BR574">
        <f t="shared" si="182"/>
        <v>0</v>
      </c>
      <c r="BS574">
        <f t="shared" si="182"/>
        <v>0</v>
      </c>
    </row>
    <row r="575" spans="2:71" ht="15" customHeight="1" x14ac:dyDescent="0.2">
      <c r="B575">
        <v>8</v>
      </c>
      <c r="C575">
        <v>3</v>
      </c>
      <c r="D575">
        <v>9</v>
      </c>
      <c r="E575" t="s">
        <v>450</v>
      </c>
      <c r="F575" t="s">
        <v>214</v>
      </c>
      <c r="G575" s="5">
        <v>44757</v>
      </c>
      <c r="H575" t="s">
        <v>73</v>
      </c>
      <c r="I575" t="s">
        <v>167</v>
      </c>
      <c r="J575" t="s">
        <v>168</v>
      </c>
      <c r="K575">
        <v>9</v>
      </c>
      <c r="L575" t="s">
        <v>90</v>
      </c>
      <c r="M575" t="s">
        <v>169</v>
      </c>
      <c r="N575" t="s">
        <v>123</v>
      </c>
      <c r="O575">
        <v>70.5</v>
      </c>
      <c r="P575">
        <v>134</v>
      </c>
      <c r="Q575">
        <v>6389</v>
      </c>
      <c r="R575" t="s">
        <v>313</v>
      </c>
      <c r="S575" t="s">
        <v>80</v>
      </c>
      <c r="U575" t="s">
        <v>58</v>
      </c>
      <c r="V575" t="s">
        <v>52</v>
      </c>
      <c r="W575" t="s">
        <v>109</v>
      </c>
      <c r="Y575" t="s">
        <v>61</v>
      </c>
      <c r="AA575">
        <v>1</v>
      </c>
      <c r="AB575" t="s">
        <v>33</v>
      </c>
      <c r="AC575" t="s">
        <v>174</v>
      </c>
      <c r="AE575" t="str">
        <f t="shared" si="164"/>
        <v>ConnorsMcInerney</v>
      </c>
      <c r="AF575">
        <v>0</v>
      </c>
      <c r="AG575">
        <v>0</v>
      </c>
      <c r="AH575">
        <v>1</v>
      </c>
      <c r="AI575">
        <v>0</v>
      </c>
      <c r="AJ575">
        <v>0</v>
      </c>
      <c r="AK575" t="s">
        <v>64</v>
      </c>
      <c r="AL575">
        <v>0.65909090909090895</v>
      </c>
      <c r="AM575" t="s">
        <v>53</v>
      </c>
      <c r="AN575">
        <v>0.59649122807017496</v>
      </c>
      <c r="AO575">
        <f t="shared" si="180"/>
        <v>0</v>
      </c>
      <c r="AP575">
        <f t="shared" si="180"/>
        <v>0</v>
      </c>
      <c r="AQ575">
        <f t="shared" si="180"/>
        <v>0</v>
      </c>
      <c r="AR575">
        <f t="shared" si="180"/>
        <v>0</v>
      </c>
      <c r="AS575">
        <f t="shared" si="180"/>
        <v>0</v>
      </c>
      <c r="AT575">
        <f t="shared" si="180"/>
        <v>0</v>
      </c>
      <c r="AU575">
        <f t="shared" si="180"/>
        <v>0</v>
      </c>
      <c r="AV575">
        <f t="shared" si="180"/>
        <v>0</v>
      </c>
      <c r="AW575">
        <f t="shared" si="180"/>
        <v>0</v>
      </c>
      <c r="AX575">
        <f t="shared" si="180"/>
        <v>0</v>
      </c>
      <c r="AY575">
        <f t="shared" si="181"/>
        <v>0</v>
      </c>
      <c r="AZ575">
        <f t="shared" si="181"/>
        <v>0</v>
      </c>
      <c r="BA575" t="str">
        <f t="shared" si="181"/>
        <v>Connors</v>
      </c>
      <c r="BB575">
        <f t="shared" si="181"/>
        <v>0</v>
      </c>
      <c r="BC575">
        <f t="shared" si="181"/>
        <v>0</v>
      </c>
      <c r="BD575">
        <f t="shared" si="181"/>
        <v>0</v>
      </c>
      <c r="BE575">
        <f t="shared" si="181"/>
        <v>0</v>
      </c>
      <c r="BF575">
        <f t="shared" si="181"/>
        <v>0</v>
      </c>
      <c r="BG575">
        <f t="shared" si="181"/>
        <v>0</v>
      </c>
      <c r="BH575">
        <f t="shared" si="181"/>
        <v>0</v>
      </c>
      <c r="BI575">
        <f t="shared" si="182"/>
        <v>0</v>
      </c>
      <c r="BJ575" t="str">
        <f t="shared" si="182"/>
        <v>McInerney</v>
      </c>
      <c r="BK575">
        <f t="shared" si="182"/>
        <v>0</v>
      </c>
      <c r="BL575">
        <f t="shared" si="182"/>
        <v>0</v>
      </c>
      <c r="BM575">
        <f t="shared" si="182"/>
        <v>0</v>
      </c>
      <c r="BN575">
        <f t="shared" si="182"/>
        <v>0</v>
      </c>
      <c r="BO575">
        <f t="shared" si="182"/>
        <v>0</v>
      </c>
      <c r="BP575">
        <f t="shared" si="182"/>
        <v>0</v>
      </c>
      <c r="BQ575">
        <f t="shared" si="182"/>
        <v>0</v>
      </c>
      <c r="BR575">
        <f t="shared" si="182"/>
        <v>0</v>
      </c>
      <c r="BS575">
        <f t="shared" si="182"/>
        <v>0</v>
      </c>
    </row>
    <row r="576" spans="2:71" ht="15" customHeight="1" x14ac:dyDescent="0.2">
      <c r="B576">
        <v>8</v>
      </c>
      <c r="C576">
        <v>3</v>
      </c>
      <c r="D576">
        <v>9</v>
      </c>
      <c r="E576" t="s">
        <v>450</v>
      </c>
      <c r="F576" t="s">
        <v>214</v>
      </c>
      <c r="G576" s="5">
        <v>44757</v>
      </c>
      <c r="H576" t="s">
        <v>73</v>
      </c>
      <c r="I576" t="s">
        <v>167</v>
      </c>
      <c r="J576" t="s">
        <v>168</v>
      </c>
      <c r="K576">
        <v>9</v>
      </c>
      <c r="L576" t="s">
        <v>90</v>
      </c>
      <c r="M576" t="s">
        <v>169</v>
      </c>
      <c r="N576" t="s">
        <v>123</v>
      </c>
      <c r="O576">
        <v>70.5</v>
      </c>
      <c r="P576">
        <v>134</v>
      </c>
      <c r="Q576">
        <v>6389</v>
      </c>
      <c r="R576" t="s">
        <v>313</v>
      </c>
      <c r="S576" t="s">
        <v>80</v>
      </c>
      <c r="U576" t="s">
        <v>60</v>
      </c>
      <c r="V576" t="s">
        <v>64</v>
      </c>
      <c r="W576" t="s">
        <v>109</v>
      </c>
      <c r="Y576" t="s">
        <v>53</v>
      </c>
      <c r="AA576">
        <v>1</v>
      </c>
      <c r="AB576" t="s">
        <v>32</v>
      </c>
      <c r="AC576" t="s">
        <v>174</v>
      </c>
      <c r="AE576" t="str">
        <f t="shared" si="164"/>
        <v>DelnekyForster</v>
      </c>
      <c r="AF576">
        <v>1</v>
      </c>
      <c r="AG576">
        <v>1</v>
      </c>
      <c r="AH576">
        <v>0</v>
      </c>
      <c r="AI576">
        <v>0</v>
      </c>
      <c r="AJ576">
        <v>1</v>
      </c>
      <c r="AK576" t="s">
        <v>52</v>
      </c>
      <c r="AL576">
        <v>0.34745762711864397</v>
      </c>
      <c r="AM576" t="s">
        <v>61</v>
      </c>
      <c r="AN576">
        <v>0.5</v>
      </c>
      <c r="AO576">
        <f t="shared" si="180"/>
        <v>0</v>
      </c>
      <c r="AP576">
        <f t="shared" si="180"/>
        <v>0</v>
      </c>
      <c r="AQ576">
        <f t="shared" si="180"/>
        <v>0</v>
      </c>
      <c r="AR576">
        <f t="shared" si="180"/>
        <v>0</v>
      </c>
      <c r="AS576">
        <f t="shared" si="180"/>
        <v>0</v>
      </c>
      <c r="AT576">
        <f t="shared" si="180"/>
        <v>0</v>
      </c>
      <c r="AU576">
        <f t="shared" si="180"/>
        <v>0</v>
      </c>
      <c r="AV576">
        <f t="shared" si="180"/>
        <v>0</v>
      </c>
      <c r="AW576">
        <f t="shared" si="180"/>
        <v>0</v>
      </c>
      <c r="AX576">
        <f t="shared" si="180"/>
        <v>0</v>
      </c>
      <c r="AY576">
        <f t="shared" si="181"/>
        <v>0</v>
      </c>
      <c r="AZ576">
        <f t="shared" si="181"/>
        <v>0</v>
      </c>
      <c r="BA576">
        <f t="shared" si="181"/>
        <v>0</v>
      </c>
      <c r="BB576" t="str">
        <f t="shared" si="181"/>
        <v>Forster</v>
      </c>
      <c r="BC576">
        <f t="shared" si="181"/>
        <v>0</v>
      </c>
      <c r="BD576">
        <f t="shared" si="181"/>
        <v>0</v>
      </c>
      <c r="BE576">
        <f t="shared" si="181"/>
        <v>0</v>
      </c>
      <c r="BF576">
        <f t="shared" si="181"/>
        <v>0</v>
      </c>
      <c r="BG576">
        <f t="shared" si="181"/>
        <v>0</v>
      </c>
      <c r="BH576">
        <f t="shared" si="181"/>
        <v>0</v>
      </c>
      <c r="BI576">
        <f t="shared" si="182"/>
        <v>0</v>
      </c>
      <c r="BJ576">
        <f t="shared" si="182"/>
        <v>0</v>
      </c>
      <c r="BK576">
        <f t="shared" si="182"/>
        <v>0</v>
      </c>
      <c r="BL576">
        <f t="shared" si="182"/>
        <v>0</v>
      </c>
      <c r="BM576" t="str">
        <f t="shared" si="182"/>
        <v>Delneky</v>
      </c>
      <c r="BN576">
        <f t="shared" si="182"/>
        <v>0</v>
      </c>
      <c r="BO576">
        <f t="shared" si="182"/>
        <v>0</v>
      </c>
      <c r="BP576">
        <f t="shared" si="182"/>
        <v>0</v>
      </c>
      <c r="BQ576">
        <f t="shared" si="182"/>
        <v>0</v>
      </c>
      <c r="BR576">
        <f t="shared" si="182"/>
        <v>0</v>
      </c>
      <c r="BS576">
        <f t="shared" si="182"/>
        <v>0</v>
      </c>
    </row>
    <row r="577" spans="2:71" ht="15" customHeight="1" x14ac:dyDescent="0.2">
      <c r="B577">
        <v>9</v>
      </c>
      <c r="C577">
        <v>4</v>
      </c>
      <c r="D577">
        <v>9</v>
      </c>
      <c r="E577" t="s">
        <v>451</v>
      </c>
      <c r="F577" t="s">
        <v>214</v>
      </c>
      <c r="G577" s="5">
        <v>44757</v>
      </c>
      <c r="H577" t="s">
        <v>73</v>
      </c>
      <c r="I577" t="s">
        <v>167</v>
      </c>
      <c r="J577" t="s">
        <v>168</v>
      </c>
      <c r="K577">
        <v>9</v>
      </c>
      <c r="L577" t="s">
        <v>90</v>
      </c>
      <c r="M577" t="s">
        <v>169</v>
      </c>
      <c r="N577" t="s">
        <v>123</v>
      </c>
      <c r="O577">
        <v>70.5</v>
      </c>
      <c r="P577">
        <v>134</v>
      </c>
      <c r="Q577">
        <v>6389</v>
      </c>
      <c r="R577" t="s">
        <v>313</v>
      </c>
      <c r="S577" t="s">
        <v>80</v>
      </c>
      <c r="U577" t="s">
        <v>60</v>
      </c>
      <c r="V577" t="s">
        <v>54</v>
      </c>
      <c r="W577" t="s">
        <v>109</v>
      </c>
      <c r="Y577" t="s">
        <v>62</v>
      </c>
      <c r="AA577">
        <v>1</v>
      </c>
      <c r="AB577" t="s">
        <v>33</v>
      </c>
      <c r="AC577" t="s">
        <v>171</v>
      </c>
      <c r="AE577" t="str">
        <f t="shared" si="164"/>
        <v>FoganWelker</v>
      </c>
      <c r="AF577">
        <v>0</v>
      </c>
      <c r="AG577">
        <v>0</v>
      </c>
      <c r="AH577">
        <v>1</v>
      </c>
      <c r="AI577">
        <v>0</v>
      </c>
      <c r="AJ577">
        <v>0</v>
      </c>
      <c r="AK577" t="s">
        <v>41</v>
      </c>
      <c r="AL577">
        <v>0.47321428571428598</v>
      </c>
      <c r="AM577" t="s">
        <v>48</v>
      </c>
      <c r="AN577">
        <v>0.5546875</v>
      </c>
      <c r="AO577">
        <f t="shared" si="180"/>
        <v>0</v>
      </c>
      <c r="AP577">
        <f t="shared" si="180"/>
        <v>0</v>
      </c>
      <c r="AQ577">
        <f t="shared" si="180"/>
        <v>0</v>
      </c>
      <c r="AR577">
        <f t="shared" si="180"/>
        <v>0</v>
      </c>
      <c r="AS577">
        <f t="shared" si="180"/>
        <v>0</v>
      </c>
      <c r="AT577">
        <f t="shared" si="180"/>
        <v>0</v>
      </c>
      <c r="AU577">
        <f t="shared" si="180"/>
        <v>0</v>
      </c>
      <c r="AV577">
        <f t="shared" si="180"/>
        <v>0</v>
      </c>
      <c r="AW577">
        <f t="shared" si="180"/>
        <v>0</v>
      </c>
      <c r="AX577">
        <f t="shared" si="180"/>
        <v>0</v>
      </c>
      <c r="AY577">
        <f t="shared" si="181"/>
        <v>0</v>
      </c>
      <c r="AZ577">
        <f t="shared" si="181"/>
        <v>0</v>
      </c>
      <c r="BA577">
        <f t="shared" si="181"/>
        <v>0</v>
      </c>
      <c r="BB577">
        <f t="shared" si="181"/>
        <v>0</v>
      </c>
      <c r="BC577" t="str">
        <f t="shared" si="181"/>
        <v>Fogan</v>
      </c>
      <c r="BD577">
        <f t="shared" si="181"/>
        <v>0</v>
      </c>
      <c r="BE577">
        <f t="shared" si="181"/>
        <v>0</v>
      </c>
      <c r="BF577">
        <f t="shared" si="181"/>
        <v>0</v>
      </c>
      <c r="BG577">
        <f t="shared" si="181"/>
        <v>0</v>
      </c>
      <c r="BH577">
        <f t="shared" si="181"/>
        <v>0</v>
      </c>
      <c r="BI577">
        <f t="shared" si="182"/>
        <v>0</v>
      </c>
      <c r="BJ577">
        <f t="shared" si="182"/>
        <v>0</v>
      </c>
      <c r="BK577" t="str">
        <f t="shared" si="182"/>
        <v>Welker</v>
      </c>
      <c r="BL577">
        <f t="shared" si="182"/>
        <v>0</v>
      </c>
      <c r="BM577">
        <f t="shared" si="182"/>
        <v>0</v>
      </c>
      <c r="BN577">
        <f t="shared" si="182"/>
        <v>0</v>
      </c>
      <c r="BO577">
        <f t="shared" si="182"/>
        <v>0</v>
      </c>
      <c r="BP577">
        <f t="shared" si="182"/>
        <v>0</v>
      </c>
      <c r="BQ577">
        <f t="shared" si="182"/>
        <v>0</v>
      </c>
      <c r="BR577">
        <f t="shared" si="182"/>
        <v>0</v>
      </c>
      <c r="BS577">
        <f t="shared" si="182"/>
        <v>0</v>
      </c>
    </row>
    <row r="578" spans="2:71" ht="15" customHeight="1" x14ac:dyDescent="0.2">
      <c r="B578">
        <v>9</v>
      </c>
      <c r="C578">
        <v>4</v>
      </c>
      <c r="D578">
        <v>9</v>
      </c>
      <c r="E578" t="s">
        <v>451</v>
      </c>
      <c r="F578" t="s">
        <v>214</v>
      </c>
      <c r="G578" s="5">
        <v>44757</v>
      </c>
      <c r="H578" t="s">
        <v>73</v>
      </c>
      <c r="I578" t="s">
        <v>167</v>
      </c>
      <c r="J578" t="s">
        <v>168</v>
      </c>
      <c r="K578">
        <v>9</v>
      </c>
      <c r="L578" t="s">
        <v>90</v>
      </c>
      <c r="M578" t="s">
        <v>169</v>
      </c>
      <c r="N578" t="s">
        <v>123</v>
      </c>
      <c r="O578">
        <v>70.5</v>
      </c>
      <c r="P578">
        <v>134</v>
      </c>
      <c r="Q578">
        <v>6389</v>
      </c>
      <c r="R578" t="s">
        <v>313</v>
      </c>
      <c r="S578" t="s">
        <v>80</v>
      </c>
      <c r="U578" t="s">
        <v>58</v>
      </c>
      <c r="V578" t="s">
        <v>41</v>
      </c>
      <c r="W578" t="s">
        <v>109</v>
      </c>
      <c r="Y578" t="s">
        <v>48</v>
      </c>
      <c r="AA578">
        <v>1</v>
      </c>
      <c r="AB578" t="s">
        <v>32</v>
      </c>
      <c r="AC578" t="s">
        <v>171</v>
      </c>
      <c r="AE578" t="str">
        <f t="shared" ref="AE578:AE641" si="183">$V578&amp;$Y578</f>
        <v>HiltsLynch</v>
      </c>
      <c r="AF578">
        <v>1</v>
      </c>
      <c r="AG578">
        <v>1</v>
      </c>
      <c r="AH578">
        <v>0</v>
      </c>
      <c r="AI578">
        <v>0</v>
      </c>
      <c r="AJ578">
        <v>1</v>
      </c>
      <c r="AK578" t="s">
        <v>54</v>
      </c>
      <c r="AL578">
        <v>0.37288135593220301</v>
      </c>
      <c r="AM578" t="s">
        <v>62</v>
      </c>
      <c r="AN578">
        <v>0.51041666666666696</v>
      </c>
      <c r="AO578">
        <f t="shared" si="180"/>
        <v>0</v>
      </c>
      <c r="AP578" t="str">
        <f t="shared" si="180"/>
        <v>Hilts</v>
      </c>
      <c r="AQ578">
        <f t="shared" si="180"/>
        <v>0</v>
      </c>
      <c r="AR578">
        <f t="shared" si="180"/>
        <v>0</v>
      </c>
      <c r="AS578">
        <f t="shared" si="180"/>
        <v>0</v>
      </c>
      <c r="AT578">
        <f t="shared" si="180"/>
        <v>0</v>
      </c>
      <c r="AU578">
        <f t="shared" si="180"/>
        <v>0</v>
      </c>
      <c r="AV578">
        <f t="shared" si="180"/>
        <v>0</v>
      </c>
      <c r="AW578" t="str">
        <f t="shared" si="180"/>
        <v>Lynch</v>
      </c>
      <c r="AX578">
        <f t="shared" si="180"/>
        <v>0</v>
      </c>
      <c r="AY578">
        <f t="shared" si="181"/>
        <v>0</v>
      </c>
      <c r="AZ578">
        <f t="shared" si="181"/>
        <v>0</v>
      </c>
      <c r="BA578">
        <f t="shared" si="181"/>
        <v>0</v>
      </c>
      <c r="BB578">
        <f t="shared" si="181"/>
        <v>0</v>
      </c>
      <c r="BC578">
        <f t="shared" si="181"/>
        <v>0</v>
      </c>
      <c r="BD578">
        <f t="shared" si="181"/>
        <v>0</v>
      </c>
      <c r="BE578">
        <f t="shared" si="181"/>
        <v>0</v>
      </c>
      <c r="BF578">
        <f t="shared" si="181"/>
        <v>0</v>
      </c>
      <c r="BG578">
        <f t="shared" si="181"/>
        <v>0</v>
      </c>
      <c r="BH578">
        <f t="shared" si="181"/>
        <v>0</v>
      </c>
      <c r="BI578">
        <f t="shared" si="182"/>
        <v>0</v>
      </c>
      <c r="BJ578">
        <f t="shared" si="182"/>
        <v>0</v>
      </c>
      <c r="BK578">
        <f t="shared" si="182"/>
        <v>0</v>
      </c>
      <c r="BL578">
        <f t="shared" si="182"/>
        <v>0</v>
      </c>
      <c r="BM578">
        <f t="shared" si="182"/>
        <v>0</v>
      </c>
      <c r="BN578">
        <f t="shared" si="182"/>
        <v>0</v>
      </c>
      <c r="BO578">
        <f t="shared" si="182"/>
        <v>0</v>
      </c>
      <c r="BP578">
        <f t="shared" si="182"/>
        <v>0</v>
      </c>
      <c r="BQ578">
        <f t="shared" si="182"/>
        <v>0</v>
      </c>
      <c r="BR578">
        <f t="shared" si="182"/>
        <v>0</v>
      </c>
      <c r="BS578">
        <f t="shared" si="182"/>
        <v>0</v>
      </c>
    </row>
    <row r="579" spans="2:71" ht="15" customHeight="1" x14ac:dyDescent="0.2">
      <c r="B579">
        <v>10</v>
      </c>
      <c r="C579">
        <v>5</v>
      </c>
      <c r="D579">
        <v>9</v>
      </c>
      <c r="E579" t="s">
        <v>452</v>
      </c>
      <c r="F579" t="s">
        <v>214</v>
      </c>
      <c r="G579" s="5">
        <v>44757</v>
      </c>
      <c r="H579" t="s">
        <v>73</v>
      </c>
      <c r="I579" t="s">
        <v>167</v>
      </c>
      <c r="J579" t="s">
        <v>168</v>
      </c>
      <c r="K579">
        <v>9</v>
      </c>
      <c r="L579" t="s">
        <v>90</v>
      </c>
      <c r="M579" t="s">
        <v>169</v>
      </c>
      <c r="N579" t="s">
        <v>123</v>
      </c>
      <c r="O579">
        <v>70.5</v>
      </c>
      <c r="P579">
        <v>134</v>
      </c>
      <c r="Q579">
        <v>6389</v>
      </c>
      <c r="R579" t="s">
        <v>313</v>
      </c>
      <c r="S579" t="s">
        <v>80</v>
      </c>
      <c r="U579" t="s">
        <v>58</v>
      </c>
      <c r="V579" t="s">
        <v>44</v>
      </c>
      <c r="W579" t="s">
        <v>109</v>
      </c>
      <c r="Y579" t="s">
        <v>55</v>
      </c>
      <c r="AA579">
        <v>1</v>
      </c>
      <c r="AB579" t="s">
        <v>32</v>
      </c>
      <c r="AC579" t="s">
        <v>184</v>
      </c>
      <c r="AE579" t="str">
        <f t="shared" si="183"/>
        <v>FlandersCole</v>
      </c>
      <c r="AF579">
        <v>1</v>
      </c>
      <c r="AG579">
        <v>1</v>
      </c>
      <c r="AH579">
        <v>0</v>
      </c>
      <c r="AI579">
        <v>0</v>
      </c>
      <c r="AJ579">
        <v>1</v>
      </c>
      <c r="AK579" t="s">
        <v>40</v>
      </c>
      <c r="AL579">
        <v>0.546875</v>
      </c>
      <c r="AM579" t="s">
        <v>43</v>
      </c>
      <c r="AN579">
        <v>0.48611111111111099</v>
      </c>
      <c r="AO579">
        <f t="shared" si="180"/>
        <v>0</v>
      </c>
      <c r="AP579">
        <f t="shared" si="180"/>
        <v>0</v>
      </c>
      <c r="AQ579">
        <f t="shared" si="180"/>
        <v>0</v>
      </c>
      <c r="AR579">
        <f t="shared" si="180"/>
        <v>0</v>
      </c>
      <c r="AS579" t="str">
        <f t="shared" si="180"/>
        <v>Flanders</v>
      </c>
      <c r="AT579">
        <f t="shared" si="180"/>
        <v>0</v>
      </c>
      <c r="AU579">
        <f t="shared" si="180"/>
        <v>0</v>
      </c>
      <c r="AV579">
        <f t="shared" si="180"/>
        <v>0</v>
      </c>
      <c r="AW579">
        <f t="shared" si="180"/>
        <v>0</v>
      </c>
      <c r="AX579">
        <f t="shared" si="180"/>
        <v>0</v>
      </c>
      <c r="AY579">
        <f t="shared" si="181"/>
        <v>0</v>
      </c>
      <c r="AZ579">
        <f t="shared" si="181"/>
        <v>0</v>
      </c>
      <c r="BA579">
        <f t="shared" si="181"/>
        <v>0</v>
      </c>
      <c r="BB579">
        <f t="shared" si="181"/>
        <v>0</v>
      </c>
      <c r="BC579">
        <f t="shared" si="181"/>
        <v>0</v>
      </c>
      <c r="BD579" t="str">
        <f t="shared" si="181"/>
        <v>Cole</v>
      </c>
      <c r="BE579">
        <f t="shared" si="181"/>
        <v>0</v>
      </c>
      <c r="BF579">
        <f t="shared" si="181"/>
        <v>0</v>
      </c>
      <c r="BG579">
        <f t="shared" si="181"/>
        <v>0</v>
      </c>
      <c r="BH579">
        <f t="shared" si="181"/>
        <v>0</v>
      </c>
      <c r="BI579">
        <f t="shared" si="182"/>
        <v>0</v>
      </c>
      <c r="BJ579">
        <f t="shared" si="182"/>
        <v>0</v>
      </c>
      <c r="BK579">
        <f t="shared" si="182"/>
        <v>0</v>
      </c>
      <c r="BL579">
        <f t="shared" si="182"/>
        <v>0</v>
      </c>
      <c r="BM579">
        <f t="shared" si="182"/>
        <v>0</v>
      </c>
      <c r="BN579">
        <f t="shared" si="182"/>
        <v>0</v>
      </c>
      <c r="BO579">
        <f t="shared" si="182"/>
        <v>0</v>
      </c>
      <c r="BP579">
        <f t="shared" si="182"/>
        <v>0</v>
      </c>
      <c r="BQ579">
        <f t="shared" si="182"/>
        <v>0</v>
      </c>
      <c r="BR579">
        <f t="shared" si="182"/>
        <v>0</v>
      </c>
      <c r="BS579">
        <f t="shared" si="182"/>
        <v>0</v>
      </c>
    </row>
    <row r="580" spans="2:71" ht="15" customHeight="1" x14ac:dyDescent="0.2">
      <c r="B580">
        <v>10</v>
      </c>
      <c r="C580">
        <v>5</v>
      </c>
      <c r="D580">
        <v>9</v>
      </c>
      <c r="E580" t="s">
        <v>452</v>
      </c>
      <c r="F580" t="s">
        <v>214</v>
      </c>
      <c r="G580" s="5">
        <v>44757</v>
      </c>
      <c r="H580" t="s">
        <v>73</v>
      </c>
      <c r="I580" t="s">
        <v>167</v>
      </c>
      <c r="J580" t="s">
        <v>168</v>
      </c>
      <c r="K580">
        <v>9</v>
      </c>
      <c r="L580" t="s">
        <v>90</v>
      </c>
      <c r="M580" t="s">
        <v>169</v>
      </c>
      <c r="N580" t="s">
        <v>123</v>
      </c>
      <c r="O580">
        <v>70.5</v>
      </c>
      <c r="P580">
        <v>134</v>
      </c>
      <c r="Q580">
        <v>6389</v>
      </c>
      <c r="R580" t="s">
        <v>313</v>
      </c>
      <c r="S580" t="s">
        <v>80</v>
      </c>
      <c r="U580" t="s">
        <v>60</v>
      </c>
      <c r="V580" t="s">
        <v>40</v>
      </c>
      <c r="W580" t="s">
        <v>109</v>
      </c>
      <c r="Y580" t="s">
        <v>43</v>
      </c>
      <c r="AA580">
        <v>1</v>
      </c>
      <c r="AB580" t="s">
        <v>33</v>
      </c>
      <c r="AC580" t="s">
        <v>184</v>
      </c>
      <c r="AE580" t="str">
        <f t="shared" si="183"/>
        <v>GrisePoirier</v>
      </c>
      <c r="AF580">
        <v>0</v>
      </c>
      <c r="AG580">
        <v>0</v>
      </c>
      <c r="AH580">
        <v>1</v>
      </c>
      <c r="AI580">
        <v>0</v>
      </c>
      <c r="AJ580">
        <v>0</v>
      </c>
      <c r="AK580" t="s">
        <v>44</v>
      </c>
      <c r="AL580">
        <v>0.4296875</v>
      </c>
      <c r="AM580" t="s">
        <v>55</v>
      </c>
      <c r="AN580">
        <v>0.44067796610169502</v>
      </c>
      <c r="AO580" t="str">
        <f t="shared" si="180"/>
        <v>Grise</v>
      </c>
      <c r="AP580">
        <f t="shared" si="180"/>
        <v>0</v>
      </c>
      <c r="AQ580">
        <f t="shared" si="180"/>
        <v>0</v>
      </c>
      <c r="AR580" t="str">
        <f t="shared" si="180"/>
        <v>Poirier</v>
      </c>
      <c r="AS580">
        <f t="shared" si="180"/>
        <v>0</v>
      </c>
      <c r="AT580">
        <f t="shared" si="180"/>
        <v>0</v>
      </c>
      <c r="AU580">
        <f t="shared" si="180"/>
        <v>0</v>
      </c>
      <c r="AV580">
        <f t="shared" si="180"/>
        <v>0</v>
      </c>
      <c r="AW580">
        <f t="shared" si="180"/>
        <v>0</v>
      </c>
      <c r="AX580">
        <f t="shared" si="180"/>
        <v>0</v>
      </c>
      <c r="AY580">
        <f t="shared" si="181"/>
        <v>0</v>
      </c>
      <c r="AZ580">
        <f t="shared" si="181"/>
        <v>0</v>
      </c>
      <c r="BA580">
        <f t="shared" si="181"/>
        <v>0</v>
      </c>
      <c r="BB580">
        <f t="shared" si="181"/>
        <v>0</v>
      </c>
      <c r="BC580">
        <f t="shared" si="181"/>
        <v>0</v>
      </c>
      <c r="BD580">
        <f t="shared" si="181"/>
        <v>0</v>
      </c>
      <c r="BE580">
        <f t="shared" si="181"/>
        <v>0</v>
      </c>
      <c r="BF580">
        <f t="shared" si="181"/>
        <v>0</v>
      </c>
      <c r="BG580">
        <f t="shared" si="181"/>
        <v>0</v>
      </c>
      <c r="BH580">
        <f t="shared" si="181"/>
        <v>0</v>
      </c>
      <c r="BI580">
        <f t="shared" si="182"/>
        <v>0</v>
      </c>
      <c r="BJ580">
        <f t="shared" si="182"/>
        <v>0</v>
      </c>
      <c r="BK580">
        <f t="shared" si="182"/>
        <v>0</v>
      </c>
      <c r="BL580">
        <f t="shared" si="182"/>
        <v>0</v>
      </c>
      <c r="BM580">
        <f t="shared" si="182"/>
        <v>0</v>
      </c>
      <c r="BN580">
        <f t="shared" si="182"/>
        <v>0</v>
      </c>
      <c r="BO580">
        <f t="shared" si="182"/>
        <v>0</v>
      </c>
      <c r="BP580">
        <f t="shared" si="182"/>
        <v>0</v>
      </c>
      <c r="BQ580">
        <f t="shared" si="182"/>
        <v>0</v>
      </c>
      <c r="BR580">
        <f t="shared" si="182"/>
        <v>0</v>
      </c>
      <c r="BS580">
        <f t="shared" si="182"/>
        <v>0</v>
      </c>
    </row>
    <row r="581" spans="2:71" ht="15" customHeight="1" x14ac:dyDescent="0.2">
      <c r="B581">
        <v>11</v>
      </c>
      <c r="C581">
        <v>1</v>
      </c>
      <c r="D581">
        <v>9</v>
      </c>
      <c r="E581" t="s">
        <v>453</v>
      </c>
      <c r="F581" t="s">
        <v>214</v>
      </c>
      <c r="G581" s="5">
        <v>44757</v>
      </c>
      <c r="H581" t="s">
        <v>97</v>
      </c>
      <c r="I581" t="s">
        <v>167</v>
      </c>
      <c r="J581" t="s">
        <v>168</v>
      </c>
      <c r="K581">
        <v>9</v>
      </c>
      <c r="L581" t="s">
        <v>76</v>
      </c>
      <c r="M581" t="s">
        <v>169</v>
      </c>
      <c r="N581" t="s">
        <v>123</v>
      </c>
      <c r="O581">
        <v>70.5</v>
      </c>
      <c r="P581">
        <v>134</v>
      </c>
      <c r="Q581">
        <v>6389</v>
      </c>
      <c r="R581" t="s">
        <v>98</v>
      </c>
      <c r="S581" t="s">
        <v>80</v>
      </c>
      <c r="U581" t="s">
        <v>58</v>
      </c>
      <c r="V581" t="s">
        <v>61</v>
      </c>
      <c r="W581" t="s">
        <v>109</v>
      </c>
      <c r="Y581" t="s">
        <v>66</v>
      </c>
      <c r="AA581">
        <v>1</v>
      </c>
      <c r="AB581" t="s">
        <v>32</v>
      </c>
      <c r="AC581" t="s">
        <v>184</v>
      </c>
      <c r="AE581" t="str">
        <f t="shared" si="183"/>
        <v>McInerneyPerkins</v>
      </c>
      <c r="AF581">
        <v>1</v>
      </c>
      <c r="AG581">
        <v>1</v>
      </c>
      <c r="AH581">
        <v>0</v>
      </c>
      <c r="AI581">
        <v>0</v>
      </c>
      <c r="AJ581">
        <v>1</v>
      </c>
      <c r="AK581" t="s">
        <v>50</v>
      </c>
      <c r="AL581">
        <v>0.59523809523809501</v>
      </c>
      <c r="AM581" t="s">
        <v>60</v>
      </c>
      <c r="AN581">
        <v>0.5</v>
      </c>
      <c r="AO581">
        <f t="shared" si="180"/>
        <v>0</v>
      </c>
      <c r="AP581">
        <f t="shared" si="180"/>
        <v>0</v>
      </c>
      <c r="AQ581">
        <f t="shared" si="180"/>
        <v>0</v>
      </c>
      <c r="AR581">
        <f t="shared" si="180"/>
        <v>0</v>
      </c>
      <c r="AS581">
        <f t="shared" si="180"/>
        <v>0</v>
      </c>
      <c r="AT581">
        <f t="shared" si="180"/>
        <v>0</v>
      </c>
      <c r="AU581">
        <f t="shared" si="180"/>
        <v>0</v>
      </c>
      <c r="AV581">
        <f t="shared" si="180"/>
        <v>0</v>
      </c>
      <c r="AW581">
        <f t="shared" si="180"/>
        <v>0</v>
      </c>
      <c r="AX581">
        <f t="shared" si="180"/>
        <v>0</v>
      </c>
      <c r="AY581">
        <f t="shared" si="181"/>
        <v>0</v>
      </c>
      <c r="AZ581">
        <f t="shared" si="181"/>
        <v>0</v>
      </c>
      <c r="BA581">
        <f t="shared" si="181"/>
        <v>0</v>
      </c>
      <c r="BB581">
        <f t="shared" si="181"/>
        <v>0</v>
      </c>
      <c r="BC581">
        <f t="shared" si="181"/>
        <v>0</v>
      </c>
      <c r="BD581">
        <f t="shared" si="181"/>
        <v>0</v>
      </c>
      <c r="BE581">
        <f t="shared" si="181"/>
        <v>0</v>
      </c>
      <c r="BF581">
        <f t="shared" si="181"/>
        <v>0</v>
      </c>
      <c r="BG581">
        <f t="shared" si="181"/>
        <v>0</v>
      </c>
      <c r="BH581">
        <f t="shared" si="181"/>
        <v>0</v>
      </c>
      <c r="BI581">
        <f t="shared" si="182"/>
        <v>0</v>
      </c>
      <c r="BJ581" t="str">
        <f t="shared" si="182"/>
        <v>McInerney</v>
      </c>
      <c r="BK581">
        <f t="shared" si="182"/>
        <v>0</v>
      </c>
      <c r="BL581">
        <f t="shared" si="182"/>
        <v>0</v>
      </c>
      <c r="BM581">
        <f t="shared" si="182"/>
        <v>0</v>
      </c>
      <c r="BN581">
        <f t="shared" si="182"/>
        <v>0</v>
      </c>
      <c r="BO581" t="str">
        <f t="shared" si="182"/>
        <v>Perkins</v>
      </c>
      <c r="BP581">
        <f t="shared" si="182"/>
        <v>0</v>
      </c>
      <c r="BQ581">
        <f t="shared" si="182"/>
        <v>0</v>
      </c>
      <c r="BR581">
        <f t="shared" si="182"/>
        <v>0</v>
      </c>
      <c r="BS581">
        <f t="shared" si="182"/>
        <v>0</v>
      </c>
    </row>
    <row r="582" spans="2:71" ht="15" customHeight="1" x14ac:dyDescent="0.2">
      <c r="B582">
        <v>11</v>
      </c>
      <c r="C582">
        <v>1</v>
      </c>
      <c r="D582">
        <v>9</v>
      </c>
      <c r="E582" t="s">
        <v>453</v>
      </c>
      <c r="F582" t="s">
        <v>214</v>
      </c>
      <c r="G582" s="5">
        <v>44757</v>
      </c>
      <c r="H582" t="s">
        <v>97</v>
      </c>
      <c r="I582" t="s">
        <v>167</v>
      </c>
      <c r="J582" t="s">
        <v>168</v>
      </c>
      <c r="K582">
        <v>9</v>
      </c>
      <c r="L582" t="s">
        <v>76</v>
      </c>
      <c r="M582" t="s">
        <v>169</v>
      </c>
      <c r="N582" t="s">
        <v>123</v>
      </c>
      <c r="O582">
        <v>70.5</v>
      </c>
      <c r="P582">
        <v>134</v>
      </c>
      <c r="Q582">
        <v>6389</v>
      </c>
      <c r="R582" t="s">
        <v>98</v>
      </c>
      <c r="S582" t="s">
        <v>80</v>
      </c>
      <c r="U582" t="s">
        <v>60</v>
      </c>
      <c r="V582" t="s">
        <v>50</v>
      </c>
      <c r="W582" t="s">
        <v>109</v>
      </c>
      <c r="Y582" t="s">
        <v>60</v>
      </c>
      <c r="AA582">
        <v>1</v>
      </c>
      <c r="AB582" t="s">
        <v>33</v>
      </c>
      <c r="AC582" t="s">
        <v>184</v>
      </c>
      <c r="AE582" t="str">
        <f t="shared" si="183"/>
        <v>FerrinZimmer</v>
      </c>
      <c r="AF582">
        <v>0</v>
      </c>
      <c r="AG582">
        <v>0</v>
      </c>
      <c r="AH582">
        <v>1</v>
      </c>
      <c r="AI582">
        <v>0</v>
      </c>
      <c r="AJ582">
        <v>0</v>
      </c>
      <c r="AK582" t="s">
        <v>61</v>
      </c>
      <c r="AL582">
        <v>0.5</v>
      </c>
      <c r="AM582" t="s">
        <v>66</v>
      </c>
      <c r="AN582">
        <v>0.63888888888888895</v>
      </c>
      <c r="AO582">
        <f t="shared" ref="AO582:AX591" si="184">IF(OR($V582=AO$1,$Y582=AO$1),AO$1,0)</f>
        <v>0</v>
      </c>
      <c r="AP582">
        <f t="shared" si="184"/>
        <v>0</v>
      </c>
      <c r="AQ582">
        <f t="shared" si="184"/>
        <v>0</v>
      </c>
      <c r="AR582">
        <f t="shared" si="184"/>
        <v>0</v>
      </c>
      <c r="AS582">
        <f t="shared" si="184"/>
        <v>0</v>
      </c>
      <c r="AT582">
        <f t="shared" si="184"/>
        <v>0</v>
      </c>
      <c r="AU582">
        <f t="shared" si="184"/>
        <v>0</v>
      </c>
      <c r="AV582">
        <f t="shared" si="184"/>
        <v>0</v>
      </c>
      <c r="AW582">
        <f t="shared" si="184"/>
        <v>0</v>
      </c>
      <c r="AX582">
        <f t="shared" si="184"/>
        <v>0</v>
      </c>
      <c r="AY582" t="str">
        <f t="shared" ref="AY582:BH591" si="185">IF(OR($V582=AY$1,$Y582=AY$1),AY$1,0)</f>
        <v>Ferrin</v>
      </c>
      <c r="AZ582">
        <f t="shared" si="185"/>
        <v>0</v>
      </c>
      <c r="BA582">
        <f t="shared" si="185"/>
        <v>0</v>
      </c>
      <c r="BB582">
        <f t="shared" si="185"/>
        <v>0</v>
      </c>
      <c r="BC582">
        <f t="shared" si="185"/>
        <v>0</v>
      </c>
      <c r="BD582">
        <f t="shared" si="185"/>
        <v>0</v>
      </c>
      <c r="BE582">
        <f t="shared" si="185"/>
        <v>0</v>
      </c>
      <c r="BF582">
        <f t="shared" si="185"/>
        <v>0</v>
      </c>
      <c r="BG582">
        <f t="shared" si="185"/>
        <v>0</v>
      </c>
      <c r="BH582">
        <f t="shared" si="185"/>
        <v>0</v>
      </c>
      <c r="BI582" t="str">
        <f t="shared" ref="BI582:BS591" si="186">IF(OR($V582=BI$1,$Y582=BI$1),BI$1,0)</f>
        <v>Zimmer</v>
      </c>
      <c r="BJ582">
        <f t="shared" si="186"/>
        <v>0</v>
      </c>
      <c r="BK582">
        <f t="shared" si="186"/>
        <v>0</v>
      </c>
      <c r="BL582">
        <f t="shared" si="186"/>
        <v>0</v>
      </c>
      <c r="BM582">
        <f t="shared" si="186"/>
        <v>0</v>
      </c>
      <c r="BN582">
        <f t="shared" si="186"/>
        <v>0</v>
      </c>
      <c r="BO582">
        <f t="shared" si="186"/>
        <v>0</v>
      </c>
      <c r="BP582">
        <f t="shared" si="186"/>
        <v>0</v>
      </c>
      <c r="BQ582">
        <f t="shared" si="186"/>
        <v>0</v>
      </c>
      <c r="BR582">
        <f t="shared" si="186"/>
        <v>0</v>
      </c>
      <c r="BS582">
        <f t="shared" si="186"/>
        <v>0</v>
      </c>
    </row>
    <row r="583" spans="2:71" ht="15" customHeight="1" x14ac:dyDescent="0.2">
      <c r="B583">
        <v>12</v>
      </c>
      <c r="C583">
        <v>2</v>
      </c>
      <c r="D583">
        <v>9</v>
      </c>
      <c r="E583" t="s">
        <v>454</v>
      </c>
      <c r="F583" t="s">
        <v>214</v>
      </c>
      <c r="G583" s="5">
        <v>44757</v>
      </c>
      <c r="H583" t="s">
        <v>97</v>
      </c>
      <c r="I583" t="s">
        <v>167</v>
      </c>
      <c r="J583" t="s">
        <v>168</v>
      </c>
      <c r="K583">
        <v>9</v>
      </c>
      <c r="L583" t="s">
        <v>76</v>
      </c>
      <c r="M583" t="s">
        <v>169</v>
      </c>
      <c r="N583" t="s">
        <v>123</v>
      </c>
      <c r="O583">
        <v>70.5</v>
      </c>
      <c r="P583">
        <v>134</v>
      </c>
      <c r="Q583">
        <v>6389</v>
      </c>
      <c r="R583" t="s">
        <v>98</v>
      </c>
      <c r="S583" t="s">
        <v>80</v>
      </c>
      <c r="U583" t="s">
        <v>60</v>
      </c>
      <c r="V583" t="s">
        <v>53</v>
      </c>
      <c r="W583" t="s">
        <v>109</v>
      </c>
      <c r="Y583" t="s">
        <v>43</v>
      </c>
      <c r="AA583">
        <v>1</v>
      </c>
      <c r="AB583" t="s">
        <v>32</v>
      </c>
      <c r="AC583" t="s">
        <v>184</v>
      </c>
      <c r="AE583" t="str">
        <f t="shared" si="183"/>
        <v>ForsterPoirier</v>
      </c>
      <c r="AF583">
        <v>1</v>
      </c>
      <c r="AG583">
        <v>1</v>
      </c>
      <c r="AH583">
        <v>0</v>
      </c>
      <c r="AI583">
        <v>0</v>
      </c>
      <c r="AJ583">
        <v>1</v>
      </c>
      <c r="AK583" t="s">
        <v>63</v>
      </c>
      <c r="AL583">
        <v>0.46551724137931</v>
      </c>
      <c r="AM583" t="s">
        <v>44</v>
      </c>
      <c r="AN583">
        <v>0.4296875</v>
      </c>
      <c r="AO583">
        <f t="shared" si="184"/>
        <v>0</v>
      </c>
      <c r="AP583">
        <f t="shared" si="184"/>
        <v>0</v>
      </c>
      <c r="AQ583">
        <f t="shared" si="184"/>
        <v>0</v>
      </c>
      <c r="AR583" t="str">
        <f t="shared" si="184"/>
        <v>Poirier</v>
      </c>
      <c r="AS583">
        <f t="shared" si="184"/>
        <v>0</v>
      </c>
      <c r="AT583">
        <f t="shared" si="184"/>
        <v>0</v>
      </c>
      <c r="AU583">
        <f t="shared" si="184"/>
        <v>0</v>
      </c>
      <c r="AV583">
        <f t="shared" si="184"/>
        <v>0</v>
      </c>
      <c r="AW583">
        <f t="shared" si="184"/>
        <v>0</v>
      </c>
      <c r="AX583">
        <f t="shared" si="184"/>
        <v>0</v>
      </c>
      <c r="AY583">
        <f t="shared" si="185"/>
        <v>0</v>
      </c>
      <c r="AZ583">
        <f t="shared" si="185"/>
        <v>0</v>
      </c>
      <c r="BA583">
        <f t="shared" si="185"/>
        <v>0</v>
      </c>
      <c r="BB583" t="str">
        <f t="shared" si="185"/>
        <v>Forster</v>
      </c>
      <c r="BC583">
        <f t="shared" si="185"/>
        <v>0</v>
      </c>
      <c r="BD583">
        <f t="shared" si="185"/>
        <v>0</v>
      </c>
      <c r="BE583">
        <f t="shared" si="185"/>
        <v>0</v>
      </c>
      <c r="BF583">
        <f t="shared" si="185"/>
        <v>0</v>
      </c>
      <c r="BG583">
        <f t="shared" si="185"/>
        <v>0</v>
      </c>
      <c r="BH583">
        <f t="shared" si="185"/>
        <v>0</v>
      </c>
      <c r="BI583">
        <f t="shared" si="186"/>
        <v>0</v>
      </c>
      <c r="BJ583">
        <f t="shared" si="186"/>
        <v>0</v>
      </c>
      <c r="BK583">
        <f t="shared" si="186"/>
        <v>0</v>
      </c>
      <c r="BL583">
        <f t="shared" si="186"/>
        <v>0</v>
      </c>
      <c r="BM583">
        <f t="shared" si="186"/>
        <v>0</v>
      </c>
      <c r="BN583">
        <f t="shared" si="186"/>
        <v>0</v>
      </c>
      <c r="BO583">
        <f t="shared" si="186"/>
        <v>0</v>
      </c>
      <c r="BP583">
        <f t="shared" si="186"/>
        <v>0</v>
      </c>
      <c r="BQ583">
        <f t="shared" si="186"/>
        <v>0</v>
      </c>
      <c r="BR583">
        <f t="shared" si="186"/>
        <v>0</v>
      </c>
      <c r="BS583">
        <f t="shared" si="186"/>
        <v>0</v>
      </c>
    </row>
    <row r="584" spans="2:71" ht="15" customHeight="1" x14ac:dyDescent="0.2">
      <c r="B584">
        <v>12</v>
      </c>
      <c r="C584">
        <v>2</v>
      </c>
      <c r="D584">
        <v>9</v>
      </c>
      <c r="E584" t="s">
        <v>454</v>
      </c>
      <c r="F584" t="s">
        <v>214</v>
      </c>
      <c r="G584" s="5">
        <v>44757</v>
      </c>
      <c r="H584" t="s">
        <v>97</v>
      </c>
      <c r="I584" t="s">
        <v>167</v>
      </c>
      <c r="J584" t="s">
        <v>168</v>
      </c>
      <c r="K584">
        <v>9</v>
      </c>
      <c r="L584" t="s">
        <v>76</v>
      </c>
      <c r="M584" t="s">
        <v>169</v>
      </c>
      <c r="N584" t="s">
        <v>123</v>
      </c>
      <c r="O584">
        <v>70.5</v>
      </c>
      <c r="P584">
        <v>134</v>
      </c>
      <c r="Q584">
        <v>6389</v>
      </c>
      <c r="R584" t="s">
        <v>98</v>
      </c>
      <c r="S584" t="s">
        <v>80</v>
      </c>
      <c r="U584" t="s">
        <v>58</v>
      </c>
      <c r="V584" t="s">
        <v>63</v>
      </c>
      <c r="W584" t="s">
        <v>109</v>
      </c>
      <c r="Y584" t="s">
        <v>44</v>
      </c>
      <c r="AA584">
        <v>1</v>
      </c>
      <c r="AB584" t="s">
        <v>33</v>
      </c>
      <c r="AC584" t="s">
        <v>184</v>
      </c>
      <c r="AE584" t="str">
        <f t="shared" si="183"/>
        <v>DelaneyFlanders</v>
      </c>
      <c r="AF584">
        <v>0</v>
      </c>
      <c r="AG584">
        <v>0</v>
      </c>
      <c r="AH584">
        <v>1</v>
      </c>
      <c r="AI584">
        <v>0</v>
      </c>
      <c r="AJ584">
        <v>0</v>
      </c>
      <c r="AK584" t="s">
        <v>53</v>
      </c>
      <c r="AL584">
        <v>0.59649122807017496</v>
      </c>
      <c r="AM584" t="s">
        <v>43</v>
      </c>
      <c r="AN584">
        <v>0.48611111111111099</v>
      </c>
      <c r="AO584">
        <f t="shared" si="184"/>
        <v>0</v>
      </c>
      <c r="AP584">
        <f t="shared" si="184"/>
        <v>0</v>
      </c>
      <c r="AQ584">
        <f t="shared" si="184"/>
        <v>0</v>
      </c>
      <c r="AR584">
        <f t="shared" si="184"/>
        <v>0</v>
      </c>
      <c r="AS584" t="str">
        <f t="shared" si="184"/>
        <v>Flanders</v>
      </c>
      <c r="AT584">
        <f t="shared" si="184"/>
        <v>0</v>
      </c>
      <c r="AU584">
        <f t="shared" si="184"/>
        <v>0</v>
      </c>
      <c r="AV584">
        <f t="shared" si="184"/>
        <v>0</v>
      </c>
      <c r="AW584">
        <f t="shared" si="184"/>
        <v>0</v>
      </c>
      <c r="AX584">
        <f t="shared" si="184"/>
        <v>0</v>
      </c>
      <c r="AY584">
        <f t="shared" si="185"/>
        <v>0</v>
      </c>
      <c r="AZ584">
        <f t="shared" si="185"/>
        <v>0</v>
      </c>
      <c r="BA584">
        <f t="shared" si="185"/>
        <v>0</v>
      </c>
      <c r="BB584">
        <f t="shared" si="185"/>
        <v>0</v>
      </c>
      <c r="BC584">
        <f t="shared" si="185"/>
        <v>0</v>
      </c>
      <c r="BD584">
        <f t="shared" si="185"/>
        <v>0</v>
      </c>
      <c r="BE584">
        <f t="shared" si="185"/>
        <v>0</v>
      </c>
      <c r="BF584">
        <f t="shared" si="185"/>
        <v>0</v>
      </c>
      <c r="BG584">
        <f t="shared" si="185"/>
        <v>0</v>
      </c>
      <c r="BH584">
        <f t="shared" si="185"/>
        <v>0</v>
      </c>
      <c r="BI584">
        <f t="shared" si="186"/>
        <v>0</v>
      </c>
      <c r="BJ584">
        <f t="shared" si="186"/>
        <v>0</v>
      </c>
      <c r="BK584">
        <f t="shared" si="186"/>
        <v>0</v>
      </c>
      <c r="BL584" t="str">
        <f t="shared" si="186"/>
        <v>Delaney</v>
      </c>
      <c r="BM584">
        <f t="shared" si="186"/>
        <v>0</v>
      </c>
      <c r="BN584">
        <f t="shared" si="186"/>
        <v>0</v>
      </c>
      <c r="BO584">
        <f t="shared" si="186"/>
        <v>0</v>
      </c>
      <c r="BP584">
        <f t="shared" si="186"/>
        <v>0</v>
      </c>
      <c r="BQ584">
        <f t="shared" si="186"/>
        <v>0</v>
      </c>
      <c r="BR584">
        <f t="shared" si="186"/>
        <v>0</v>
      </c>
      <c r="BS584">
        <f t="shared" si="186"/>
        <v>0</v>
      </c>
    </row>
    <row r="585" spans="2:71" ht="15" customHeight="1" x14ac:dyDescent="0.2">
      <c r="B585">
        <v>13</v>
      </c>
      <c r="C585">
        <v>3</v>
      </c>
      <c r="D585">
        <v>9</v>
      </c>
      <c r="E585" t="s">
        <v>455</v>
      </c>
      <c r="F585" t="s">
        <v>214</v>
      </c>
      <c r="G585" s="5">
        <v>44757</v>
      </c>
      <c r="H585" t="s">
        <v>97</v>
      </c>
      <c r="I585" t="s">
        <v>167</v>
      </c>
      <c r="J585" t="s">
        <v>168</v>
      </c>
      <c r="K585">
        <v>9</v>
      </c>
      <c r="L585" t="s">
        <v>76</v>
      </c>
      <c r="M585" t="s">
        <v>169</v>
      </c>
      <c r="N585" t="s">
        <v>123</v>
      </c>
      <c r="O585">
        <v>70.5</v>
      </c>
      <c r="P585">
        <v>134</v>
      </c>
      <c r="Q585">
        <v>6389</v>
      </c>
      <c r="R585" t="s">
        <v>98</v>
      </c>
      <c r="S585" t="s">
        <v>80</v>
      </c>
      <c r="U585" t="s">
        <v>58</v>
      </c>
      <c r="V585" t="s">
        <v>55</v>
      </c>
      <c r="W585" t="s">
        <v>109</v>
      </c>
      <c r="Y585" t="s">
        <v>48</v>
      </c>
      <c r="AA585">
        <v>1</v>
      </c>
      <c r="AB585" t="s">
        <v>34</v>
      </c>
      <c r="AC585" t="s">
        <v>92</v>
      </c>
      <c r="AE585" t="str">
        <f t="shared" si="183"/>
        <v>ColeLynch</v>
      </c>
      <c r="AF585">
        <v>0.5</v>
      </c>
      <c r="AG585">
        <v>0</v>
      </c>
      <c r="AH585">
        <v>0</v>
      </c>
      <c r="AI585">
        <v>1</v>
      </c>
      <c r="AJ585">
        <v>0.5</v>
      </c>
      <c r="AK585" t="s">
        <v>42</v>
      </c>
      <c r="AL585">
        <v>0.6171875</v>
      </c>
      <c r="AM585" t="s">
        <v>62</v>
      </c>
      <c r="AN585">
        <v>0.51041666666666696</v>
      </c>
      <c r="AO585">
        <f t="shared" si="184"/>
        <v>0</v>
      </c>
      <c r="AP585">
        <f t="shared" si="184"/>
        <v>0</v>
      </c>
      <c r="AQ585">
        <f t="shared" si="184"/>
        <v>0</v>
      </c>
      <c r="AR585">
        <f t="shared" si="184"/>
        <v>0</v>
      </c>
      <c r="AS585">
        <f t="shared" si="184"/>
        <v>0</v>
      </c>
      <c r="AT585">
        <f t="shared" si="184"/>
        <v>0</v>
      </c>
      <c r="AU585">
        <f t="shared" si="184"/>
        <v>0</v>
      </c>
      <c r="AV585">
        <f t="shared" si="184"/>
        <v>0</v>
      </c>
      <c r="AW585" t="str">
        <f t="shared" si="184"/>
        <v>Lynch</v>
      </c>
      <c r="AX585">
        <f t="shared" si="184"/>
        <v>0</v>
      </c>
      <c r="AY585">
        <f t="shared" si="185"/>
        <v>0</v>
      </c>
      <c r="AZ585">
        <f t="shared" si="185"/>
        <v>0</v>
      </c>
      <c r="BA585">
        <f t="shared" si="185"/>
        <v>0</v>
      </c>
      <c r="BB585">
        <f t="shared" si="185"/>
        <v>0</v>
      </c>
      <c r="BC585">
        <f t="shared" si="185"/>
        <v>0</v>
      </c>
      <c r="BD585" t="str">
        <f t="shared" si="185"/>
        <v>Cole</v>
      </c>
      <c r="BE585">
        <f t="shared" si="185"/>
        <v>0</v>
      </c>
      <c r="BF585">
        <f t="shared" si="185"/>
        <v>0</v>
      </c>
      <c r="BG585">
        <f t="shared" si="185"/>
        <v>0</v>
      </c>
      <c r="BH585">
        <f t="shared" si="185"/>
        <v>0</v>
      </c>
      <c r="BI585">
        <f t="shared" si="186"/>
        <v>0</v>
      </c>
      <c r="BJ585">
        <f t="shared" si="186"/>
        <v>0</v>
      </c>
      <c r="BK585">
        <f t="shared" si="186"/>
        <v>0</v>
      </c>
      <c r="BL585">
        <f t="shared" si="186"/>
        <v>0</v>
      </c>
      <c r="BM585">
        <f t="shared" si="186"/>
        <v>0</v>
      </c>
      <c r="BN585">
        <f t="shared" si="186"/>
        <v>0</v>
      </c>
      <c r="BO585">
        <f t="shared" si="186"/>
        <v>0</v>
      </c>
      <c r="BP585">
        <f t="shared" si="186"/>
        <v>0</v>
      </c>
      <c r="BQ585">
        <f t="shared" si="186"/>
        <v>0</v>
      </c>
      <c r="BR585">
        <f t="shared" si="186"/>
        <v>0</v>
      </c>
      <c r="BS585">
        <f t="shared" si="186"/>
        <v>0</v>
      </c>
    </row>
    <row r="586" spans="2:71" ht="15" customHeight="1" x14ac:dyDescent="0.2">
      <c r="B586">
        <v>13</v>
      </c>
      <c r="C586">
        <v>3</v>
      </c>
      <c r="D586">
        <v>9</v>
      </c>
      <c r="E586" t="s">
        <v>455</v>
      </c>
      <c r="F586" t="s">
        <v>214</v>
      </c>
      <c r="G586" s="5">
        <v>44757</v>
      </c>
      <c r="H586" t="s">
        <v>97</v>
      </c>
      <c r="I586" t="s">
        <v>167</v>
      </c>
      <c r="J586" t="s">
        <v>168</v>
      </c>
      <c r="K586">
        <v>9</v>
      </c>
      <c r="L586" t="s">
        <v>76</v>
      </c>
      <c r="M586" t="s">
        <v>169</v>
      </c>
      <c r="N586" t="s">
        <v>123</v>
      </c>
      <c r="O586">
        <v>70.5</v>
      </c>
      <c r="P586">
        <v>134</v>
      </c>
      <c r="Q586">
        <v>6389</v>
      </c>
      <c r="R586" t="s">
        <v>98</v>
      </c>
      <c r="S586" t="s">
        <v>80</v>
      </c>
      <c r="U586" t="s">
        <v>60</v>
      </c>
      <c r="V586" t="s">
        <v>42</v>
      </c>
      <c r="W586" t="s">
        <v>109</v>
      </c>
      <c r="Y586" t="s">
        <v>62</v>
      </c>
      <c r="AA586">
        <v>1</v>
      </c>
      <c r="AB586" t="s">
        <v>34</v>
      </c>
      <c r="AC586" t="s">
        <v>92</v>
      </c>
      <c r="AE586" t="str">
        <f t="shared" si="183"/>
        <v>JacksonWelker</v>
      </c>
      <c r="AF586">
        <v>0.5</v>
      </c>
      <c r="AG586">
        <v>0</v>
      </c>
      <c r="AH586">
        <v>0</v>
      </c>
      <c r="AI586">
        <v>1</v>
      </c>
      <c r="AJ586">
        <v>0.5</v>
      </c>
      <c r="AK586" t="s">
        <v>55</v>
      </c>
      <c r="AL586">
        <v>0.44067796610169502</v>
      </c>
      <c r="AM586" t="s">
        <v>48</v>
      </c>
      <c r="AN586">
        <v>0.5546875</v>
      </c>
      <c r="AO586">
        <f t="shared" si="184"/>
        <v>0</v>
      </c>
      <c r="AP586">
        <f t="shared" si="184"/>
        <v>0</v>
      </c>
      <c r="AQ586" t="str">
        <f t="shared" si="184"/>
        <v>Jackson</v>
      </c>
      <c r="AR586">
        <f t="shared" si="184"/>
        <v>0</v>
      </c>
      <c r="AS586">
        <f t="shared" si="184"/>
        <v>0</v>
      </c>
      <c r="AT586">
        <f t="shared" si="184"/>
        <v>0</v>
      </c>
      <c r="AU586">
        <f t="shared" si="184"/>
        <v>0</v>
      </c>
      <c r="AV586">
        <f t="shared" si="184"/>
        <v>0</v>
      </c>
      <c r="AW586">
        <f t="shared" si="184"/>
        <v>0</v>
      </c>
      <c r="AX586">
        <f t="shared" si="184"/>
        <v>0</v>
      </c>
      <c r="AY586">
        <f t="shared" si="185"/>
        <v>0</v>
      </c>
      <c r="AZ586">
        <f t="shared" si="185"/>
        <v>0</v>
      </c>
      <c r="BA586">
        <f t="shared" si="185"/>
        <v>0</v>
      </c>
      <c r="BB586">
        <f t="shared" si="185"/>
        <v>0</v>
      </c>
      <c r="BC586">
        <f t="shared" si="185"/>
        <v>0</v>
      </c>
      <c r="BD586">
        <f t="shared" si="185"/>
        <v>0</v>
      </c>
      <c r="BE586">
        <f t="shared" si="185"/>
        <v>0</v>
      </c>
      <c r="BF586">
        <f t="shared" si="185"/>
        <v>0</v>
      </c>
      <c r="BG586">
        <f t="shared" si="185"/>
        <v>0</v>
      </c>
      <c r="BH586">
        <f t="shared" si="185"/>
        <v>0</v>
      </c>
      <c r="BI586">
        <f t="shared" si="186"/>
        <v>0</v>
      </c>
      <c r="BJ586">
        <f t="shared" si="186"/>
        <v>0</v>
      </c>
      <c r="BK586" t="str">
        <f t="shared" si="186"/>
        <v>Welker</v>
      </c>
      <c r="BL586">
        <f t="shared" si="186"/>
        <v>0</v>
      </c>
      <c r="BM586">
        <f t="shared" si="186"/>
        <v>0</v>
      </c>
      <c r="BN586">
        <f t="shared" si="186"/>
        <v>0</v>
      </c>
      <c r="BO586">
        <f t="shared" si="186"/>
        <v>0</v>
      </c>
      <c r="BP586">
        <f t="shared" si="186"/>
        <v>0</v>
      </c>
      <c r="BQ586">
        <f t="shared" si="186"/>
        <v>0</v>
      </c>
      <c r="BR586">
        <f t="shared" si="186"/>
        <v>0</v>
      </c>
      <c r="BS586">
        <f t="shared" si="186"/>
        <v>0</v>
      </c>
    </row>
    <row r="587" spans="2:71" ht="15" customHeight="1" x14ac:dyDescent="0.2">
      <c r="B587">
        <v>14</v>
      </c>
      <c r="C587">
        <v>4</v>
      </c>
      <c r="D587">
        <v>9</v>
      </c>
      <c r="E587" t="s">
        <v>456</v>
      </c>
      <c r="F587" t="s">
        <v>214</v>
      </c>
      <c r="G587" s="5">
        <v>44757</v>
      </c>
      <c r="H587" t="s">
        <v>97</v>
      </c>
      <c r="I587" t="s">
        <v>167</v>
      </c>
      <c r="J587" t="s">
        <v>168</v>
      </c>
      <c r="K587">
        <v>9</v>
      </c>
      <c r="L587" t="s">
        <v>76</v>
      </c>
      <c r="M587" t="s">
        <v>169</v>
      </c>
      <c r="N587" t="s">
        <v>123</v>
      </c>
      <c r="O587">
        <v>70.5</v>
      </c>
      <c r="P587">
        <v>134</v>
      </c>
      <c r="Q587">
        <v>6389</v>
      </c>
      <c r="R587" t="s">
        <v>98</v>
      </c>
      <c r="S587" t="s">
        <v>80</v>
      </c>
      <c r="U587" t="s">
        <v>60</v>
      </c>
      <c r="V587" t="s">
        <v>67</v>
      </c>
      <c r="W587" t="s">
        <v>109</v>
      </c>
      <c r="Y587" t="s">
        <v>40</v>
      </c>
      <c r="AA587">
        <v>1</v>
      </c>
      <c r="AB587" t="s">
        <v>34</v>
      </c>
      <c r="AC587" t="s">
        <v>92</v>
      </c>
      <c r="AE587" t="str">
        <f t="shared" si="183"/>
        <v>DeoterisGrise</v>
      </c>
      <c r="AF587">
        <v>0.5</v>
      </c>
      <c r="AG587">
        <v>0</v>
      </c>
      <c r="AH587">
        <v>0</v>
      </c>
      <c r="AI587">
        <v>1</v>
      </c>
      <c r="AJ587">
        <v>0.5</v>
      </c>
      <c r="AK587" t="s">
        <v>45</v>
      </c>
      <c r="AL587">
        <v>0.59375</v>
      </c>
      <c r="AM587" t="s">
        <v>41</v>
      </c>
      <c r="AN587">
        <v>0.47321428571428598</v>
      </c>
      <c r="AO587" t="str">
        <f t="shared" si="184"/>
        <v>Grise</v>
      </c>
      <c r="AP587">
        <f t="shared" si="184"/>
        <v>0</v>
      </c>
      <c r="AQ587">
        <f t="shared" si="184"/>
        <v>0</v>
      </c>
      <c r="AR587">
        <f t="shared" si="184"/>
        <v>0</v>
      </c>
      <c r="AS587">
        <f t="shared" si="184"/>
        <v>0</v>
      </c>
      <c r="AT587">
        <f t="shared" si="184"/>
        <v>0</v>
      </c>
      <c r="AU587">
        <f t="shared" si="184"/>
        <v>0</v>
      </c>
      <c r="AV587">
        <f t="shared" si="184"/>
        <v>0</v>
      </c>
      <c r="AW587">
        <f t="shared" si="184"/>
        <v>0</v>
      </c>
      <c r="AX587">
        <f t="shared" si="184"/>
        <v>0</v>
      </c>
      <c r="AY587">
        <f t="shared" si="185"/>
        <v>0</v>
      </c>
      <c r="AZ587">
        <f t="shared" si="185"/>
        <v>0</v>
      </c>
      <c r="BA587">
        <f t="shared" si="185"/>
        <v>0</v>
      </c>
      <c r="BB587">
        <f t="shared" si="185"/>
        <v>0</v>
      </c>
      <c r="BC587">
        <f t="shared" si="185"/>
        <v>0</v>
      </c>
      <c r="BD587">
        <f t="shared" si="185"/>
        <v>0</v>
      </c>
      <c r="BE587">
        <f t="shared" si="185"/>
        <v>0</v>
      </c>
      <c r="BF587">
        <f t="shared" si="185"/>
        <v>0</v>
      </c>
      <c r="BG587">
        <f t="shared" si="185"/>
        <v>0</v>
      </c>
      <c r="BH587">
        <f t="shared" si="185"/>
        <v>0</v>
      </c>
      <c r="BI587">
        <f t="shared" si="186"/>
        <v>0</v>
      </c>
      <c r="BJ587">
        <f t="shared" si="186"/>
        <v>0</v>
      </c>
      <c r="BK587">
        <f t="shared" si="186"/>
        <v>0</v>
      </c>
      <c r="BL587">
        <f t="shared" si="186"/>
        <v>0</v>
      </c>
      <c r="BM587">
        <f t="shared" si="186"/>
        <v>0</v>
      </c>
      <c r="BN587">
        <f t="shared" si="186"/>
        <v>0</v>
      </c>
      <c r="BO587">
        <f t="shared" si="186"/>
        <v>0</v>
      </c>
      <c r="BP587" t="str">
        <f t="shared" si="186"/>
        <v>Deoteris</v>
      </c>
      <c r="BQ587">
        <f t="shared" si="186"/>
        <v>0</v>
      </c>
      <c r="BR587">
        <f t="shared" si="186"/>
        <v>0</v>
      </c>
      <c r="BS587">
        <f t="shared" si="186"/>
        <v>0</v>
      </c>
    </row>
    <row r="588" spans="2:71" ht="15" customHeight="1" x14ac:dyDescent="0.2">
      <c r="B588">
        <v>14</v>
      </c>
      <c r="C588">
        <v>4</v>
      </c>
      <c r="D588">
        <v>9</v>
      </c>
      <c r="E588" t="s">
        <v>456</v>
      </c>
      <c r="F588" t="s">
        <v>214</v>
      </c>
      <c r="G588" s="5">
        <v>44757</v>
      </c>
      <c r="H588" t="s">
        <v>97</v>
      </c>
      <c r="I588" t="s">
        <v>167</v>
      </c>
      <c r="J588" t="s">
        <v>168</v>
      </c>
      <c r="K588">
        <v>9</v>
      </c>
      <c r="L588" t="s">
        <v>76</v>
      </c>
      <c r="M588" t="s">
        <v>169</v>
      </c>
      <c r="N588" t="s">
        <v>123</v>
      </c>
      <c r="O588">
        <v>70.5</v>
      </c>
      <c r="P588">
        <v>134</v>
      </c>
      <c r="Q588">
        <v>6389</v>
      </c>
      <c r="R588" t="s">
        <v>98</v>
      </c>
      <c r="S588" t="s">
        <v>80</v>
      </c>
      <c r="U588" t="s">
        <v>58</v>
      </c>
      <c r="V588" t="s">
        <v>45</v>
      </c>
      <c r="W588" t="s">
        <v>109</v>
      </c>
      <c r="Y588" t="s">
        <v>41</v>
      </c>
      <c r="AA588">
        <v>1</v>
      </c>
      <c r="AB588" t="s">
        <v>34</v>
      </c>
      <c r="AC588" t="s">
        <v>92</v>
      </c>
      <c r="AE588" t="str">
        <f t="shared" si="183"/>
        <v>ConnollyHilts</v>
      </c>
      <c r="AF588">
        <v>0.5</v>
      </c>
      <c r="AG588">
        <v>0</v>
      </c>
      <c r="AH588">
        <v>0</v>
      </c>
      <c r="AI588">
        <v>1</v>
      </c>
      <c r="AJ588">
        <v>0.5</v>
      </c>
      <c r="AK588" t="s">
        <v>67</v>
      </c>
      <c r="AL588">
        <v>0.54545454545454497</v>
      </c>
      <c r="AM588" t="s">
        <v>40</v>
      </c>
      <c r="AN588">
        <v>0.546875</v>
      </c>
      <c r="AO588">
        <f t="shared" si="184"/>
        <v>0</v>
      </c>
      <c r="AP588" t="str">
        <f t="shared" si="184"/>
        <v>Hilts</v>
      </c>
      <c r="AQ588">
        <f t="shared" si="184"/>
        <v>0</v>
      </c>
      <c r="AR588">
        <f t="shared" si="184"/>
        <v>0</v>
      </c>
      <c r="AS588">
        <f t="shared" si="184"/>
        <v>0</v>
      </c>
      <c r="AT588" t="str">
        <f t="shared" si="184"/>
        <v>Connolly</v>
      </c>
      <c r="AU588">
        <f t="shared" si="184"/>
        <v>0</v>
      </c>
      <c r="AV588">
        <f t="shared" si="184"/>
        <v>0</v>
      </c>
      <c r="AW588">
        <f t="shared" si="184"/>
        <v>0</v>
      </c>
      <c r="AX588">
        <f t="shared" si="184"/>
        <v>0</v>
      </c>
      <c r="AY588">
        <f t="shared" si="185"/>
        <v>0</v>
      </c>
      <c r="AZ588">
        <f t="shared" si="185"/>
        <v>0</v>
      </c>
      <c r="BA588">
        <f t="shared" si="185"/>
        <v>0</v>
      </c>
      <c r="BB588">
        <f t="shared" si="185"/>
        <v>0</v>
      </c>
      <c r="BC588">
        <f t="shared" si="185"/>
        <v>0</v>
      </c>
      <c r="BD588">
        <f t="shared" si="185"/>
        <v>0</v>
      </c>
      <c r="BE588">
        <f t="shared" si="185"/>
        <v>0</v>
      </c>
      <c r="BF588">
        <f t="shared" si="185"/>
        <v>0</v>
      </c>
      <c r="BG588">
        <f t="shared" si="185"/>
        <v>0</v>
      </c>
      <c r="BH588">
        <f t="shared" si="185"/>
        <v>0</v>
      </c>
      <c r="BI588">
        <f t="shared" si="186"/>
        <v>0</v>
      </c>
      <c r="BJ588">
        <f t="shared" si="186"/>
        <v>0</v>
      </c>
      <c r="BK588">
        <f t="shared" si="186"/>
        <v>0</v>
      </c>
      <c r="BL588">
        <f t="shared" si="186"/>
        <v>0</v>
      </c>
      <c r="BM588">
        <f t="shared" si="186"/>
        <v>0</v>
      </c>
      <c r="BN588">
        <f t="shared" si="186"/>
        <v>0</v>
      </c>
      <c r="BO588">
        <f t="shared" si="186"/>
        <v>0</v>
      </c>
      <c r="BP588">
        <f t="shared" si="186"/>
        <v>0</v>
      </c>
      <c r="BQ588">
        <f t="shared" si="186"/>
        <v>0</v>
      </c>
      <c r="BR588">
        <f t="shared" si="186"/>
        <v>0</v>
      </c>
      <c r="BS588">
        <f t="shared" si="186"/>
        <v>0</v>
      </c>
    </row>
    <row r="589" spans="2:71" ht="15" customHeight="1" x14ac:dyDescent="0.2">
      <c r="B589">
        <v>15</v>
      </c>
      <c r="C589">
        <v>5</v>
      </c>
      <c r="D589">
        <v>9</v>
      </c>
      <c r="E589" t="s">
        <v>457</v>
      </c>
      <c r="F589" t="s">
        <v>214</v>
      </c>
      <c r="G589" s="5">
        <v>44757</v>
      </c>
      <c r="H589" t="s">
        <v>97</v>
      </c>
      <c r="I589" t="s">
        <v>167</v>
      </c>
      <c r="J589" t="s">
        <v>168</v>
      </c>
      <c r="K589">
        <v>9</v>
      </c>
      <c r="L589" t="s">
        <v>76</v>
      </c>
      <c r="M589" t="s">
        <v>169</v>
      </c>
      <c r="N589" t="s">
        <v>123</v>
      </c>
      <c r="O589">
        <v>70.5</v>
      </c>
      <c r="P589">
        <v>134</v>
      </c>
      <c r="Q589">
        <v>6389</v>
      </c>
      <c r="R589" t="s">
        <v>98</v>
      </c>
      <c r="S589" t="s">
        <v>80</v>
      </c>
      <c r="U589" t="s">
        <v>58</v>
      </c>
      <c r="V589" t="s">
        <v>52</v>
      </c>
      <c r="W589" t="s">
        <v>109</v>
      </c>
      <c r="Y589" t="s">
        <v>49</v>
      </c>
      <c r="AA589">
        <v>1</v>
      </c>
      <c r="AB589" t="s">
        <v>33</v>
      </c>
      <c r="AC589" t="s">
        <v>202</v>
      </c>
      <c r="AE589" t="str">
        <f t="shared" si="183"/>
        <v>ConnorsShively</v>
      </c>
      <c r="AF589">
        <v>0</v>
      </c>
      <c r="AG589">
        <v>0</v>
      </c>
      <c r="AH589">
        <v>1</v>
      </c>
      <c r="AI589">
        <v>0</v>
      </c>
      <c r="AJ589">
        <v>0</v>
      </c>
      <c r="AK589" t="s">
        <v>64</v>
      </c>
      <c r="AL589">
        <v>0.65909090909090895</v>
      </c>
      <c r="AM589" t="s">
        <v>54</v>
      </c>
      <c r="AN589">
        <v>0.37288135593220301</v>
      </c>
      <c r="AO589">
        <f t="shared" si="184"/>
        <v>0</v>
      </c>
      <c r="AP589">
        <f t="shared" si="184"/>
        <v>0</v>
      </c>
      <c r="AQ589">
        <f t="shared" si="184"/>
        <v>0</v>
      </c>
      <c r="AR589">
        <f t="shared" si="184"/>
        <v>0</v>
      </c>
      <c r="AS589">
        <f t="shared" si="184"/>
        <v>0</v>
      </c>
      <c r="AT589">
        <f t="shared" si="184"/>
        <v>0</v>
      </c>
      <c r="AU589">
        <f t="shared" si="184"/>
        <v>0</v>
      </c>
      <c r="AV589">
        <f t="shared" si="184"/>
        <v>0</v>
      </c>
      <c r="AW589">
        <f t="shared" si="184"/>
        <v>0</v>
      </c>
      <c r="AX589" t="str">
        <f t="shared" si="184"/>
        <v>Shively</v>
      </c>
      <c r="AY589">
        <f t="shared" si="185"/>
        <v>0</v>
      </c>
      <c r="AZ589">
        <f t="shared" si="185"/>
        <v>0</v>
      </c>
      <c r="BA589" t="str">
        <f t="shared" si="185"/>
        <v>Connors</v>
      </c>
      <c r="BB589">
        <f t="shared" si="185"/>
        <v>0</v>
      </c>
      <c r="BC589">
        <f t="shared" si="185"/>
        <v>0</v>
      </c>
      <c r="BD589">
        <f t="shared" si="185"/>
        <v>0</v>
      </c>
      <c r="BE589">
        <f t="shared" si="185"/>
        <v>0</v>
      </c>
      <c r="BF589">
        <f t="shared" si="185"/>
        <v>0</v>
      </c>
      <c r="BG589">
        <f t="shared" si="185"/>
        <v>0</v>
      </c>
      <c r="BH589">
        <f t="shared" si="185"/>
        <v>0</v>
      </c>
      <c r="BI589">
        <f t="shared" si="186"/>
        <v>0</v>
      </c>
      <c r="BJ589">
        <f t="shared" si="186"/>
        <v>0</v>
      </c>
      <c r="BK589">
        <f t="shared" si="186"/>
        <v>0</v>
      </c>
      <c r="BL589">
        <f t="shared" si="186"/>
        <v>0</v>
      </c>
      <c r="BM589">
        <f t="shared" si="186"/>
        <v>0</v>
      </c>
      <c r="BN589">
        <f t="shared" si="186"/>
        <v>0</v>
      </c>
      <c r="BO589">
        <f t="shared" si="186"/>
        <v>0</v>
      </c>
      <c r="BP589">
        <f t="shared" si="186"/>
        <v>0</v>
      </c>
      <c r="BQ589">
        <f t="shared" si="186"/>
        <v>0</v>
      </c>
      <c r="BR589">
        <f t="shared" si="186"/>
        <v>0</v>
      </c>
      <c r="BS589">
        <f t="shared" si="186"/>
        <v>0</v>
      </c>
    </row>
    <row r="590" spans="2:71" ht="15" customHeight="1" x14ac:dyDescent="0.2">
      <c r="B590">
        <v>15</v>
      </c>
      <c r="C590">
        <v>5</v>
      </c>
      <c r="D590">
        <v>9</v>
      </c>
      <c r="E590" t="s">
        <v>457</v>
      </c>
      <c r="F590" t="s">
        <v>214</v>
      </c>
      <c r="G590" s="5">
        <v>44757</v>
      </c>
      <c r="H590" t="s">
        <v>97</v>
      </c>
      <c r="I590" t="s">
        <v>167</v>
      </c>
      <c r="J590" t="s">
        <v>168</v>
      </c>
      <c r="K590">
        <v>9</v>
      </c>
      <c r="L590" t="s">
        <v>76</v>
      </c>
      <c r="M590" t="s">
        <v>169</v>
      </c>
      <c r="N590" t="s">
        <v>123</v>
      </c>
      <c r="O590">
        <v>70.5</v>
      </c>
      <c r="P590">
        <v>134</v>
      </c>
      <c r="Q590">
        <v>6389</v>
      </c>
      <c r="R590" t="s">
        <v>98</v>
      </c>
      <c r="S590" t="s">
        <v>80</v>
      </c>
      <c r="U590" t="s">
        <v>60</v>
      </c>
      <c r="V590" t="s">
        <v>64</v>
      </c>
      <c r="W590" t="s">
        <v>109</v>
      </c>
      <c r="Y590" t="s">
        <v>54</v>
      </c>
      <c r="AA590">
        <v>1</v>
      </c>
      <c r="AB590" t="s">
        <v>32</v>
      </c>
      <c r="AC590" t="s">
        <v>202</v>
      </c>
      <c r="AE590" t="str">
        <f t="shared" si="183"/>
        <v>DelnekyFogan</v>
      </c>
      <c r="AF590">
        <v>1</v>
      </c>
      <c r="AG590">
        <v>1</v>
      </c>
      <c r="AH590">
        <v>0</v>
      </c>
      <c r="AI590">
        <v>0</v>
      </c>
      <c r="AJ590">
        <v>1</v>
      </c>
      <c r="AK590" t="s">
        <v>52</v>
      </c>
      <c r="AL590">
        <v>0.34745762711864397</v>
      </c>
      <c r="AM590" t="s">
        <v>49</v>
      </c>
      <c r="AO590">
        <f t="shared" si="184"/>
        <v>0</v>
      </c>
      <c r="AP590">
        <f t="shared" si="184"/>
        <v>0</v>
      </c>
      <c r="AQ590">
        <f t="shared" si="184"/>
        <v>0</v>
      </c>
      <c r="AR590">
        <f t="shared" si="184"/>
        <v>0</v>
      </c>
      <c r="AS590">
        <f t="shared" si="184"/>
        <v>0</v>
      </c>
      <c r="AT590">
        <f t="shared" si="184"/>
        <v>0</v>
      </c>
      <c r="AU590">
        <f t="shared" si="184"/>
        <v>0</v>
      </c>
      <c r="AV590">
        <f t="shared" si="184"/>
        <v>0</v>
      </c>
      <c r="AW590">
        <f t="shared" si="184"/>
        <v>0</v>
      </c>
      <c r="AX590">
        <f t="shared" si="184"/>
        <v>0</v>
      </c>
      <c r="AY590">
        <f t="shared" si="185"/>
        <v>0</v>
      </c>
      <c r="AZ590">
        <f t="shared" si="185"/>
        <v>0</v>
      </c>
      <c r="BA590">
        <f t="shared" si="185"/>
        <v>0</v>
      </c>
      <c r="BB590">
        <f t="shared" si="185"/>
        <v>0</v>
      </c>
      <c r="BC590" t="str">
        <f t="shared" si="185"/>
        <v>Fogan</v>
      </c>
      <c r="BD590">
        <f t="shared" si="185"/>
        <v>0</v>
      </c>
      <c r="BE590">
        <f t="shared" si="185"/>
        <v>0</v>
      </c>
      <c r="BF590">
        <f t="shared" si="185"/>
        <v>0</v>
      </c>
      <c r="BG590">
        <f t="shared" si="185"/>
        <v>0</v>
      </c>
      <c r="BH590">
        <f t="shared" si="185"/>
        <v>0</v>
      </c>
      <c r="BI590">
        <f t="shared" si="186"/>
        <v>0</v>
      </c>
      <c r="BJ590">
        <f t="shared" si="186"/>
        <v>0</v>
      </c>
      <c r="BK590">
        <f t="shared" si="186"/>
        <v>0</v>
      </c>
      <c r="BL590">
        <f t="shared" si="186"/>
        <v>0</v>
      </c>
      <c r="BM590" t="str">
        <f t="shared" si="186"/>
        <v>Delneky</v>
      </c>
      <c r="BN590">
        <f t="shared" si="186"/>
        <v>0</v>
      </c>
      <c r="BO590">
        <f t="shared" si="186"/>
        <v>0</v>
      </c>
      <c r="BP590">
        <f t="shared" si="186"/>
        <v>0</v>
      </c>
      <c r="BQ590">
        <f t="shared" si="186"/>
        <v>0</v>
      </c>
      <c r="BR590">
        <f t="shared" si="186"/>
        <v>0</v>
      </c>
      <c r="BS590">
        <f t="shared" si="186"/>
        <v>0</v>
      </c>
    </row>
    <row r="591" spans="2:71" ht="15" customHeight="1" x14ac:dyDescent="0.2">
      <c r="B591">
        <v>16</v>
      </c>
      <c r="C591">
        <v>1</v>
      </c>
      <c r="D591">
        <v>9</v>
      </c>
      <c r="E591" t="s">
        <v>458</v>
      </c>
      <c r="F591" t="s">
        <v>214</v>
      </c>
      <c r="G591" s="5">
        <v>44757</v>
      </c>
      <c r="H591" t="s">
        <v>97</v>
      </c>
      <c r="I591" t="s">
        <v>167</v>
      </c>
      <c r="J591" t="s">
        <v>168</v>
      </c>
      <c r="K591">
        <v>9</v>
      </c>
      <c r="L591" t="s">
        <v>90</v>
      </c>
      <c r="M591" t="s">
        <v>169</v>
      </c>
      <c r="N591" t="s">
        <v>123</v>
      </c>
      <c r="O591">
        <v>70.5</v>
      </c>
      <c r="P591">
        <v>134</v>
      </c>
      <c r="Q591">
        <v>6389</v>
      </c>
      <c r="R591" t="s">
        <v>145</v>
      </c>
      <c r="S591" t="s">
        <v>80</v>
      </c>
      <c r="U591" t="s">
        <v>58</v>
      </c>
      <c r="V591" t="s">
        <v>61</v>
      </c>
      <c r="W591" t="s">
        <v>109</v>
      </c>
      <c r="Y591" t="s">
        <v>66</v>
      </c>
      <c r="AA591">
        <v>1</v>
      </c>
      <c r="AB591" t="s">
        <v>32</v>
      </c>
      <c r="AC591" t="s">
        <v>184</v>
      </c>
      <c r="AE591" t="str">
        <f t="shared" si="183"/>
        <v>McInerneyPerkins</v>
      </c>
      <c r="AF591">
        <v>1</v>
      </c>
      <c r="AG591">
        <v>1</v>
      </c>
      <c r="AH591">
        <v>0</v>
      </c>
      <c r="AI591">
        <v>0</v>
      </c>
      <c r="AJ591">
        <v>1</v>
      </c>
      <c r="AK591" t="s">
        <v>50</v>
      </c>
      <c r="AL591">
        <v>0.59523809523809501</v>
      </c>
      <c r="AM591" t="s">
        <v>60</v>
      </c>
      <c r="AN591">
        <v>0.5</v>
      </c>
      <c r="AO591">
        <f t="shared" si="184"/>
        <v>0</v>
      </c>
      <c r="AP591">
        <f t="shared" si="184"/>
        <v>0</v>
      </c>
      <c r="AQ591">
        <f t="shared" si="184"/>
        <v>0</v>
      </c>
      <c r="AR591">
        <f t="shared" si="184"/>
        <v>0</v>
      </c>
      <c r="AS591">
        <f t="shared" si="184"/>
        <v>0</v>
      </c>
      <c r="AT591">
        <f t="shared" si="184"/>
        <v>0</v>
      </c>
      <c r="AU591">
        <f t="shared" si="184"/>
        <v>0</v>
      </c>
      <c r="AV591">
        <f t="shared" si="184"/>
        <v>0</v>
      </c>
      <c r="AW591">
        <f t="shared" si="184"/>
        <v>0</v>
      </c>
      <c r="AX591">
        <f t="shared" si="184"/>
        <v>0</v>
      </c>
      <c r="AY591">
        <f t="shared" si="185"/>
        <v>0</v>
      </c>
      <c r="AZ591">
        <f t="shared" si="185"/>
        <v>0</v>
      </c>
      <c r="BA591">
        <f t="shared" si="185"/>
        <v>0</v>
      </c>
      <c r="BB591">
        <f t="shared" si="185"/>
        <v>0</v>
      </c>
      <c r="BC591">
        <f t="shared" si="185"/>
        <v>0</v>
      </c>
      <c r="BD591">
        <f t="shared" si="185"/>
        <v>0</v>
      </c>
      <c r="BE591">
        <f t="shared" si="185"/>
        <v>0</v>
      </c>
      <c r="BF591">
        <f t="shared" si="185"/>
        <v>0</v>
      </c>
      <c r="BG591">
        <f t="shared" si="185"/>
        <v>0</v>
      </c>
      <c r="BH591">
        <f t="shared" si="185"/>
        <v>0</v>
      </c>
      <c r="BI591">
        <f t="shared" si="186"/>
        <v>0</v>
      </c>
      <c r="BJ591" t="str">
        <f t="shared" si="186"/>
        <v>McInerney</v>
      </c>
      <c r="BK591">
        <f t="shared" si="186"/>
        <v>0</v>
      </c>
      <c r="BL591">
        <f t="shared" si="186"/>
        <v>0</v>
      </c>
      <c r="BM591">
        <f t="shared" si="186"/>
        <v>0</v>
      </c>
      <c r="BN591">
        <f t="shared" si="186"/>
        <v>0</v>
      </c>
      <c r="BO591" t="str">
        <f t="shared" si="186"/>
        <v>Perkins</v>
      </c>
      <c r="BP591">
        <f t="shared" si="186"/>
        <v>0</v>
      </c>
      <c r="BQ591">
        <f t="shared" si="186"/>
        <v>0</v>
      </c>
      <c r="BR591">
        <f t="shared" si="186"/>
        <v>0</v>
      </c>
      <c r="BS591">
        <f t="shared" si="186"/>
        <v>0</v>
      </c>
    </row>
    <row r="592" spans="2:71" ht="15" customHeight="1" x14ac:dyDescent="0.2">
      <c r="B592">
        <v>16</v>
      </c>
      <c r="C592">
        <v>1</v>
      </c>
      <c r="D592">
        <v>9</v>
      </c>
      <c r="E592" t="s">
        <v>458</v>
      </c>
      <c r="F592" t="s">
        <v>214</v>
      </c>
      <c r="G592" s="5">
        <v>44757</v>
      </c>
      <c r="H592" t="s">
        <v>97</v>
      </c>
      <c r="I592" t="s">
        <v>167</v>
      </c>
      <c r="J592" t="s">
        <v>168</v>
      </c>
      <c r="K592">
        <v>9</v>
      </c>
      <c r="L592" t="s">
        <v>90</v>
      </c>
      <c r="M592" t="s">
        <v>169</v>
      </c>
      <c r="N592" t="s">
        <v>123</v>
      </c>
      <c r="O592">
        <v>70.5</v>
      </c>
      <c r="P592">
        <v>134</v>
      </c>
      <c r="Q592">
        <v>6389</v>
      </c>
      <c r="R592" t="s">
        <v>145</v>
      </c>
      <c r="S592" t="s">
        <v>80</v>
      </c>
      <c r="U592" t="s">
        <v>60</v>
      </c>
      <c r="V592" t="s">
        <v>50</v>
      </c>
      <c r="W592" t="s">
        <v>109</v>
      </c>
      <c r="Y592" t="s">
        <v>60</v>
      </c>
      <c r="AA592">
        <v>1</v>
      </c>
      <c r="AB592" t="s">
        <v>33</v>
      </c>
      <c r="AC592" t="s">
        <v>184</v>
      </c>
      <c r="AE592" t="str">
        <f t="shared" si="183"/>
        <v>FerrinZimmer</v>
      </c>
      <c r="AF592">
        <v>0</v>
      </c>
      <c r="AG592">
        <v>0</v>
      </c>
      <c r="AH592">
        <v>1</v>
      </c>
      <c r="AI592">
        <v>0</v>
      </c>
      <c r="AJ592">
        <v>0</v>
      </c>
      <c r="AK592" t="s">
        <v>61</v>
      </c>
      <c r="AL592">
        <v>0.5</v>
      </c>
      <c r="AM592" t="s">
        <v>66</v>
      </c>
      <c r="AN592">
        <v>0.63888888888888895</v>
      </c>
      <c r="AO592">
        <f t="shared" ref="AO592:AX601" si="187">IF(OR($V592=AO$1,$Y592=AO$1),AO$1,0)</f>
        <v>0</v>
      </c>
      <c r="AP592">
        <f t="shared" si="187"/>
        <v>0</v>
      </c>
      <c r="AQ592">
        <f t="shared" si="187"/>
        <v>0</v>
      </c>
      <c r="AR592">
        <f t="shared" si="187"/>
        <v>0</v>
      </c>
      <c r="AS592">
        <f t="shared" si="187"/>
        <v>0</v>
      </c>
      <c r="AT592">
        <f t="shared" si="187"/>
        <v>0</v>
      </c>
      <c r="AU592">
        <f t="shared" si="187"/>
        <v>0</v>
      </c>
      <c r="AV592">
        <f t="shared" si="187"/>
        <v>0</v>
      </c>
      <c r="AW592">
        <f t="shared" si="187"/>
        <v>0</v>
      </c>
      <c r="AX592">
        <f t="shared" si="187"/>
        <v>0</v>
      </c>
      <c r="AY592" t="str">
        <f t="shared" ref="AY592:BH601" si="188">IF(OR($V592=AY$1,$Y592=AY$1),AY$1,0)</f>
        <v>Ferrin</v>
      </c>
      <c r="AZ592">
        <f t="shared" si="188"/>
        <v>0</v>
      </c>
      <c r="BA592">
        <f t="shared" si="188"/>
        <v>0</v>
      </c>
      <c r="BB592">
        <f t="shared" si="188"/>
        <v>0</v>
      </c>
      <c r="BC592">
        <f t="shared" si="188"/>
        <v>0</v>
      </c>
      <c r="BD592">
        <f t="shared" si="188"/>
        <v>0</v>
      </c>
      <c r="BE592">
        <f t="shared" si="188"/>
        <v>0</v>
      </c>
      <c r="BF592">
        <f t="shared" si="188"/>
        <v>0</v>
      </c>
      <c r="BG592">
        <f t="shared" si="188"/>
        <v>0</v>
      </c>
      <c r="BH592">
        <f t="shared" si="188"/>
        <v>0</v>
      </c>
      <c r="BI592" t="str">
        <f t="shared" ref="BI592:BS601" si="189">IF(OR($V592=BI$1,$Y592=BI$1),BI$1,0)</f>
        <v>Zimmer</v>
      </c>
      <c r="BJ592">
        <f t="shared" si="189"/>
        <v>0</v>
      </c>
      <c r="BK592">
        <f t="shared" si="189"/>
        <v>0</v>
      </c>
      <c r="BL592">
        <f t="shared" si="189"/>
        <v>0</v>
      </c>
      <c r="BM592">
        <f t="shared" si="189"/>
        <v>0</v>
      </c>
      <c r="BN592">
        <f t="shared" si="189"/>
        <v>0</v>
      </c>
      <c r="BO592">
        <f t="shared" si="189"/>
        <v>0</v>
      </c>
      <c r="BP592">
        <f t="shared" si="189"/>
        <v>0</v>
      </c>
      <c r="BQ592">
        <f t="shared" si="189"/>
        <v>0</v>
      </c>
      <c r="BR592">
        <f t="shared" si="189"/>
        <v>0</v>
      </c>
      <c r="BS592">
        <f t="shared" si="189"/>
        <v>0</v>
      </c>
    </row>
    <row r="593" spans="2:71" ht="15" customHeight="1" x14ac:dyDescent="0.2">
      <c r="B593">
        <v>17</v>
      </c>
      <c r="C593">
        <v>2</v>
      </c>
      <c r="D593">
        <v>9</v>
      </c>
      <c r="E593" t="s">
        <v>459</v>
      </c>
      <c r="F593" t="s">
        <v>214</v>
      </c>
      <c r="G593" s="5">
        <v>44757</v>
      </c>
      <c r="H593" t="s">
        <v>97</v>
      </c>
      <c r="I593" t="s">
        <v>167</v>
      </c>
      <c r="J593" t="s">
        <v>168</v>
      </c>
      <c r="K593">
        <v>9</v>
      </c>
      <c r="L593" t="s">
        <v>90</v>
      </c>
      <c r="M593" t="s">
        <v>169</v>
      </c>
      <c r="N593" t="s">
        <v>123</v>
      </c>
      <c r="O593">
        <v>70.5</v>
      </c>
      <c r="P593">
        <v>134</v>
      </c>
      <c r="Q593">
        <v>6389</v>
      </c>
      <c r="R593" t="s">
        <v>145</v>
      </c>
      <c r="S593" t="s">
        <v>80</v>
      </c>
      <c r="U593" t="s">
        <v>60</v>
      </c>
      <c r="V593" t="s">
        <v>53</v>
      </c>
      <c r="W593" t="s">
        <v>109</v>
      </c>
      <c r="Y593" t="s">
        <v>43</v>
      </c>
      <c r="AA593">
        <v>1</v>
      </c>
      <c r="AB593" t="s">
        <v>32</v>
      </c>
      <c r="AC593" t="s">
        <v>184</v>
      </c>
      <c r="AE593" t="str">
        <f t="shared" si="183"/>
        <v>ForsterPoirier</v>
      </c>
      <c r="AF593">
        <v>1</v>
      </c>
      <c r="AG593">
        <v>1</v>
      </c>
      <c r="AH593">
        <v>0</v>
      </c>
      <c r="AI593">
        <v>0</v>
      </c>
      <c r="AJ593">
        <v>1</v>
      </c>
      <c r="AK593" t="s">
        <v>63</v>
      </c>
      <c r="AL593">
        <v>0.46551724137931</v>
      </c>
      <c r="AM593" t="s">
        <v>44</v>
      </c>
      <c r="AN593">
        <v>0.4296875</v>
      </c>
      <c r="AO593">
        <f t="shared" si="187"/>
        <v>0</v>
      </c>
      <c r="AP593">
        <f t="shared" si="187"/>
        <v>0</v>
      </c>
      <c r="AQ593">
        <f t="shared" si="187"/>
        <v>0</v>
      </c>
      <c r="AR593" t="str">
        <f t="shared" si="187"/>
        <v>Poirier</v>
      </c>
      <c r="AS593">
        <f t="shared" si="187"/>
        <v>0</v>
      </c>
      <c r="AT593">
        <f t="shared" si="187"/>
        <v>0</v>
      </c>
      <c r="AU593">
        <f t="shared" si="187"/>
        <v>0</v>
      </c>
      <c r="AV593">
        <f t="shared" si="187"/>
        <v>0</v>
      </c>
      <c r="AW593">
        <f t="shared" si="187"/>
        <v>0</v>
      </c>
      <c r="AX593">
        <f t="shared" si="187"/>
        <v>0</v>
      </c>
      <c r="AY593">
        <f t="shared" si="188"/>
        <v>0</v>
      </c>
      <c r="AZ593">
        <f t="shared" si="188"/>
        <v>0</v>
      </c>
      <c r="BA593">
        <f t="shared" si="188"/>
        <v>0</v>
      </c>
      <c r="BB593" t="str">
        <f t="shared" si="188"/>
        <v>Forster</v>
      </c>
      <c r="BC593">
        <f t="shared" si="188"/>
        <v>0</v>
      </c>
      <c r="BD593">
        <f t="shared" si="188"/>
        <v>0</v>
      </c>
      <c r="BE593">
        <f t="shared" si="188"/>
        <v>0</v>
      </c>
      <c r="BF593">
        <f t="shared" si="188"/>
        <v>0</v>
      </c>
      <c r="BG593">
        <f t="shared" si="188"/>
        <v>0</v>
      </c>
      <c r="BH593">
        <f t="shared" si="188"/>
        <v>0</v>
      </c>
      <c r="BI593">
        <f t="shared" si="189"/>
        <v>0</v>
      </c>
      <c r="BJ593">
        <f t="shared" si="189"/>
        <v>0</v>
      </c>
      <c r="BK593">
        <f t="shared" si="189"/>
        <v>0</v>
      </c>
      <c r="BL593">
        <f t="shared" si="189"/>
        <v>0</v>
      </c>
      <c r="BM593">
        <f t="shared" si="189"/>
        <v>0</v>
      </c>
      <c r="BN593">
        <f t="shared" si="189"/>
        <v>0</v>
      </c>
      <c r="BO593">
        <f t="shared" si="189"/>
        <v>0</v>
      </c>
      <c r="BP593">
        <f t="shared" si="189"/>
        <v>0</v>
      </c>
      <c r="BQ593">
        <f t="shared" si="189"/>
        <v>0</v>
      </c>
      <c r="BR593">
        <f t="shared" si="189"/>
        <v>0</v>
      </c>
      <c r="BS593">
        <f t="shared" si="189"/>
        <v>0</v>
      </c>
    </row>
    <row r="594" spans="2:71" ht="15" customHeight="1" x14ac:dyDescent="0.2">
      <c r="B594">
        <v>17</v>
      </c>
      <c r="C594">
        <v>2</v>
      </c>
      <c r="D594">
        <v>9</v>
      </c>
      <c r="E594" t="s">
        <v>459</v>
      </c>
      <c r="F594" t="s">
        <v>214</v>
      </c>
      <c r="G594" s="5">
        <v>44757</v>
      </c>
      <c r="H594" t="s">
        <v>97</v>
      </c>
      <c r="I594" t="s">
        <v>167</v>
      </c>
      <c r="J594" t="s">
        <v>168</v>
      </c>
      <c r="K594">
        <v>9</v>
      </c>
      <c r="L594" t="s">
        <v>90</v>
      </c>
      <c r="M594" t="s">
        <v>169</v>
      </c>
      <c r="N594" t="s">
        <v>123</v>
      </c>
      <c r="O594">
        <v>70.5</v>
      </c>
      <c r="P594">
        <v>134</v>
      </c>
      <c r="Q594">
        <v>6389</v>
      </c>
      <c r="R594" t="s">
        <v>145</v>
      </c>
      <c r="S594" t="s">
        <v>80</v>
      </c>
      <c r="U594" t="s">
        <v>58</v>
      </c>
      <c r="V594" t="s">
        <v>63</v>
      </c>
      <c r="W594" t="s">
        <v>109</v>
      </c>
      <c r="Y594" t="s">
        <v>44</v>
      </c>
      <c r="AA594">
        <v>1</v>
      </c>
      <c r="AB594" t="s">
        <v>33</v>
      </c>
      <c r="AC594" t="s">
        <v>184</v>
      </c>
      <c r="AE594" t="str">
        <f t="shared" si="183"/>
        <v>DelaneyFlanders</v>
      </c>
      <c r="AF594">
        <v>0</v>
      </c>
      <c r="AG594">
        <v>0</v>
      </c>
      <c r="AH594">
        <v>1</v>
      </c>
      <c r="AI594">
        <v>0</v>
      </c>
      <c r="AJ594">
        <v>0</v>
      </c>
      <c r="AK594" t="s">
        <v>53</v>
      </c>
      <c r="AL594">
        <v>0.59649122807017496</v>
      </c>
      <c r="AM594" t="s">
        <v>43</v>
      </c>
      <c r="AN594">
        <v>0.48611111111111099</v>
      </c>
      <c r="AO594">
        <f t="shared" si="187"/>
        <v>0</v>
      </c>
      <c r="AP594">
        <f t="shared" si="187"/>
        <v>0</v>
      </c>
      <c r="AQ594">
        <f t="shared" si="187"/>
        <v>0</v>
      </c>
      <c r="AR594">
        <f t="shared" si="187"/>
        <v>0</v>
      </c>
      <c r="AS594" t="str">
        <f t="shared" si="187"/>
        <v>Flanders</v>
      </c>
      <c r="AT594">
        <f t="shared" si="187"/>
        <v>0</v>
      </c>
      <c r="AU594">
        <f t="shared" si="187"/>
        <v>0</v>
      </c>
      <c r="AV594">
        <f t="shared" si="187"/>
        <v>0</v>
      </c>
      <c r="AW594">
        <f t="shared" si="187"/>
        <v>0</v>
      </c>
      <c r="AX594">
        <f t="shared" si="187"/>
        <v>0</v>
      </c>
      <c r="AY594">
        <f t="shared" si="188"/>
        <v>0</v>
      </c>
      <c r="AZ594">
        <f t="shared" si="188"/>
        <v>0</v>
      </c>
      <c r="BA594">
        <f t="shared" si="188"/>
        <v>0</v>
      </c>
      <c r="BB594">
        <f t="shared" si="188"/>
        <v>0</v>
      </c>
      <c r="BC594">
        <f t="shared" si="188"/>
        <v>0</v>
      </c>
      <c r="BD594">
        <f t="shared" si="188"/>
        <v>0</v>
      </c>
      <c r="BE594">
        <f t="shared" si="188"/>
        <v>0</v>
      </c>
      <c r="BF594">
        <f t="shared" si="188"/>
        <v>0</v>
      </c>
      <c r="BG594">
        <f t="shared" si="188"/>
        <v>0</v>
      </c>
      <c r="BH594">
        <f t="shared" si="188"/>
        <v>0</v>
      </c>
      <c r="BI594">
        <f t="shared" si="189"/>
        <v>0</v>
      </c>
      <c r="BJ594">
        <f t="shared" si="189"/>
        <v>0</v>
      </c>
      <c r="BK594">
        <f t="shared" si="189"/>
        <v>0</v>
      </c>
      <c r="BL594" t="str">
        <f t="shared" si="189"/>
        <v>Delaney</v>
      </c>
      <c r="BM594">
        <f t="shared" si="189"/>
        <v>0</v>
      </c>
      <c r="BN594">
        <f t="shared" si="189"/>
        <v>0</v>
      </c>
      <c r="BO594">
        <f t="shared" si="189"/>
        <v>0</v>
      </c>
      <c r="BP594">
        <f t="shared" si="189"/>
        <v>0</v>
      </c>
      <c r="BQ594">
        <f t="shared" si="189"/>
        <v>0</v>
      </c>
      <c r="BR594">
        <f t="shared" si="189"/>
        <v>0</v>
      </c>
      <c r="BS594">
        <f t="shared" si="189"/>
        <v>0</v>
      </c>
    </row>
    <row r="595" spans="2:71" ht="15" customHeight="1" x14ac:dyDescent="0.2">
      <c r="B595">
        <v>18</v>
      </c>
      <c r="C595">
        <v>3</v>
      </c>
      <c r="D595">
        <v>9</v>
      </c>
      <c r="E595" t="s">
        <v>460</v>
      </c>
      <c r="F595" t="s">
        <v>214</v>
      </c>
      <c r="G595" s="5">
        <v>44757</v>
      </c>
      <c r="H595" t="s">
        <v>97</v>
      </c>
      <c r="I595" t="s">
        <v>167</v>
      </c>
      <c r="J595" t="s">
        <v>168</v>
      </c>
      <c r="K595">
        <v>9</v>
      </c>
      <c r="L595" t="s">
        <v>90</v>
      </c>
      <c r="M595" t="s">
        <v>169</v>
      </c>
      <c r="N595" t="s">
        <v>123</v>
      </c>
      <c r="O595">
        <v>70.5</v>
      </c>
      <c r="P595">
        <v>134</v>
      </c>
      <c r="Q595">
        <v>6389</v>
      </c>
      <c r="R595" t="s">
        <v>145</v>
      </c>
      <c r="S595" t="s">
        <v>80</v>
      </c>
      <c r="U595" t="s">
        <v>58</v>
      </c>
      <c r="V595" t="s">
        <v>55</v>
      </c>
      <c r="W595" t="s">
        <v>109</v>
      </c>
      <c r="Y595" t="s">
        <v>48</v>
      </c>
      <c r="AA595">
        <v>1</v>
      </c>
      <c r="AB595" t="s">
        <v>32</v>
      </c>
      <c r="AC595" t="s">
        <v>209</v>
      </c>
      <c r="AE595" t="str">
        <f t="shared" si="183"/>
        <v>ColeLynch</v>
      </c>
      <c r="AF595">
        <v>1</v>
      </c>
      <c r="AG595">
        <v>1</v>
      </c>
      <c r="AH595">
        <v>0</v>
      </c>
      <c r="AI595">
        <v>0</v>
      </c>
      <c r="AJ595">
        <v>1</v>
      </c>
      <c r="AK595" t="s">
        <v>42</v>
      </c>
      <c r="AL595">
        <v>0.6171875</v>
      </c>
      <c r="AM595" t="s">
        <v>62</v>
      </c>
      <c r="AN595">
        <v>0.51041666666666696</v>
      </c>
      <c r="AO595">
        <f t="shared" si="187"/>
        <v>0</v>
      </c>
      <c r="AP595">
        <f t="shared" si="187"/>
        <v>0</v>
      </c>
      <c r="AQ595">
        <f t="shared" si="187"/>
        <v>0</v>
      </c>
      <c r="AR595">
        <f t="shared" si="187"/>
        <v>0</v>
      </c>
      <c r="AS595">
        <f t="shared" si="187"/>
        <v>0</v>
      </c>
      <c r="AT595">
        <f t="shared" si="187"/>
        <v>0</v>
      </c>
      <c r="AU595">
        <f t="shared" si="187"/>
        <v>0</v>
      </c>
      <c r="AV595">
        <f t="shared" si="187"/>
        <v>0</v>
      </c>
      <c r="AW595" t="str">
        <f t="shared" si="187"/>
        <v>Lynch</v>
      </c>
      <c r="AX595">
        <f t="shared" si="187"/>
        <v>0</v>
      </c>
      <c r="AY595">
        <f t="shared" si="188"/>
        <v>0</v>
      </c>
      <c r="AZ595">
        <f t="shared" si="188"/>
        <v>0</v>
      </c>
      <c r="BA595">
        <f t="shared" si="188"/>
        <v>0</v>
      </c>
      <c r="BB595">
        <f t="shared" si="188"/>
        <v>0</v>
      </c>
      <c r="BC595">
        <f t="shared" si="188"/>
        <v>0</v>
      </c>
      <c r="BD595" t="str">
        <f t="shared" si="188"/>
        <v>Cole</v>
      </c>
      <c r="BE595">
        <f t="shared" si="188"/>
        <v>0</v>
      </c>
      <c r="BF595">
        <f t="shared" si="188"/>
        <v>0</v>
      </c>
      <c r="BG595">
        <f t="shared" si="188"/>
        <v>0</v>
      </c>
      <c r="BH595">
        <f t="shared" si="188"/>
        <v>0</v>
      </c>
      <c r="BI595">
        <f t="shared" si="189"/>
        <v>0</v>
      </c>
      <c r="BJ595">
        <f t="shared" si="189"/>
        <v>0</v>
      </c>
      <c r="BK595">
        <f t="shared" si="189"/>
        <v>0</v>
      </c>
      <c r="BL595">
        <f t="shared" si="189"/>
        <v>0</v>
      </c>
      <c r="BM595">
        <f t="shared" si="189"/>
        <v>0</v>
      </c>
      <c r="BN595">
        <f t="shared" si="189"/>
        <v>0</v>
      </c>
      <c r="BO595">
        <f t="shared" si="189"/>
        <v>0</v>
      </c>
      <c r="BP595">
        <f t="shared" si="189"/>
        <v>0</v>
      </c>
      <c r="BQ595">
        <f t="shared" si="189"/>
        <v>0</v>
      </c>
      <c r="BR595">
        <f t="shared" si="189"/>
        <v>0</v>
      </c>
      <c r="BS595">
        <f t="shared" si="189"/>
        <v>0</v>
      </c>
    </row>
    <row r="596" spans="2:71" ht="15" customHeight="1" x14ac:dyDescent="0.2">
      <c r="B596">
        <v>18</v>
      </c>
      <c r="C596">
        <v>3</v>
      </c>
      <c r="D596">
        <v>9</v>
      </c>
      <c r="E596" t="s">
        <v>460</v>
      </c>
      <c r="F596" t="s">
        <v>214</v>
      </c>
      <c r="G596" s="5">
        <v>44757</v>
      </c>
      <c r="H596" t="s">
        <v>97</v>
      </c>
      <c r="I596" t="s">
        <v>167</v>
      </c>
      <c r="J596" t="s">
        <v>168</v>
      </c>
      <c r="K596">
        <v>9</v>
      </c>
      <c r="L596" t="s">
        <v>90</v>
      </c>
      <c r="M596" t="s">
        <v>169</v>
      </c>
      <c r="N596" t="s">
        <v>123</v>
      </c>
      <c r="O596">
        <v>70.5</v>
      </c>
      <c r="P596">
        <v>134</v>
      </c>
      <c r="Q596">
        <v>6389</v>
      </c>
      <c r="R596" t="s">
        <v>145</v>
      </c>
      <c r="S596" t="s">
        <v>80</v>
      </c>
      <c r="U596" t="s">
        <v>60</v>
      </c>
      <c r="V596" t="s">
        <v>42</v>
      </c>
      <c r="W596" t="s">
        <v>109</v>
      </c>
      <c r="Y596" t="s">
        <v>62</v>
      </c>
      <c r="AA596">
        <v>1</v>
      </c>
      <c r="AB596" t="s">
        <v>33</v>
      </c>
      <c r="AC596" t="s">
        <v>209</v>
      </c>
      <c r="AE596" t="str">
        <f t="shared" si="183"/>
        <v>JacksonWelker</v>
      </c>
      <c r="AF596">
        <v>0</v>
      </c>
      <c r="AG596">
        <v>0</v>
      </c>
      <c r="AH596">
        <v>1</v>
      </c>
      <c r="AI596">
        <v>0</v>
      </c>
      <c r="AJ596">
        <v>0</v>
      </c>
      <c r="AK596" t="s">
        <v>55</v>
      </c>
      <c r="AL596">
        <v>0.44067796610169502</v>
      </c>
      <c r="AM596" t="s">
        <v>48</v>
      </c>
      <c r="AN596">
        <v>0.5546875</v>
      </c>
      <c r="AO596">
        <f t="shared" si="187"/>
        <v>0</v>
      </c>
      <c r="AP596">
        <f t="shared" si="187"/>
        <v>0</v>
      </c>
      <c r="AQ596" t="str">
        <f t="shared" si="187"/>
        <v>Jackson</v>
      </c>
      <c r="AR596">
        <f t="shared" si="187"/>
        <v>0</v>
      </c>
      <c r="AS596">
        <f t="shared" si="187"/>
        <v>0</v>
      </c>
      <c r="AT596">
        <f t="shared" si="187"/>
        <v>0</v>
      </c>
      <c r="AU596">
        <f t="shared" si="187"/>
        <v>0</v>
      </c>
      <c r="AV596">
        <f t="shared" si="187"/>
        <v>0</v>
      </c>
      <c r="AW596">
        <f t="shared" si="187"/>
        <v>0</v>
      </c>
      <c r="AX596">
        <f t="shared" si="187"/>
        <v>0</v>
      </c>
      <c r="AY596">
        <f t="shared" si="188"/>
        <v>0</v>
      </c>
      <c r="AZ596">
        <f t="shared" si="188"/>
        <v>0</v>
      </c>
      <c r="BA596">
        <f t="shared" si="188"/>
        <v>0</v>
      </c>
      <c r="BB596">
        <f t="shared" si="188"/>
        <v>0</v>
      </c>
      <c r="BC596">
        <f t="shared" si="188"/>
        <v>0</v>
      </c>
      <c r="BD596">
        <f t="shared" si="188"/>
        <v>0</v>
      </c>
      <c r="BE596">
        <f t="shared" si="188"/>
        <v>0</v>
      </c>
      <c r="BF596">
        <f t="shared" si="188"/>
        <v>0</v>
      </c>
      <c r="BG596">
        <f t="shared" si="188"/>
        <v>0</v>
      </c>
      <c r="BH596">
        <f t="shared" si="188"/>
        <v>0</v>
      </c>
      <c r="BI596">
        <f t="shared" si="189"/>
        <v>0</v>
      </c>
      <c r="BJ596">
        <f t="shared" si="189"/>
        <v>0</v>
      </c>
      <c r="BK596" t="str">
        <f t="shared" si="189"/>
        <v>Welker</v>
      </c>
      <c r="BL596">
        <f t="shared" si="189"/>
        <v>0</v>
      </c>
      <c r="BM596">
        <f t="shared" si="189"/>
        <v>0</v>
      </c>
      <c r="BN596">
        <f t="shared" si="189"/>
        <v>0</v>
      </c>
      <c r="BO596">
        <f t="shared" si="189"/>
        <v>0</v>
      </c>
      <c r="BP596">
        <f t="shared" si="189"/>
        <v>0</v>
      </c>
      <c r="BQ596">
        <f t="shared" si="189"/>
        <v>0</v>
      </c>
      <c r="BR596">
        <f t="shared" si="189"/>
        <v>0</v>
      </c>
      <c r="BS596">
        <f t="shared" si="189"/>
        <v>0</v>
      </c>
    </row>
    <row r="597" spans="2:71" ht="15" customHeight="1" x14ac:dyDescent="0.2">
      <c r="B597">
        <v>19</v>
      </c>
      <c r="C597">
        <v>4</v>
      </c>
      <c r="D597">
        <v>9</v>
      </c>
      <c r="E597" t="s">
        <v>461</v>
      </c>
      <c r="F597" t="s">
        <v>214</v>
      </c>
      <c r="G597" s="5">
        <v>44757</v>
      </c>
      <c r="H597" t="s">
        <v>97</v>
      </c>
      <c r="I597" t="s">
        <v>167</v>
      </c>
      <c r="J597" t="s">
        <v>168</v>
      </c>
      <c r="K597">
        <v>9</v>
      </c>
      <c r="L597" t="s">
        <v>90</v>
      </c>
      <c r="M597" t="s">
        <v>169</v>
      </c>
      <c r="N597" t="s">
        <v>123</v>
      </c>
      <c r="O597">
        <v>70.5</v>
      </c>
      <c r="P597">
        <v>134</v>
      </c>
      <c r="Q597">
        <v>6389</v>
      </c>
      <c r="R597" t="s">
        <v>145</v>
      </c>
      <c r="S597" t="s">
        <v>80</v>
      </c>
      <c r="U597" t="s">
        <v>60</v>
      </c>
      <c r="V597" t="s">
        <v>67</v>
      </c>
      <c r="W597" t="s">
        <v>109</v>
      </c>
      <c r="Y597" t="s">
        <v>40</v>
      </c>
      <c r="AA597">
        <v>1</v>
      </c>
      <c r="AB597" t="s">
        <v>33</v>
      </c>
      <c r="AC597" t="s">
        <v>462</v>
      </c>
      <c r="AE597" t="str">
        <f t="shared" si="183"/>
        <v>DeoterisGrise</v>
      </c>
      <c r="AF597">
        <v>0</v>
      </c>
      <c r="AG597">
        <v>0</v>
      </c>
      <c r="AH597">
        <v>1</v>
      </c>
      <c r="AI597">
        <v>0</v>
      </c>
      <c r="AJ597">
        <v>0</v>
      </c>
      <c r="AK597" t="s">
        <v>45</v>
      </c>
      <c r="AL597">
        <v>0.59375</v>
      </c>
      <c r="AM597" t="s">
        <v>41</v>
      </c>
      <c r="AN597">
        <v>0.47321428571428598</v>
      </c>
      <c r="AO597" t="str">
        <f t="shared" si="187"/>
        <v>Grise</v>
      </c>
      <c r="AP597">
        <f t="shared" si="187"/>
        <v>0</v>
      </c>
      <c r="AQ597">
        <f t="shared" si="187"/>
        <v>0</v>
      </c>
      <c r="AR597">
        <f t="shared" si="187"/>
        <v>0</v>
      </c>
      <c r="AS597">
        <f t="shared" si="187"/>
        <v>0</v>
      </c>
      <c r="AT597">
        <f t="shared" si="187"/>
        <v>0</v>
      </c>
      <c r="AU597">
        <f t="shared" si="187"/>
        <v>0</v>
      </c>
      <c r="AV597">
        <f t="shared" si="187"/>
        <v>0</v>
      </c>
      <c r="AW597">
        <f t="shared" si="187"/>
        <v>0</v>
      </c>
      <c r="AX597">
        <f t="shared" si="187"/>
        <v>0</v>
      </c>
      <c r="AY597">
        <f t="shared" si="188"/>
        <v>0</v>
      </c>
      <c r="AZ597">
        <f t="shared" si="188"/>
        <v>0</v>
      </c>
      <c r="BA597">
        <f t="shared" si="188"/>
        <v>0</v>
      </c>
      <c r="BB597">
        <f t="shared" si="188"/>
        <v>0</v>
      </c>
      <c r="BC597">
        <f t="shared" si="188"/>
        <v>0</v>
      </c>
      <c r="BD597">
        <f t="shared" si="188"/>
        <v>0</v>
      </c>
      <c r="BE597">
        <f t="shared" si="188"/>
        <v>0</v>
      </c>
      <c r="BF597">
        <f t="shared" si="188"/>
        <v>0</v>
      </c>
      <c r="BG597">
        <f t="shared" si="188"/>
        <v>0</v>
      </c>
      <c r="BH597">
        <f t="shared" si="188"/>
        <v>0</v>
      </c>
      <c r="BI597">
        <f t="shared" si="189"/>
        <v>0</v>
      </c>
      <c r="BJ597">
        <f t="shared" si="189"/>
        <v>0</v>
      </c>
      <c r="BK597">
        <f t="shared" si="189"/>
        <v>0</v>
      </c>
      <c r="BL597">
        <f t="shared" si="189"/>
        <v>0</v>
      </c>
      <c r="BM597">
        <f t="shared" si="189"/>
        <v>0</v>
      </c>
      <c r="BN597">
        <f t="shared" si="189"/>
        <v>0</v>
      </c>
      <c r="BO597">
        <f t="shared" si="189"/>
        <v>0</v>
      </c>
      <c r="BP597" t="str">
        <f t="shared" si="189"/>
        <v>Deoteris</v>
      </c>
      <c r="BQ597">
        <f t="shared" si="189"/>
        <v>0</v>
      </c>
      <c r="BR597">
        <f t="shared" si="189"/>
        <v>0</v>
      </c>
      <c r="BS597">
        <f t="shared" si="189"/>
        <v>0</v>
      </c>
    </row>
    <row r="598" spans="2:71" ht="15" customHeight="1" x14ac:dyDescent="0.2">
      <c r="B598">
        <v>19</v>
      </c>
      <c r="C598">
        <v>4</v>
      </c>
      <c r="D598">
        <v>9</v>
      </c>
      <c r="E598" t="s">
        <v>461</v>
      </c>
      <c r="F598" t="s">
        <v>214</v>
      </c>
      <c r="G598" s="5">
        <v>44757</v>
      </c>
      <c r="H598" t="s">
        <v>97</v>
      </c>
      <c r="I598" t="s">
        <v>167</v>
      </c>
      <c r="J598" t="s">
        <v>168</v>
      </c>
      <c r="K598">
        <v>9</v>
      </c>
      <c r="L598" t="s">
        <v>90</v>
      </c>
      <c r="M598" t="s">
        <v>169</v>
      </c>
      <c r="N598" t="s">
        <v>123</v>
      </c>
      <c r="O598">
        <v>70.5</v>
      </c>
      <c r="P598">
        <v>134</v>
      </c>
      <c r="Q598">
        <v>6389</v>
      </c>
      <c r="R598" t="s">
        <v>145</v>
      </c>
      <c r="S598" t="s">
        <v>80</v>
      </c>
      <c r="U598" t="s">
        <v>58</v>
      </c>
      <c r="V598" t="s">
        <v>45</v>
      </c>
      <c r="W598" t="s">
        <v>109</v>
      </c>
      <c r="Y598" t="s">
        <v>41</v>
      </c>
      <c r="AA598">
        <v>1</v>
      </c>
      <c r="AB598" t="s">
        <v>32</v>
      </c>
      <c r="AC598" t="s">
        <v>249</v>
      </c>
      <c r="AE598" t="str">
        <f t="shared" si="183"/>
        <v>ConnollyHilts</v>
      </c>
      <c r="AF598">
        <v>1</v>
      </c>
      <c r="AG598">
        <v>1</v>
      </c>
      <c r="AH598">
        <v>0</v>
      </c>
      <c r="AI598">
        <v>0</v>
      </c>
      <c r="AJ598">
        <v>1</v>
      </c>
      <c r="AK598" t="s">
        <v>67</v>
      </c>
      <c r="AL598">
        <v>0.54545454545454497</v>
      </c>
      <c r="AM598" t="s">
        <v>40</v>
      </c>
      <c r="AN598">
        <v>0.546875</v>
      </c>
      <c r="AO598">
        <f t="shared" si="187"/>
        <v>0</v>
      </c>
      <c r="AP598" t="str">
        <f t="shared" si="187"/>
        <v>Hilts</v>
      </c>
      <c r="AQ598">
        <f t="shared" si="187"/>
        <v>0</v>
      </c>
      <c r="AR598">
        <f t="shared" si="187"/>
        <v>0</v>
      </c>
      <c r="AS598">
        <f t="shared" si="187"/>
        <v>0</v>
      </c>
      <c r="AT598" t="str">
        <f t="shared" si="187"/>
        <v>Connolly</v>
      </c>
      <c r="AU598">
        <f t="shared" si="187"/>
        <v>0</v>
      </c>
      <c r="AV598">
        <f t="shared" si="187"/>
        <v>0</v>
      </c>
      <c r="AW598">
        <f t="shared" si="187"/>
        <v>0</v>
      </c>
      <c r="AX598">
        <f t="shared" si="187"/>
        <v>0</v>
      </c>
      <c r="AY598">
        <f t="shared" si="188"/>
        <v>0</v>
      </c>
      <c r="AZ598">
        <f t="shared" si="188"/>
        <v>0</v>
      </c>
      <c r="BA598">
        <f t="shared" si="188"/>
        <v>0</v>
      </c>
      <c r="BB598">
        <f t="shared" si="188"/>
        <v>0</v>
      </c>
      <c r="BC598">
        <f t="shared" si="188"/>
        <v>0</v>
      </c>
      <c r="BD598">
        <f t="shared" si="188"/>
        <v>0</v>
      </c>
      <c r="BE598">
        <f t="shared" si="188"/>
        <v>0</v>
      </c>
      <c r="BF598">
        <f t="shared" si="188"/>
        <v>0</v>
      </c>
      <c r="BG598">
        <f t="shared" si="188"/>
        <v>0</v>
      </c>
      <c r="BH598">
        <f t="shared" si="188"/>
        <v>0</v>
      </c>
      <c r="BI598">
        <f t="shared" si="189"/>
        <v>0</v>
      </c>
      <c r="BJ598">
        <f t="shared" si="189"/>
        <v>0</v>
      </c>
      <c r="BK598">
        <f t="shared" si="189"/>
        <v>0</v>
      </c>
      <c r="BL598">
        <f t="shared" si="189"/>
        <v>0</v>
      </c>
      <c r="BM598">
        <f t="shared" si="189"/>
        <v>0</v>
      </c>
      <c r="BN598">
        <f t="shared" si="189"/>
        <v>0</v>
      </c>
      <c r="BO598">
        <f t="shared" si="189"/>
        <v>0</v>
      </c>
      <c r="BP598">
        <f t="shared" si="189"/>
        <v>0</v>
      </c>
      <c r="BQ598">
        <f t="shared" si="189"/>
        <v>0</v>
      </c>
      <c r="BR598">
        <f t="shared" si="189"/>
        <v>0</v>
      </c>
      <c r="BS598">
        <f t="shared" si="189"/>
        <v>0</v>
      </c>
    </row>
    <row r="599" spans="2:71" ht="15" customHeight="1" x14ac:dyDescent="0.2">
      <c r="B599">
        <v>20</v>
      </c>
      <c r="C599">
        <v>5</v>
      </c>
      <c r="D599">
        <v>9</v>
      </c>
      <c r="E599" t="s">
        <v>463</v>
      </c>
      <c r="F599" t="s">
        <v>214</v>
      </c>
      <c r="G599" s="5">
        <v>44757</v>
      </c>
      <c r="H599" t="s">
        <v>97</v>
      </c>
      <c r="I599" t="s">
        <v>167</v>
      </c>
      <c r="J599" t="s">
        <v>168</v>
      </c>
      <c r="K599">
        <v>9</v>
      </c>
      <c r="L599" t="s">
        <v>90</v>
      </c>
      <c r="M599" t="s">
        <v>169</v>
      </c>
      <c r="N599" t="s">
        <v>123</v>
      </c>
      <c r="O599">
        <v>70.5</v>
      </c>
      <c r="P599">
        <v>134</v>
      </c>
      <c r="Q599">
        <v>6389</v>
      </c>
      <c r="R599" t="s">
        <v>145</v>
      </c>
      <c r="S599" t="s">
        <v>80</v>
      </c>
      <c r="U599" t="s">
        <v>58</v>
      </c>
      <c r="V599" t="s">
        <v>52</v>
      </c>
      <c r="W599" t="s">
        <v>109</v>
      </c>
      <c r="Y599" t="s">
        <v>49</v>
      </c>
      <c r="AA599">
        <v>1</v>
      </c>
      <c r="AB599" t="s">
        <v>33</v>
      </c>
      <c r="AC599" t="s">
        <v>249</v>
      </c>
      <c r="AE599" t="str">
        <f t="shared" si="183"/>
        <v>ConnorsShively</v>
      </c>
      <c r="AF599">
        <v>0</v>
      </c>
      <c r="AG599">
        <v>0</v>
      </c>
      <c r="AH599">
        <v>1</v>
      </c>
      <c r="AI599">
        <v>0</v>
      </c>
      <c r="AJ599">
        <v>0</v>
      </c>
      <c r="AK599" t="s">
        <v>64</v>
      </c>
      <c r="AL599">
        <v>0.65909090909090895</v>
      </c>
      <c r="AM599" t="s">
        <v>54</v>
      </c>
      <c r="AN599">
        <v>0.37288135593220301</v>
      </c>
      <c r="AO599">
        <f t="shared" si="187"/>
        <v>0</v>
      </c>
      <c r="AP599">
        <f t="shared" si="187"/>
        <v>0</v>
      </c>
      <c r="AQ599">
        <f t="shared" si="187"/>
        <v>0</v>
      </c>
      <c r="AR599">
        <f t="shared" si="187"/>
        <v>0</v>
      </c>
      <c r="AS599">
        <f t="shared" si="187"/>
        <v>0</v>
      </c>
      <c r="AT599">
        <f t="shared" si="187"/>
        <v>0</v>
      </c>
      <c r="AU599">
        <f t="shared" si="187"/>
        <v>0</v>
      </c>
      <c r="AV599">
        <f t="shared" si="187"/>
        <v>0</v>
      </c>
      <c r="AW599">
        <f t="shared" si="187"/>
        <v>0</v>
      </c>
      <c r="AX599" t="str">
        <f t="shared" si="187"/>
        <v>Shively</v>
      </c>
      <c r="AY599">
        <f t="shared" si="188"/>
        <v>0</v>
      </c>
      <c r="AZ599">
        <f t="shared" si="188"/>
        <v>0</v>
      </c>
      <c r="BA599" t="str">
        <f t="shared" si="188"/>
        <v>Connors</v>
      </c>
      <c r="BB599">
        <f t="shared" si="188"/>
        <v>0</v>
      </c>
      <c r="BC599">
        <f t="shared" si="188"/>
        <v>0</v>
      </c>
      <c r="BD599">
        <f t="shared" si="188"/>
        <v>0</v>
      </c>
      <c r="BE599">
        <f t="shared" si="188"/>
        <v>0</v>
      </c>
      <c r="BF599">
        <f t="shared" si="188"/>
        <v>0</v>
      </c>
      <c r="BG599">
        <f t="shared" si="188"/>
        <v>0</v>
      </c>
      <c r="BH599">
        <f t="shared" si="188"/>
        <v>0</v>
      </c>
      <c r="BI599">
        <f t="shared" si="189"/>
        <v>0</v>
      </c>
      <c r="BJ599">
        <f t="shared" si="189"/>
        <v>0</v>
      </c>
      <c r="BK599">
        <f t="shared" si="189"/>
        <v>0</v>
      </c>
      <c r="BL599">
        <f t="shared" si="189"/>
        <v>0</v>
      </c>
      <c r="BM599">
        <f t="shared" si="189"/>
        <v>0</v>
      </c>
      <c r="BN599">
        <f t="shared" si="189"/>
        <v>0</v>
      </c>
      <c r="BO599">
        <f t="shared" si="189"/>
        <v>0</v>
      </c>
      <c r="BP599">
        <f t="shared" si="189"/>
        <v>0</v>
      </c>
      <c r="BQ599">
        <f t="shared" si="189"/>
        <v>0</v>
      </c>
      <c r="BR599">
        <f t="shared" si="189"/>
        <v>0</v>
      </c>
      <c r="BS599">
        <f t="shared" si="189"/>
        <v>0</v>
      </c>
    </row>
    <row r="600" spans="2:71" ht="15" customHeight="1" x14ac:dyDescent="0.2">
      <c r="B600">
        <v>20</v>
      </c>
      <c r="C600">
        <v>5</v>
      </c>
      <c r="D600">
        <v>9</v>
      </c>
      <c r="E600" t="s">
        <v>463</v>
      </c>
      <c r="F600" t="s">
        <v>214</v>
      </c>
      <c r="G600" s="5">
        <v>44757</v>
      </c>
      <c r="H600" t="s">
        <v>97</v>
      </c>
      <c r="I600" t="s">
        <v>167</v>
      </c>
      <c r="J600" t="s">
        <v>168</v>
      </c>
      <c r="K600">
        <v>9</v>
      </c>
      <c r="L600" t="s">
        <v>90</v>
      </c>
      <c r="M600" t="s">
        <v>169</v>
      </c>
      <c r="N600" t="s">
        <v>123</v>
      </c>
      <c r="O600">
        <v>70.5</v>
      </c>
      <c r="P600">
        <v>134</v>
      </c>
      <c r="Q600">
        <v>6389</v>
      </c>
      <c r="R600" t="s">
        <v>145</v>
      </c>
      <c r="S600" t="s">
        <v>80</v>
      </c>
      <c r="U600" t="s">
        <v>60</v>
      </c>
      <c r="V600" t="s">
        <v>64</v>
      </c>
      <c r="W600" t="s">
        <v>109</v>
      </c>
      <c r="Y600" t="s">
        <v>54</v>
      </c>
      <c r="AA600">
        <v>1</v>
      </c>
      <c r="AB600" t="s">
        <v>32</v>
      </c>
      <c r="AC600" t="s">
        <v>249</v>
      </c>
      <c r="AE600" t="str">
        <f t="shared" si="183"/>
        <v>DelnekyFogan</v>
      </c>
      <c r="AF600">
        <v>1</v>
      </c>
      <c r="AG600">
        <v>1</v>
      </c>
      <c r="AH600">
        <v>0</v>
      </c>
      <c r="AI600">
        <v>0</v>
      </c>
      <c r="AJ600">
        <v>1</v>
      </c>
      <c r="AK600" t="s">
        <v>52</v>
      </c>
      <c r="AL600">
        <v>0.34745762711864397</v>
      </c>
      <c r="AM600" t="s">
        <v>49</v>
      </c>
      <c r="AO600">
        <f t="shared" si="187"/>
        <v>0</v>
      </c>
      <c r="AP600">
        <f t="shared" si="187"/>
        <v>0</v>
      </c>
      <c r="AQ600">
        <f t="shared" si="187"/>
        <v>0</v>
      </c>
      <c r="AR600">
        <f t="shared" si="187"/>
        <v>0</v>
      </c>
      <c r="AS600">
        <f t="shared" si="187"/>
        <v>0</v>
      </c>
      <c r="AT600">
        <f t="shared" si="187"/>
        <v>0</v>
      </c>
      <c r="AU600">
        <f t="shared" si="187"/>
        <v>0</v>
      </c>
      <c r="AV600">
        <f t="shared" si="187"/>
        <v>0</v>
      </c>
      <c r="AW600">
        <f t="shared" si="187"/>
        <v>0</v>
      </c>
      <c r="AX600">
        <f t="shared" si="187"/>
        <v>0</v>
      </c>
      <c r="AY600">
        <f t="shared" si="188"/>
        <v>0</v>
      </c>
      <c r="AZ600">
        <f t="shared" si="188"/>
        <v>0</v>
      </c>
      <c r="BA600">
        <f t="shared" si="188"/>
        <v>0</v>
      </c>
      <c r="BB600">
        <f t="shared" si="188"/>
        <v>0</v>
      </c>
      <c r="BC600" t="str">
        <f t="shared" si="188"/>
        <v>Fogan</v>
      </c>
      <c r="BD600">
        <f t="shared" si="188"/>
        <v>0</v>
      </c>
      <c r="BE600">
        <f t="shared" si="188"/>
        <v>0</v>
      </c>
      <c r="BF600">
        <f t="shared" si="188"/>
        <v>0</v>
      </c>
      <c r="BG600">
        <f t="shared" si="188"/>
        <v>0</v>
      </c>
      <c r="BH600">
        <f t="shared" si="188"/>
        <v>0</v>
      </c>
      <c r="BI600">
        <f t="shared" si="189"/>
        <v>0</v>
      </c>
      <c r="BJ600">
        <f t="shared" si="189"/>
        <v>0</v>
      </c>
      <c r="BK600">
        <f t="shared" si="189"/>
        <v>0</v>
      </c>
      <c r="BL600">
        <f t="shared" si="189"/>
        <v>0</v>
      </c>
      <c r="BM600" t="str">
        <f t="shared" si="189"/>
        <v>Delneky</v>
      </c>
      <c r="BN600">
        <f t="shared" si="189"/>
        <v>0</v>
      </c>
      <c r="BO600">
        <f t="shared" si="189"/>
        <v>0</v>
      </c>
      <c r="BP600">
        <f t="shared" si="189"/>
        <v>0</v>
      </c>
      <c r="BQ600">
        <f t="shared" si="189"/>
        <v>0</v>
      </c>
      <c r="BR600">
        <f t="shared" si="189"/>
        <v>0</v>
      </c>
      <c r="BS600">
        <f t="shared" si="189"/>
        <v>0</v>
      </c>
    </row>
    <row r="601" spans="2:71" ht="15" customHeight="1" x14ac:dyDescent="0.2">
      <c r="B601" t="s">
        <v>245</v>
      </c>
      <c r="D601">
        <v>9</v>
      </c>
      <c r="E601" t="s">
        <v>464</v>
      </c>
      <c r="F601" t="s">
        <v>214</v>
      </c>
      <c r="G601" s="5">
        <v>44757</v>
      </c>
      <c r="H601" t="s">
        <v>97</v>
      </c>
      <c r="I601" t="s">
        <v>167</v>
      </c>
      <c r="J601" t="s">
        <v>168</v>
      </c>
      <c r="K601">
        <v>9</v>
      </c>
      <c r="L601" t="s">
        <v>76</v>
      </c>
      <c r="M601" t="s">
        <v>169</v>
      </c>
      <c r="N601" t="s">
        <v>123</v>
      </c>
      <c r="O601">
        <v>70.5</v>
      </c>
      <c r="P601">
        <v>134</v>
      </c>
      <c r="Q601">
        <v>6389</v>
      </c>
      <c r="R601" t="s">
        <v>248</v>
      </c>
      <c r="S601" t="s">
        <v>248</v>
      </c>
      <c r="U601" t="s">
        <v>58</v>
      </c>
      <c r="V601" t="s">
        <v>43</v>
      </c>
      <c r="W601" t="s">
        <v>109</v>
      </c>
      <c r="AA601">
        <v>0.5</v>
      </c>
      <c r="AB601" t="s">
        <v>32</v>
      </c>
      <c r="AC601" t="s">
        <v>209</v>
      </c>
      <c r="AE601" t="str">
        <f t="shared" si="183"/>
        <v>Poirier</v>
      </c>
      <c r="AF601">
        <v>0.5</v>
      </c>
      <c r="AG601">
        <v>1</v>
      </c>
      <c r="AH601">
        <v>0</v>
      </c>
      <c r="AI601">
        <v>0</v>
      </c>
      <c r="AJ601">
        <v>1</v>
      </c>
      <c r="AO601">
        <f t="shared" si="187"/>
        <v>0</v>
      </c>
      <c r="AP601">
        <f t="shared" si="187"/>
        <v>0</v>
      </c>
      <c r="AQ601">
        <f t="shared" si="187"/>
        <v>0</v>
      </c>
      <c r="AR601" t="str">
        <f t="shared" si="187"/>
        <v>Poirier</v>
      </c>
      <c r="AS601">
        <f t="shared" si="187"/>
        <v>0</v>
      </c>
      <c r="AT601">
        <f t="shared" si="187"/>
        <v>0</v>
      </c>
      <c r="AU601">
        <f t="shared" si="187"/>
        <v>0</v>
      </c>
      <c r="AV601">
        <f t="shared" si="187"/>
        <v>0</v>
      </c>
      <c r="AW601">
        <f t="shared" si="187"/>
        <v>0</v>
      </c>
      <c r="AX601">
        <f t="shared" si="187"/>
        <v>0</v>
      </c>
      <c r="AY601">
        <f t="shared" si="188"/>
        <v>0</v>
      </c>
      <c r="AZ601">
        <f t="shared" si="188"/>
        <v>0</v>
      </c>
      <c r="BA601">
        <f t="shared" si="188"/>
        <v>0</v>
      </c>
      <c r="BB601">
        <f t="shared" si="188"/>
        <v>0</v>
      </c>
      <c r="BC601">
        <f t="shared" si="188"/>
        <v>0</v>
      </c>
      <c r="BD601">
        <f t="shared" si="188"/>
        <v>0</v>
      </c>
      <c r="BE601">
        <f t="shared" si="188"/>
        <v>0</v>
      </c>
      <c r="BF601">
        <f t="shared" si="188"/>
        <v>0</v>
      </c>
      <c r="BG601">
        <f t="shared" si="188"/>
        <v>0</v>
      </c>
      <c r="BH601">
        <f t="shared" si="188"/>
        <v>0</v>
      </c>
      <c r="BI601">
        <f t="shared" si="189"/>
        <v>0</v>
      </c>
      <c r="BJ601">
        <f t="shared" si="189"/>
        <v>0</v>
      </c>
      <c r="BK601">
        <f t="shared" si="189"/>
        <v>0</v>
      </c>
      <c r="BL601">
        <f t="shared" si="189"/>
        <v>0</v>
      </c>
      <c r="BM601">
        <f t="shared" si="189"/>
        <v>0</v>
      </c>
      <c r="BN601">
        <f t="shared" si="189"/>
        <v>0</v>
      </c>
      <c r="BO601">
        <f t="shared" si="189"/>
        <v>0</v>
      </c>
      <c r="BP601">
        <f t="shared" si="189"/>
        <v>0</v>
      </c>
      <c r="BQ601">
        <f t="shared" si="189"/>
        <v>0</v>
      </c>
      <c r="BR601">
        <f t="shared" si="189"/>
        <v>0</v>
      </c>
      <c r="BS601">
        <f t="shared" si="189"/>
        <v>0</v>
      </c>
    </row>
    <row r="602" spans="2:71" ht="15" customHeight="1" x14ac:dyDescent="0.2">
      <c r="B602" t="s">
        <v>245</v>
      </c>
      <c r="D602">
        <v>9</v>
      </c>
      <c r="E602" t="s">
        <v>464</v>
      </c>
      <c r="F602" t="s">
        <v>214</v>
      </c>
      <c r="G602" s="5">
        <v>44757</v>
      </c>
      <c r="H602" t="s">
        <v>97</v>
      </c>
      <c r="I602" t="s">
        <v>167</v>
      </c>
      <c r="J602" t="s">
        <v>168</v>
      </c>
      <c r="K602">
        <v>9</v>
      </c>
      <c r="L602" t="s">
        <v>76</v>
      </c>
      <c r="M602" t="s">
        <v>169</v>
      </c>
      <c r="N602" t="s">
        <v>123</v>
      </c>
      <c r="O602">
        <v>70.5</v>
      </c>
      <c r="P602">
        <v>134</v>
      </c>
      <c r="Q602">
        <v>6389</v>
      </c>
      <c r="R602" t="s">
        <v>248</v>
      </c>
      <c r="S602" t="s">
        <v>248</v>
      </c>
      <c r="U602" t="s">
        <v>58</v>
      </c>
      <c r="V602" t="s">
        <v>42</v>
      </c>
      <c r="W602" t="s">
        <v>109</v>
      </c>
      <c r="AA602">
        <v>0.5</v>
      </c>
      <c r="AB602" t="s">
        <v>32</v>
      </c>
      <c r="AC602" t="s">
        <v>209</v>
      </c>
      <c r="AE602" t="str">
        <f t="shared" si="183"/>
        <v>Jackson</v>
      </c>
      <c r="AF602">
        <v>0.5</v>
      </c>
      <c r="AG602">
        <v>1</v>
      </c>
      <c r="AH602">
        <v>0</v>
      </c>
      <c r="AI602">
        <v>0</v>
      </c>
      <c r="AJ602">
        <v>1</v>
      </c>
      <c r="AO602">
        <f t="shared" ref="AO602:AX611" si="190">IF(OR($V602=AO$1,$Y602=AO$1),AO$1,0)</f>
        <v>0</v>
      </c>
      <c r="AP602">
        <f t="shared" si="190"/>
        <v>0</v>
      </c>
      <c r="AQ602" t="str">
        <f t="shared" si="190"/>
        <v>Jackson</v>
      </c>
      <c r="AR602">
        <f t="shared" si="190"/>
        <v>0</v>
      </c>
      <c r="AS602">
        <f t="shared" si="190"/>
        <v>0</v>
      </c>
      <c r="AT602">
        <f t="shared" si="190"/>
        <v>0</v>
      </c>
      <c r="AU602">
        <f t="shared" si="190"/>
        <v>0</v>
      </c>
      <c r="AV602">
        <f t="shared" si="190"/>
        <v>0</v>
      </c>
      <c r="AW602">
        <f t="shared" si="190"/>
        <v>0</v>
      </c>
      <c r="AX602">
        <f t="shared" si="190"/>
        <v>0</v>
      </c>
      <c r="AY602">
        <f t="shared" ref="AY602:BH611" si="191">IF(OR($V602=AY$1,$Y602=AY$1),AY$1,0)</f>
        <v>0</v>
      </c>
      <c r="AZ602">
        <f t="shared" si="191"/>
        <v>0</v>
      </c>
      <c r="BA602">
        <f t="shared" si="191"/>
        <v>0</v>
      </c>
      <c r="BB602">
        <f t="shared" si="191"/>
        <v>0</v>
      </c>
      <c r="BC602">
        <f t="shared" si="191"/>
        <v>0</v>
      </c>
      <c r="BD602">
        <f t="shared" si="191"/>
        <v>0</v>
      </c>
      <c r="BE602">
        <f t="shared" si="191"/>
        <v>0</v>
      </c>
      <c r="BF602">
        <f t="shared" si="191"/>
        <v>0</v>
      </c>
      <c r="BG602">
        <f t="shared" si="191"/>
        <v>0</v>
      </c>
      <c r="BH602">
        <f t="shared" si="191"/>
        <v>0</v>
      </c>
      <c r="BI602">
        <f t="shared" ref="BI602:BS611" si="192">IF(OR($V602=BI$1,$Y602=BI$1),BI$1,0)</f>
        <v>0</v>
      </c>
      <c r="BJ602">
        <f t="shared" si="192"/>
        <v>0</v>
      </c>
      <c r="BK602">
        <f t="shared" si="192"/>
        <v>0</v>
      </c>
      <c r="BL602">
        <f t="shared" si="192"/>
        <v>0</v>
      </c>
      <c r="BM602">
        <f t="shared" si="192"/>
        <v>0</v>
      </c>
      <c r="BN602">
        <f t="shared" si="192"/>
        <v>0</v>
      </c>
      <c r="BO602">
        <f t="shared" si="192"/>
        <v>0</v>
      </c>
      <c r="BP602">
        <f t="shared" si="192"/>
        <v>0</v>
      </c>
      <c r="BQ602">
        <f t="shared" si="192"/>
        <v>0</v>
      </c>
      <c r="BR602">
        <f t="shared" si="192"/>
        <v>0</v>
      </c>
      <c r="BS602">
        <f t="shared" si="192"/>
        <v>0</v>
      </c>
    </row>
    <row r="603" spans="2:71" ht="15" customHeight="1" x14ac:dyDescent="0.2">
      <c r="B603" t="s">
        <v>245</v>
      </c>
      <c r="D603">
        <v>9</v>
      </c>
      <c r="E603" t="s">
        <v>464</v>
      </c>
      <c r="F603" t="s">
        <v>214</v>
      </c>
      <c r="G603" s="5">
        <v>44757</v>
      </c>
      <c r="H603" t="s">
        <v>97</v>
      </c>
      <c r="I603" t="s">
        <v>167</v>
      </c>
      <c r="J603" t="s">
        <v>168</v>
      </c>
      <c r="K603">
        <v>9</v>
      </c>
      <c r="L603" t="s">
        <v>76</v>
      </c>
      <c r="M603" t="s">
        <v>169</v>
      </c>
      <c r="N603" t="s">
        <v>123</v>
      </c>
      <c r="O603">
        <v>70.5</v>
      </c>
      <c r="P603">
        <v>134</v>
      </c>
      <c r="Q603">
        <v>6389</v>
      </c>
      <c r="R603" t="s">
        <v>248</v>
      </c>
      <c r="S603" t="s">
        <v>248</v>
      </c>
      <c r="U603" t="s">
        <v>58</v>
      </c>
      <c r="V603" t="s">
        <v>62</v>
      </c>
      <c r="W603" t="s">
        <v>109</v>
      </c>
      <c r="AA603">
        <v>0.5</v>
      </c>
      <c r="AB603" t="s">
        <v>32</v>
      </c>
      <c r="AC603" t="s">
        <v>209</v>
      </c>
      <c r="AE603" t="str">
        <f t="shared" si="183"/>
        <v>Welker</v>
      </c>
      <c r="AF603">
        <v>0.5</v>
      </c>
      <c r="AG603">
        <v>1</v>
      </c>
      <c r="AH603">
        <v>0</v>
      </c>
      <c r="AI603">
        <v>0</v>
      </c>
      <c r="AJ603">
        <v>1</v>
      </c>
      <c r="AO603">
        <f t="shared" si="190"/>
        <v>0</v>
      </c>
      <c r="AP603">
        <f t="shared" si="190"/>
        <v>0</v>
      </c>
      <c r="AQ603">
        <f t="shared" si="190"/>
        <v>0</v>
      </c>
      <c r="AR603">
        <f t="shared" si="190"/>
        <v>0</v>
      </c>
      <c r="AS603">
        <f t="shared" si="190"/>
        <v>0</v>
      </c>
      <c r="AT603">
        <f t="shared" si="190"/>
        <v>0</v>
      </c>
      <c r="AU603">
        <f t="shared" si="190"/>
        <v>0</v>
      </c>
      <c r="AV603">
        <f t="shared" si="190"/>
        <v>0</v>
      </c>
      <c r="AW603">
        <f t="shared" si="190"/>
        <v>0</v>
      </c>
      <c r="AX603">
        <f t="shared" si="190"/>
        <v>0</v>
      </c>
      <c r="AY603">
        <f t="shared" si="191"/>
        <v>0</v>
      </c>
      <c r="AZ603">
        <f t="shared" si="191"/>
        <v>0</v>
      </c>
      <c r="BA603">
        <f t="shared" si="191"/>
        <v>0</v>
      </c>
      <c r="BB603">
        <f t="shared" si="191"/>
        <v>0</v>
      </c>
      <c r="BC603">
        <f t="shared" si="191"/>
        <v>0</v>
      </c>
      <c r="BD603">
        <f t="shared" si="191"/>
        <v>0</v>
      </c>
      <c r="BE603">
        <f t="shared" si="191"/>
        <v>0</v>
      </c>
      <c r="BF603">
        <f t="shared" si="191"/>
        <v>0</v>
      </c>
      <c r="BG603">
        <f t="shared" si="191"/>
        <v>0</v>
      </c>
      <c r="BH603">
        <f t="shared" si="191"/>
        <v>0</v>
      </c>
      <c r="BI603">
        <f t="shared" si="192"/>
        <v>0</v>
      </c>
      <c r="BJ603">
        <f t="shared" si="192"/>
        <v>0</v>
      </c>
      <c r="BK603" t="str">
        <f t="shared" si="192"/>
        <v>Welker</v>
      </c>
      <c r="BL603">
        <f t="shared" si="192"/>
        <v>0</v>
      </c>
      <c r="BM603">
        <f t="shared" si="192"/>
        <v>0</v>
      </c>
      <c r="BN603">
        <f t="shared" si="192"/>
        <v>0</v>
      </c>
      <c r="BO603">
        <f t="shared" si="192"/>
        <v>0</v>
      </c>
      <c r="BP603">
        <f t="shared" si="192"/>
        <v>0</v>
      </c>
      <c r="BQ603">
        <f t="shared" si="192"/>
        <v>0</v>
      </c>
      <c r="BR603">
        <f t="shared" si="192"/>
        <v>0</v>
      </c>
      <c r="BS603">
        <f t="shared" si="192"/>
        <v>0</v>
      </c>
    </row>
    <row r="604" spans="2:71" ht="15" customHeight="1" x14ac:dyDescent="0.2">
      <c r="B604" t="s">
        <v>245</v>
      </c>
      <c r="D604">
        <v>9</v>
      </c>
      <c r="E604" t="s">
        <v>464</v>
      </c>
      <c r="F604" t="s">
        <v>214</v>
      </c>
      <c r="G604" s="5">
        <v>44757</v>
      </c>
      <c r="H604" t="s">
        <v>97</v>
      </c>
      <c r="I604" t="s">
        <v>167</v>
      </c>
      <c r="J604" t="s">
        <v>168</v>
      </c>
      <c r="K604">
        <v>9</v>
      </c>
      <c r="L604" t="s">
        <v>76</v>
      </c>
      <c r="M604" t="s">
        <v>169</v>
      </c>
      <c r="N604" t="s">
        <v>123</v>
      </c>
      <c r="O604">
        <v>70.5</v>
      </c>
      <c r="P604">
        <v>134</v>
      </c>
      <c r="Q604">
        <v>6389</v>
      </c>
      <c r="R604" t="s">
        <v>248</v>
      </c>
      <c r="S604" t="s">
        <v>248</v>
      </c>
      <c r="U604" t="s">
        <v>58</v>
      </c>
      <c r="V604" t="s">
        <v>60</v>
      </c>
      <c r="W604" t="s">
        <v>109</v>
      </c>
      <c r="AA604">
        <v>0.5</v>
      </c>
      <c r="AB604" t="s">
        <v>32</v>
      </c>
      <c r="AC604" t="s">
        <v>209</v>
      </c>
      <c r="AE604" t="str">
        <f t="shared" si="183"/>
        <v>Zimmer</v>
      </c>
      <c r="AF604">
        <v>0.5</v>
      </c>
      <c r="AG604">
        <v>1</v>
      </c>
      <c r="AH604">
        <v>0</v>
      </c>
      <c r="AI604">
        <v>0</v>
      </c>
      <c r="AJ604">
        <v>1</v>
      </c>
      <c r="AO604">
        <f t="shared" si="190"/>
        <v>0</v>
      </c>
      <c r="AP604">
        <f t="shared" si="190"/>
        <v>0</v>
      </c>
      <c r="AQ604">
        <f t="shared" si="190"/>
        <v>0</v>
      </c>
      <c r="AR604">
        <f t="shared" si="190"/>
        <v>0</v>
      </c>
      <c r="AS604">
        <f t="shared" si="190"/>
        <v>0</v>
      </c>
      <c r="AT604">
        <f t="shared" si="190"/>
        <v>0</v>
      </c>
      <c r="AU604">
        <f t="shared" si="190"/>
        <v>0</v>
      </c>
      <c r="AV604">
        <f t="shared" si="190"/>
        <v>0</v>
      </c>
      <c r="AW604">
        <f t="shared" si="190"/>
        <v>0</v>
      </c>
      <c r="AX604">
        <f t="shared" si="190"/>
        <v>0</v>
      </c>
      <c r="AY604">
        <f t="shared" si="191"/>
        <v>0</v>
      </c>
      <c r="AZ604">
        <f t="shared" si="191"/>
        <v>0</v>
      </c>
      <c r="BA604">
        <f t="shared" si="191"/>
        <v>0</v>
      </c>
      <c r="BB604">
        <f t="shared" si="191"/>
        <v>0</v>
      </c>
      <c r="BC604">
        <f t="shared" si="191"/>
        <v>0</v>
      </c>
      <c r="BD604">
        <f t="shared" si="191"/>
        <v>0</v>
      </c>
      <c r="BE604">
        <f t="shared" si="191"/>
        <v>0</v>
      </c>
      <c r="BF604">
        <f t="shared" si="191"/>
        <v>0</v>
      </c>
      <c r="BG604">
        <f t="shared" si="191"/>
        <v>0</v>
      </c>
      <c r="BH604">
        <f t="shared" si="191"/>
        <v>0</v>
      </c>
      <c r="BI604" t="str">
        <f t="shared" si="192"/>
        <v>Zimmer</v>
      </c>
      <c r="BJ604">
        <f t="shared" si="192"/>
        <v>0</v>
      </c>
      <c r="BK604">
        <f t="shared" si="192"/>
        <v>0</v>
      </c>
      <c r="BL604">
        <f t="shared" si="192"/>
        <v>0</v>
      </c>
      <c r="BM604">
        <f t="shared" si="192"/>
        <v>0</v>
      </c>
      <c r="BN604">
        <f t="shared" si="192"/>
        <v>0</v>
      </c>
      <c r="BO604">
        <f t="shared" si="192"/>
        <v>0</v>
      </c>
      <c r="BP604">
        <f t="shared" si="192"/>
        <v>0</v>
      </c>
      <c r="BQ604">
        <f t="shared" si="192"/>
        <v>0</v>
      </c>
      <c r="BR604">
        <f t="shared" si="192"/>
        <v>0</v>
      </c>
      <c r="BS604">
        <f t="shared" si="192"/>
        <v>0</v>
      </c>
    </row>
    <row r="605" spans="2:71" ht="15" customHeight="1" x14ac:dyDescent="0.2">
      <c r="B605" t="s">
        <v>245</v>
      </c>
      <c r="D605">
        <v>9</v>
      </c>
      <c r="E605" t="s">
        <v>464</v>
      </c>
      <c r="F605" t="s">
        <v>214</v>
      </c>
      <c r="G605" s="5">
        <v>44757</v>
      </c>
      <c r="H605" t="s">
        <v>97</v>
      </c>
      <c r="I605" t="s">
        <v>167</v>
      </c>
      <c r="J605" t="s">
        <v>168</v>
      </c>
      <c r="K605">
        <v>9</v>
      </c>
      <c r="L605" t="s">
        <v>76</v>
      </c>
      <c r="M605" t="s">
        <v>169</v>
      </c>
      <c r="N605" t="s">
        <v>123</v>
      </c>
      <c r="O605">
        <v>70.5</v>
      </c>
      <c r="P605">
        <v>134</v>
      </c>
      <c r="Q605">
        <v>6389</v>
      </c>
      <c r="R605" t="s">
        <v>248</v>
      </c>
      <c r="S605" t="s">
        <v>248</v>
      </c>
      <c r="U605" t="s">
        <v>58</v>
      </c>
      <c r="V605" t="s">
        <v>40</v>
      </c>
      <c r="W605" t="s">
        <v>109</v>
      </c>
      <c r="AA605">
        <v>0.5</v>
      </c>
      <c r="AB605" t="s">
        <v>32</v>
      </c>
      <c r="AC605" t="s">
        <v>209</v>
      </c>
      <c r="AE605" t="str">
        <f t="shared" si="183"/>
        <v>Grise</v>
      </c>
      <c r="AF605">
        <v>0.5</v>
      </c>
      <c r="AG605">
        <v>1</v>
      </c>
      <c r="AH605">
        <v>0</v>
      </c>
      <c r="AI605">
        <v>0</v>
      </c>
      <c r="AJ605">
        <v>1</v>
      </c>
      <c r="AO605" t="str">
        <f t="shared" si="190"/>
        <v>Grise</v>
      </c>
      <c r="AP605">
        <f t="shared" si="190"/>
        <v>0</v>
      </c>
      <c r="AQ605">
        <f t="shared" si="190"/>
        <v>0</v>
      </c>
      <c r="AR605">
        <f t="shared" si="190"/>
        <v>0</v>
      </c>
      <c r="AS605">
        <f t="shared" si="190"/>
        <v>0</v>
      </c>
      <c r="AT605">
        <f t="shared" si="190"/>
        <v>0</v>
      </c>
      <c r="AU605">
        <f t="shared" si="190"/>
        <v>0</v>
      </c>
      <c r="AV605">
        <f t="shared" si="190"/>
        <v>0</v>
      </c>
      <c r="AW605">
        <f t="shared" si="190"/>
        <v>0</v>
      </c>
      <c r="AX605">
        <f t="shared" si="190"/>
        <v>0</v>
      </c>
      <c r="AY605">
        <f t="shared" si="191"/>
        <v>0</v>
      </c>
      <c r="AZ605">
        <f t="shared" si="191"/>
        <v>0</v>
      </c>
      <c r="BA605">
        <f t="shared" si="191"/>
        <v>0</v>
      </c>
      <c r="BB605">
        <f t="shared" si="191"/>
        <v>0</v>
      </c>
      <c r="BC605">
        <f t="shared" si="191"/>
        <v>0</v>
      </c>
      <c r="BD605">
        <f t="shared" si="191"/>
        <v>0</v>
      </c>
      <c r="BE605">
        <f t="shared" si="191"/>
        <v>0</v>
      </c>
      <c r="BF605">
        <f t="shared" si="191"/>
        <v>0</v>
      </c>
      <c r="BG605">
        <f t="shared" si="191"/>
        <v>0</v>
      </c>
      <c r="BH605">
        <f t="shared" si="191"/>
        <v>0</v>
      </c>
      <c r="BI605">
        <f t="shared" si="192"/>
        <v>0</v>
      </c>
      <c r="BJ605">
        <f t="shared" si="192"/>
        <v>0</v>
      </c>
      <c r="BK605">
        <f t="shared" si="192"/>
        <v>0</v>
      </c>
      <c r="BL605">
        <f t="shared" si="192"/>
        <v>0</v>
      </c>
      <c r="BM605">
        <f t="shared" si="192"/>
        <v>0</v>
      </c>
      <c r="BN605">
        <f t="shared" si="192"/>
        <v>0</v>
      </c>
      <c r="BO605">
        <f t="shared" si="192"/>
        <v>0</v>
      </c>
      <c r="BP605">
        <f t="shared" si="192"/>
        <v>0</v>
      </c>
      <c r="BQ605">
        <f t="shared" si="192"/>
        <v>0</v>
      </c>
      <c r="BR605">
        <f t="shared" si="192"/>
        <v>0</v>
      </c>
      <c r="BS605">
        <f t="shared" si="192"/>
        <v>0</v>
      </c>
    </row>
    <row r="606" spans="2:71" ht="15" customHeight="1" x14ac:dyDescent="0.2">
      <c r="B606" t="s">
        <v>245</v>
      </c>
      <c r="D606">
        <v>9</v>
      </c>
      <c r="E606" t="s">
        <v>464</v>
      </c>
      <c r="F606" t="s">
        <v>214</v>
      </c>
      <c r="G606" s="5">
        <v>44757</v>
      </c>
      <c r="H606" t="s">
        <v>97</v>
      </c>
      <c r="I606" t="s">
        <v>167</v>
      </c>
      <c r="J606" t="s">
        <v>168</v>
      </c>
      <c r="K606">
        <v>9</v>
      </c>
      <c r="L606" t="s">
        <v>76</v>
      </c>
      <c r="M606" t="s">
        <v>169</v>
      </c>
      <c r="N606" t="s">
        <v>123</v>
      </c>
      <c r="O606">
        <v>70.5</v>
      </c>
      <c r="P606">
        <v>134</v>
      </c>
      <c r="Q606">
        <v>6389</v>
      </c>
      <c r="R606" t="s">
        <v>248</v>
      </c>
      <c r="S606" t="s">
        <v>248</v>
      </c>
      <c r="U606" t="s">
        <v>58</v>
      </c>
      <c r="V606" t="s">
        <v>53</v>
      </c>
      <c r="W606" t="s">
        <v>109</v>
      </c>
      <c r="AA606">
        <v>0.5</v>
      </c>
      <c r="AB606" t="s">
        <v>32</v>
      </c>
      <c r="AC606" t="s">
        <v>209</v>
      </c>
      <c r="AE606" t="str">
        <f t="shared" si="183"/>
        <v>Forster</v>
      </c>
      <c r="AF606">
        <v>0.5</v>
      </c>
      <c r="AG606">
        <v>1</v>
      </c>
      <c r="AH606">
        <v>0</v>
      </c>
      <c r="AI606">
        <v>0</v>
      </c>
      <c r="AJ606">
        <v>1</v>
      </c>
      <c r="AO606">
        <f t="shared" si="190"/>
        <v>0</v>
      </c>
      <c r="AP606">
        <f t="shared" si="190"/>
        <v>0</v>
      </c>
      <c r="AQ606">
        <f t="shared" si="190"/>
        <v>0</v>
      </c>
      <c r="AR606">
        <f t="shared" si="190"/>
        <v>0</v>
      </c>
      <c r="AS606">
        <f t="shared" si="190"/>
        <v>0</v>
      </c>
      <c r="AT606">
        <f t="shared" si="190"/>
        <v>0</v>
      </c>
      <c r="AU606">
        <f t="shared" si="190"/>
        <v>0</v>
      </c>
      <c r="AV606">
        <f t="shared" si="190"/>
        <v>0</v>
      </c>
      <c r="AW606">
        <f t="shared" si="190"/>
        <v>0</v>
      </c>
      <c r="AX606">
        <f t="shared" si="190"/>
        <v>0</v>
      </c>
      <c r="AY606">
        <f t="shared" si="191"/>
        <v>0</v>
      </c>
      <c r="AZ606">
        <f t="shared" si="191"/>
        <v>0</v>
      </c>
      <c r="BA606">
        <f t="shared" si="191"/>
        <v>0</v>
      </c>
      <c r="BB606" t="str">
        <f t="shared" si="191"/>
        <v>Forster</v>
      </c>
      <c r="BC606">
        <f t="shared" si="191"/>
        <v>0</v>
      </c>
      <c r="BD606">
        <f t="shared" si="191"/>
        <v>0</v>
      </c>
      <c r="BE606">
        <f t="shared" si="191"/>
        <v>0</v>
      </c>
      <c r="BF606">
        <f t="shared" si="191"/>
        <v>0</v>
      </c>
      <c r="BG606">
        <f t="shared" si="191"/>
        <v>0</v>
      </c>
      <c r="BH606">
        <f t="shared" si="191"/>
        <v>0</v>
      </c>
      <c r="BI606">
        <f t="shared" si="192"/>
        <v>0</v>
      </c>
      <c r="BJ606">
        <f t="shared" si="192"/>
        <v>0</v>
      </c>
      <c r="BK606">
        <f t="shared" si="192"/>
        <v>0</v>
      </c>
      <c r="BL606">
        <f t="shared" si="192"/>
        <v>0</v>
      </c>
      <c r="BM606">
        <f t="shared" si="192"/>
        <v>0</v>
      </c>
      <c r="BN606">
        <f t="shared" si="192"/>
        <v>0</v>
      </c>
      <c r="BO606">
        <f t="shared" si="192"/>
        <v>0</v>
      </c>
      <c r="BP606">
        <f t="shared" si="192"/>
        <v>0</v>
      </c>
      <c r="BQ606">
        <f t="shared" si="192"/>
        <v>0</v>
      </c>
      <c r="BR606">
        <f t="shared" si="192"/>
        <v>0</v>
      </c>
      <c r="BS606">
        <f t="shared" si="192"/>
        <v>0</v>
      </c>
    </row>
    <row r="607" spans="2:71" ht="15" customHeight="1" x14ac:dyDescent="0.2">
      <c r="B607" t="s">
        <v>245</v>
      </c>
      <c r="D607">
        <v>9</v>
      </c>
      <c r="E607" t="s">
        <v>464</v>
      </c>
      <c r="F607" t="s">
        <v>214</v>
      </c>
      <c r="G607" s="5">
        <v>44757</v>
      </c>
      <c r="H607" t="s">
        <v>97</v>
      </c>
      <c r="I607" t="s">
        <v>167</v>
      </c>
      <c r="J607" t="s">
        <v>168</v>
      </c>
      <c r="K607">
        <v>9</v>
      </c>
      <c r="L607" t="s">
        <v>76</v>
      </c>
      <c r="M607" t="s">
        <v>169</v>
      </c>
      <c r="N607" t="s">
        <v>123</v>
      </c>
      <c r="O607">
        <v>70.5</v>
      </c>
      <c r="P607">
        <v>134</v>
      </c>
      <c r="Q607">
        <v>6389</v>
      </c>
      <c r="R607" t="s">
        <v>248</v>
      </c>
      <c r="S607" t="s">
        <v>248</v>
      </c>
      <c r="U607" t="s">
        <v>58</v>
      </c>
      <c r="V607" t="s">
        <v>67</v>
      </c>
      <c r="W607" t="s">
        <v>109</v>
      </c>
      <c r="AA607">
        <v>0.5</v>
      </c>
      <c r="AB607" t="s">
        <v>32</v>
      </c>
      <c r="AC607" t="s">
        <v>209</v>
      </c>
      <c r="AE607" t="str">
        <f t="shared" si="183"/>
        <v>Deoteris</v>
      </c>
      <c r="AF607">
        <v>0.5</v>
      </c>
      <c r="AG607">
        <v>1</v>
      </c>
      <c r="AH607">
        <v>0</v>
      </c>
      <c r="AI607">
        <v>0</v>
      </c>
      <c r="AJ607">
        <v>1</v>
      </c>
      <c r="AO607">
        <f t="shared" si="190"/>
        <v>0</v>
      </c>
      <c r="AP607">
        <f t="shared" si="190"/>
        <v>0</v>
      </c>
      <c r="AQ607">
        <f t="shared" si="190"/>
        <v>0</v>
      </c>
      <c r="AR607">
        <f t="shared" si="190"/>
        <v>0</v>
      </c>
      <c r="AS607">
        <f t="shared" si="190"/>
        <v>0</v>
      </c>
      <c r="AT607">
        <f t="shared" si="190"/>
        <v>0</v>
      </c>
      <c r="AU607">
        <f t="shared" si="190"/>
        <v>0</v>
      </c>
      <c r="AV607">
        <f t="shared" si="190"/>
        <v>0</v>
      </c>
      <c r="AW607">
        <f t="shared" si="190"/>
        <v>0</v>
      </c>
      <c r="AX607">
        <f t="shared" si="190"/>
        <v>0</v>
      </c>
      <c r="AY607">
        <f t="shared" si="191"/>
        <v>0</v>
      </c>
      <c r="AZ607">
        <f t="shared" si="191"/>
        <v>0</v>
      </c>
      <c r="BA607">
        <f t="shared" si="191"/>
        <v>0</v>
      </c>
      <c r="BB607">
        <f t="shared" si="191"/>
        <v>0</v>
      </c>
      <c r="BC607">
        <f t="shared" si="191"/>
        <v>0</v>
      </c>
      <c r="BD607">
        <f t="shared" si="191"/>
        <v>0</v>
      </c>
      <c r="BE607">
        <f t="shared" si="191"/>
        <v>0</v>
      </c>
      <c r="BF607">
        <f t="shared" si="191"/>
        <v>0</v>
      </c>
      <c r="BG607">
        <f t="shared" si="191"/>
        <v>0</v>
      </c>
      <c r="BH607">
        <f t="shared" si="191"/>
        <v>0</v>
      </c>
      <c r="BI607">
        <f t="shared" si="192"/>
        <v>0</v>
      </c>
      <c r="BJ607">
        <f t="shared" si="192"/>
        <v>0</v>
      </c>
      <c r="BK607">
        <f t="shared" si="192"/>
        <v>0</v>
      </c>
      <c r="BL607">
        <f t="shared" si="192"/>
        <v>0</v>
      </c>
      <c r="BM607">
        <f t="shared" si="192"/>
        <v>0</v>
      </c>
      <c r="BN607">
        <f t="shared" si="192"/>
        <v>0</v>
      </c>
      <c r="BO607">
        <f t="shared" si="192"/>
        <v>0</v>
      </c>
      <c r="BP607" t="str">
        <f t="shared" si="192"/>
        <v>Deoteris</v>
      </c>
      <c r="BQ607">
        <f t="shared" si="192"/>
        <v>0</v>
      </c>
      <c r="BR607">
        <f t="shared" si="192"/>
        <v>0</v>
      </c>
      <c r="BS607">
        <f t="shared" si="192"/>
        <v>0</v>
      </c>
    </row>
    <row r="608" spans="2:71" ht="15" customHeight="1" x14ac:dyDescent="0.2">
      <c r="B608" t="s">
        <v>245</v>
      </c>
      <c r="D608">
        <v>9</v>
      </c>
      <c r="E608" t="s">
        <v>464</v>
      </c>
      <c r="F608" t="s">
        <v>214</v>
      </c>
      <c r="G608" s="5">
        <v>44757</v>
      </c>
      <c r="H608" t="s">
        <v>97</v>
      </c>
      <c r="I608" t="s">
        <v>167</v>
      </c>
      <c r="J608" t="s">
        <v>168</v>
      </c>
      <c r="K608">
        <v>9</v>
      </c>
      <c r="L608" t="s">
        <v>76</v>
      </c>
      <c r="M608" t="s">
        <v>169</v>
      </c>
      <c r="N608" t="s">
        <v>123</v>
      </c>
      <c r="O608">
        <v>70.5</v>
      </c>
      <c r="P608">
        <v>134</v>
      </c>
      <c r="Q608">
        <v>6389</v>
      </c>
      <c r="R608" t="s">
        <v>248</v>
      </c>
      <c r="S608" t="s">
        <v>248</v>
      </c>
      <c r="U608" t="s">
        <v>58</v>
      </c>
      <c r="V608" t="s">
        <v>50</v>
      </c>
      <c r="W608" t="s">
        <v>109</v>
      </c>
      <c r="AA608">
        <v>0.5</v>
      </c>
      <c r="AB608" t="s">
        <v>32</v>
      </c>
      <c r="AC608" t="s">
        <v>209</v>
      </c>
      <c r="AE608" t="str">
        <f t="shared" si="183"/>
        <v>Ferrin</v>
      </c>
      <c r="AF608">
        <v>0.5</v>
      </c>
      <c r="AG608">
        <v>1</v>
      </c>
      <c r="AH608">
        <v>0</v>
      </c>
      <c r="AI608">
        <v>0</v>
      </c>
      <c r="AJ608">
        <v>1</v>
      </c>
      <c r="AO608">
        <f t="shared" si="190"/>
        <v>0</v>
      </c>
      <c r="AP608">
        <f t="shared" si="190"/>
        <v>0</v>
      </c>
      <c r="AQ608">
        <f t="shared" si="190"/>
        <v>0</v>
      </c>
      <c r="AR608">
        <f t="shared" si="190"/>
        <v>0</v>
      </c>
      <c r="AS608">
        <f t="shared" si="190"/>
        <v>0</v>
      </c>
      <c r="AT608">
        <f t="shared" si="190"/>
        <v>0</v>
      </c>
      <c r="AU608">
        <f t="shared" si="190"/>
        <v>0</v>
      </c>
      <c r="AV608">
        <f t="shared" si="190"/>
        <v>0</v>
      </c>
      <c r="AW608">
        <f t="shared" si="190"/>
        <v>0</v>
      </c>
      <c r="AX608">
        <f t="shared" si="190"/>
        <v>0</v>
      </c>
      <c r="AY608" t="str">
        <f t="shared" si="191"/>
        <v>Ferrin</v>
      </c>
      <c r="AZ608">
        <f t="shared" si="191"/>
        <v>0</v>
      </c>
      <c r="BA608">
        <f t="shared" si="191"/>
        <v>0</v>
      </c>
      <c r="BB608">
        <f t="shared" si="191"/>
        <v>0</v>
      </c>
      <c r="BC608">
        <f t="shared" si="191"/>
        <v>0</v>
      </c>
      <c r="BD608">
        <f t="shared" si="191"/>
        <v>0</v>
      </c>
      <c r="BE608">
        <f t="shared" si="191"/>
        <v>0</v>
      </c>
      <c r="BF608">
        <f t="shared" si="191"/>
        <v>0</v>
      </c>
      <c r="BG608">
        <f t="shared" si="191"/>
        <v>0</v>
      </c>
      <c r="BH608">
        <f t="shared" si="191"/>
        <v>0</v>
      </c>
      <c r="BI608">
        <f t="shared" si="192"/>
        <v>0</v>
      </c>
      <c r="BJ608">
        <f t="shared" si="192"/>
        <v>0</v>
      </c>
      <c r="BK608">
        <f t="shared" si="192"/>
        <v>0</v>
      </c>
      <c r="BL608">
        <f t="shared" si="192"/>
        <v>0</v>
      </c>
      <c r="BM608">
        <f t="shared" si="192"/>
        <v>0</v>
      </c>
      <c r="BN608">
        <f t="shared" si="192"/>
        <v>0</v>
      </c>
      <c r="BO608">
        <f t="shared" si="192"/>
        <v>0</v>
      </c>
      <c r="BP608">
        <f t="shared" si="192"/>
        <v>0</v>
      </c>
      <c r="BQ608">
        <f t="shared" si="192"/>
        <v>0</v>
      </c>
      <c r="BR608">
        <f t="shared" si="192"/>
        <v>0</v>
      </c>
      <c r="BS608">
        <f t="shared" si="192"/>
        <v>0</v>
      </c>
    </row>
    <row r="609" spans="2:71" ht="15" customHeight="1" x14ac:dyDescent="0.2">
      <c r="B609" t="s">
        <v>245</v>
      </c>
      <c r="D609">
        <v>9</v>
      </c>
      <c r="E609" t="s">
        <v>464</v>
      </c>
      <c r="F609" t="s">
        <v>214</v>
      </c>
      <c r="G609" s="5">
        <v>44757</v>
      </c>
      <c r="H609" t="s">
        <v>97</v>
      </c>
      <c r="I609" t="s">
        <v>167</v>
      </c>
      <c r="J609" t="s">
        <v>168</v>
      </c>
      <c r="K609">
        <v>9</v>
      </c>
      <c r="L609" t="s">
        <v>76</v>
      </c>
      <c r="M609" t="s">
        <v>169</v>
      </c>
      <c r="N609" t="s">
        <v>123</v>
      </c>
      <c r="O609">
        <v>70.5</v>
      </c>
      <c r="P609">
        <v>134</v>
      </c>
      <c r="Q609">
        <v>6389</v>
      </c>
      <c r="R609" t="s">
        <v>248</v>
      </c>
      <c r="S609" t="s">
        <v>248</v>
      </c>
      <c r="U609" t="s">
        <v>58</v>
      </c>
      <c r="V609" t="s">
        <v>64</v>
      </c>
      <c r="W609" t="s">
        <v>109</v>
      </c>
      <c r="AA609">
        <v>0.5</v>
      </c>
      <c r="AB609" t="s">
        <v>32</v>
      </c>
      <c r="AC609" t="s">
        <v>209</v>
      </c>
      <c r="AE609" t="str">
        <f t="shared" si="183"/>
        <v>Delneky</v>
      </c>
      <c r="AF609">
        <v>0.5</v>
      </c>
      <c r="AG609">
        <v>1</v>
      </c>
      <c r="AH609">
        <v>0</v>
      </c>
      <c r="AI609">
        <v>0</v>
      </c>
      <c r="AJ609">
        <v>1</v>
      </c>
      <c r="AO609">
        <f t="shared" si="190"/>
        <v>0</v>
      </c>
      <c r="AP609">
        <f t="shared" si="190"/>
        <v>0</v>
      </c>
      <c r="AQ609">
        <f t="shared" si="190"/>
        <v>0</v>
      </c>
      <c r="AR609">
        <f t="shared" si="190"/>
        <v>0</v>
      </c>
      <c r="AS609">
        <f t="shared" si="190"/>
        <v>0</v>
      </c>
      <c r="AT609">
        <f t="shared" si="190"/>
        <v>0</v>
      </c>
      <c r="AU609">
        <f t="shared" si="190"/>
        <v>0</v>
      </c>
      <c r="AV609">
        <f t="shared" si="190"/>
        <v>0</v>
      </c>
      <c r="AW609">
        <f t="shared" si="190"/>
        <v>0</v>
      </c>
      <c r="AX609">
        <f t="shared" si="190"/>
        <v>0</v>
      </c>
      <c r="AY609">
        <f t="shared" si="191"/>
        <v>0</v>
      </c>
      <c r="AZ609">
        <f t="shared" si="191"/>
        <v>0</v>
      </c>
      <c r="BA609">
        <f t="shared" si="191"/>
        <v>0</v>
      </c>
      <c r="BB609">
        <f t="shared" si="191"/>
        <v>0</v>
      </c>
      <c r="BC609">
        <f t="shared" si="191"/>
        <v>0</v>
      </c>
      <c r="BD609">
        <f t="shared" si="191"/>
        <v>0</v>
      </c>
      <c r="BE609">
        <f t="shared" si="191"/>
        <v>0</v>
      </c>
      <c r="BF609">
        <f t="shared" si="191"/>
        <v>0</v>
      </c>
      <c r="BG609">
        <f t="shared" si="191"/>
        <v>0</v>
      </c>
      <c r="BH609">
        <f t="shared" si="191"/>
        <v>0</v>
      </c>
      <c r="BI609">
        <f t="shared" si="192"/>
        <v>0</v>
      </c>
      <c r="BJ609">
        <f t="shared" si="192"/>
        <v>0</v>
      </c>
      <c r="BK609">
        <f t="shared" si="192"/>
        <v>0</v>
      </c>
      <c r="BL609">
        <f t="shared" si="192"/>
        <v>0</v>
      </c>
      <c r="BM609" t="str">
        <f t="shared" si="192"/>
        <v>Delneky</v>
      </c>
      <c r="BN609">
        <f t="shared" si="192"/>
        <v>0</v>
      </c>
      <c r="BO609">
        <f t="shared" si="192"/>
        <v>0</v>
      </c>
      <c r="BP609">
        <f t="shared" si="192"/>
        <v>0</v>
      </c>
      <c r="BQ609">
        <f t="shared" si="192"/>
        <v>0</v>
      </c>
      <c r="BR609">
        <f t="shared" si="192"/>
        <v>0</v>
      </c>
      <c r="BS609">
        <f t="shared" si="192"/>
        <v>0</v>
      </c>
    </row>
    <row r="610" spans="2:71" ht="15" customHeight="1" x14ac:dyDescent="0.2">
      <c r="B610" t="s">
        <v>245</v>
      </c>
      <c r="D610">
        <v>9</v>
      </c>
      <c r="E610" t="s">
        <v>464</v>
      </c>
      <c r="F610" t="s">
        <v>214</v>
      </c>
      <c r="G610" s="5">
        <v>44757</v>
      </c>
      <c r="H610" t="s">
        <v>97</v>
      </c>
      <c r="I610" t="s">
        <v>167</v>
      </c>
      <c r="J610" t="s">
        <v>168</v>
      </c>
      <c r="K610">
        <v>9</v>
      </c>
      <c r="L610" t="s">
        <v>76</v>
      </c>
      <c r="M610" t="s">
        <v>169</v>
      </c>
      <c r="N610" t="s">
        <v>123</v>
      </c>
      <c r="O610">
        <v>70.5</v>
      </c>
      <c r="P610">
        <v>134</v>
      </c>
      <c r="Q610">
        <v>6389</v>
      </c>
      <c r="R610" t="s">
        <v>248</v>
      </c>
      <c r="S610" t="s">
        <v>248</v>
      </c>
      <c r="U610" t="s">
        <v>58</v>
      </c>
      <c r="V610" t="s">
        <v>54</v>
      </c>
      <c r="W610" t="s">
        <v>109</v>
      </c>
      <c r="AA610">
        <v>0.5</v>
      </c>
      <c r="AB610" t="s">
        <v>32</v>
      </c>
      <c r="AC610" t="s">
        <v>209</v>
      </c>
      <c r="AE610" t="str">
        <f t="shared" si="183"/>
        <v>Fogan</v>
      </c>
      <c r="AF610">
        <v>0.5</v>
      </c>
      <c r="AG610">
        <v>1</v>
      </c>
      <c r="AH610">
        <v>0</v>
      </c>
      <c r="AI610">
        <v>0</v>
      </c>
      <c r="AJ610">
        <v>1</v>
      </c>
      <c r="AO610">
        <f t="shared" si="190"/>
        <v>0</v>
      </c>
      <c r="AP610">
        <f t="shared" si="190"/>
        <v>0</v>
      </c>
      <c r="AQ610">
        <f t="shared" si="190"/>
        <v>0</v>
      </c>
      <c r="AR610">
        <f t="shared" si="190"/>
        <v>0</v>
      </c>
      <c r="AS610">
        <f t="shared" si="190"/>
        <v>0</v>
      </c>
      <c r="AT610">
        <f t="shared" si="190"/>
        <v>0</v>
      </c>
      <c r="AU610">
        <f t="shared" si="190"/>
        <v>0</v>
      </c>
      <c r="AV610">
        <f t="shared" si="190"/>
        <v>0</v>
      </c>
      <c r="AW610">
        <f t="shared" si="190"/>
        <v>0</v>
      </c>
      <c r="AX610">
        <f t="shared" si="190"/>
        <v>0</v>
      </c>
      <c r="AY610">
        <f t="shared" si="191"/>
        <v>0</v>
      </c>
      <c r="AZ610">
        <f t="shared" si="191"/>
        <v>0</v>
      </c>
      <c r="BA610">
        <f t="shared" si="191"/>
        <v>0</v>
      </c>
      <c r="BB610">
        <f t="shared" si="191"/>
        <v>0</v>
      </c>
      <c r="BC610" t="str">
        <f t="shared" si="191"/>
        <v>Fogan</v>
      </c>
      <c r="BD610">
        <f t="shared" si="191"/>
        <v>0</v>
      </c>
      <c r="BE610">
        <f t="shared" si="191"/>
        <v>0</v>
      </c>
      <c r="BF610">
        <f t="shared" si="191"/>
        <v>0</v>
      </c>
      <c r="BG610">
        <f t="shared" si="191"/>
        <v>0</v>
      </c>
      <c r="BH610">
        <f t="shared" si="191"/>
        <v>0</v>
      </c>
      <c r="BI610">
        <f t="shared" si="192"/>
        <v>0</v>
      </c>
      <c r="BJ610">
        <f t="shared" si="192"/>
        <v>0</v>
      </c>
      <c r="BK610">
        <f t="shared" si="192"/>
        <v>0</v>
      </c>
      <c r="BL610">
        <f t="shared" si="192"/>
        <v>0</v>
      </c>
      <c r="BM610">
        <f t="shared" si="192"/>
        <v>0</v>
      </c>
      <c r="BN610">
        <f t="shared" si="192"/>
        <v>0</v>
      </c>
      <c r="BO610">
        <f t="shared" si="192"/>
        <v>0</v>
      </c>
      <c r="BP610">
        <f t="shared" si="192"/>
        <v>0</v>
      </c>
      <c r="BQ610">
        <f t="shared" si="192"/>
        <v>0</v>
      </c>
      <c r="BR610">
        <f t="shared" si="192"/>
        <v>0</v>
      </c>
      <c r="BS610">
        <f t="shared" si="192"/>
        <v>0</v>
      </c>
    </row>
    <row r="611" spans="2:71" ht="15" customHeight="1" x14ac:dyDescent="0.2">
      <c r="B611" t="s">
        <v>245</v>
      </c>
      <c r="D611">
        <v>9</v>
      </c>
      <c r="E611" t="s">
        <v>464</v>
      </c>
      <c r="F611" t="s">
        <v>214</v>
      </c>
      <c r="G611" s="5">
        <v>44757</v>
      </c>
      <c r="H611" t="s">
        <v>97</v>
      </c>
      <c r="I611" t="s">
        <v>167</v>
      </c>
      <c r="J611" t="s">
        <v>168</v>
      </c>
      <c r="K611">
        <v>9</v>
      </c>
      <c r="L611" t="s">
        <v>76</v>
      </c>
      <c r="M611" t="s">
        <v>169</v>
      </c>
      <c r="N611" t="s">
        <v>123</v>
      </c>
      <c r="O611">
        <v>70.5</v>
      </c>
      <c r="P611">
        <v>134</v>
      </c>
      <c r="Q611">
        <v>6389</v>
      </c>
      <c r="R611" t="s">
        <v>248</v>
      </c>
      <c r="S611" t="s">
        <v>248</v>
      </c>
      <c r="U611" t="s">
        <v>60</v>
      </c>
      <c r="V611" t="s">
        <v>61</v>
      </c>
      <c r="W611" t="s">
        <v>109</v>
      </c>
      <c r="AA611">
        <v>0.5</v>
      </c>
      <c r="AB611" t="s">
        <v>33</v>
      </c>
      <c r="AC611" t="s">
        <v>209</v>
      </c>
      <c r="AE611" t="str">
        <f t="shared" si="183"/>
        <v>McInerney</v>
      </c>
      <c r="AF611">
        <v>0</v>
      </c>
      <c r="AG611">
        <v>0</v>
      </c>
      <c r="AH611">
        <v>1</v>
      </c>
      <c r="AI611">
        <v>0</v>
      </c>
      <c r="AJ611">
        <v>0</v>
      </c>
      <c r="AO611">
        <f t="shared" si="190"/>
        <v>0</v>
      </c>
      <c r="AP611">
        <f t="shared" si="190"/>
        <v>0</v>
      </c>
      <c r="AQ611">
        <f t="shared" si="190"/>
        <v>0</v>
      </c>
      <c r="AR611">
        <f t="shared" si="190"/>
        <v>0</v>
      </c>
      <c r="AS611">
        <f t="shared" si="190"/>
        <v>0</v>
      </c>
      <c r="AT611">
        <f t="shared" si="190"/>
        <v>0</v>
      </c>
      <c r="AU611">
        <f t="shared" si="190"/>
        <v>0</v>
      </c>
      <c r="AV611">
        <f t="shared" si="190"/>
        <v>0</v>
      </c>
      <c r="AW611">
        <f t="shared" si="190"/>
        <v>0</v>
      </c>
      <c r="AX611">
        <f t="shared" si="190"/>
        <v>0</v>
      </c>
      <c r="AY611">
        <f t="shared" si="191"/>
        <v>0</v>
      </c>
      <c r="AZ611">
        <f t="shared" si="191"/>
        <v>0</v>
      </c>
      <c r="BA611">
        <f t="shared" si="191"/>
        <v>0</v>
      </c>
      <c r="BB611">
        <f t="shared" si="191"/>
        <v>0</v>
      </c>
      <c r="BC611">
        <f t="shared" si="191"/>
        <v>0</v>
      </c>
      <c r="BD611">
        <f t="shared" si="191"/>
        <v>0</v>
      </c>
      <c r="BE611">
        <f t="shared" si="191"/>
        <v>0</v>
      </c>
      <c r="BF611">
        <f t="shared" si="191"/>
        <v>0</v>
      </c>
      <c r="BG611">
        <f t="shared" si="191"/>
        <v>0</v>
      </c>
      <c r="BH611">
        <f t="shared" si="191"/>
        <v>0</v>
      </c>
      <c r="BI611">
        <f t="shared" si="192"/>
        <v>0</v>
      </c>
      <c r="BJ611" t="str">
        <f t="shared" si="192"/>
        <v>McInerney</v>
      </c>
      <c r="BK611">
        <f t="shared" si="192"/>
        <v>0</v>
      </c>
      <c r="BL611">
        <f t="shared" si="192"/>
        <v>0</v>
      </c>
      <c r="BM611">
        <f t="shared" si="192"/>
        <v>0</v>
      </c>
      <c r="BN611">
        <f t="shared" si="192"/>
        <v>0</v>
      </c>
      <c r="BO611">
        <f t="shared" si="192"/>
        <v>0</v>
      </c>
      <c r="BP611">
        <f t="shared" si="192"/>
        <v>0</v>
      </c>
      <c r="BQ611">
        <f t="shared" si="192"/>
        <v>0</v>
      </c>
      <c r="BR611">
        <f t="shared" si="192"/>
        <v>0</v>
      </c>
      <c r="BS611">
        <f t="shared" si="192"/>
        <v>0</v>
      </c>
    </row>
    <row r="612" spans="2:71" ht="15" customHeight="1" x14ac:dyDescent="0.2">
      <c r="B612" t="s">
        <v>245</v>
      </c>
      <c r="D612">
        <v>9</v>
      </c>
      <c r="E612" t="s">
        <v>464</v>
      </c>
      <c r="F612" t="s">
        <v>214</v>
      </c>
      <c r="G612" s="5">
        <v>44757</v>
      </c>
      <c r="H612" t="s">
        <v>97</v>
      </c>
      <c r="I612" t="s">
        <v>167</v>
      </c>
      <c r="J612" t="s">
        <v>168</v>
      </c>
      <c r="K612">
        <v>9</v>
      </c>
      <c r="L612" t="s">
        <v>76</v>
      </c>
      <c r="M612" t="s">
        <v>169</v>
      </c>
      <c r="N612" t="s">
        <v>123</v>
      </c>
      <c r="O612">
        <v>70.5</v>
      </c>
      <c r="P612">
        <v>134</v>
      </c>
      <c r="Q612">
        <v>6389</v>
      </c>
      <c r="R612" t="s">
        <v>248</v>
      </c>
      <c r="S612" t="s">
        <v>248</v>
      </c>
      <c r="U612" t="s">
        <v>60</v>
      </c>
      <c r="V612" t="s">
        <v>44</v>
      </c>
      <c r="W612" t="s">
        <v>109</v>
      </c>
      <c r="AA612">
        <v>0.5</v>
      </c>
      <c r="AB612" t="s">
        <v>33</v>
      </c>
      <c r="AC612" t="s">
        <v>209</v>
      </c>
      <c r="AE612" t="str">
        <f t="shared" si="183"/>
        <v>Flanders</v>
      </c>
      <c r="AF612">
        <v>0</v>
      </c>
      <c r="AG612">
        <v>0</v>
      </c>
      <c r="AH612">
        <v>1</v>
      </c>
      <c r="AI612">
        <v>0</v>
      </c>
      <c r="AJ612">
        <v>0</v>
      </c>
      <c r="AO612">
        <f t="shared" ref="AO612:AX621" si="193">IF(OR($V612=AO$1,$Y612=AO$1),AO$1,0)</f>
        <v>0</v>
      </c>
      <c r="AP612">
        <f t="shared" si="193"/>
        <v>0</v>
      </c>
      <c r="AQ612">
        <f t="shared" si="193"/>
        <v>0</v>
      </c>
      <c r="AR612">
        <f t="shared" si="193"/>
        <v>0</v>
      </c>
      <c r="AS612" t="str">
        <f t="shared" si="193"/>
        <v>Flanders</v>
      </c>
      <c r="AT612">
        <f t="shared" si="193"/>
        <v>0</v>
      </c>
      <c r="AU612">
        <f t="shared" si="193"/>
        <v>0</v>
      </c>
      <c r="AV612">
        <f t="shared" si="193"/>
        <v>0</v>
      </c>
      <c r="AW612">
        <f t="shared" si="193"/>
        <v>0</v>
      </c>
      <c r="AX612">
        <f t="shared" si="193"/>
        <v>0</v>
      </c>
      <c r="AY612">
        <f t="shared" ref="AY612:BH621" si="194">IF(OR($V612=AY$1,$Y612=AY$1),AY$1,0)</f>
        <v>0</v>
      </c>
      <c r="AZ612">
        <f t="shared" si="194"/>
        <v>0</v>
      </c>
      <c r="BA612">
        <f t="shared" si="194"/>
        <v>0</v>
      </c>
      <c r="BB612">
        <f t="shared" si="194"/>
        <v>0</v>
      </c>
      <c r="BC612">
        <f t="shared" si="194"/>
        <v>0</v>
      </c>
      <c r="BD612">
        <f t="shared" si="194"/>
        <v>0</v>
      </c>
      <c r="BE612">
        <f t="shared" si="194"/>
        <v>0</v>
      </c>
      <c r="BF612">
        <f t="shared" si="194"/>
        <v>0</v>
      </c>
      <c r="BG612">
        <f t="shared" si="194"/>
        <v>0</v>
      </c>
      <c r="BH612">
        <f t="shared" si="194"/>
        <v>0</v>
      </c>
      <c r="BI612">
        <f t="shared" ref="BI612:BS621" si="195">IF(OR($V612=BI$1,$Y612=BI$1),BI$1,0)</f>
        <v>0</v>
      </c>
      <c r="BJ612">
        <f t="shared" si="195"/>
        <v>0</v>
      </c>
      <c r="BK612">
        <f t="shared" si="195"/>
        <v>0</v>
      </c>
      <c r="BL612">
        <f t="shared" si="195"/>
        <v>0</v>
      </c>
      <c r="BM612">
        <f t="shared" si="195"/>
        <v>0</v>
      </c>
      <c r="BN612">
        <f t="shared" si="195"/>
        <v>0</v>
      </c>
      <c r="BO612">
        <f t="shared" si="195"/>
        <v>0</v>
      </c>
      <c r="BP612">
        <f t="shared" si="195"/>
        <v>0</v>
      </c>
      <c r="BQ612">
        <f t="shared" si="195"/>
        <v>0</v>
      </c>
      <c r="BR612">
        <f t="shared" si="195"/>
        <v>0</v>
      </c>
      <c r="BS612">
        <f t="shared" si="195"/>
        <v>0</v>
      </c>
    </row>
    <row r="613" spans="2:71" ht="15" customHeight="1" x14ac:dyDescent="0.2">
      <c r="B613" t="s">
        <v>245</v>
      </c>
      <c r="D613">
        <v>9</v>
      </c>
      <c r="E613" t="s">
        <v>464</v>
      </c>
      <c r="F613" t="s">
        <v>214</v>
      </c>
      <c r="G613" s="5">
        <v>44757</v>
      </c>
      <c r="H613" t="s">
        <v>97</v>
      </c>
      <c r="I613" t="s">
        <v>167</v>
      </c>
      <c r="J613" t="s">
        <v>168</v>
      </c>
      <c r="K613">
        <v>9</v>
      </c>
      <c r="L613" t="s">
        <v>76</v>
      </c>
      <c r="M613" t="s">
        <v>169</v>
      </c>
      <c r="N613" t="s">
        <v>123</v>
      </c>
      <c r="O613">
        <v>70.5</v>
      </c>
      <c r="P613">
        <v>134</v>
      </c>
      <c r="Q613">
        <v>6389</v>
      </c>
      <c r="R613" t="s">
        <v>248</v>
      </c>
      <c r="S613" t="s">
        <v>248</v>
      </c>
      <c r="U613" t="s">
        <v>60</v>
      </c>
      <c r="V613" t="s">
        <v>45</v>
      </c>
      <c r="W613" t="s">
        <v>109</v>
      </c>
      <c r="AA613">
        <v>0.5</v>
      </c>
      <c r="AB613" t="s">
        <v>33</v>
      </c>
      <c r="AC613" t="s">
        <v>209</v>
      </c>
      <c r="AE613" t="str">
        <f t="shared" si="183"/>
        <v>Connolly</v>
      </c>
      <c r="AF613">
        <v>0</v>
      </c>
      <c r="AG613">
        <v>0</v>
      </c>
      <c r="AH613">
        <v>1</v>
      </c>
      <c r="AI613">
        <v>0</v>
      </c>
      <c r="AJ613">
        <v>0</v>
      </c>
      <c r="AO613">
        <f t="shared" si="193"/>
        <v>0</v>
      </c>
      <c r="AP613">
        <f t="shared" si="193"/>
        <v>0</v>
      </c>
      <c r="AQ613">
        <f t="shared" si="193"/>
        <v>0</v>
      </c>
      <c r="AR613">
        <f t="shared" si="193"/>
        <v>0</v>
      </c>
      <c r="AS613">
        <f t="shared" si="193"/>
        <v>0</v>
      </c>
      <c r="AT613" t="str">
        <f t="shared" si="193"/>
        <v>Connolly</v>
      </c>
      <c r="AU613">
        <f t="shared" si="193"/>
        <v>0</v>
      </c>
      <c r="AV613">
        <f t="shared" si="193"/>
        <v>0</v>
      </c>
      <c r="AW613">
        <f t="shared" si="193"/>
        <v>0</v>
      </c>
      <c r="AX613">
        <f t="shared" si="193"/>
        <v>0</v>
      </c>
      <c r="AY613">
        <f t="shared" si="194"/>
        <v>0</v>
      </c>
      <c r="AZ613">
        <f t="shared" si="194"/>
        <v>0</v>
      </c>
      <c r="BA613">
        <f t="shared" si="194"/>
        <v>0</v>
      </c>
      <c r="BB613">
        <f t="shared" si="194"/>
        <v>0</v>
      </c>
      <c r="BC613">
        <f t="shared" si="194"/>
        <v>0</v>
      </c>
      <c r="BD613">
        <f t="shared" si="194"/>
        <v>0</v>
      </c>
      <c r="BE613">
        <f t="shared" si="194"/>
        <v>0</v>
      </c>
      <c r="BF613">
        <f t="shared" si="194"/>
        <v>0</v>
      </c>
      <c r="BG613">
        <f t="shared" si="194"/>
        <v>0</v>
      </c>
      <c r="BH613">
        <f t="shared" si="194"/>
        <v>0</v>
      </c>
      <c r="BI613">
        <f t="shared" si="195"/>
        <v>0</v>
      </c>
      <c r="BJ613">
        <f t="shared" si="195"/>
        <v>0</v>
      </c>
      <c r="BK613">
        <f t="shared" si="195"/>
        <v>0</v>
      </c>
      <c r="BL613">
        <f t="shared" si="195"/>
        <v>0</v>
      </c>
      <c r="BM613">
        <f t="shared" si="195"/>
        <v>0</v>
      </c>
      <c r="BN613">
        <f t="shared" si="195"/>
        <v>0</v>
      </c>
      <c r="BO613">
        <f t="shared" si="195"/>
        <v>0</v>
      </c>
      <c r="BP613">
        <f t="shared" si="195"/>
        <v>0</v>
      </c>
      <c r="BQ613">
        <f t="shared" si="195"/>
        <v>0</v>
      </c>
      <c r="BR613">
        <f t="shared" si="195"/>
        <v>0</v>
      </c>
      <c r="BS613">
        <f t="shared" si="195"/>
        <v>0</v>
      </c>
    </row>
    <row r="614" spans="2:71" ht="15" customHeight="1" x14ac:dyDescent="0.2">
      <c r="B614" t="s">
        <v>245</v>
      </c>
      <c r="D614">
        <v>9</v>
      </c>
      <c r="E614" t="s">
        <v>464</v>
      </c>
      <c r="F614" t="s">
        <v>214</v>
      </c>
      <c r="G614" s="5">
        <v>44757</v>
      </c>
      <c r="H614" t="s">
        <v>97</v>
      </c>
      <c r="I614" t="s">
        <v>167</v>
      </c>
      <c r="J614" t="s">
        <v>168</v>
      </c>
      <c r="K614">
        <v>9</v>
      </c>
      <c r="L614" t="s">
        <v>76</v>
      </c>
      <c r="M614" t="s">
        <v>169</v>
      </c>
      <c r="N614" t="s">
        <v>123</v>
      </c>
      <c r="O614">
        <v>70.5</v>
      </c>
      <c r="P614">
        <v>134</v>
      </c>
      <c r="Q614">
        <v>6389</v>
      </c>
      <c r="R614" t="s">
        <v>248</v>
      </c>
      <c r="S614" t="s">
        <v>248</v>
      </c>
      <c r="U614" t="s">
        <v>60</v>
      </c>
      <c r="V614" t="s">
        <v>48</v>
      </c>
      <c r="W614" t="s">
        <v>109</v>
      </c>
      <c r="AA614">
        <v>0.5</v>
      </c>
      <c r="AB614" t="s">
        <v>33</v>
      </c>
      <c r="AC614" t="s">
        <v>209</v>
      </c>
      <c r="AE614" t="str">
        <f t="shared" si="183"/>
        <v>Lynch</v>
      </c>
      <c r="AF614">
        <v>0</v>
      </c>
      <c r="AG614">
        <v>0</v>
      </c>
      <c r="AH614">
        <v>1</v>
      </c>
      <c r="AI614">
        <v>0</v>
      </c>
      <c r="AJ614">
        <v>0</v>
      </c>
      <c r="AO614">
        <f t="shared" si="193"/>
        <v>0</v>
      </c>
      <c r="AP614">
        <f t="shared" si="193"/>
        <v>0</v>
      </c>
      <c r="AQ614">
        <f t="shared" si="193"/>
        <v>0</v>
      </c>
      <c r="AR614">
        <f t="shared" si="193"/>
        <v>0</v>
      </c>
      <c r="AS614">
        <f t="shared" si="193"/>
        <v>0</v>
      </c>
      <c r="AT614">
        <f t="shared" si="193"/>
        <v>0</v>
      </c>
      <c r="AU614">
        <f t="shared" si="193"/>
        <v>0</v>
      </c>
      <c r="AV614">
        <f t="shared" si="193"/>
        <v>0</v>
      </c>
      <c r="AW614" t="str">
        <f t="shared" si="193"/>
        <v>Lynch</v>
      </c>
      <c r="AX614">
        <f t="shared" si="193"/>
        <v>0</v>
      </c>
      <c r="AY614">
        <f t="shared" si="194"/>
        <v>0</v>
      </c>
      <c r="AZ614">
        <f t="shared" si="194"/>
        <v>0</v>
      </c>
      <c r="BA614">
        <f t="shared" si="194"/>
        <v>0</v>
      </c>
      <c r="BB614">
        <f t="shared" si="194"/>
        <v>0</v>
      </c>
      <c r="BC614">
        <f t="shared" si="194"/>
        <v>0</v>
      </c>
      <c r="BD614">
        <f t="shared" si="194"/>
        <v>0</v>
      </c>
      <c r="BE614">
        <f t="shared" si="194"/>
        <v>0</v>
      </c>
      <c r="BF614">
        <f t="shared" si="194"/>
        <v>0</v>
      </c>
      <c r="BG614">
        <f t="shared" si="194"/>
        <v>0</v>
      </c>
      <c r="BH614">
        <f t="shared" si="194"/>
        <v>0</v>
      </c>
      <c r="BI614">
        <f t="shared" si="195"/>
        <v>0</v>
      </c>
      <c r="BJ614">
        <f t="shared" si="195"/>
        <v>0</v>
      </c>
      <c r="BK614">
        <f t="shared" si="195"/>
        <v>0</v>
      </c>
      <c r="BL614">
        <f t="shared" si="195"/>
        <v>0</v>
      </c>
      <c r="BM614">
        <f t="shared" si="195"/>
        <v>0</v>
      </c>
      <c r="BN614">
        <f t="shared" si="195"/>
        <v>0</v>
      </c>
      <c r="BO614">
        <f t="shared" si="195"/>
        <v>0</v>
      </c>
      <c r="BP614">
        <f t="shared" si="195"/>
        <v>0</v>
      </c>
      <c r="BQ614">
        <f t="shared" si="195"/>
        <v>0</v>
      </c>
      <c r="BR614">
        <f t="shared" si="195"/>
        <v>0</v>
      </c>
      <c r="BS614">
        <f t="shared" si="195"/>
        <v>0</v>
      </c>
    </row>
    <row r="615" spans="2:71" ht="15" customHeight="1" x14ac:dyDescent="0.2">
      <c r="B615" t="s">
        <v>245</v>
      </c>
      <c r="D615">
        <v>9</v>
      </c>
      <c r="E615" t="s">
        <v>464</v>
      </c>
      <c r="F615" t="s">
        <v>214</v>
      </c>
      <c r="G615" s="5">
        <v>44757</v>
      </c>
      <c r="H615" t="s">
        <v>97</v>
      </c>
      <c r="I615" t="s">
        <v>167</v>
      </c>
      <c r="J615" t="s">
        <v>168</v>
      </c>
      <c r="K615">
        <v>9</v>
      </c>
      <c r="L615" t="s">
        <v>76</v>
      </c>
      <c r="M615" t="s">
        <v>169</v>
      </c>
      <c r="N615" t="s">
        <v>123</v>
      </c>
      <c r="O615">
        <v>70.5</v>
      </c>
      <c r="P615">
        <v>134</v>
      </c>
      <c r="Q615">
        <v>6389</v>
      </c>
      <c r="R615" t="s">
        <v>248</v>
      </c>
      <c r="S615" t="s">
        <v>248</v>
      </c>
      <c r="U615" t="s">
        <v>60</v>
      </c>
      <c r="V615" t="s">
        <v>66</v>
      </c>
      <c r="W615" t="s">
        <v>109</v>
      </c>
      <c r="AA615">
        <v>0.5</v>
      </c>
      <c r="AB615" t="s">
        <v>33</v>
      </c>
      <c r="AC615" t="s">
        <v>209</v>
      </c>
      <c r="AE615" t="str">
        <f t="shared" si="183"/>
        <v>Perkins</v>
      </c>
      <c r="AF615">
        <v>0</v>
      </c>
      <c r="AG615">
        <v>0</v>
      </c>
      <c r="AH615">
        <v>1</v>
      </c>
      <c r="AI615">
        <v>0</v>
      </c>
      <c r="AJ615">
        <v>0</v>
      </c>
      <c r="AO615">
        <f t="shared" si="193"/>
        <v>0</v>
      </c>
      <c r="AP615">
        <f t="shared" si="193"/>
        <v>0</v>
      </c>
      <c r="AQ615">
        <f t="shared" si="193"/>
        <v>0</v>
      </c>
      <c r="AR615">
        <f t="shared" si="193"/>
        <v>0</v>
      </c>
      <c r="AS615">
        <f t="shared" si="193"/>
        <v>0</v>
      </c>
      <c r="AT615">
        <f t="shared" si="193"/>
        <v>0</v>
      </c>
      <c r="AU615">
        <f t="shared" si="193"/>
        <v>0</v>
      </c>
      <c r="AV615">
        <f t="shared" si="193"/>
        <v>0</v>
      </c>
      <c r="AW615">
        <f t="shared" si="193"/>
        <v>0</v>
      </c>
      <c r="AX615">
        <f t="shared" si="193"/>
        <v>0</v>
      </c>
      <c r="AY615">
        <f t="shared" si="194"/>
        <v>0</v>
      </c>
      <c r="AZ615">
        <f t="shared" si="194"/>
        <v>0</v>
      </c>
      <c r="BA615">
        <f t="shared" si="194"/>
        <v>0</v>
      </c>
      <c r="BB615">
        <f t="shared" si="194"/>
        <v>0</v>
      </c>
      <c r="BC615">
        <f t="shared" si="194"/>
        <v>0</v>
      </c>
      <c r="BD615">
        <f t="shared" si="194"/>
        <v>0</v>
      </c>
      <c r="BE615">
        <f t="shared" si="194"/>
        <v>0</v>
      </c>
      <c r="BF615">
        <f t="shared" si="194"/>
        <v>0</v>
      </c>
      <c r="BG615">
        <f t="shared" si="194"/>
        <v>0</v>
      </c>
      <c r="BH615">
        <f t="shared" si="194"/>
        <v>0</v>
      </c>
      <c r="BI615">
        <f t="shared" si="195"/>
        <v>0</v>
      </c>
      <c r="BJ615">
        <f t="shared" si="195"/>
        <v>0</v>
      </c>
      <c r="BK615">
        <f t="shared" si="195"/>
        <v>0</v>
      </c>
      <c r="BL615">
        <f t="shared" si="195"/>
        <v>0</v>
      </c>
      <c r="BM615">
        <f t="shared" si="195"/>
        <v>0</v>
      </c>
      <c r="BN615">
        <f t="shared" si="195"/>
        <v>0</v>
      </c>
      <c r="BO615" t="str">
        <f t="shared" si="195"/>
        <v>Perkins</v>
      </c>
      <c r="BP615">
        <f t="shared" si="195"/>
        <v>0</v>
      </c>
      <c r="BQ615">
        <f t="shared" si="195"/>
        <v>0</v>
      </c>
      <c r="BR615">
        <f t="shared" si="195"/>
        <v>0</v>
      </c>
      <c r="BS615">
        <f t="shared" si="195"/>
        <v>0</v>
      </c>
    </row>
    <row r="616" spans="2:71" ht="15" customHeight="1" x14ac:dyDescent="0.2">
      <c r="B616" t="s">
        <v>245</v>
      </c>
      <c r="D616">
        <v>9</v>
      </c>
      <c r="E616" t="s">
        <v>464</v>
      </c>
      <c r="F616" t="s">
        <v>214</v>
      </c>
      <c r="G616" s="5">
        <v>44757</v>
      </c>
      <c r="H616" t="s">
        <v>97</v>
      </c>
      <c r="I616" t="s">
        <v>167</v>
      </c>
      <c r="J616" t="s">
        <v>168</v>
      </c>
      <c r="K616">
        <v>9</v>
      </c>
      <c r="L616" t="s">
        <v>76</v>
      </c>
      <c r="M616" t="s">
        <v>169</v>
      </c>
      <c r="N616" t="s">
        <v>123</v>
      </c>
      <c r="O616">
        <v>70.5</v>
      </c>
      <c r="P616">
        <v>134</v>
      </c>
      <c r="Q616">
        <v>6389</v>
      </c>
      <c r="R616" t="s">
        <v>248</v>
      </c>
      <c r="S616" t="s">
        <v>248</v>
      </c>
      <c r="U616" t="s">
        <v>60</v>
      </c>
      <c r="V616" t="s">
        <v>63</v>
      </c>
      <c r="W616" t="s">
        <v>109</v>
      </c>
      <c r="AA616">
        <v>0.5</v>
      </c>
      <c r="AB616" t="s">
        <v>33</v>
      </c>
      <c r="AC616" t="s">
        <v>209</v>
      </c>
      <c r="AE616" t="str">
        <f t="shared" si="183"/>
        <v>Delaney</v>
      </c>
      <c r="AF616">
        <v>0</v>
      </c>
      <c r="AG616">
        <v>0</v>
      </c>
      <c r="AH616">
        <v>1</v>
      </c>
      <c r="AI616">
        <v>0</v>
      </c>
      <c r="AJ616">
        <v>0</v>
      </c>
      <c r="AO616">
        <f t="shared" si="193"/>
        <v>0</v>
      </c>
      <c r="AP616">
        <f t="shared" si="193"/>
        <v>0</v>
      </c>
      <c r="AQ616">
        <f t="shared" si="193"/>
        <v>0</v>
      </c>
      <c r="AR616">
        <f t="shared" si="193"/>
        <v>0</v>
      </c>
      <c r="AS616">
        <f t="shared" si="193"/>
        <v>0</v>
      </c>
      <c r="AT616">
        <f t="shared" si="193"/>
        <v>0</v>
      </c>
      <c r="AU616">
        <f t="shared" si="193"/>
        <v>0</v>
      </c>
      <c r="AV616">
        <f t="shared" si="193"/>
        <v>0</v>
      </c>
      <c r="AW616">
        <f t="shared" si="193"/>
        <v>0</v>
      </c>
      <c r="AX616">
        <f t="shared" si="193"/>
        <v>0</v>
      </c>
      <c r="AY616">
        <f t="shared" si="194"/>
        <v>0</v>
      </c>
      <c r="AZ616">
        <f t="shared" si="194"/>
        <v>0</v>
      </c>
      <c r="BA616">
        <f t="shared" si="194"/>
        <v>0</v>
      </c>
      <c r="BB616">
        <f t="shared" si="194"/>
        <v>0</v>
      </c>
      <c r="BC616">
        <f t="shared" si="194"/>
        <v>0</v>
      </c>
      <c r="BD616">
        <f t="shared" si="194"/>
        <v>0</v>
      </c>
      <c r="BE616">
        <f t="shared" si="194"/>
        <v>0</v>
      </c>
      <c r="BF616">
        <f t="shared" si="194"/>
        <v>0</v>
      </c>
      <c r="BG616">
        <f t="shared" si="194"/>
        <v>0</v>
      </c>
      <c r="BH616">
        <f t="shared" si="194"/>
        <v>0</v>
      </c>
      <c r="BI616">
        <f t="shared" si="195"/>
        <v>0</v>
      </c>
      <c r="BJ616">
        <f t="shared" si="195"/>
        <v>0</v>
      </c>
      <c r="BK616">
        <f t="shared" si="195"/>
        <v>0</v>
      </c>
      <c r="BL616" t="str">
        <f t="shared" si="195"/>
        <v>Delaney</v>
      </c>
      <c r="BM616">
        <f t="shared" si="195"/>
        <v>0</v>
      </c>
      <c r="BN616">
        <f t="shared" si="195"/>
        <v>0</v>
      </c>
      <c r="BO616">
        <f t="shared" si="195"/>
        <v>0</v>
      </c>
      <c r="BP616">
        <f t="shared" si="195"/>
        <v>0</v>
      </c>
      <c r="BQ616">
        <f t="shared" si="195"/>
        <v>0</v>
      </c>
      <c r="BR616">
        <f t="shared" si="195"/>
        <v>0</v>
      </c>
      <c r="BS616">
        <f t="shared" si="195"/>
        <v>0</v>
      </c>
    </row>
    <row r="617" spans="2:71" ht="15" customHeight="1" x14ac:dyDescent="0.2">
      <c r="B617" t="s">
        <v>245</v>
      </c>
      <c r="D617">
        <v>9</v>
      </c>
      <c r="E617" t="s">
        <v>464</v>
      </c>
      <c r="F617" t="s">
        <v>214</v>
      </c>
      <c r="G617" s="5">
        <v>44757</v>
      </c>
      <c r="H617" t="s">
        <v>97</v>
      </c>
      <c r="I617" t="s">
        <v>167</v>
      </c>
      <c r="J617" t="s">
        <v>168</v>
      </c>
      <c r="K617">
        <v>9</v>
      </c>
      <c r="L617" t="s">
        <v>76</v>
      </c>
      <c r="M617" t="s">
        <v>169</v>
      </c>
      <c r="N617" t="s">
        <v>123</v>
      </c>
      <c r="O617">
        <v>70.5</v>
      </c>
      <c r="P617">
        <v>134</v>
      </c>
      <c r="Q617">
        <v>6389</v>
      </c>
      <c r="R617" t="s">
        <v>248</v>
      </c>
      <c r="S617" t="s">
        <v>248</v>
      </c>
      <c r="U617" t="s">
        <v>60</v>
      </c>
      <c r="V617" t="s">
        <v>49</v>
      </c>
      <c r="W617" t="s">
        <v>109</v>
      </c>
      <c r="AA617">
        <v>0.5</v>
      </c>
      <c r="AB617" t="s">
        <v>33</v>
      </c>
      <c r="AC617" t="s">
        <v>209</v>
      </c>
      <c r="AE617" t="str">
        <f t="shared" si="183"/>
        <v>Shively</v>
      </c>
      <c r="AF617">
        <v>0</v>
      </c>
      <c r="AG617">
        <v>0</v>
      </c>
      <c r="AH617">
        <v>1</v>
      </c>
      <c r="AI617">
        <v>0</v>
      </c>
      <c r="AJ617">
        <v>0</v>
      </c>
      <c r="AO617">
        <f t="shared" si="193"/>
        <v>0</v>
      </c>
      <c r="AP617">
        <f t="shared" si="193"/>
        <v>0</v>
      </c>
      <c r="AQ617">
        <f t="shared" si="193"/>
        <v>0</v>
      </c>
      <c r="AR617">
        <f t="shared" si="193"/>
        <v>0</v>
      </c>
      <c r="AS617">
        <f t="shared" si="193"/>
        <v>0</v>
      </c>
      <c r="AT617">
        <f t="shared" si="193"/>
        <v>0</v>
      </c>
      <c r="AU617">
        <f t="shared" si="193"/>
        <v>0</v>
      </c>
      <c r="AV617">
        <f t="shared" si="193"/>
        <v>0</v>
      </c>
      <c r="AW617">
        <f t="shared" si="193"/>
        <v>0</v>
      </c>
      <c r="AX617" t="str">
        <f t="shared" si="193"/>
        <v>Shively</v>
      </c>
      <c r="AY617">
        <f t="shared" si="194"/>
        <v>0</v>
      </c>
      <c r="AZ617">
        <f t="shared" si="194"/>
        <v>0</v>
      </c>
      <c r="BA617">
        <f t="shared" si="194"/>
        <v>0</v>
      </c>
      <c r="BB617">
        <f t="shared" si="194"/>
        <v>0</v>
      </c>
      <c r="BC617">
        <f t="shared" si="194"/>
        <v>0</v>
      </c>
      <c r="BD617">
        <f t="shared" si="194"/>
        <v>0</v>
      </c>
      <c r="BE617">
        <f t="shared" si="194"/>
        <v>0</v>
      </c>
      <c r="BF617">
        <f t="shared" si="194"/>
        <v>0</v>
      </c>
      <c r="BG617">
        <f t="shared" si="194"/>
        <v>0</v>
      </c>
      <c r="BH617">
        <f t="shared" si="194"/>
        <v>0</v>
      </c>
      <c r="BI617">
        <f t="shared" si="195"/>
        <v>0</v>
      </c>
      <c r="BJ617">
        <f t="shared" si="195"/>
        <v>0</v>
      </c>
      <c r="BK617">
        <f t="shared" si="195"/>
        <v>0</v>
      </c>
      <c r="BL617">
        <f t="shared" si="195"/>
        <v>0</v>
      </c>
      <c r="BM617">
        <f t="shared" si="195"/>
        <v>0</v>
      </c>
      <c r="BN617">
        <f t="shared" si="195"/>
        <v>0</v>
      </c>
      <c r="BO617">
        <f t="shared" si="195"/>
        <v>0</v>
      </c>
      <c r="BP617">
        <f t="shared" si="195"/>
        <v>0</v>
      </c>
      <c r="BQ617">
        <f t="shared" si="195"/>
        <v>0</v>
      </c>
      <c r="BR617">
        <f t="shared" si="195"/>
        <v>0</v>
      </c>
      <c r="BS617">
        <f t="shared" si="195"/>
        <v>0</v>
      </c>
    </row>
    <row r="618" spans="2:71" ht="15" customHeight="1" x14ac:dyDescent="0.2">
      <c r="B618" t="s">
        <v>245</v>
      </c>
      <c r="D618">
        <v>9</v>
      </c>
      <c r="E618" t="s">
        <v>464</v>
      </c>
      <c r="F618" t="s">
        <v>214</v>
      </c>
      <c r="G618" s="5">
        <v>44757</v>
      </c>
      <c r="H618" t="s">
        <v>97</v>
      </c>
      <c r="I618" t="s">
        <v>167</v>
      </c>
      <c r="J618" t="s">
        <v>168</v>
      </c>
      <c r="K618">
        <v>9</v>
      </c>
      <c r="L618" t="s">
        <v>76</v>
      </c>
      <c r="M618" t="s">
        <v>169</v>
      </c>
      <c r="N618" t="s">
        <v>123</v>
      </c>
      <c r="O618">
        <v>70.5</v>
      </c>
      <c r="P618">
        <v>134</v>
      </c>
      <c r="Q618">
        <v>6389</v>
      </c>
      <c r="R618" t="s">
        <v>248</v>
      </c>
      <c r="S618" t="s">
        <v>248</v>
      </c>
      <c r="U618" t="s">
        <v>60</v>
      </c>
      <c r="V618" t="s">
        <v>55</v>
      </c>
      <c r="W618" t="s">
        <v>109</v>
      </c>
      <c r="AA618">
        <v>0.5</v>
      </c>
      <c r="AB618" t="s">
        <v>33</v>
      </c>
      <c r="AC618" t="s">
        <v>209</v>
      </c>
      <c r="AE618" t="str">
        <f t="shared" si="183"/>
        <v>Cole</v>
      </c>
      <c r="AF618">
        <v>0</v>
      </c>
      <c r="AG618">
        <v>0</v>
      </c>
      <c r="AH618">
        <v>1</v>
      </c>
      <c r="AI618">
        <v>0</v>
      </c>
      <c r="AJ618">
        <v>0</v>
      </c>
      <c r="AO618">
        <f t="shared" si="193"/>
        <v>0</v>
      </c>
      <c r="AP618">
        <f t="shared" si="193"/>
        <v>0</v>
      </c>
      <c r="AQ618">
        <f t="shared" si="193"/>
        <v>0</v>
      </c>
      <c r="AR618">
        <f t="shared" si="193"/>
        <v>0</v>
      </c>
      <c r="AS618">
        <f t="shared" si="193"/>
        <v>0</v>
      </c>
      <c r="AT618">
        <f t="shared" si="193"/>
        <v>0</v>
      </c>
      <c r="AU618">
        <f t="shared" si="193"/>
        <v>0</v>
      </c>
      <c r="AV618">
        <f t="shared" si="193"/>
        <v>0</v>
      </c>
      <c r="AW618">
        <f t="shared" si="193"/>
        <v>0</v>
      </c>
      <c r="AX618">
        <f t="shared" si="193"/>
        <v>0</v>
      </c>
      <c r="AY618">
        <f t="shared" si="194"/>
        <v>0</v>
      </c>
      <c r="AZ618">
        <f t="shared" si="194"/>
        <v>0</v>
      </c>
      <c r="BA618">
        <f t="shared" si="194"/>
        <v>0</v>
      </c>
      <c r="BB618">
        <f t="shared" si="194"/>
        <v>0</v>
      </c>
      <c r="BC618">
        <f t="shared" si="194"/>
        <v>0</v>
      </c>
      <c r="BD618" t="str">
        <f t="shared" si="194"/>
        <v>Cole</v>
      </c>
      <c r="BE618">
        <f t="shared" si="194"/>
        <v>0</v>
      </c>
      <c r="BF618">
        <f t="shared" si="194"/>
        <v>0</v>
      </c>
      <c r="BG618">
        <f t="shared" si="194"/>
        <v>0</v>
      </c>
      <c r="BH618">
        <f t="shared" si="194"/>
        <v>0</v>
      </c>
      <c r="BI618">
        <f t="shared" si="195"/>
        <v>0</v>
      </c>
      <c r="BJ618">
        <f t="shared" si="195"/>
        <v>0</v>
      </c>
      <c r="BK618">
        <f t="shared" si="195"/>
        <v>0</v>
      </c>
      <c r="BL618">
        <f t="shared" si="195"/>
        <v>0</v>
      </c>
      <c r="BM618">
        <f t="shared" si="195"/>
        <v>0</v>
      </c>
      <c r="BN618">
        <f t="shared" si="195"/>
        <v>0</v>
      </c>
      <c r="BO618">
        <f t="shared" si="195"/>
        <v>0</v>
      </c>
      <c r="BP618">
        <f t="shared" si="195"/>
        <v>0</v>
      </c>
      <c r="BQ618">
        <f t="shared" si="195"/>
        <v>0</v>
      </c>
      <c r="BR618">
        <f t="shared" si="195"/>
        <v>0</v>
      </c>
      <c r="BS618">
        <f t="shared" si="195"/>
        <v>0</v>
      </c>
    </row>
    <row r="619" spans="2:71" ht="15" customHeight="1" x14ac:dyDescent="0.2">
      <c r="B619" t="s">
        <v>245</v>
      </c>
      <c r="D619">
        <v>9</v>
      </c>
      <c r="E619" t="s">
        <v>464</v>
      </c>
      <c r="F619" t="s">
        <v>214</v>
      </c>
      <c r="G619" s="5">
        <v>44757</v>
      </c>
      <c r="H619" t="s">
        <v>97</v>
      </c>
      <c r="I619" t="s">
        <v>167</v>
      </c>
      <c r="J619" t="s">
        <v>168</v>
      </c>
      <c r="K619">
        <v>9</v>
      </c>
      <c r="L619" t="s">
        <v>76</v>
      </c>
      <c r="M619" t="s">
        <v>169</v>
      </c>
      <c r="N619" t="s">
        <v>123</v>
      </c>
      <c r="O619">
        <v>70.5</v>
      </c>
      <c r="P619">
        <v>134</v>
      </c>
      <c r="Q619">
        <v>6389</v>
      </c>
      <c r="R619" t="s">
        <v>248</v>
      </c>
      <c r="S619" t="s">
        <v>248</v>
      </c>
      <c r="U619" t="s">
        <v>60</v>
      </c>
      <c r="V619" t="s">
        <v>41</v>
      </c>
      <c r="W619" t="s">
        <v>109</v>
      </c>
      <c r="AA619">
        <v>0.5</v>
      </c>
      <c r="AB619" t="s">
        <v>33</v>
      </c>
      <c r="AC619" t="s">
        <v>209</v>
      </c>
      <c r="AE619" t="str">
        <f t="shared" si="183"/>
        <v>Hilts</v>
      </c>
      <c r="AF619">
        <v>0</v>
      </c>
      <c r="AG619">
        <v>0</v>
      </c>
      <c r="AH619">
        <v>1</v>
      </c>
      <c r="AI619">
        <v>0</v>
      </c>
      <c r="AJ619">
        <v>0</v>
      </c>
      <c r="AO619">
        <f t="shared" si="193"/>
        <v>0</v>
      </c>
      <c r="AP619" t="str">
        <f t="shared" si="193"/>
        <v>Hilts</v>
      </c>
      <c r="AQ619">
        <f t="shared" si="193"/>
        <v>0</v>
      </c>
      <c r="AR619">
        <f t="shared" si="193"/>
        <v>0</v>
      </c>
      <c r="AS619">
        <f t="shared" si="193"/>
        <v>0</v>
      </c>
      <c r="AT619">
        <f t="shared" si="193"/>
        <v>0</v>
      </c>
      <c r="AU619">
        <f t="shared" si="193"/>
        <v>0</v>
      </c>
      <c r="AV619">
        <f t="shared" si="193"/>
        <v>0</v>
      </c>
      <c r="AW619">
        <f t="shared" si="193"/>
        <v>0</v>
      </c>
      <c r="AX619">
        <f t="shared" si="193"/>
        <v>0</v>
      </c>
      <c r="AY619">
        <f t="shared" si="194"/>
        <v>0</v>
      </c>
      <c r="AZ619">
        <f t="shared" si="194"/>
        <v>0</v>
      </c>
      <c r="BA619">
        <f t="shared" si="194"/>
        <v>0</v>
      </c>
      <c r="BB619">
        <f t="shared" si="194"/>
        <v>0</v>
      </c>
      <c r="BC619">
        <f t="shared" si="194"/>
        <v>0</v>
      </c>
      <c r="BD619">
        <f t="shared" si="194"/>
        <v>0</v>
      </c>
      <c r="BE619">
        <f t="shared" si="194"/>
        <v>0</v>
      </c>
      <c r="BF619">
        <f t="shared" si="194"/>
        <v>0</v>
      </c>
      <c r="BG619">
        <f t="shared" si="194"/>
        <v>0</v>
      </c>
      <c r="BH619">
        <f t="shared" si="194"/>
        <v>0</v>
      </c>
      <c r="BI619">
        <f t="shared" si="195"/>
        <v>0</v>
      </c>
      <c r="BJ619">
        <f t="shared" si="195"/>
        <v>0</v>
      </c>
      <c r="BK619">
        <f t="shared" si="195"/>
        <v>0</v>
      </c>
      <c r="BL619">
        <f t="shared" si="195"/>
        <v>0</v>
      </c>
      <c r="BM619">
        <f t="shared" si="195"/>
        <v>0</v>
      </c>
      <c r="BN619">
        <f t="shared" si="195"/>
        <v>0</v>
      </c>
      <c r="BO619">
        <f t="shared" si="195"/>
        <v>0</v>
      </c>
      <c r="BP619">
        <f t="shared" si="195"/>
        <v>0</v>
      </c>
      <c r="BQ619">
        <f t="shared" si="195"/>
        <v>0</v>
      </c>
      <c r="BR619">
        <f t="shared" si="195"/>
        <v>0</v>
      </c>
      <c r="BS619">
        <f t="shared" si="195"/>
        <v>0</v>
      </c>
    </row>
    <row r="620" spans="2:71" ht="15" customHeight="1" x14ac:dyDescent="0.2">
      <c r="B620" t="s">
        <v>245</v>
      </c>
      <c r="D620">
        <v>9</v>
      </c>
      <c r="E620" t="s">
        <v>464</v>
      </c>
      <c r="F620" t="s">
        <v>214</v>
      </c>
      <c r="G620" s="5">
        <v>44757</v>
      </c>
      <c r="H620" t="s">
        <v>97</v>
      </c>
      <c r="I620" t="s">
        <v>167</v>
      </c>
      <c r="J620" t="s">
        <v>168</v>
      </c>
      <c r="K620">
        <v>9</v>
      </c>
      <c r="L620" t="s">
        <v>76</v>
      </c>
      <c r="M620" t="s">
        <v>169</v>
      </c>
      <c r="N620" t="s">
        <v>123</v>
      </c>
      <c r="O620">
        <v>70.5</v>
      </c>
      <c r="P620">
        <v>134</v>
      </c>
      <c r="Q620">
        <v>6389</v>
      </c>
      <c r="R620" t="s">
        <v>248</v>
      </c>
      <c r="S620" t="s">
        <v>248</v>
      </c>
      <c r="U620" t="s">
        <v>60</v>
      </c>
      <c r="V620" t="s">
        <v>52</v>
      </c>
      <c r="W620" t="s">
        <v>109</v>
      </c>
      <c r="AA620">
        <v>0.5</v>
      </c>
      <c r="AB620" t="s">
        <v>33</v>
      </c>
      <c r="AC620" t="s">
        <v>209</v>
      </c>
      <c r="AE620" t="str">
        <f t="shared" si="183"/>
        <v>Connors</v>
      </c>
      <c r="AF620">
        <v>0</v>
      </c>
      <c r="AG620">
        <v>0</v>
      </c>
      <c r="AH620">
        <v>1</v>
      </c>
      <c r="AI620">
        <v>0</v>
      </c>
      <c r="AJ620">
        <v>0</v>
      </c>
      <c r="AO620">
        <f t="shared" si="193"/>
        <v>0</v>
      </c>
      <c r="AP620">
        <f t="shared" si="193"/>
        <v>0</v>
      </c>
      <c r="AQ620">
        <f t="shared" si="193"/>
        <v>0</v>
      </c>
      <c r="AR620">
        <f t="shared" si="193"/>
        <v>0</v>
      </c>
      <c r="AS620">
        <f t="shared" si="193"/>
        <v>0</v>
      </c>
      <c r="AT620">
        <f t="shared" si="193"/>
        <v>0</v>
      </c>
      <c r="AU620">
        <f t="shared" si="193"/>
        <v>0</v>
      </c>
      <c r="AV620">
        <f t="shared" si="193"/>
        <v>0</v>
      </c>
      <c r="AW620">
        <f t="shared" si="193"/>
        <v>0</v>
      </c>
      <c r="AX620">
        <f t="shared" si="193"/>
        <v>0</v>
      </c>
      <c r="AY620">
        <f t="shared" si="194"/>
        <v>0</v>
      </c>
      <c r="AZ620">
        <f t="shared" si="194"/>
        <v>0</v>
      </c>
      <c r="BA620" t="str">
        <f t="shared" si="194"/>
        <v>Connors</v>
      </c>
      <c r="BB620">
        <f t="shared" si="194"/>
        <v>0</v>
      </c>
      <c r="BC620">
        <f t="shared" si="194"/>
        <v>0</v>
      </c>
      <c r="BD620">
        <f t="shared" si="194"/>
        <v>0</v>
      </c>
      <c r="BE620">
        <f t="shared" si="194"/>
        <v>0</v>
      </c>
      <c r="BF620">
        <f t="shared" si="194"/>
        <v>0</v>
      </c>
      <c r="BG620">
        <f t="shared" si="194"/>
        <v>0</v>
      </c>
      <c r="BH620">
        <f t="shared" si="194"/>
        <v>0</v>
      </c>
      <c r="BI620">
        <f t="shared" si="195"/>
        <v>0</v>
      </c>
      <c r="BJ620">
        <f t="shared" si="195"/>
        <v>0</v>
      </c>
      <c r="BK620">
        <f t="shared" si="195"/>
        <v>0</v>
      </c>
      <c r="BL620">
        <f t="shared" si="195"/>
        <v>0</v>
      </c>
      <c r="BM620">
        <f t="shared" si="195"/>
        <v>0</v>
      </c>
      <c r="BN620">
        <f t="shared" si="195"/>
        <v>0</v>
      </c>
      <c r="BO620">
        <f t="shared" si="195"/>
        <v>0</v>
      </c>
      <c r="BP620">
        <f t="shared" si="195"/>
        <v>0</v>
      </c>
      <c r="BQ620">
        <f t="shared" si="195"/>
        <v>0</v>
      </c>
      <c r="BR620">
        <f t="shared" si="195"/>
        <v>0</v>
      </c>
      <c r="BS620">
        <f t="shared" si="195"/>
        <v>0</v>
      </c>
    </row>
    <row r="621" spans="2:71" ht="15" customHeight="1" x14ac:dyDescent="0.2">
      <c r="B621">
        <v>21</v>
      </c>
      <c r="C621">
        <v>1</v>
      </c>
      <c r="D621">
        <v>9</v>
      </c>
      <c r="E621" t="s">
        <v>465</v>
      </c>
      <c r="F621" t="s">
        <v>72</v>
      </c>
      <c r="G621" s="5">
        <v>44758</v>
      </c>
      <c r="H621" t="s">
        <v>73</v>
      </c>
      <c r="I621" t="s">
        <v>167</v>
      </c>
      <c r="J621" t="s">
        <v>168</v>
      </c>
      <c r="K621">
        <v>18</v>
      </c>
      <c r="L621" t="s">
        <v>107</v>
      </c>
      <c r="M621" t="s">
        <v>169</v>
      </c>
      <c r="N621" t="s">
        <v>123</v>
      </c>
      <c r="O621">
        <v>70.5</v>
      </c>
      <c r="P621">
        <v>134</v>
      </c>
      <c r="Q621">
        <v>6389</v>
      </c>
      <c r="R621" t="s">
        <v>110</v>
      </c>
      <c r="S621" t="s">
        <v>111</v>
      </c>
      <c r="U621" t="s">
        <v>58</v>
      </c>
      <c r="V621" t="s">
        <v>48</v>
      </c>
      <c r="AA621">
        <v>2</v>
      </c>
      <c r="AB621" t="s">
        <v>32</v>
      </c>
      <c r="AC621" t="s">
        <v>174</v>
      </c>
      <c r="AD621" t="s">
        <v>42</v>
      </c>
      <c r="AE621" t="str">
        <f t="shared" si="183"/>
        <v>Lynch</v>
      </c>
      <c r="AF621">
        <v>2</v>
      </c>
      <c r="AG621">
        <v>1</v>
      </c>
      <c r="AH621">
        <v>0</v>
      </c>
      <c r="AI621">
        <v>0</v>
      </c>
      <c r="AJ621">
        <v>1</v>
      </c>
      <c r="AK621" t="s">
        <v>42</v>
      </c>
      <c r="AL621">
        <v>0.6171875</v>
      </c>
      <c r="AO621">
        <f t="shared" si="193"/>
        <v>0</v>
      </c>
      <c r="AP621">
        <f t="shared" si="193"/>
        <v>0</v>
      </c>
      <c r="AQ621">
        <f t="shared" si="193"/>
        <v>0</v>
      </c>
      <c r="AR621">
        <f t="shared" si="193"/>
        <v>0</v>
      </c>
      <c r="AS621">
        <f t="shared" si="193"/>
        <v>0</v>
      </c>
      <c r="AT621">
        <f t="shared" si="193"/>
        <v>0</v>
      </c>
      <c r="AU621">
        <f t="shared" si="193"/>
        <v>0</v>
      </c>
      <c r="AV621">
        <f t="shared" si="193"/>
        <v>0</v>
      </c>
      <c r="AW621" t="str">
        <f t="shared" si="193"/>
        <v>Lynch</v>
      </c>
      <c r="AX621">
        <f t="shared" si="193"/>
        <v>0</v>
      </c>
      <c r="AY621">
        <f t="shared" si="194"/>
        <v>0</v>
      </c>
      <c r="AZ621">
        <f t="shared" si="194"/>
        <v>0</v>
      </c>
      <c r="BA621">
        <f t="shared" si="194"/>
        <v>0</v>
      </c>
      <c r="BB621">
        <f t="shared" si="194"/>
        <v>0</v>
      </c>
      <c r="BC621">
        <f t="shared" si="194"/>
        <v>0</v>
      </c>
      <c r="BD621">
        <f t="shared" si="194"/>
        <v>0</v>
      </c>
      <c r="BE621">
        <f t="shared" si="194"/>
        <v>0</v>
      </c>
      <c r="BF621">
        <f t="shared" si="194"/>
        <v>0</v>
      </c>
      <c r="BG621">
        <f t="shared" si="194"/>
        <v>0</v>
      </c>
      <c r="BH621">
        <f t="shared" si="194"/>
        <v>0</v>
      </c>
      <c r="BI621">
        <f t="shared" si="195"/>
        <v>0</v>
      </c>
      <c r="BJ621">
        <f t="shared" si="195"/>
        <v>0</v>
      </c>
      <c r="BK621">
        <f t="shared" si="195"/>
        <v>0</v>
      </c>
      <c r="BL621">
        <f t="shared" si="195"/>
        <v>0</v>
      </c>
      <c r="BM621">
        <f t="shared" si="195"/>
        <v>0</v>
      </c>
      <c r="BN621">
        <f t="shared" si="195"/>
        <v>0</v>
      </c>
      <c r="BO621">
        <f t="shared" si="195"/>
        <v>0</v>
      </c>
      <c r="BP621">
        <f t="shared" si="195"/>
        <v>0</v>
      </c>
      <c r="BQ621">
        <f t="shared" si="195"/>
        <v>0</v>
      </c>
      <c r="BR621">
        <f t="shared" si="195"/>
        <v>0</v>
      </c>
      <c r="BS621">
        <f t="shared" si="195"/>
        <v>0</v>
      </c>
    </row>
    <row r="622" spans="2:71" ht="15" customHeight="1" x14ac:dyDescent="0.2">
      <c r="B622">
        <v>21</v>
      </c>
      <c r="C622">
        <v>2</v>
      </c>
      <c r="D622">
        <v>9</v>
      </c>
      <c r="E622" t="s">
        <v>466</v>
      </c>
      <c r="F622" t="s">
        <v>72</v>
      </c>
      <c r="G622" s="5">
        <v>44758</v>
      </c>
      <c r="H622" t="s">
        <v>73</v>
      </c>
      <c r="I622" t="s">
        <v>167</v>
      </c>
      <c r="J622" t="s">
        <v>168</v>
      </c>
      <c r="K622">
        <v>18</v>
      </c>
      <c r="L622" t="s">
        <v>107</v>
      </c>
      <c r="M622" t="s">
        <v>169</v>
      </c>
      <c r="N622" t="s">
        <v>123</v>
      </c>
      <c r="O622">
        <v>70.5</v>
      </c>
      <c r="P622">
        <v>134</v>
      </c>
      <c r="Q622">
        <v>6389</v>
      </c>
      <c r="R622" t="s">
        <v>110</v>
      </c>
      <c r="S622" t="s">
        <v>111</v>
      </c>
      <c r="U622" t="s">
        <v>58</v>
      </c>
      <c r="V622" t="s">
        <v>55</v>
      </c>
      <c r="AA622">
        <v>2</v>
      </c>
      <c r="AB622" t="s">
        <v>33</v>
      </c>
      <c r="AC622" t="s">
        <v>209</v>
      </c>
      <c r="AD622" t="s">
        <v>50</v>
      </c>
      <c r="AE622" t="str">
        <f t="shared" si="183"/>
        <v>Cole</v>
      </c>
      <c r="AF622">
        <v>0</v>
      </c>
      <c r="AG622">
        <v>0</v>
      </c>
      <c r="AH622">
        <v>1</v>
      </c>
      <c r="AI622">
        <v>0</v>
      </c>
      <c r="AJ622">
        <v>0</v>
      </c>
      <c r="AK622" t="s">
        <v>50</v>
      </c>
      <c r="AL622">
        <v>0.59523809523809501</v>
      </c>
      <c r="AO622">
        <f t="shared" ref="AO622:AX631" si="196">IF(OR($V622=AO$1,$Y622=AO$1),AO$1,0)</f>
        <v>0</v>
      </c>
      <c r="AP622">
        <f t="shared" si="196"/>
        <v>0</v>
      </c>
      <c r="AQ622">
        <f t="shared" si="196"/>
        <v>0</v>
      </c>
      <c r="AR622">
        <f t="shared" si="196"/>
        <v>0</v>
      </c>
      <c r="AS622">
        <f t="shared" si="196"/>
        <v>0</v>
      </c>
      <c r="AT622">
        <f t="shared" si="196"/>
        <v>0</v>
      </c>
      <c r="AU622">
        <f t="shared" si="196"/>
        <v>0</v>
      </c>
      <c r="AV622">
        <f t="shared" si="196"/>
        <v>0</v>
      </c>
      <c r="AW622">
        <f t="shared" si="196"/>
        <v>0</v>
      </c>
      <c r="AX622">
        <f t="shared" si="196"/>
        <v>0</v>
      </c>
      <c r="AY622">
        <f t="shared" ref="AY622:BH631" si="197">IF(OR($V622=AY$1,$Y622=AY$1),AY$1,0)</f>
        <v>0</v>
      </c>
      <c r="AZ622">
        <f t="shared" si="197"/>
        <v>0</v>
      </c>
      <c r="BA622">
        <f t="shared" si="197"/>
        <v>0</v>
      </c>
      <c r="BB622">
        <f t="shared" si="197"/>
        <v>0</v>
      </c>
      <c r="BC622">
        <f t="shared" si="197"/>
        <v>0</v>
      </c>
      <c r="BD622" t="str">
        <f t="shared" si="197"/>
        <v>Cole</v>
      </c>
      <c r="BE622">
        <f t="shared" si="197"/>
        <v>0</v>
      </c>
      <c r="BF622">
        <f t="shared" si="197"/>
        <v>0</v>
      </c>
      <c r="BG622">
        <f t="shared" si="197"/>
        <v>0</v>
      </c>
      <c r="BH622">
        <f t="shared" si="197"/>
        <v>0</v>
      </c>
      <c r="BI622">
        <f t="shared" ref="BI622:BS631" si="198">IF(OR($V622=BI$1,$Y622=BI$1),BI$1,0)</f>
        <v>0</v>
      </c>
      <c r="BJ622">
        <f t="shared" si="198"/>
        <v>0</v>
      </c>
      <c r="BK622">
        <f t="shared" si="198"/>
        <v>0</v>
      </c>
      <c r="BL622">
        <f t="shared" si="198"/>
        <v>0</v>
      </c>
      <c r="BM622">
        <f t="shared" si="198"/>
        <v>0</v>
      </c>
      <c r="BN622">
        <f t="shared" si="198"/>
        <v>0</v>
      </c>
      <c r="BO622">
        <f t="shared" si="198"/>
        <v>0</v>
      </c>
      <c r="BP622">
        <f t="shared" si="198"/>
        <v>0</v>
      </c>
      <c r="BQ622">
        <f t="shared" si="198"/>
        <v>0</v>
      </c>
      <c r="BR622">
        <f t="shared" si="198"/>
        <v>0</v>
      </c>
      <c r="BS622">
        <f t="shared" si="198"/>
        <v>0</v>
      </c>
    </row>
    <row r="623" spans="2:71" ht="15" customHeight="1" x14ac:dyDescent="0.2">
      <c r="B623">
        <v>22</v>
      </c>
      <c r="C623">
        <v>3</v>
      </c>
      <c r="D623">
        <v>9</v>
      </c>
      <c r="E623" t="s">
        <v>467</v>
      </c>
      <c r="F623" t="s">
        <v>72</v>
      </c>
      <c r="G623" s="5">
        <v>44758</v>
      </c>
      <c r="H623" t="s">
        <v>73</v>
      </c>
      <c r="I623" t="s">
        <v>167</v>
      </c>
      <c r="J623" t="s">
        <v>168</v>
      </c>
      <c r="K623">
        <v>18</v>
      </c>
      <c r="L623" t="s">
        <v>107</v>
      </c>
      <c r="M623" t="s">
        <v>169</v>
      </c>
      <c r="N623" t="s">
        <v>123</v>
      </c>
      <c r="O623">
        <v>70.5</v>
      </c>
      <c r="P623">
        <v>134</v>
      </c>
      <c r="Q623">
        <v>6389</v>
      </c>
      <c r="R623" t="s">
        <v>110</v>
      </c>
      <c r="S623" t="s">
        <v>111</v>
      </c>
      <c r="U623" t="s">
        <v>58</v>
      </c>
      <c r="V623" t="s">
        <v>49</v>
      </c>
      <c r="AA623">
        <v>2</v>
      </c>
      <c r="AB623" t="s">
        <v>33</v>
      </c>
      <c r="AC623" t="s">
        <v>249</v>
      </c>
      <c r="AD623" t="s">
        <v>60</v>
      </c>
      <c r="AE623" t="str">
        <f t="shared" si="183"/>
        <v>Shively</v>
      </c>
      <c r="AF623">
        <v>0</v>
      </c>
      <c r="AG623">
        <v>0</v>
      </c>
      <c r="AH623">
        <v>1</v>
      </c>
      <c r="AI623">
        <v>0</v>
      </c>
      <c r="AJ623">
        <v>0</v>
      </c>
      <c r="AK623" t="s">
        <v>60</v>
      </c>
      <c r="AL623">
        <v>0.5</v>
      </c>
      <c r="AO623">
        <f t="shared" si="196"/>
        <v>0</v>
      </c>
      <c r="AP623">
        <f t="shared" si="196"/>
        <v>0</v>
      </c>
      <c r="AQ623">
        <f t="shared" si="196"/>
        <v>0</v>
      </c>
      <c r="AR623">
        <f t="shared" si="196"/>
        <v>0</v>
      </c>
      <c r="AS623">
        <f t="shared" si="196"/>
        <v>0</v>
      </c>
      <c r="AT623">
        <f t="shared" si="196"/>
        <v>0</v>
      </c>
      <c r="AU623">
        <f t="shared" si="196"/>
        <v>0</v>
      </c>
      <c r="AV623">
        <f t="shared" si="196"/>
        <v>0</v>
      </c>
      <c r="AW623">
        <f t="shared" si="196"/>
        <v>0</v>
      </c>
      <c r="AX623" t="str">
        <f t="shared" si="196"/>
        <v>Shively</v>
      </c>
      <c r="AY623">
        <f t="shared" si="197"/>
        <v>0</v>
      </c>
      <c r="AZ623">
        <f t="shared" si="197"/>
        <v>0</v>
      </c>
      <c r="BA623">
        <f t="shared" si="197"/>
        <v>0</v>
      </c>
      <c r="BB623">
        <f t="shared" si="197"/>
        <v>0</v>
      </c>
      <c r="BC623">
        <f t="shared" si="197"/>
        <v>0</v>
      </c>
      <c r="BD623">
        <f t="shared" si="197"/>
        <v>0</v>
      </c>
      <c r="BE623">
        <f t="shared" si="197"/>
        <v>0</v>
      </c>
      <c r="BF623">
        <f t="shared" si="197"/>
        <v>0</v>
      </c>
      <c r="BG623">
        <f t="shared" si="197"/>
        <v>0</v>
      </c>
      <c r="BH623">
        <f t="shared" si="197"/>
        <v>0</v>
      </c>
      <c r="BI623">
        <f t="shared" si="198"/>
        <v>0</v>
      </c>
      <c r="BJ623">
        <f t="shared" si="198"/>
        <v>0</v>
      </c>
      <c r="BK623">
        <f t="shared" si="198"/>
        <v>0</v>
      </c>
      <c r="BL623">
        <f t="shared" si="198"/>
        <v>0</v>
      </c>
      <c r="BM623">
        <f t="shared" si="198"/>
        <v>0</v>
      </c>
      <c r="BN623">
        <f t="shared" si="198"/>
        <v>0</v>
      </c>
      <c r="BO623">
        <f t="shared" si="198"/>
        <v>0</v>
      </c>
      <c r="BP623">
        <f t="shared" si="198"/>
        <v>0</v>
      </c>
      <c r="BQ623">
        <f t="shared" si="198"/>
        <v>0</v>
      </c>
      <c r="BR623">
        <f t="shared" si="198"/>
        <v>0</v>
      </c>
      <c r="BS623">
        <f t="shared" si="198"/>
        <v>0</v>
      </c>
    </row>
    <row r="624" spans="2:71" ht="15" customHeight="1" x14ac:dyDescent="0.2">
      <c r="B624">
        <v>22</v>
      </c>
      <c r="C624">
        <v>4</v>
      </c>
      <c r="D624">
        <v>9</v>
      </c>
      <c r="E624" t="s">
        <v>468</v>
      </c>
      <c r="F624" t="s">
        <v>72</v>
      </c>
      <c r="G624" s="5">
        <v>44758</v>
      </c>
      <c r="H624" t="s">
        <v>73</v>
      </c>
      <c r="I624" t="s">
        <v>167</v>
      </c>
      <c r="J624" t="s">
        <v>168</v>
      </c>
      <c r="K624">
        <v>18</v>
      </c>
      <c r="L624" t="s">
        <v>107</v>
      </c>
      <c r="M624" t="s">
        <v>169</v>
      </c>
      <c r="N624" t="s">
        <v>123</v>
      </c>
      <c r="O624">
        <v>70.5</v>
      </c>
      <c r="P624">
        <v>134</v>
      </c>
      <c r="Q624">
        <v>6389</v>
      </c>
      <c r="R624" t="s">
        <v>110</v>
      </c>
      <c r="S624" t="s">
        <v>111</v>
      </c>
      <c r="U624" t="s">
        <v>58</v>
      </c>
      <c r="V624" t="s">
        <v>66</v>
      </c>
      <c r="AA624">
        <v>2</v>
      </c>
      <c r="AB624" t="s">
        <v>32</v>
      </c>
      <c r="AC624" t="s">
        <v>469</v>
      </c>
      <c r="AD624" t="s">
        <v>53</v>
      </c>
      <c r="AE624" t="str">
        <f t="shared" si="183"/>
        <v>Perkins</v>
      </c>
      <c r="AF624">
        <v>2</v>
      </c>
      <c r="AG624">
        <v>1</v>
      </c>
      <c r="AH624">
        <v>0</v>
      </c>
      <c r="AI624">
        <v>0</v>
      </c>
      <c r="AJ624">
        <v>1</v>
      </c>
      <c r="AK624" t="s">
        <v>53</v>
      </c>
      <c r="AL624">
        <v>0.59649122807017496</v>
      </c>
      <c r="AO624">
        <f t="shared" si="196"/>
        <v>0</v>
      </c>
      <c r="AP624">
        <f t="shared" si="196"/>
        <v>0</v>
      </c>
      <c r="AQ624">
        <f t="shared" si="196"/>
        <v>0</v>
      </c>
      <c r="AR624">
        <f t="shared" si="196"/>
        <v>0</v>
      </c>
      <c r="AS624">
        <f t="shared" si="196"/>
        <v>0</v>
      </c>
      <c r="AT624">
        <f t="shared" si="196"/>
        <v>0</v>
      </c>
      <c r="AU624">
        <f t="shared" si="196"/>
        <v>0</v>
      </c>
      <c r="AV624">
        <f t="shared" si="196"/>
        <v>0</v>
      </c>
      <c r="AW624">
        <f t="shared" si="196"/>
        <v>0</v>
      </c>
      <c r="AX624">
        <f t="shared" si="196"/>
        <v>0</v>
      </c>
      <c r="AY624">
        <f t="shared" si="197"/>
        <v>0</v>
      </c>
      <c r="AZ624">
        <f t="shared" si="197"/>
        <v>0</v>
      </c>
      <c r="BA624">
        <f t="shared" si="197"/>
        <v>0</v>
      </c>
      <c r="BB624">
        <f t="shared" si="197"/>
        <v>0</v>
      </c>
      <c r="BC624">
        <f t="shared" si="197"/>
        <v>0</v>
      </c>
      <c r="BD624">
        <f t="shared" si="197"/>
        <v>0</v>
      </c>
      <c r="BE624">
        <f t="shared" si="197"/>
        <v>0</v>
      </c>
      <c r="BF624">
        <f t="shared" si="197"/>
        <v>0</v>
      </c>
      <c r="BG624">
        <f t="shared" si="197"/>
        <v>0</v>
      </c>
      <c r="BH624">
        <f t="shared" si="197"/>
        <v>0</v>
      </c>
      <c r="BI624">
        <f t="shared" si="198"/>
        <v>0</v>
      </c>
      <c r="BJ624">
        <f t="shared" si="198"/>
        <v>0</v>
      </c>
      <c r="BK624">
        <f t="shared" si="198"/>
        <v>0</v>
      </c>
      <c r="BL624">
        <f t="shared" si="198"/>
        <v>0</v>
      </c>
      <c r="BM624">
        <f t="shared" si="198"/>
        <v>0</v>
      </c>
      <c r="BN624">
        <f t="shared" si="198"/>
        <v>0</v>
      </c>
      <c r="BO624" t="str">
        <f t="shared" si="198"/>
        <v>Perkins</v>
      </c>
      <c r="BP624">
        <f t="shared" si="198"/>
        <v>0</v>
      </c>
      <c r="BQ624">
        <f t="shared" si="198"/>
        <v>0</v>
      </c>
      <c r="BR624">
        <f t="shared" si="198"/>
        <v>0</v>
      </c>
      <c r="BS624">
        <f t="shared" si="198"/>
        <v>0</v>
      </c>
    </row>
    <row r="625" spans="2:71" ht="15" customHeight="1" x14ac:dyDescent="0.2">
      <c r="B625">
        <v>23</v>
      </c>
      <c r="C625">
        <v>5</v>
      </c>
      <c r="D625">
        <v>9</v>
      </c>
      <c r="E625" t="s">
        <v>470</v>
      </c>
      <c r="F625" t="s">
        <v>72</v>
      </c>
      <c r="G625" s="5">
        <v>44758</v>
      </c>
      <c r="H625" t="s">
        <v>73</v>
      </c>
      <c r="I625" t="s">
        <v>167</v>
      </c>
      <c r="J625" t="s">
        <v>168</v>
      </c>
      <c r="K625">
        <v>18</v>
      </c>
      <c r="L625" t="s">
        <v>107</v>
      </c>
      <c r="M625" t="s">
        <v>169</v>
      </c>
      <c r="N625" t="s">
        <v>123</v>
      </c>
      <c r="O625">
        <v>70.5</v>
      </c>
      <c r="P625">
        <v>134</v>
      </c>
      <c r="Q625">
        <v>6389</v>
      </c>
      <c r="R625" t="s">
        <v>110</v>
      </c>
      <c r="S625" t="s">
        <v>111</v>
      </c>
      <c r="U625" t="s">
        <v>58</v>
      </c>
      <c r="V625" t="s">
        <v>45</v>
      </c>
      <c r="AA625">
        <v>2</v>
      </c>
      <c r="AB625" t="s">
        <v>33</v>
      </c>
      <c r="AC625" t="s">
        <v>258</v>
      </c>
      <c r="AD625" t="s">
        <v>62</v>
      </c>
      <c r="AE625" t="str">
        <f t="shared" si="183"/>
        <v>Connolly</v>
      </c>
      <c r="AF625">
        <v>0</v>
      </c>
      <c r="AG625">
        <v>0</v>
      </c>
      <c r="AH625">
        <v>1</v>
      </c>
      <c r="AI625">
        <v>0</v>
      </c>
      <c r="AJ625">
        <v>0</v>
      </c>
      <c r="AK625" t="s">
        <v>62</v>
      </c>
      <c r="AL625">
        <v>0.51041666666666696</v>
      </c>
      <c r="AO625">
        <f t="shared" si="196"/>
        <v>0</v>
      </c>
      <c r="AP625">
        <f t="shared" si="196"/>
        <v>0</v>
      </c>
      <c r="AQ625">
        <f t="shared" si="196"/>
        <v>0</v>
      </c>
      <c r="AR625">
        <f t="shared" si="196"/>
        <v>0</v>
      </c>
      <c r="AS625">
        <f t="shared" si="196"/>
        <v>0</v>
      </c>
      <c r="AT625" t="str">
        <f t="shared" si="196"/>
        <v>Connolly</v>
      </c>
      <c r="AU625">
        <f t="shared" si="196"/>
        <v>0</v>
      </c>
      <c r="AV625">
        <f t="shared" si="196"/>
        <v>0</v>
      </c>
      <c r="AW625">
        <f t="shared" si="196"/>
        <v>0</v>
      </c>
      <c r="AX625">
        <f t="shared" si="196"/>
        <v>0</v>
      </c>
      <c r="AY625">
        <f t="shared" si="197"/>
        <v>0</v>
      </c>
      <c r="AZ625">
        <f t="shared" si="197"/>
        <v>0</v>
      </c>
      <c r="BA625">
        <f t="shared" si="197"/>
        <v>0</v>
      </c>
      <c r="BB625">
        <f t="shared" si="197"/>
        <v>0</v>
      </c>
      <c r="BC625">
        <f t="shared" si="197"/>
        <v>0</v>
      </c>
      <c r="BD625">
        <f t="shared" si="197"/>
        <v>0</v>
      </c>
      <c r="BE625">
        <f t="shared" si="197"/>
        <v>0</v>
      </c>
      <c r="BF625">
        <f t="shared" si="197"/>
        <v>0</v>
      </c>
      <c r="BG625">
        <f t="shared" si="197"/>
        <v>0</v>
      </c>
      <c r="BH625">
        <f t="shared" si="197"/>
        <v>0</v>
      </c>
      <c r="BI625">
        <f t="shared" si="198"/>
        <v>0</v>
      </c>
      <c r="BJ625">
        <f t="shared" si="198"/>
        <v>0</v>
      </c>
      <c r="BK625">
        <f t="shared" si="198"/>
        <v>0</v>
      </c>
      <c r="BL625">
        <f t="shared" si="198"/>
        <v>0</v>
      </c>
      <c r="BM625">
        <f t="shared" si="198"/>
        <v>0</v>
      </c>
      <c r="BN625">
        <f t="shared" si="198"/>
        <v>0</v>
      </c>
      <c r="BO625">
        <f t="shared" si="198"/>
        <v>0</v>
      </c>
      <c r="BP625">
        <f t="shared" si="198"/>
        <v>0</v>
      </c>
      <c r="BQ625">
        <f t="shared" si="198"/>
        <v>0</v>
      </c>
      <c r="BR625">
        <f t="shared" si="198"/>
        <v>0</v>
      </c>
      <c r="BS625">
        <f t="shared" si="198"/>
        <v>0</v>
      </c>
    </row>
    <row r="626" spans="2:71" ht="15" customHeight="1" x14ac:dyDescent="0.2">
      <c r="B626">
        <v>23</v>
      </c>
      <c r="C626">
        <v>6</v>
      </c>
      <c r="D626">
        <v>9</v>
      </c>
      <c r="E626" t="s">
        <v>471</v>
      </c>
      <c r="F626" t="s">
        <v>72</v>
      </c>
      <c r="G626" s="5">
        <v>44758</v>
      </c>
      <c r="H626" t="s">
        <v>73</v>
      </c>
      <c r="I626" t="s">
        <v>167</v>
      </c>
      <c r="J626" t="s">
        <v>168</v>
      </c>
      <c r="K626">
        <v>18</v>
      </c>
      <c r="L626" t="s">
        <v>107</v>
      </c>
      <c r="M626" t="s">
        <v>169</v>
      </c>
      <c r="N626" t="s">
        <v>123</v>
      </c>
      <c r="O626">
        <v>70.5</v>
      </c>
      <c r="P626">
        <v>134</v>
      </c>
      <c r="Q626">
        <v>6389</v>
      </c>
      <c r="R626" t="s">
        <v>110</v>
      </c>
      <c r="S626" t="s">
        <v>111</v>
      </c>
      <c r="U626" t="s">
        <v>58</v>
      </c>
      <c r="V626" t="s">
        <v>61</v>
      </c>
      <c r="AA626">
        <v>2</v>
      </c>
      <c r="AB626" t="s">
        <v>32</v>
      </c>
      <c r="AC626" t="s">
        <v>171</v>
      </c>
      <c r="AD626" t="s">
        <v>40</v>
      </c>
      <c r="AE626" t="str">
        <f t="shared" si="183"/>
        <v>McInerney</v>
      </c>
      <c r="AF626">
        <v>2</v>
      </c>
      <c r="AG626">
        <v>1</v>
      </c>
      <c r="AH626">
        <v>0</v>
      </c>
      <c r="AI626">
        <v>0</v>
      </c>
      <c r="AJ626">
        <v>1</v>
      </c>
      <c r="AK626" t="s">
        <v>40</v>
      </c>
      <c r="AL626">
        <v>0.546875</v>
      </c>
      <c r="AO626">
        <f t="shared" si="196"/>
        <v>0</v>
      </c>
      <c r="AP626">
        <f t="shared" si="196"/>
        <v>0</v>
      </c>
      <c r="AQ626">
        <f t="shared" si="196"/>
        <v>0</v>
      </c>
      <c r="AR626">
        <f t="shared" si="196"/>
        <v>0</v>
      </c>
      <c r="AS626">
        <f t="shared" si="196"/>
        <v>0</v>
      </c>
      <c r="AT626">
        <f t="shared" si="196"/>
        <v>0</v>
      </c>
      <c r="AU626">
        <f t="shared" si="196"/>
        <v>0</v>
      </c>
      <c r="AV626">
        <f t="shared" si="196"/>
        <v>0</v>
      </c>
      <c r="AW626">
        <f t="shared" si="196"/>
        <v>0</v>
      </c>
      <c r="AX626">
        <f t="shared" si="196"/>
        <v>0</v>
      </c>
      <c r="AY626">
        <f t="shared" si="197"/>
        <v>0</v>
      </c>
      <c r="AZ626">
        <f t="shared" si="197"/>
        <v>0</v>
      </c>
      <c r="BA626">
        <f t="shared" si="197"/>
        <v>0</v>
      </c>
      <c r="BB626">
        <f t="shared" si="197"/>
        <v>0</v>
      </c>
      <c r="BC626">
        <f t="shared" si="197"/>
        <v>0</v>
      </c>
      <c r="BD626">
        <f t="shared" si="197"/>
        <v>0</v>
      </c>
      <c r="BE626">
        <f t="shared" si="197"/>
        <v>0</v>
      </c>
      <c r="BF626">
        <f t="shared" si="197"/>
        <v>0</v>
      </c>
      <c r="BG626">
        <f t="shared" si="197"/>
        <v>0</v>
      </c>
      <c r="BH626">
        <f t="shared" si="197"/>
        <v>0</v>
      </c>
      <c r="BI626">
        <f t="shared" si="198"/>
        <v>0</v>
      </c>
      <c r="BJ626" t="str">
        <f t="shared" si="198"/>
        <v>McInerney</v>
      </c>
      <c r="BK626">
        <f t="shared" si="198"/>
        <v>0</v>
      </c>
      <c r="BL626">
        <f t="shared" si="198"/>
        <v>0</v>
      </c>
      <c r="BM626">
        <f t="shared" si="198"/>
        <v>0</v>
      </c>
      <c r="BN626">
        <f t="shared" si="198"/>
        <v>0</v>
      </c>
      <c r="BO626">
        <f t="shared" si="198"/>
        <v>0</v>
      </c>
      <c r="BP626">
        <f t="shared" si="198"/>
        <v>0</v>
      </c>
      <c r="BQ626">
        <f t="shared" si="198"/>
        <v>0</v>
      </c>
      <c r="BR626">
        <f t="shared" si="198"/>
        <v>0</v>
      </c>
      <c r="BS626">
        <f t="shared" si="198"/>
        <v>0</v>
      </c>
    </row>
    <row r="627" spans="2:71" ht="15" customHeight="1" x14ac:dyDescent="0.2">
      <c r="B627">
        <v>24</v>
      </c>
      <c r="C627">
        <v>7</v>
      </c>
      <c r="D627">
        <v>9</v>
      </c>
      <c r="E627" t="s">
        <v>472</v>
      </c>
      <c r="F627" t="s">
        <v>72</v>
      </c>
      <c r="G627" s="5">
        <v>44758</v>
      </c>
      <c r="H627" t="s">
        <v>73</v>
      </c>
      <c r="I627" t="s">
        <v>167</v>
      </c>
      <c r="J627" t="s">
        <v>168</v>
      </c>
      <c r="K627">
        <v>18</v>
      </c>
      <c r="L627" t="s">
        <v>107</v>
      </c>
      <c r="M627" t="s">
        <v>169</v>
      </c>
      <c r="N627" t="s">
        <v>123</v>
      </c>
      <c r="O627">
        <v>70.5</v>
      </c>
      <c r="P627">
        <v>134</v>
      </c>
      <c r="Q627">
        <v>6389</v>
      </c>
      <c r="R627" t="s">
        <v>110</v>
      </c>
      <c r="S627" t="s">
        <v>111</v>
      </c>
      <c r="U627" t="s">
        <v>58</v>
      </c>
      <c r="V627" t="s">
        <v>41</v>
      </c>
      <c r="AA627">
        <v>2</v>
      </c>
      <c r="AB627" t="s">
        <v>33</v>
      </c>
      <c r="AC627" t="s">
        <v>209</v>
      </c>
      <c r="AD627" t="s">
        <v>54</v>
      </c>
      <c r="AE627" t="str">
        <f t="shared" si="183"/>
        <v>Hilts</v>
      </c>
      <c r="AF627">
        <v>0</v>
      </c>
      <c r="AG627">
        <v>0</v>
      </c>
      <c r="AH627">
        <v>1</v>
      </c>
      <c r="AI627">
        <v>0</v>
      </c>
      <c r="AJ627">
        <v>0</v>
      </c>
      <c r="AK627" t="s">
        <v>54</v>
      </c>
      <c r="AL627">
        <v>0.37288135593220301</v>
      </c>
      <c r="AO627">
        <f t="shared" si="196"/>
        <v>0</v>
      </c>
      <c r="AP627" t="str">
        <f t="shared" si="196"/>
        <v>Hilts</v>
      </c>
      <c r="AQ627">
        <f t="shared" si="196"/>
        <v>0</v>
      </c>
      <c r="AR627">
        <f t="shared" si="196"/>
        <v>0</v>
      </c>
      <c r="AS627">
        <f t="shared" si="196"/>
        <v>0</v>
      </c>
      <c r="AT627">
        <f t="shared" si="196"/>
        <v>0</v>
      </c>
      <c r="AU627">
        <f t="shared" si="196"/>
        <v>0</v>
      </c>
      <c r="AV627">
        <f t="shared" si="196"/>
        <v>0</v>
      </c>
      <c r="AW627">
        <f t="shared" si="196"/>
        <v>0</v>
      </c>
      <c r="AX627">
        <f t="shared" si="196"/>
        <v>0</v>
      </c>
      <c r="AY627">
        <f t="shared" si="197"/>
        <v>0</v>
      </c>
      <c r="AZ627">
        <f t="shared" si="197"/>
        <v>0</v>
      </c>
      <c r="BA627">
        <f t="shared" si="197"/>
        <v>0</v>
      </c>
      <c r="BB627">
        <f t="shared" si="197"/>
        <v>0</v>
      </c>
      <c r="BC627">
        <f t="shared" si="197"/>
        <v>0</v>
      </c>
      <c r="BD627">
        <f t="shared" si="197"/>
        <v>0</v>
      </c>
      <c r="BE627">
        <f t="shared" si="197"/>
        <v>0</v>
      </c>
      <c r="BF627">
        <f t="shared" si="197"/>
        <v>0</v>
      </c>
      <c r="BG627">
        <f t="shared" si="197"/>
        <v>0</v>
      </c>
      <c r="BH627">
        <f t="shared" si="197"/>
        <v>0</v>
      </c>
      <c r="BI627">
        <f t="shared" si="198"/>
        <v>0</v>
      </c>
      <c r="BJ627">
        <f t="shared" si="198"/>
        <v>0</v>
      </c>
      <c r="BK627">
        <f t="shared" si="198"/>
        <v>0</v>
      </c>
      <c r="BL627">
        <f t="shared" si="198"/>
        <v>0</v>
      </c>
      <c r="BM627">
        <f t="shared" si="198"/>
        <v>0</v>
      </c>
      <c r="BN627">
        <f t="shared" si="198"/>
        <v>0</v>
      </c>
      <c r="BO627">
        <f t="shared" si="198"/>
        <v>0</v>
      </c>
      <c r="BP627">
        <f t="shared" si="198"/>
        <v>0</v>
      </c>
      <c r="BQ627">
        <f t="shared" si="198"/>
        <v>0</v>
      </c>
      <c r="BR627">
        <f t="shared" si="198"/>
        <v>0</v>
      </c>
      <c r="BS627">
        <f t="shared" si="198"/>
        <v>0</v>
      </c>
    </row>
    <row r="628" spans="2:71" ht="15" customHeight="1" x14ac:dyDescent="0.2">
      <c r="B628">
        <v>24</v>
      </c>
      <c r="C628">
        <v>8</v>
      </c>
      <c r="D628">
        <v>9</v>
      </c>
      <c r="E628" t="s">
        <v>473</v>
      </c>
      <c r="F628" t="s">
        <v>72</v>
      </c>
      <c r="G628" s="5">
        <v>44758</v>
      </c>
      <c r="H628" t="s">
        <v>73</v>
      </c>
      <c r="I628" t="s">
        <v>167</v>
      </c>
      <c r="J628" t="s">
        <v>168</v>
      </c>
      <c r="K628">
        <v>18</v>
      </c>
      <c r="L628" t="s">
        <v>107</v>
      </c>
      <c r="M628" t="s">
        <v>169</v>
      </c>
      <c r="N628" t="s">
        <v>123</v>
      </c>
      <c r="O628">
        <v>70.5</v>
      </c>
      <c r="P628">
        <v>134</v>
      </c>
      <c r="Q628">
        <v>6389</v>
      </c>
      <c r="R628" t="s">
        <v>110</v>
      </c>
      <c r="S628" t="s">
        <v>111</v>
      </c>
      <c r="U628" t="s">
        <v>58</v>
      </c>
      <c r="V628" t="s">
        <v>44</v>
      </c>
      <c r="AA628">
        <v>2</v>
      </c>
      <c r="AB628" t="s">
        <v>34</v>
      </c>
      <c r="AC628" t="s">
        <v>92</v>
      </c>
      <c r="AD628" t="s">
        <v>43</v>
      </c>
      <c r="AE628" t="str">
        <f t="shared" si="183"/>
        <v>Flanders</v>
      </c>
      <c r="AF628">
        <v>1</v>
      </c>
      <c r="AG628">
        <v>0</v>
      </c>
      <c r="AH628">
        <v>0</v>
      </c>
      <c r="AI628">
        <v>1</v>
      </c>
      <c r="AJ628">
        <v>0.5</v>
      </c>
      <c r="AK628" t="s">
        <v>43</v>
      </c>
      <c r="AL628">
        <v>0.48611111111111099</v>
      </c>
      <c r="AO628">
        <f t="shared" si="196"/>
        <v>0</v>
      </c>
      <c r="AP628">
        <f t="shared" si="196"/>
        <v>0</v>
      </c>
      <c r="AQ628">
        <f t="shared" si="196"/>
        <v>0</v>
      </c>
      <c r="AR628">
        <f t="shared" si="196"/>
        <v>0</v>
      </c>
      <c r="AS628" t="str">
        <f t="shared" si="196"/>
        <v>Flanders</v>
      </c>
      <c r="AT628">
        <f t="shared" si="196"/>
        <v>0</v>
      </c>
      <c r="AU628">
        <f t="shared" si="196"/>
        <v>0</v>
      </c>
      <c r="AV628">
        <f t="shared" si="196"/>
        <v>0</v>
      </c>
      <c r="AW628">
        <f t="shared" si="196"/>
        <v>0</v>
      </c>
      <c r="AX628">
        <f t="shared" si="196"/>
        <v>0</v>
      </c>
      <c r="AY628">
        <f t="shared" si="197"/>
        <v>0</v>
      </c>
      <c r="AZ628">
        <f t="shared" si="197"/>
        <v>0</v>
      </c>
      <c r="BA628">
        <f t="shared" si="197"/>
        <v>0</v>
      </c>
      <c r="BB628">
        <f t="shared" si="197"/>
        <v>0</v>
      </c>
      <c r="BC628">
        <f t="shared" si="197"/>
        <v>0</v>
      </c>
      <c r="BD628">
        <f t="shared" si="197"/>
        <v>0</v>
      </c>
      <c r="BE628">
        <f t="shared" si="197"/>
        <v>0</v>
      </c>
      <c r="BF628">
        <f t="shared" si="197"/>
        <v>0</v>
      </c>
      <c r="BG628">
        <f t="shared" si="197"/>
        <v>0</v>
      </c>
      <c r="BH628">
        <f t="shared" si="197"/>
        <v>0</v>
      </c>
      <c r="BI628">
        <f t="shared" si="198"/>
        <v>0</v>
      </c>
      <c r="BJ628">
        <f t="shared" si="198"/>
        <v>0</v>
      </c>
      <c r="BK628">
        <f t="shared" si="198"/>
        <v>0</v>
      </c>
      <c r="BL628">
        <f t="shared" si="198"/>
        <v>0</v>
      </c>
      <c r="BM628">
        <f t="shared" si="198"/>
        <v>0</v>
      </c>
      <c r="BN628">
        <f t="shared" si="198"/>
        <v>0</v>
      </c>
      <c r="BO628">
        <f t="shared" si="198"/>
        <v>0</v>
      </c>
      <c r="BP628">
        <f t="shared" si="198"/>
        <v>0</v>
      </c>
      <c r="BQ628">
        <f t="shared" si="198"/>
        <v>0</v>
      </c>
      <c r="BR628">
        <f t="shared" si="198"/>
        <v>0</v>
      </c>
      <c r="BS628">
        <f t="shared" si="198"/>
        <v>0</v>
      </c>
    </row>
    <row r="629" spans="2:71" ht="15" customHeight="1" x14ac:dyDescent="0.2">
      <c r="B629">
        <v>25</v>
      </c>
      <c r="C629">
        <v>9</v>
      </c>
      <c r="D629">
        <v>9</v>
      </c>
      <c r="E629" t="s">
        <v>474</v>
      </c>
      <c r="F629" t="s">
        <v>72</v>
      </c>
      <c r="G629" s="5">
        <v>44758</v>
      </c>
      <c r="H629" t="s">
        <v>73</v>
      </c>
      <c r="I629" t="s">
        <v>167</v>
      </c>
      <c r="J629" t="s">
        <v>168</v>
      </c>
      <c r="K629">
        <v>18</v>
      </c>
      <c r="L629" t="s">
        <v>107</v>
      </c>
      <c r="M629" t="s">
        <v>169</v>
      </c>
      <c r="N629" t="s">
        <v>123</v>
      </c>
      <c r="O629">
        <v>70.5</v>
      </c>
      <c r="P629">
        <v>134</v>
      </c>
      <c r="Q629">
        <v>6389</v>
      </c>
      <c r="R629" t="s">
        <v>110</v>
      </c>
      <c r="S629" t="s">
        <v>111</v>
      </c>
      <c r="U629" t="s">
        <v>58</v>
      </c>
      <c r="V629" t="s">
        <v>63</v>
      </c>
      <c r="AA629">
        <v>2</v>
      </c>
      <c r="AB629" t="s">
        <v>32</v>
      </c>
      <c r="AC629" t="s">
        <v>258</v>
      </c>
      <c r="AD629" t="s">
        <v>64</v>
      </c>
      <c r="AE629" t="str">
        <f t="shared" si="183"/>
        <v>Delaney</v>
      </c>
      <c r="AF629">
        <v>2</v>
      </c>
      <c r="AG629">
        <v>1</v>
      </c>
      <c r="AH629">
        <v>0</v>
      </c>
      <c r="AI629">
        <v>0</v>
      </c>
      <c r="AJ629">
        <v>1</v>
      </c>
      <c r="AK629" t="s">
        <v>64</v>
      </c>
      <c r="AL629">
        <v>0.65909090909090895</v>
      </c>
      <c r="AO629">
        <f t="shared" si="196"/>
        <v>0</v>
      </c>
      <c r="AP629">
        <f t="shared" si="196"/>
        <v>0</v>
      </c>
      <c r="AQ629">
        <f t="shared" si="196"/>
        <v>0</v>
      </c>
      <c r="AR629">
        <f t="shared" si="196"/>
        <v>0</v>
      </c>
      <c r="AS629">
        <f t="shared" si="196"/>
        <v>0</v>
      </c>
      <c r="AT629">
        <f t="shared" si="196"/>
        <v>0</v>
      </c>
      <c r="AU629">
        <f t="shared" si="196"/>
        <v>0</v>
      </c>
      <c r="AV629">
        <f t="shared" si="196"/>
        <v>0</v>
      </c>
      <c r="AW629">
        <f t="shared" si="196"/>
        <v>0</v>
      </c>
      <c r="AX629">
        <f t="shared" si="196"/>
        <v>0</v>
      </c>
      <c r="AY629">
        <f t="shared" si="197"/>
        <v>0</v>
      </c>
      <c r="AZ629">
        <f t="shared" si="197"/>
        <v>0</v>
      </c>
      <c r="BA629">
        <f t="shared" si="197"/>
        <v>0</v>
      </c>
      <c r="BB629">
        <f t="shared" si="197"/>
        <v>0</v>
      </c>
      <c r="BC629">
        <f t="shared" si="197"/>
        <v>0</v>
      </c>
      <c r="BD629">
        <f t="shared" si="197"/>
        <v>0</v>
      </c>
      <c r="BE629">
        <f t="shared" si="197"/>
        <v>0</v>
      </c>
      <c r="BF629">
        <f t="shared" si="197"/>
        <v>0</v>
      </c>
      <c r="BG629">
        <f t="shared" si="197"/>
        <v>0</v>
      </c>
      <c r="BH629">
        <f t="shared" si="197"/>
        <v>0</v>
      </c>
      <c r="BI629">
        <f t="shared" si="198"/>
        <v>0</v>
      </c>
      <c r="BJ629">
        <f t="shared" si="198"/>
        <v>0</v>
      </c>
      <c r="BK629">
        <f t="shared" si="198"/>
        <v>0</v>
      </c>
      <c r="BL629" t="str">
        <f t="shared" si="198"/>
        <v>Delaney</v>
      </c>
      <c r="BM629">
        <f t="shared" si="198"/>
        <v>0</v>
      </c>
      <c r="BN629">
        <f t="shared" si="198"/>
        <v>0</v>
      </c>
      <c r="BO629">
        <f t="shared" si="198"/>
        <v>0</v>
      </c>
      <c r="BP629">
        <f t="shared" si="198"/>
        <v>0</v>
      </c>
      <c r="BQ629">
        <f t="shared" si="198"/>
        <v>0</v>
      </c>
      <c r="BR629">
        <f t="shared" si="198"/>
        <v>0</v>
      </c>
      <c r="BS629">
        <f t="shared" si="198"/>
        <v>0</v>
      </c>
    </row>
    <row r="630" spans="2:71" ht="15" customHeight="1" x14ac:dyDescent="0.2">
      <c r="B630">
        <v>25</v>
      </c>
      <c r="C630">
        <v>10</v>
      </c>
      <c r="D630">
        <v>9</v>
      </c>
      <c r="E630" t="s">
        <v>475</v>
      </c>
      <c r="F630" t="s">
        <v>72</v>
      </c>
      <c r="G630" s="5">
        <v>44758</v>
      </c>
      <c r="H630" t="s">
        <v>73</v>
      </c>
      <c r="I630" t="s">
        <v>167</v>
      </c>
      <c r="J630" t="s">
        <v>168</v>
      </c>
      <c r="K630">
        <v>18</v>
      </c>
      <c r="L630" t="s">
        <v>107</v>
      </c>
      <c r="M630" t="s">
        <v>169</v>
      </c>
      <c r="N630" t="s">
        <v>123</v>
      </c>
      <c r="O630">
        <v>70.5</v>
      </c>
      <c r="P630">
        <v>134</v>
      </c>
      <c r="Q630">
        <v>6389</v>
      </c>
      <c r="R630" t="s">
        <v>110</v>
      </c>
      <c r="S630" t="s">
        <v>111</v>
      </c>
      <c r="U630" t="s">
        <v>58</v>
      </c>
      <c r="V630" t="s">
        <v>52</v>
      </c>
      <c r="AA630">
        <v>2</v>
      </c>
      <c r="AB630" t="s">
        <v>34</v>
      </c>
      <c r="AC630" t="s">
        <v>92</v>
      </c>
      <c r="AD630" t="s">
        <v>67</v>
      </c>
      <c r="AE630" t="str">
        <f t="shared" si="183"/>
        <v>Connors</v>
      </c>
      <c r="AF630">
        <v>1</v>
      </c>
      <c r="AG630">
        <v>0</v>
      </c>
      <c r="AH630">
        <v>0</v>
      </c>
      <c r="AI630">
        <v>1</v>
      </c>
      <c r="AJ630">
        <v>0.5</v>
      </c>
      <c r="AK630" t="s">
        <v>67</v>
      </c>
      <c r="AL630">
        <v>0.54545454545454497</v>
      </c>
      <c r="AO630">
        <f t="shared" si="196"/>
        <v>0</v>
      </c>
      <c r="AP630">
        <f t="shared" si="196"/>
        <v>0</v>
      </c>
      <c r="AQ630">
        <f t="shared" si="196"/>
        <v>0</v>
      </c>
      <c r="AR630">
        <f t="shared" si="196"/>
        <v>0</v>
      </c>
      <c r="AS630">
        <f t="shared" si="196"/>
        <v>0</v>
      </c>
      <c r="AT630">
        <f t="shared" si="196"/>
        <v>0</v>
      </c>
      <c r="AU630">
        <f t="shared" si="196"/>
        <v>0</v>
      </c>
      <c r="AV630">
        <f t="shared" si="196"/>
        <v>0</v>
      </c>
      <c r="AW630">
        <f t="shared" si="196"/>
        <v>0</v>
      </c>
      <c r="AX630">
        <f t="shared" si="196"/>
        <v>0</v>
      </c>
      <c r="AY630">
        <f t="shared" si="197"/>
        <v>0</v>
      </c>
      <c r="AZ630">
        <f t="shared" si="197"/>
        <v>0</v>
      </c>
      <c r="BA630" t="str">
        <f t="shared" si="197"/>
        <v>Connors</v>
      </c>
      <c r="BB630">
        <f t="shared" si="197"/>
        <v>0</v>
      </c>
      <c r="BC630">
        <f t="shared" si="197"/>
        <v>0</v>
      </c>
      <c r="BD630">
        <f t="shared" si="197"/>
        <v>0</v>
      </c>
      <c r="BE630">
        <f t="shared" si="197"/>
        <v>0</v>
      </c>
      <c r="BF630">
        <f t="shared" si="197"/>
        <v>0</v>
      </c>
      <c r="BG630">
        <f t="shared" si="197"/>
        <v>0</v>
      </c>
      <c r="BH630">
        <f t="shared" si="197"/>
        <v>0</v>
      </c>
      <c r="BI630">
        <f t="shared" si="198"/>
        <v>0</v>
      </c>
      <c r="BJ630">
        <f t="shared" si="198"/>
        <v>0</v>
      </c>
      <c r="BK630">
        <f t="shared" si="198"/>
        <v>0</v>
      </c>
      <c r="BL630">
        <f t="shared" si="198"/>
        <v>0</v>
      </c>
      <c r="BM630">
        <f t="shared" si="198"/>
        <v>0</v>
      </c>
      <c r="BN630">
        <f t="shared" si="198"/>
        <v>0</v>
      </c>
      <c r="BO630">
        <f t="shared" si="198"/>
        <v>0</v>
      </c>
      <c r="BP630">
        <f t="shared" si="198"/>
        <v>0</v>
      </c>
      <c r="BQ630">
        <f t="shared" si="198"/>
        <v>0</v>
      </c>
      <c r="BR630">
        <f t="shared" si="198"/>
        <v>0</v>
      </c>
      <c r="BS630">
        <f t="shared" si="198"/>
        <v>0</v>
      </c>
    </row>
    <row r="631" spans="2:71" ht="15" customHeight="1" x14ac:dyDescent="0.2">
      <c r="B631">
        <v>26</v>
      </c>
      <c r="C631">
        <v>1</v>
      </c>
      <c r="D631">
        <v>9</v>
      </c>
      <c r="E631" t="s">
        <v>465</v>
      </c>
      <c r="F631" t="s">
        <v>72</v>
      </c>
      <c r="G631" s="5">
        <v>44758</v>
      </c>
      <c r="H631" t="s">
        <v>73</v>
      </c>
      <c r="I631" t="s">
        <v>167</v>
      </c>
      <c r="J631" t="s">
        <v>168</v>
      </c>
      <c r="K631">
        <v>18</v>
      </c>
      <c r="L631" t="s">
        <v>107</v>
      </c>
      <c r="M631" t="s">
        <v>169</v>
      </c>
      <c r="N631" t="s">
        <v>123</v>
      </c>
      <c r="O631">
        <v>70.5</v>
      </c>
      <c r="P631">
        <v>134</v>
      </c>
      <c r="Q631">
        <v>6389</v>
      </c>
      <c r="R631" t="s">
        <v>110</v>
      </c>
      <c r="S631" t="s">
        <v>111</v>
      </c>
      <c r="U631" t="s">
        <v>60</v>
      </c>
      <c r="V631" t="s">
        <v>42</v>
      </c>
      <c r="AA631">
        <v>2</v>
      </c>
      <c r="AB631" t="s">
        <v>33</v>
      </c>
      <c r="AC631" t="s">
        <v>174</v>
      </c>
      <c r="AD631" t="s">
        <v>48</v>
      </c>
      <c r="AE631" t="str">
        <f t="shared" si="183"/>
        <v>Jackson</v>
      </c>
      <c r="AF631">
        <v>0</v>
      </c>
      <c r="AG631">
        <v>0</v>
      </c>
      <c r="AH631">
        <v>1</v>
      </c>
      <c r="AI631">
        <v>0</v>
      </c>
      <c r="AJ631">
        <v>0</v>
      </c>
      <c r="AK631" t="s">
        <v>48</v>
      </c>
      <c r="AL631">
        <v>0.5546875</v>
      </c>
      <c r="AO631">
        <f t="shared" si="196"/>
        <v>0</v>
      </c>
      <c r="AP631">
        <f t="shared" si="196"/>
        <v>0</v>
      </c>
      <c r="AQ631" t="str">
        <f t="shared" si="196"/>
        <v>Jackson</v>
      </c>
      <c r="AR631">
        <f t="shared" si="196"/>
        <v>0</v>
      </c>
      <c r="AS631">
        <f t="shared" si="196"/>
        <v>0</v>
      </c>
      <c r="AT631">
        <f t="shared" si="196"/>
        <v>0</v>
      </c>
      <c r="AU631">
        <f t="shared" si="196"/>
        <v>0</v>
      </c>
      <c r="AV631">
        <f t="shared" si="196"/>
        <v>0</v>
      </c>
      <c r="AW631">
        <f t="shared" si="196"/>
        <v>0</v>
      </c>
      <c r="AX631">
        <f t="shared" si="196"/>
        <v>0</v>
      </c>
      <c r="AY631">
        <f t="shared" si="197"/>
        <v>0</v>
      </c>
      <c r="AZ631">
        <f t="shared" si="197"/>
        <v>0</v>
      </c>
      <c r="BA631">
        <f t="shared" si="197"/>
        <v>0</v>
      </c>
      <c r="BB631">
        <f t="shared" si="197"/>
        <v>0</v>
      </c>
      <c r="BC631">
        <f t="shared" si="197"/>
        <v>0</v>
      </c>
      <c r="BD631">
        <f t="shared" si="197"/>
        <v>0</v>
      </c>
      <c r="BE631">
        <f t="shared" si="197"/>
        <v>0</v>
      </c>
      <c r="BF631">
        <f t="shared" si="197"/>
        <v>0</v>
      </c>
      <c r="BG631">
        <f t="shared" si="197"/>
        <v>0</v>
      </c>
      <c r="BH631">
        <f t="shared" si="197"/>
        <v>0</v>
      </c>
      <c r="BI631">
        <f t="shared" si="198"/>
        <v>0</v>
      </c>
      <c r="BJ631">
        <f t="shared" si="198"/>
        <v>0</v>
      </c>
      <c r="BK631">
        <f t="shared" si="198"/>
        <v>0</v>
      </c>
      <c r="BL631">
        <f t="shared" si="198"/>
        <v>0</v>
      </c>
      <c r="BM631">
        <f t="shared" si="198"/>
        <v>0</v>
      </c>
      <c r="BN631">
        <f t="shared" si="198"/>
        <v>0</v>
      </c>
      <c r="BO631">
        <f t="shared" si="198"/>
        <v>0</v>
      </c>
      <c r="BP631">
        <f t="shared" si="198"/>
        <v>0</v>
      </c>
      <c r="BQ631">
        <f t="shared" si="198"/>
        <v>0</v>
      </c>
      <c r="BR631">
        <f t="shared" si="198"/>
        <v>0</v>
      </c>
      <c r="BS631">
        <f t="shared" si="198"/>
        <v>0</v>
      </c>
    </row>
    <row r="632" spans="2:71" ht="15" customHeight="1" x14ac:dyDescent="0.2">
      <c r="B632">
        <v>26</v>
      </c>
      <c r="C632">
        <v>2</v>
      </c>
      <c r="D632">
        <v>9</v>
      </c>
      <c r="E632" t="s">
        <v>466</v>
      </c>
      <c r="F632" t="s">
        <v>72</v>
      </c>
      <c r="G632" s="5">
        <v>44758</v>
      </c>
      <c r="H632" t="s">
        <v>73</v>
      </c>
      <c r="I632" t="s">
        <v>167</v>
      </c>
      <c r="J632" t="s">
        <v>168</v>
      </c>
      <c r="K632">
        <v>18</v>
      </c>
      <c r="L632" t="s">
        <v>107</v>
      </c>
      <c r="M632" t="s">
        <v>169</v>
      </c>
      <c r="N632" t="s">
        <v>123</v>
      </c>
      <c r="O632">
        <v>70.5</v>
      </c>
      <c r="P632">
        <v>134</v>
      </c>
      <c r="Q632">
        <v>6389</v>
      </c>
      <c r="R632" t="s">
        <v>110</v>
      </c>
      <c r="S632" t="s">
        <v>111</v>
      </c>
      <c r="U632" t="s">
        <v>60</v>
      </c>
      <c r="V632" t="s">
        <v>50</v>
      </c>
      <c r="AA632">
        <v>2</v>
      </c>
      <c r="AB632" t="s">
        <v>32</v>
      </c>
      <c r="AC632" t="s">
        <v>209</v>
      </c>
      <c r="AD632" t="s">
        <v>55</v>
      </c>
      <c r="AE632" t="str">
        <f t="shared" si="183"/>
        <v>Ferrin</v>
      </c>
      <c r="AF632">
        <v>2</v>
      </c>
      <c r="AG632">
        <v>1</v>
      </c>
      <c r="AH632">
        <v>0</v>
      </c>
      <c r="AI632">
        <v>0</v>
      </c>
      <c r="AJ632">
        <v>1</v>
      </c>
      <c r="AK632" t="s">
        <v>55</v>
      </c>
      <c r="AL632">
        <v>0.44067796610169502</v>
      </c>
      <c r="AO632">
        <f t="shared" ref="AO632:AX641" si="199">IF(OR($V632=AO$1,$Y632=AO$1),AO$1,0)</f>
        <v>0</v>
      </c>
      <c r="AP632">
        <f t="shared" si="199"/>
        <v>0</v>
      </c>
      <c r="AQ632">
        <f t="shared" si="199"/>
        <v>0</v>
      </c>
      <c r="AR632">
        <f t="shared" si="199"/>
        <v>0</v>
      </c>
      <c r="AS632">
        <f t="shared" si="199"/>
        <v>0</v>
      </c>
      <c r="AT632">
        <f t="shared" si="199"/>
        <v>0</v>
      </c>
      <c r="AU632">
        <f t="shared" si="199"/>
        <v>0</v>
      </c>
      <c r="AV632">
        <f t="shared" si="199"/>
        <v>0</v>
      </c>
      <c r="AW632">
        <f t="shared" si="199"/>
        <v>0</v>
      </c>
      <c r="AX632">
        <f t="shared" si="199"/>
        <v>0</v>
      </c>
      <c r="AY632" t="str">
        <f t="shared" ref="AY632:BH641" si="200">IF(OR($V632=AY$1,$Y632=AY$1),AY$1,0)</f>
        <v>Ferrin</v>
      </c>
      <c r="AZ632">
        <f t="shared" si="200"/>
        <v>0</v>
      </c>
      <c r="BA632">
        <f t="shared" si="200"/>
        <v>0</v>
      </c>
      <c r="BB632">
        <f t="shared" si="200"/>
        <v>0</v>
      </c>
      <c r="BC632">
        <f t="shared" si="200"/>
        <v>0</v>
      </c>
      <c r="BD632">
        <f t="shared" si="200"/>
        <v>0</v>
      </c>
      <c r="BE632">
        <f t="shared" si="200"/>
        <v>0</v>
      </c>
      <c r="BF632">
        <f t="shared" si="200"/>
        <v>0</v>
      </c>
      <c r="BG632">
        <f t="shared" si="200"/>
        <v>0</v>
      </c>
      <c r="BH632">
        <f t="shared" si="200"/>
        <v>0</v>
      </c>
      <c r="BI632">
        <f t="shared" ref="BI632:BS641" si="201">IF(OR($V632=BI$1,$Y632=BI$1),BI$1,0)</f>
        <v>0</v>
      </c>
      <c r="BJ632">
        <f t="shared" si="201"/>
        <v>0</v>
      </c>
      <c r="BK632">
        <f t="shared" si="201"/>
        <v>0</v>
      </c>
      <c r="BL632">
        <f t="shared" si="201"/>
        <v>0</v>
      </c>
      <c r="BM632">
        <f t="shared" si="201"/>
        <v>0</v>
      </c>
      <c r="BN632">
        <f t="shared" si="201"/>
        <v>0</v>
      </c>
      <c r="BO632">
        <f t="shared" si="201"/>
        <v>0</v>
      </c>
      <c r="BP632">
        <f t="shared" si="201"/>
        <v>0</v>
      </c>
      <c r="BQ632">
        <f t="shared" si="201"/>
        <v>0</v>
      </c>
      <c r="BR632">
        <f t="shared" si="201"/>
        <v>0</v>
      </c>
      <c r="BS632">
        <f t="shared" si="201"/>
        <v>0</v>
      </c>
    </row>
    <row r="633" spans="2:71" ht="15" customHeight="1" x14ac:dyDescent="0.2">
      <c r="B633">
        <v>27</v>
      </c>
      <c r="C633">
        <v>3</v>
      </c>
      <c r="D633">
        <v>9</v>
      </c>
      <c r="E633" t="s">
        <v>467</v>
      </c>
      <c r="F633" t="s">
        <v>72</v>
      </c>
      <c r="G633" s="5">
        <v>44758</v>
      </c>
      <c r="H633" t="s">
        <v>73</v>
      </c>
      <c r="I633" t="s">
        <v>167</v>
      </c>
      <c r="J633" t="s">
        <v>168</v>
      </c>
      <c r="K633">
        <v>18</v>
      </c>
      <c r="L633" t="s">
        <v>107</v>
      </c>
      <c r="M633" t="s">
        <v>169</v>
      </c>
      <c r="N633" t="s">
        <v>123</v>
      </c>
      <c r="O633">
        <v>70.5</v>
      </c>
      <c r="P633">
        <v>134</v>
      </c>
      <c r="Q633">
        <v>6389</v>
      </c>
      <c r="R633" t="s">
        <v>110</v>
      </c>
      <c r="S633" t="s">
        <v>111</v>
      </c>
      <c r="U633" t="s">
        <v>60</v>
      </c>
      <c r="V633" t="s">
        <v>60</v>
      </c>
      <c r="AA633">
        <v>2</v>
      </c>
      <c r="AB633" t="s">
        <v>32</v>
      </c>
      <c r="AC633" t="s">
        <v>249</v>
      </c>
      <c r="AD633" t="s">
        <v>49</v>
      </c>
      <c r="AE633" t="str">
        <f t="shared" si="183"/>
        <v>Zimmer</v>
      </c>
      <c r="AF633">
        <v>2</v>
      </c>
      <c r="AG633">
        <v>1</v>
      </c>
      <c r="AH633">
        <v>0</v>
      </c>
      <c r="AI633">
        <v>0</v>
      </c>
      <c r="AJ633">
        <v>1</v>
      </c>
      <c r="AK633" t="s">
        <v>49</v>
      </c>
      <c r="AO633">
        <f t="shared" si="199"/>
        <v>0</v>
      </c>
      <c r="AP633">
        <f t="shared" si="199"/>
        <v>0</v>
      </c>
      <c r="AQ633">
        <f t="shared" si="199"/>
        <v>0</v>
      </c>
      <c r="AR633">
        <f t="shared" si="199"/>
        <v>0</v>
      </c>
      <c r="AS633">
        <f t="shared" si="199"/>
        <v>0</v>
      </c>
      <c r="AT633">
        <f t="shared" si="199"/>
        <v>0</v>
      </c>
      <c r="AU633">
        <f t="shared" si="199"/>
        <v>0</v>
      </c>
      <c r="AV633">
        <f t="shared" si="199"/>
        <v>0</v>
      </c>
      <c r="AW633">
        <f t="shared" si="199"/>
        <v>0</v>
      </c>
      <c r="AX633">
        <f t="shared" si="199"/>
        <v>0</v>
      </c>
      <c r="AY633">
        <f t="shared" si="200"/>
        <v>0</v>
      </c>
      <c r="AZ633">
        <f t="shared" si="200"/>
        <v>0</v>
      </c>
      <c r="BA633">
        <f t="shared" si="200"/>
        <v>0</v>
      </c>
      <c r="BB633">
        <f t="shared" si="200"/>
        <v>0</v>
      </c>
      <c r="BC633">
        <f t="shared" si="200"/>
        <v>0</v>
      </c>
      <c r="BD633">
        <f t="shared" si="200"/>
        <v>0</v>
      </c>
      <c r="BE633">
        <f t="shared" si="200"/>
        <v>0</v>
      </c>
      <c r="BF633">
        <f t="shared" si="200"/>
        <v>0</v>
      </c>
      <c r="BG633">
        <f t="shared" si="200"/>
        <v>0</v>
      </c>
      <c r="BH633">
        <f t="shared" si="200"/>
        <v>0</v>
      </c>
      <c r="BI633" t="str">
        <f t="shared" si="201"/>
        <v>Zimmer</v>
      </c>
      <c r="BJ633">
        <f t="shared" si="201"/>
        <v>0</v>
      </c>
      <c r="BK633">
        <f t="shared" si="201"/>
        <v>0</v>
      </c>
      <c r="BL633">
        <f t="shared" si="201"/>
        <v>0</v>
      </c>
      <c r="BM633">
        <f t="shared" si="201"/>
        <v>0</v>
      </c>
      <c r="BN633">
        <f t="shared" si="201"/>
        <v>0</v>
      </c>
      <c r="BO633">
        <f t="shared" si="201"/>
        <v>0</v>
      </c>
      <c r="BP633">
        <f t="shared" si="201"/>
        <v>0</v>
      </c>
      <c r="BQ633">
        <f t="shared" si="201"/>
        <v>0</v>
      </c>
      <c r="BR633">
        <f t="shared" si="201"/>
        <v>0</v>
      </c>
      <c r="BS633">
        <f t="shared" si="201"/>
        <v>0</v>
      </c>
    </row>
    <row r="634" spans="2:71" ht="15" customHeight="1" x14ac:dyDescent="0.2">
      <c r="B634">
        <v>27</v>
      </c>
      <c r="C634">
        <v>4</v>
      </c>
      <c r="D634">
        <v>9</v>
      </c>
      <c r="E634" t="s">
        <v>468</v>
      </c>
      <c r="F634" t="s">
        <v>72</v>
      </c>
      <c r="G634" s="5">
        <v>44758</v>
      </c>
      <c r="H634" t="s">
        <v>73</v>
      </c>
      <c r="I634" t="s">
        <v>167</v>
      </c>
      <c r="J634" t="s">
        <v>168</v>
      </c>
      <c r="K634">
        <v>18</v>
      </c>
      <c r="L634" t="s">
        <v>107</v>
      </c>
      <c r="M634" t="s">
        <v>169</v>
      </c>
      <c r="N634" t="s">
        <v>123</v>
      </c>
      <c r="O634">
        <v>70.5</v>
      </c>
      <c r="P634">
        <v>134</v>
      </c>
      <c r="Q634">
        <v>6389</v>
      </c>
      <c r="R634" t="s">
        <v>110</v>
      </c>
      <c r="S634" t="s">
        <v>111</v>
      </c>
      <c r="U634" t="s">
        <v>60</v>
      </c>
      <c r="V634" t="s">
        <v>53</v>
      </c>
      <c r="AA634">
        <v>2</v>
      </c>
      <c r="AB634" t="s">
        <v>33</v>
      </c>
      <c r="AC634" t="s">
        <v>469</v>
      </c>
      <c r="AD634" t="s">
        <v>66</v>
      </c>
      <c r="AE634" t="str">
        <f t="shared" si="183"/>
        <v>Forster</v>
      </c>
      <c r="AF634">
        <v>0</v>
      </c>
      <c r="AG634">
        <v>0</v>
      </c>
      <c r="AH634">
        <v>1</v>
      </c>
      <c r="AI634">
        <v>0</v>
      </c>
      <c r="AJ634">
        <v>0</v>
      </c>
      <c r="AK634" t="s">
        <v>66</v>
      </c>
      <c r="AL634">
        <v>0.63888888888888895</v>
      </c>
      <c r="AO634">
        <f t="shared" si="199"/>
        <v>0</v>
      </c>
      <c r="AP634">
        <f t="shared" si="199"/>
        <v>0</v>
      </c>
      <c r="AQ634">
        <f t="shared" si="199"/>
        <v>0</v>
      </c>
      <c r="AR634">
        <f t="shared" si="199"/>
        <v>0</v>
      </c>
      <c r="AS634">
        <f t="shared" si="199"/>
        <v>0</v>
      </c>
      <c r="AT634">
        <f t="shared" si="199"/>
        <v>0</v>
      </c>
      <c r="AU634">
        <f t="shared" si="199"/>
        <v>0</v>
      </c>
      <c r="AV634">
        <f t="shared" si="199"/>
        <v>0</v>
      </c>
      <c r="AW634">
        <f t="shared" si="199"/>
        <v>0</v>
      </c>
      <c r="AX634">
        <f t="shared" si="199"/>
        <v>0</v>
      </c>
      <c r="AY634">
        <f t="shared" si="200"/>
        <v>0</v>
      </c>
      <c r="AZ634">
        <f t="shared" si="200"/>
        <v>0</v>
      </c>
      <c r="BA634">
        <f t="shared" si="200"/>
        <v>0</v>
      </c>
      <c r="BB634" t="str">
        <f t="shared" si="200"/>
        <v>Forster</v>
      </c>
      <c r="BC634">
        <f t="shared" si="200"/>
        <v>0</v>
      </c>
      <c r="BD634">
        <f t="shared" si="200"/>
        <v>0</v>
      </c>
      <c r="BE634">
        <f t="shared" si="200"/>
        <v>0</v>
      </c>
      <c r="BF634">
        <f t="shared" si="200"/>
        <v>0</v>
      </c>
      <c r="BG634">
        <f t="shared" si="200"/>
        <v>0</v>
      </c>
      <c r="BH634">
        <f t="shared" si="200"/>
        <v>0</v>
      </c>
      <c r="BI634">
        <f t="shared" si="201"/>
        <v>0</v>
      </c>
      <c r="BJ634">
        <f t="shared" si="201"/>
        <v>0</v>
      </c>
      <c r="BK634">
        <f t="shared" si="201"/>
        <v>0</v>
      </c>
      <c r="BL634">
        <f t="shared" si="201"/>
        <v>0</v>
      </c>
      <c r="BM634">
        <f t="shared" si="201"/>
        <v>0</v>
      </c>
      <c r="BN634">
        <f t="shared" si="201"/>
        <v>0</v>
      </c>
      <c r="BO634">
        <f t="shared" si="201"/>
        <v>0</v>
      </c>
      <c r="BP634">
        <f t="shared" si="201"/>
        <v>0</v>
      </c>
      <c r="BQ634">
        <f t="shared" si="201"/>
        <v>0</v>
      </c>
      <c r="BR634">
        <f t="shared" si="201"/>
        <v>0</v>
      </c>
      <c r="BS634">
        <f t="shared" si="201"/>
        <v>0</v>
      </c>
    </row>
    <row r="635" spans="2:71" ht="15" customHeight="1" x14ac:dyDescent="0.2">
      <c r="B635">
        <v>28</v>
      </c>
      <c r="C635">
        <v>5</v>
      </c>
      <c r="D635">
        <v>9</v>
      </c>
      <c r="E635" t="s">
        <v>470</v>
      </c>
      <c r="F635" t="s">
        <v>72</v>
      </c>
      <c r="G635" s="5">
        <v>44758</v>
      </c>
      <c r="H635" t="s">
        <v>73</v>
      </c>
      <c r="I635" t="s">
        <v>167</v>
      </c>
      <c r="J635" t="s">
        <v>168</v>
      </c>
      <c r="K635">
        <v>18</v>
      </c>
      <c r="L635" t="s">
        <v>107</v>
      </c>
      <c r="M635" t="s">
        <v>169</v>
      </c>
      <c r="N635" t="s">
        <v>123</v>
      </c>
      <c r="O635">
        <v>70.5</v>
      </c>
      <c r="P635">
        <v>134</v>
      </c>
      <c r="Q635">
        <v>6389</v>
      </c>
      <c r="R635" t="s">
        <v>110</v>
      </c>
      <c r="S635" t="s">
        <v>111</v>
      </c>
      <c r="U635" t="s">
        <v>60</v>
      </c>
      <c r="V635" t="s">
        <v>62</v>
      </c>
      <c r="AA635">
        <v>2</v>
      </c>
      <c r="AB635" t="s">
        <v>32</v>
      </c>
      <c r="AC635" t="s">
        <v>258</v>
      </c>
      <c r="AD635" t="s">
        <v>45</v>
      </c>
      <c r="AE635" t="str">
        <f t="shared" si="183"/>
        <v>Welker</v>
      </c>
      <c r="AF635">
        <v>2</v>
      </c>
      <c r="AG635">
        <v>1</v>
      </c>
      <c r="AH635">
        <v>0</v>
      </c>
      <c r="AI635">
        <v>0</v>
      </c>
      <c r="AJ635">
        <v>1</v>
      </c>
      <c r="AK635" t="s">
        <v>45</v>
      </c>
      <c r="AL635">
        <v>0.59375</v>
      </c>
      <c r="AO635">
        <f t="shared" si="199"/>
        <v>0</v>
      </c>
      <c r="AP635">
        <f t="shared" si="199"/>
        <v>0</v>
      </c>
      <c r="AQ635">
        <f t="shared" si="199"/>
        <v>0</v>
      </c>
      <c r="AR635">
        <f t="shared" si="199"/>
        <v>0</v>
      </c>
      <c r="AS635">
        <f t="shared" si="199"/>
        <v>0</v>
      </c>
      <c r="AT635">
        <f t="shared" si="199"/>
        <v>0</v>
      </c>
      <c r="AU635">
        <f t="shared" si="199"/>
        <v>0</v>
      </c>
      <c r="AV635">
        <f t="shared" si="199"/>
        <v>0</v>
      </c>
      <c r="AW635">
        <f t="shared" si="199"/>
        <v>0</v>
      </c>
      <c r="AX635">
        <f t="shared" si="199"/>
        <v>0</v>
      </c>
      <c r="AY635">
        <f t="shared" si="200"/>
        <v>0</v>
      </c>
      <c r="AZ635">
        <f t="shared" si="200"/>
        <v>0</v>
      </c>
      <c r="BA635">
        <f t="shared" si="200"/>
        <v>0</v>
      </c>
      <c r="BB635">
        <f t="shared" si="200"/>
        <v>0</v>
      </c>
      <c r="BC635">
        <f t="shared" si="200"/>
        <v>0</v>
      </c>
      <c r="BD635">
        <f t="shared" si="200"/>
        <v>0</v>
      </c>
      <c r="BE635">
        <f t="shared" si="200"/>
        <v>0</v>
      </c>
      <c r="BF635">
        <f t="shared" si="200"/>
        <v>0</v>
      </c>
      <c r="BG635">
        <f t="shared" si="200"/>
        <v>0</v>
      </c>
      <c r="BH635">
        <f t="shared" si="200"/>
        <v>0</v>
      </c>
      <c r="BI635">
        <f t="shared" si="201"/>
        <v>0</v>
      </c>
      <c r="BJ635">
        <f t="shared" si="201"/>
        <v>0</v>
      </c>
      <c r="BK635" t="str">
        <f t="shared" si="201"/>
        <v>Welker</v>
      </c>
      <c r="BL635">
        <f t="shared" si="201"/>
        <v>0</v>
      </c>
      <c r="BM635">
        <f t="shared" si="201"/>
        <v>0</v>
      </c>
      <c r="BN635">
        <f t="shared" si="201"/>
        <v>0</v>
      </c>
      <c r="BO635">
        <f t="shared" si="201"/>
        <v>0</v>
      </c>
      <c r="BP635">
        <f t="shared" si="201"/>
        <v>0</v>
      </c>
      <c r="BQ635">
        <f t="shared" si="201"/>
        <v>0</v>
      </c>
      <c r="BR635">
        <f t="shared" si="201"/>
        <v>0</v>
      </c>
      <c r="BS635">
        <f t="shared" si="201"/>
        <v>0</v>
      </c>
    </row>
    <row r="636" spans="2:71" ht="15" customHeight="1" x14ac:dyDescent="0.2">
      <c r="B636">
        <v>28</v>
      </c>
      <c r="C636">
        <v>6</v>
      </c>
      <c r="D636">
        <v>9</v>
      </c>
      <c r="E636" t="s">
        <v>471</v>
      </c>
      <c r="F636" t="s">
        <v>72</v>
      </c>
      <c r="G636" s="5">
        <v>44758</v>
      </c>
      <c r="H636" t="s">
        <v>73</v>
      </c>
      <c r="I636" t="s">
        <v>167</v>
      </c>
      <c r="J636" t="s">
        <v>168</v>
      </c>
      <c r="K636">
        <v>18</v>
      </c>
      <c r="L636" t="s">
        <v>107</v>
      </c>
      <c r="M636" t="s">
        <v>169</v>
      </c>
      <c r="N636" t="s">
        <v>123</v>
      </c>
      <c r="O636">
        <v>70.5</v>
      </c>
      <c r="P636">
        <v>134</v>
      </c>
      <c r="Q636">
        <v>6389</v>
      </c>
      <c r="R636" t="s">
        <v>110</v>
      </c>
      <c r="S636" t="s">
        <v>111</v>
      </c>
      <c r="U636" t="s">
        <v>60</v>
      </c>
      <c r="V636" t="s">
        <v>40</v>
      </c>
      <c r="AA636">
        <v>2</v>
      </c>
      <c r="AB636" t="s">
        <v>33</v>
      </c>
      <c r="AC636" t="s">
        <v>171</v>
      </c>
      <c r="AD636" t="s">
        <v>61</v>
      </c>
      <c r="AE636" t="str">
        <f t="shared" si="183"/>
        <v>Grise</v>
      </c>
      <c r="AF636">
        <v>0</v>
      </c>
      <c r="AG636">
        <v>0</v>
      </c>
      <c r="AH636">
        <v>1</v>
      </c>
      <c r="AI636">
        <v>0</v>
      </c>
      <c r="AJ636">
        <v>0</v>
      </c>
      <c r="AK636" t="s">
        <v>61</v>
      </c>
      <c r="AL636">
        <v>0.5</v>
      </c>
      <c r="AO636" t="str">
        <f t="shared" si="199"/>
        <v>Grise</v>
      </c>
      <c r="AP636">
        <f t="shared" si="199"/>
        <v>0</v>
      </c>
      <c r="AQ636">
        <f t="shared" si="199"/>
        <v>0</v>
      </c>
      <c r="AR636">
        <f t="shared" si="199"/>
        <v>0</v>
      </c>
      <c r="AS636">
        <f t="shared" si="199"/>
        <v>0</v>
      </c>
      <c r="AT636">
        <f t="shared" si="199"/>
        <v>0</v>
      </c>
      <c r="AU636">
        <f t="shared" si="199"/>
        <v>0</v>
      </c>
      <c r="AV636">
        <f t="shared" si="199"/>
        <v>0</v>
      </c>
      <c r="AW636">
        <f t="shared" si="199"/>
        <v>0</v>
      </c>
      <c r="AX636">
        <f t="shared" si="199"/>
        <v>0</v>
      </c>
      <c r="AY636">
        <f t="shared" si="200"/>
        <v>0</v>
      </c>
      <c r="AZ636">
        <f t="shared" si="200"/>
        <v>0</v>
      </c>
      <c r="BA636">
        <f t="shared" si="200"/>
        <v>0</v>
      </c>
      <c r="BB636">
        <f t="shared" si="200"/>
        <v>0</v>
      </c>
      <c r="BC636">
        <f t="shared" si="200"/>
        <v>0</v>
      </c>
      <c r="BD636">
        <f t="shared" si="200"/>
        <v>0</v>
      </c>
      <c r="BE636">
        <f t="shared" si="200"/>
        <v>0</v>
      </c>
      <c r="BF636">
        <f t="shared" si="200"/>
        <v>0</v>
      </c>
      <c r="BG636">
        <f t="shared" si="200"/>
        <v>0</v>
      </c>
      <c r="BH636">
        <f t="shared" si="200"/>
        <v>0</v>
      </c>
      <c r="BI636">
        <f t="shared" si="201"/>
        <v>0</v>
      </c>
      <c r="BJ636">
        <f t="shared" si="201"/>
        <v>0</v>
      </c>
      <c r="BK636">
        <f t="shared" si="201"/>
        <v>0</v>
      </c>
      <c r="BL636">
        <f t="shared" si="201"/>
        <v>0</v>
      </c>
      <c r="BM636">
        <f t="shared" si="201"/>
        <v>0</v>
      </c>
      <c r="BN636">
        <f t="shared" si="201"/>
        <v>0</v>
      </c>
      <c r="BO636">
        <f t="shared" si="201"/>
        <v>0</v>
      </c>
      <c r="BP636">
        <f t="shared" si="201"/>
        <v>0</v>
      </c>
      <c r="BQ636">
        <f t="shared" si="201"/>
        <v>0</v>
      </c>
      <c r="BR636">
        <f t="shared" si="201"/>
        <v>0</v>
      </c>
      <c r="BS636">
        <f t="shared" si="201"/>
        <v>0</v>
      </c>
    </row>
    <row r="637" spans="2:71" ht="15" customHeight="1" x14ac:dyDescent="0.2">
      <c r="B637">
        <v>29</v>
      </c>
      <c r="C637">
        <v>7</v>
      </c>
      <c r="D637">
        <v>9</v>
      </c>
      <c r="E637" t="s">
        <v>472</v>
      </c>
      <c r="F637" t="s">
        <v>72</v>
      </c>
      <c r="G637" s="5">
        <v>44758</v>
      </c>
      <c r="H637" t="s">
        <v>73</v>
      </c>
      <c r="I637" t="s">
        <v>167</v>
      </c>
      <c r="J637" t="s">
        <v>168</v>
      </c>
      <c r="K637">
        <v>18</v>
      </c>
      <c r="L637" t="s">
        <v>107</v>
      </c>
      <c r="M637" t="s">
        <v>169</v>
      </c>
      <c r="N637" t="s">
        <v>123</v>
      </c>
      <c r="O637">
        <v>70.5</v>
      </c>
      <c r="P637">
        <v>134</v>
      </c>
      <c r="Q637">
        <v>6389</v>
      </c>
      <c r="R637" t="s">
        <v>110</v>
      </c>
      <c r="S637" t="s">
        <v>111</v>
      </c>
      <c r="U637" t="s">
        <v>60</v>
      </c>
      <c r="V637" t="s">
        <v>54</v>
      </c>
      <c r="AA637">
        <v>2</v>
      </c>
      <c r="AB637" t="s">
        <v>32</v>
      </c>
      <c r="AC637" t="s">
        <v>209</v>
      </c>
      <c r="AD637" t="s">
        <v>41</v>
      </c>
      <c r="AE637" t="str">
        <f t="shared" si="183"/>
        <v>Fogan</v>
      </c>
      <c r="AF637">
        <v>2</v>
      </c>
      <c r="AG637">
        <v>1</v>
      </c>
      <c r="AH637">
        <v>0</v>
      </c>
      <c r="AI637">
        <v>0</v>
      </c>
      <c r="AJ637">
        <v>1</v>
      </c>
      <c r="AK637" t="s">
        <v>41</v>
      </c>
      <c r="AL637">
        <v>0.47321428571428598</v>
      </c>
      <c r="AO637">
        <f t="shared" si="199"/>
        <v>0</v>
      </c>
      <c r="AP637">
        <f t="shared" si="199"/>
        <v>0</v>
      </c>
      <c r="AQ637">
        <f t="shared" si="199"/>
        <v>0</v>
      </c>
      <c r="AR637">
        <f t="shared" si="199"/>
        <v>0</v>
      </c>
      <c r="AS637">
        <f t="shared" si="199"/>
        <v>0</v>
      </c>
      <c r="AT637">
        <f t="shared" si="199"/>
        <v>0</v>
      </c>
      <c r="AU637">
        <f t="shared" si="199"/>
        <v>0</v>
      </c>
      <c r="AV637">
        <f t="shared" si="199"/>
        <v>0</v>
      </c>
      <c r="AW637">
        <f t="shared" si="199"/>
        <v>0</v>
      </c>
      <c r="AX637">
        <f t="shared" si="199"/>
        <v>0</v>
      </c>
      <c r="AY637">
        <f t="shared" si="200"/>
        <v>0</v>
      </c>
      <c r="AZ637">
        <f t="shared" si="200"/>
        <v>0</v>
      </c>
      <c r="BA637">
        <f t="shared" si="200"/>
        <v>0</v>
      </c>
      <c r="BB637">
        <f t="shared" si="200"/>
        <v>0</v>
      </c>
      <c r="BC637" t="str">
        <f t="shared" si="200"/>
        <v>Fogan</v>
      </c>
      <c r="BD637">
        <f t="shared" si="200"/>
        <v>0</v>
      </c>
      <c r="BE637">
        <f t="shared" si="200"/>
        <v>0</v>
      </c>
      <c r="BF637">
        <f t="shared" si="200"/>
        <v>0</v>
      </c>
      <c r="BG637">
        <f t="shared" si="200"/>
        <v>0</v>
      </c>
      <c r="BH637">
        <f t="shared" si="200"/>
        <v>0</v>
      </c>
      <c r="BI637">
        <f t="shared" si="201"/>
        <v>0</v>
      </c>
      <c r="BJ637">
        <f t="shared" si="201"/>
        <v>0</v>
      </c>
      <c r="BK637">
        <f t="shared" si="201"/>
        <v>0</v>
      </c>
      <c r="BL637">
        <f t="shared" si="201"/>
        <v>0</v>
      </c>
      <c r="BM637">
        <f t="shared" si="201"/>
        <v>0</v>
      </c>
      <c r="BN637">
        <f t="shared" si="201"/>
        <v>0</v>
      </c>
      <c r="BO637">
        <f t="shared" si="201"/>
        <v>0</v>
      </c>
      <c r="BP637">
        <f t="shared" si="201"/>
        <v>0</v>
      </c>
      <c r="BQ637">
        <f t="shared" si="201"/>
        <v>0</v>
      </c>
      <c r="BR637">
        <f t="shared" si="201"/>
        <v>0</v>
      </c>
      <c r="BS637">
        <f t="shared" si="201"/>
        <v>0</v>
      </c>
    </row>
    <row r="638" spans="2:71" ht="15" customHeight="1" x14ac:dyDescent="0.2">
      <c r="B638">
        <v>29</v>
      </c>
      <c r="C638">
        <v>8</v>
      </c>
      <c r="D638">
        <v>9</v>
      </c>
      <c r="E638" t="s">
        <v>473</v>
      </c>
      <c r="F638" t="s">
        <v>72</v>
      </c>
      <c r="G638" s="5">
        <v>44758</v>
      </c>
      <c r="H638" t="s">
        <v>73</v>
      </c>
      <c r="I638" t="s">
        <v>167</v>
      </c>
      <c r="J638" t="s">
        <v>168</v>
      </c>
      <c r="K638">
        <v>18</v>
      </c>
      <c r="L638" t="s">
        <v>107</v>
      </c>
      <c r="M638" t="s">
        <v>169</v>
      </c>
      <c r="N638" t="s">
        <v>123</v>
      </c>
      <c r="O638">
        <v>70.5</v>
      </c>
      <c r="P638">
        <v>134</v>
      </c>
      <c r="Q638">
        <v>6389</v>
      </c>
      <c r="R638" t="s">
        <v>110</v>
      </c>
      <c r="S638" t="s">
        <v>111</v>
      </c>
      <c r="U638" t="s">
        <v>60</v>
      </c>
      <c r="V638" t="s">
        <v>43</v>
      </c>
      <c r="AA638">
        <v>2</v>
      </c>
      <c r="AB638" t="s">
        <v>34</v>
      </c>
      <c r="AC638" t="s">
        <v>92</v>
      </c>
      <c r="AD638" t="s">
        <v>44</v>
      </c>
      <c r="AE638" t="str">
        <f t="shared" si="183"/>
        <v>Poirier</v>
      </c>
      <c r="AF638">
        <v>1</v>
      </c>
      <c r="AG638">
        <v>0</v>
      </c>
      <c r="AH638">
        <v>0</v>
      </c>
      <c r="AI638">
        <v>1</v>
      </c>
      <c r="AJ638">
        <v>0.5</v>
      </c>
      <c r="AK638" t="s">
        <v>44</v>
      </c>
      <c r="AL638">
        <v>0.4296875</v>
      </c>
      <c r="AO638">
        <f t="shared" si="199"/>
        <v>0</v>
      </c>
      <c r="AP638">
        <f t="shared" si="199"/>
        <v>0</v>
      </c>
      <c r="AQ638">
        <f t="shared" si="199"/>
        <v>0</v>
      </c>
      <c r="AR638" t="str">
        <f t="shared" si="199"/>
        <v>Poirier</v>
      </c>
      <c r="AS638">
        <f t="shared" si="199"/>
        <v>0</v>
      </c>
      <c r="AT638">
        <f t="shared" si="199"/>
        <v>0</v>
      </c>
      <c r="AU638">
        <f t="shared" si="199"/>
        <v>0</v>
      </c>
      <c r="AV638">
        <f t="shared" si="199"/>
        <v>0</v>
      </c>
      <c r="AW638">
        <f t="shared" si="199"/>
        <v>0</v>
      </c>
      <c r="AX638">
        <f t="shared" si="199"/>
        <v>0</v>
      </c>
      <c r="AY638">
        <f t="shared" si="200"/>
        <v>0</v>
      </c>
      <c r="AZ638">
        <f t="shared" si="200"/>
        <v>0</v>
      </c>
      <c r="BA638">
        <f t="shared" si="200"/>
        <v>0</v>
      </c>
      <c r="BB638">
        <f t="shared" si="200"/>
        <v>0</v>
      </c>
      <c r="BC638">
        <f t="shared" si="200"/>
        <v>0</v>
      </c>
      <c r="BD638">
        <f t="shared" si="200"/>
        <v>0</v>
      </c>
      <c r="BE638">
        <f t="shared" si="200"/>
        <v>0</v>
      </c>
      <c r="BF638">
        <f t="shared" si="200"/>
        <v>0</v>
      </c>
      <c r="BG638">
        <f t="shared" si="200"/>
        <v>0</v>
      </c>
      <c r="BH638">
        <f t="shared" si="200"/>
        <v>0</v>
      </c>
      <c r="BI638">
        <f t="shared" si="201"/>
        <v>0</v>
      </c>
      <c r="BJ638">
        <f t="shared" si="201"/>
        <v>0</v>
      </c>
      <c r="BK638">
        <f t="shared" si="201"/>
        <v>0</v>
      </c>
      <c r="BL638">
        <f t="shared" si="201"/>
        <v>0</v>
      </c>
      <c r="BM638">
        <f t="shared" si="201"/>
        <v>0</v>
      </c>
      <c r="BN638">
        <f t="shared" si="201"/>
        <v>0</v>
      </c>
      <c r="BO638">
        <f t="shared" si="201"/>
        <v>0</v>
      </c>
      <c r="BP638">
        <f t="shared" si="201"/>
        <v>0</v>
      </c>
      <c r="BQ638">
        <f t="shared" si="201"/>
        <v>0</v>
      </c>
      <c r="BR638">
        <f t="shared" si="201"/>
        <v>0</v>
      </c>
      <c r="BS638">
        <f t="shared" si="201"/>
        <v>0</v>
      </c>
    </row>
    <row r="639" spans="2:71" ht="15" customHeight="1" x14ac:dyDescent="0.2">
      <c r="B639">
        <v>30</v>
      </c>
      <c r="C639">
        <v>9</v>
      </c>
      <c r="D639">
        <v>9</v>
      </c>
      <c r="E639" t="s">
        <v>474</v>
      </c>
      <c r="F639" t="s">
        <v>72</v>
      </c>
      <c r="G639" s="5">
        <v>44758</v>
      </c>
      <c r="H639" t="s">
        <v>73</v>
      </c>
      <c r="I639" t="s">
        <v>167</v>
      </c>
      <c r="J639" t="s">
        <v>168</v>
      </c>
      <c r="K639">
        <v>18</v>
      </c>
      <c r="L639" t="s">
        <v>107</v>
      </c>
      <c r="M639" t="s">
        <v>169</v>
      </c>
      <c r="N639" t="s">
        <v>123</v>
      </c>
      <c r="O639">
        <v>70.5</v>
      </c>
      <c r="P639">
        <v>134</v>
      </c>
      <c r="Q639">
        <v>6389</v>
      </c>
      <c r="R639" t="s">
        <v>110</v>
      </c>
      <c r="S639" t="s">
        <v>111</v>
      </c>
      <c r="U639" t="s">
        <v>60</v>
      </c>
      <c r="V639" t="s">
        <v>64</v>
      </c>
      <c r="AA639">
        <v>2</v>
      </c>
      <c r="AB639" t="s">
        <v>33</v>
      </c>
      <c r="AC639" t="s">
        <v>258</v>
      </c>
      <c r="AD639" t="s">
        <v>63</v>
      </c>
      <c r="AE639" t="str">
        <f t="shared" si="183"/>
        <v>Delneky</v>
      </c>
      <c r="AF639">
        <v>0</v>
      </c>
      <c r="AG639">
        <v>0</v>
      </c>
      <c r="AH639">
        <v>1</v>
      </c>
      <c r="AI639">
        <v>0</v>
      </c>
      <c r="AJ639">
        <v>0</v>
      </c>
      <c r="AK639" t="s">
        <v>63</v>
      </c>
      <c r="AL639">
        <v>0.46551724137931</v>
      </c>
      <c r="AO639">
        <f t="shared" si="199"/>
        <v>0</v>
      </c>
      <c r="AP639">
        <f t="shared" si="199"/>
        <v>0</v>
      </c>
      <c r="AQ639">
        <f t="shared" si="199"/>
        <v>0</v>
      </c>
      <c r="AR639">
        <f t="shared" si="199"/>
        <v>0</v>
      </c>
      <c r="AS639">
        <f t="shared" si="199"/>
        <v>0</v>
      </c>
      <c r="AT639">
        <f t="shared" si="199"/>
        <v>0</v>
      </c>
      <c r="AU639">
        <f t="shared" si="199"/>
        <v>0</v>
      </c>
      <c r="AV639">
        <f t="shared" si="199"/>
        <v>0</v>
      </c>
      <c r="AW639">
        <f t="shared" si="199"/>
        <v>0</v>
      </c>
      <c r="AX639">
        <f t="shared" si="199"/>
        <v>0</v>
      </c>
      <c r="AY639">
        <f t="shared" si="200"/>
        <v>0</v>
      </c>
      <c r="AZ639">
        <f t="shared" si="200"/>
        <v>0</v>
      </c>
      <c r="BA639">
        <f t="shared" si="200"/>
        <v>0</v>
      </c>
      <c r="BB639">
        <f t="shared" si="200"/>
        <v>0</v>
      </c>
      <c r="BC639">
        <f t="shared" si="200"/>
        <v>0</v>
      </c>
      <c r="BD639">
        <f t="shared" si="200"/>
        <v>0</v>
      </c>
      <c r="BE639">
        <f t="shared" si="200"/>
        <v>0</v>
      </c>
      <c r="BF639">
        <f t="shared" si="200"/>
        <v>0</v>
      </c>
      <c r="BG639">
        <f t="shared" si="200"/>
        <v>0</v>
      </c>
      <c r="BH639">
        <f t="shared" si="200"/>
        <v>0</v>
      </c>
      <c r="BI639">
        <f t="shared" si="201"/>
        <v>0</v>
      </c>
      <c r="BJ639">
        <f t="shared" si="201"/>
        <v>0</v>
      </c>
      <c r="BK639">
        <f t="shared" si="201"/>
        <v>0</v>
      </c>
      <c r="BL639">
        <f t="shared" si="201"/>
        <v>0</v>
      </c>
      <c r="BM639" t="str">
        <f t="shared" si="201"/>
        <v>Delneky</v>
      </c>
      <c r="BN639">
        <f t="shared" si="201"/>
        <v>0</v>
      </c>
      <c r="BO639">
        <f t="shared" si="201"/>
        <v>0</v>
      </c>
      <c r="BP639">
        <f t="shared" si="201"/>
        <v>0</v>
      </c>
      <c r="BQ639">
        <f t="shared" si="201"/>
        <v>0</v>
      </c>
      <c r="BR639">
        <f t="shared" si="201"/>
        <v>0</v>
      </c>
      <c r="BS639">
        <f t="shared" si="201"/>
        <v>0</v>
      </c>
    </row>
    <row r="640" spans="2:71" ht="15" customHeight="1" x14ac:dyDescent="0.2">
      <c r="B640">
        <v>30</v>
      </c>
      <c r="C640">
        <v>10</v>
      </c>
      <c r="D640">
        <v>9</v>
      </c>
      <c r="E640" t="s">
        <v>475</v>
      </c>
      <c r="F640" t="s">
        <v>72</v>
      </c>
      <c r="G640" s="5">
        <v>44758</v>
      </c>
      <c r="H640" t="s">
        <v>73</v>
      </c>
      <c r="I640" t="s">
        <v>167</v>
      </c>
      <c r="J640" t="s">
        <v>168</v>
      </c>
      <c r="K640">
        <v>18</v>
      </c>
      <c r="L640" t="s">
        <v>107</v>
      </c>
      <c r="M640" t="s">
        <v>169</v>
      </c>
      <c r="N640" t="s">
        <v>123</v>
      </c>
      <c r="O640">
        <v>70.5</v>
      </c>
      <c r="P640">
        <v>134</v>
      </c>
      <c r="Q640">
        <v>6389</v>
      </c>
      <c r="R640" t="s">
        <v>110</v>
      </c>
      <c r="S640" t="s">
        <v>111</v>
      </c>
      <c r="U640" t="s">
        <v>60</v>
      </c>
      <c r="V640" t="s">
        <v>67</v>
      </c>
      <c r="AA640">
        <v>2</v>
      </c>
      <c r="AB640" t="s">
        <v>34</v>
      </c>
      <c r="AC640" t="s">
        <v>92</v>
      </c>
      <c r="AD640" t="s">
        <v>52</v>
      </c>
      <c r="AE640" t="str">
        <f t="shared" si="183"/>
        <v>Deoteris</v>
      </c>
      <c r="AF640">
        <v>1</v>
      </c>
      <c r="AG640">
        <v>0</v>
      </c>
      <c r="AH640">
        <v>0</v>
      </c>
      <c r="AI640">
        <v>1</v>
      </c>
      <c r="AJ640">
        <v>0.5</v>
      </c>
      <c r="AK640" t="s">
        <v>52</v>
      </c>
      <c r="AL640">
        <v>0.34745762711864397</v>
      </c>
      <c r="AO640">
        <f t="shared" si="199"/>
        <v>0</v>
      </c>
      <c r="AP640">
        <f t="shared" si="199"/>
        <v>0</v>
      </c>
      <c r="AQ640">
        <f t="shared" si="199"/>
        <v>0</v>
      </c>
      <c r="AR640">
        <f t="shared" si="199"/>
        <v>0</v>
      </c>
      <c r="AS640">
        <f t="shared" si="199"/>
        <v>0</v>
      </c>
      <c r="AT640">
        <f t="shared" si="199"/>
        <v>0</v>
      </c>
      <c r="AU640">
        <f t="shared" si="199"/>
        <v>0</v>
      </c>
      <c r="AV640">
        <f t="shared" si="199"/>
        <v>0</v>
      </c>
      <c r="AW640">
        <f t="shared" si="199"/>
        <v>0</v>
      </c>
      <c r="AX640">
        <f t="shared" si="199"/>
        <v>0</v>
      </c>
      <c r="AY640">
        <f t="shared" si="200"/>
        <v>0</v>
      </c>
      <c r="AZ640">
        <f t="shared" si="200"/>
        <v>0</v>
      </c>
      <c r="BA640">
        <f t="shared" si="200"/>
        <v>0</v>
      </c>
      <c r="BB640">
        <f t="shared" si="200"/>
        <v>0</v>
      </c>
      <c r="BC640">
        <f t="shared" si="200"/>
        <v>0</v>
      </c>
      <c r="BD640">
        <f t="shared" si="200"/>
        <v>0</v>
      </c>
      <c r="BE640">
        <f t="shared" si="200"/>
        <v>0</v>
      </c>
      <c r="BF640">
        <f t="shared" si="200"/>
        <v>0</v>
      </c>
      <c r="BG640">
        <f t="shared" si="200"/>
        <v>0</v>
      </c>
      <c r="BH640">
        <f t="shared" si="200"/>
        <v>0</v>
      </c>
      <c r="BI640">
        <f t="shared" si="201"/>
        <v>0</v>
      </c>
      <c r="BJ640">
        <f t="shared" si="201"/>
        <v>0</v>
      </c>
      <c r="BK640">
        <f t="shared" si="201"/>
        <v>0</v>
      </c>
      <c r="BL640">
        <f t="shared" si="201"/>
        <v>0</v>
      </c>
      <c r="BM640">
        <f t="shared" si="201"/>
        <v>0</v>
      </c>
      <c r="BN640">
        <f t="shared" si="201"/>
        <v>0</v>
      </c>
      <c r="BO640">
        <f t="shared" si="201"/>
        <v>0</v>
      </c>
      <c r="BP640" t="str">
        <f t="shared" si="201"/>
        <v>Deoteris</v>
      </c>
      <c r="BQ640">
        <f t="shared" si="201"/>
        <v>0</v>
      </c>
      <c r="BR640">
        <f t="shared" si="201"/>
        <v>0</v>
      </c>
      <c r="BS640">
        <f t="shared" si="201"/>
        <v>0</v>
      </c>
    </row>
    <row r="641" spans="2:71" ht="15" customHeight="1" x14ac:dyDescent="0.2">
      <c r="B641">
        <v>1</v>
      </c>
      <c r="C641">
        <v>1</v>
      </c>
      <c r="D641">
        <v>10</v>
      </c>
      <c r="E641" t="s">
        <v>476</v>
      </c>
      <c r="F641" t="s">
        <v>346</v>
      </c>
      <c r="G641" s="5">
        <v>45141</v>
      </c>
      <c r="H641" t="s">
        <v>97</v>
      </c>
      <c r="I641" t="s">
        <v>477</v>
      </c>
      <c r="J641" t="s">
        <v>478</v>
      </c>
      <c r="K641">
        <v>9</v>
      </c>
      <c r="L641" t="s">
        <v>76</v>
      </c>
      <c r="M641" t="s">
        <v>479</v>
      </c>
      <c r="N641" t="s">
        <v>123</v>
      </c>
      <c r="O641">
        <v>72.8</v>
      </c>
      <c r="P641">
        <v>131</v>
      </c>
      <c r="Q641">
        <v>6692</v>
      </c>
      <c r="R641" t="s">
        <v>79</v>
      </c>
      <c r="S641" t="s">
        <v>80</v>
      </c>
      <c r="T641" t="s">
        <v>353</v>
      </c>
      <c r="U641" t="s">
        <v>61</v>
      </c>
      <c r="V641" t="s">
        <v>52</v>
      </c>
      <c r="W641" t="s">
        <v>480</v>
      </c>
      <c r="Y641" t="s">
        <v>46</v>
      </c>
      <c r="AA641">
        <v>1</v>
      </c>
      <c r="AB641" t="s">
        <v>33</v>
      </c>
      <c r="AC641" t="s">
        <v>171</v>
      </c>
      <c r="AE641" t="str">
        <f t="shared" si="183"/>
        <v>ConnorsMangold</v>
      </c>
      <c r="AF641">
        <v>0</v>
      </c>
      <c r="AG641">
        <v>0</v>
      </c>
      <c r="AH641">
        <v>1</v>
      </c>
      <c r="AI641">
        <v>0</v>
      </c>
      <c r="AJ641">
        <v>0</v>
      </c>
      <c r="AK641" t="s">
        <v>55</v>
      </c>
      <c r="AL641">
        <v>0.44067796610169502</v>
      </c>
      <c r="AM641" t="s">
        <v>41</v>
      </c>
      <c r="AN641">
        <v>0.47321428571428598</v>
      </c>
      <c r="AO641">
        <f t="shared" si="199"/>
        <v>0</v>
      </c>
      <c r="AP641">
        <f t="shared" si="199"/>
        <v>0</v>
      </c>
      <c r="AQ641">
        <f t="shared" si="199"/>
        <v>0</v>
      </c>
      <c r="AR641">
        <f t="shared" si="199"/>
        <v>0</v>
      </c>
      <c r="AS641">
        <f t="shared" si="199"/>
        <v>0</v>
      </c>
      <c r="AT641">
        <f t="shared" si="199"/>
        <v>0</v>
      </c>
      <c r="AU641" t="str">
        <f t="shared" si="199"/>
        <v>Mangold</v>
      </c>
      <c r="AV641">
        <f t="shared" si="199"/>
        <v>0</v>
      </c>
      <c r="AW641">
        <f t="shared" si="199"/>
        <v>0</v>
      </c>
      <c r="AX641">
        <f t="shared" si="199"/>
        <v>0</v>
      </c>
      <c r="AY641">
        <f t="shared" si="200"/>
        <v>0</v>
      </c>
      <c r="AZ641">
        <f t="shared" si="200"/>
        <v>0</v>
      </c>
      <c r="BA641" t="str">
        <f t="shared" si="200"/>
        <v>Connors</v>
      </c>
      <c r="BB641">
        <f t="shared" si="200"/>
        <v>0</v>
      </c>
      <c r="BC641">
        <f t="shared" si="200"/>
        <v>0</v>
      </c>
      <c r="BD641">
        <f t="shared" si="200"/>
        <v>0</v>
      </c>
      <c r="BE641">
        <f t="shared" si="200"/>
        <v>0</v>
      </c>
      <c r="BF641">
        <f t="shared" si="200"/>
        <v>0</v>
      </c>
      <c r="BG641">
        <f t="shared" si="200"/>
        <v>0</v>
      </c>
      <c r="BH641">
        <f t="shared" si="200"/>
        <v>0</v>
      </c>
      <c r="BI641">
        <f t="shared" si="201"/>
        <v>0</v>
      </c>
      <c r="BJ641">
        <f t="shared" si="201"/>
        <v>0</v>
      </c>
      <c r="BK641">
        <f t="shared" si="201"/>
        <v>0</v>
      </c>
      <c r="BL641">
        <f t="shared" si="201"/>
        <v>0</v>
      </c>
      <c r="BM641">
        <f t="shared" si="201"/>
        <v>0</v>
      </c>
      <c r="BN641">
        <f t="shared" si="201"/>
        <v>0</v>
      </c>
      <c r="BO641">
        <f t="shared" si="201"/>
        <v>0</v>
      </c>
      <c r="BP641">
        <f t="shared" si="201"/>
        <v>0</v>
      </c>
      <c r="BQ641">
        <f t="shared" si="201"/>
        <v>0</v>
      </c>
      <c r="BR641">
        <f t="shared" si="201"/>
        <v>0</v>
      </c>
      <c r="BS641">
        <f t="shared" si="201"/>
        <v>0</v>
      </c>
    </row>
    <row r="642" spans="2:71" ht="15" customHeight="1" x14ac:dyDescent="0.2">
      <c r="B642">
        <v>1</v>
      </c>
      <c r="C642">
        <v>1</v>
      </c>
      <c r="D642">
        <v>10</v>
      </c>
      <c r="E642" t="s">
        <v>476</v>
      </c>
      <c r="F642" t="s">
        <v>346</v>
      </c>
      <c r="G642" s="5">
        <v>45141</v>
      </c>
      <c r="H642" t="s">
        <v>97</v>
      </c>
      <c r="I642" t="s">
        <v>477</v>
      </c>
      <c r="J642" t="s">
        <v>478</v>
      </c>
      <c r="K642">
        <v>9</v>
      </c>
      <c r="L642" t="s">
        <v>76</v>
      </c>
      <c r="M642" t="s">
        <v>479</v>
      </c>
      <c r="N642" t="s">
        <v>123</v>
      </c>
      <c r="O642">
        <v>72.8</v>
      </c>
      <c r="P642">
        <v>131</v>
      </c>
      <c r="Q642">
        <v>6692</v>
      </c>
      <c r="R642" t="s">
        <v>79</v>
      </c>
      <c r="S642" t="s">
        <v>80</v>
      </c>
      <c r="T642" t="s">
        <v>353</v>
      </c>
      <c r="U642" t="s">
        <v>55</v>
      </c>
      <c r="V642" t="s">
        <v>55</v>
      </c>
      <c r="W642" t="s">
        <v>481</v>
      </c>
      <c r="Y642" t="s">
        <v>41</v>
      </c>
      <c r="AA642">
        <v>1</v>
      </c>
      <c r="AB642" t="s">
        <v>32</v>
      </c>
      <c r="AC642" t="s">
        <v>171</v>
      </c>
      <c r="AE642" t="str">
        <f t="shared" ref="AE642:AE705" si="202">$V642&amp;$Y642</f>
        <v>ColeHilts</v>
      </c>
      <c r="AF642">
        <v>1</v>
      </c>
      <c r="AG642">
        <v>1</v>
      </c>
      <c r="AH642">
        <v>0</v>
      </c>
      <c r="AI642">
        <v>0</v>
      </c>
      <c r="AJ642">
        <v>1</v>
      </c>
      <c r="AK642" t="s">
        <v>52</v>
      </c>
      <c r="AL642">
        <v>0.34745762711864397</v>
      </c>
      <c r="AM642" t="s">
        <v>46</v>
      </c>
      <c r="AN642">
        <v>0.38392857142857201</v>
      </c>
      <c r="AO642">
        <f t="shared" ref="AO642:AX651" si="203">IF(OR($V642=AO$1,$Y642=AO$1),AO$1,0)</f>
        <v>0</v>
      </c>
      <c r="AP642" t="str">
        <f t="shared" si="203"/>
        <v>Hilts</v>
      </c>
      <c r="AQ642">
        <f t="shared" si="203"/>
        <v>0</v>
      </c>
      <c r="AR642">
        <f t="shared" si="203"/>
        <v>0</v>
      </c>
      <c r="AS642">
        <f t="shared" si="203"/>
        <v>0</v>
      </c>
      <c r="AT642">
        <f t="shared" si="203"/>
        <v>0</v>
      </c>
      <c r="AU642">
        <f t="shared" si="203"/>
        <v>0</v>
      </c>
      <c r="AV642">
        <f t="shared" si="203"/>
        <v>0</v>
      </c>
      <c r="AW642">
        <f t="shared" si="203"/>
        <v>0</v>
      </c>
      <c r="AX642">
        <f t="shared" si="203"/>
        <v>0</v>
      </c>
      <c r="AY642">
        <f t="shared" ref="AY642:BH651" si="204">IF(OR($V642=AY$1,$Y642=AY$1),AY$1,0)</f>
        <v>0</v>
      </c>
      <c r="AZ642">
        <f t="shared" si="204"/>
        <v>0</v>
      </c>
      <c r="BA642">
        <f t="shared" si="204"/>
        <v>0</v>
      </c>
      <c r="BB642">
        <f t="shared" si="204"/>
        <v>0</v>
      </c>
      <c r="BC642">
        <f t="shared" si="204"/>
        <v>0</v>
      </c>
      <c r="BD642" t="str">
        <f t="shared" si="204"/>
        <v>Cole</v>
      </c>
      <c r="BE642">
        <f t="shared" si="204"/>
        <v>0</v>
      </c>
      <c r="BF642">
        <f t="shared" si="204"/>
        <v>0</v>
      </c>
      <c r="BG642">
        <f t="shared" si="204"/>
        <v>0</v>
      </c>
      <c r="BH642">
        <f t="shared" si="204"/>
        <v>0</v>
      </c>
      <c r="BI642">
        <f t="shared" ref="BI642:BS651" si="205">IF(OR($V642=BI$1,$Y642=BI$1),BI$1,0)</f>
        <v>0</v>
      </c>
      <c r="BJ642">
        <f t="shared" si="205"/>
        <v>0</v>
      </c>
      <c r="BK642">
        <f t="shared" si="205"/>
        <v>0</v>
      </c>
      <c r="BL642">
        <f t="shared" si="205"/>
        <v>0</v>
      </c>
      <c r="BM642">
        <f t="shared" si="205"/>
        <v>0</v>
      </c>
      <c r="BN642">
        <f t="shared" si="205"/>
        <v>0</v>
      </c>
      <c r="BO642">
        <f t="shared" si="205"/>
        <v>0</v>
      </c>
      <c r="BP642">
        <f t="shared" si="205"/>
        <v>0</v>
      </c>
      <c r="BQ642">
        <f t="shared" si="205"/>
        <v>0</v>
      </c>
      <c r="BR642">
        <f t="shared" si="205"/>
        <v>0</v>
      </c>
      <c r="BS642">
        <f t="shared" si="205"/>
        <v>0</v>
      </c>
    </row>
    <row r="643" spans="2:71" ht="15" customHeight="1" x14ac:dyDescent="0.2">
      <c r="B643">
        <v>2</v>
      </c>
      <c r="C643">
        <v>2</v>
      </c>
      <c r="D643">
        <v>10</v>
      </c>
      <c r="E643" t="s">
        <v>482</v>
      </c>
      <c r="F643" t="s">
        <v>346</v>
      </c>
      <c r="G643" s="5">
        <v>45141</v>
      </c>
      <c r="H643" t="s">
        <v>97</v>
      </c>
      <c r="I643" t="s">
        <v>477</v>
      </c>
      <c r="J643" t="s">
        <v>478</v>
      </c>
      <c r="K643">
        <v>9</v>
      </c>
      <c r="L643" t="s">
        <v>76</v>
      </c>
      <c r="M643" t="s">
        <v>479</v>
      </c>
      <c r="N643" t="s">
        <v>123</v>
      </c>
      <c r="O643">
        <v>72.8</v>
      </c>
      <c r="P643">
        <v>131</v>
      </c>
      <c r="Q643">
        <v>6692</v>
      </c>
      <c r="R643" t="s">
        <v>79</v>
      </c>
      <c r="S643" t="s">
        <v>80</v>
      </c>
      <c r="T643" t="s">
        <v>353</v>
      </c>
      <c r="U643" t="s">
        <v>55</v>
      </c>
      <c r="V643" t="s">
        <v>50</v>
      </c>
      <c r="W643" t="s">
        <v>481</v>
      </c>
      <c r="Y643" t="s">
        <v>40</v>
      </c>
      <c r="AA643">
        <v>1</v>
      </c>
      <c r="AB643" t="s">
        <v>33</v>
      </c>
      <c r="AC643" t="s">
        <v>371</v>
      </c>
      <c r="AE643" t="str">
        <f t="shared" si="202"/>
        <v>FerrinGrise</v>
      </c>
      <c r="AF643">
        <v>0</v>
      </c>
      <c r="AG643">
        <v>0</v>
      </c>
      <c r="AH643">
        <v>1</v>
      </c>
      <c r="AI643">
        <v>0</v>
      </c>
      <c r="AJ643">
        <v>0</v>
      </c>
      <c r="AK643" t="s">
        <v>42</v>
      </c>
      <c r="AL643">
        <v>0.6171875</v>
      </c>
      <c r="AM643" t="s">
        <v>60</v>
      </c>
      <c r="AN643">
        <v>0.5</v>
      </c>
      <c r="AO643" t="str">
        <f t="shared" si="203"/>
        <v>Grise</v>
      </c>
      <c r="AP643">
        <f t="shared" si="203"/>
        <v>0</v>
      </c>
      <c r="AQ643">
        <f t="shared" si="203"/>
        <v>0</v>
      </c>
      <c r="AR643">
        <f t="shared" si="203"/>
        <v>0</v>
      </c>
      <c r="AS643">
        <f t="shared" si="203"/>
        <v>0</v>
      </c>
      <c r="AT643">
        <f t="shared" si="203"/>
        <v>0</v>
      </c>
      <c r="AU643">
        <f t="shared" si="203"/>
        <v>0</v>
      </c>
      <c r="AV643">
        <f t="shared" si="203"/>
        <v>0</v>
      </c>
      <c r="AW643">
        <f t="shared" si="203"/>
        <v>0</v>
      </c>
      <c r="AX643">
        <f t="shared" si="203"/>
        <v>0</v>
      </c>
      <c r="AY643" t="str">
        <f t="shared" si="204"/>
        <v>Ferrin</v>
      </c>
      <c r="AZ643">
        <f t="shared" si="204"/>
        <v>0</v>
      </c>
      <c r="BA643">
        <f t="shared" si="204"/>
        <v>0</v>
      </c>
      <c r="BB643">
        <f t="shared" si="204"/>
        <v>0</v>
      </c>
      <c r="BC643">
        <f t="shared" si="204"/>
        <v>0</v>
      </c>
      <c r="BD643">
        <f t="shared" si="204"/>
        <v>0</v>
      </c>
      <c r="BE643">
        <f t="shared" si="204"/>
        <v>0</v>
      </c>
      <c r="BF643">
        <f t="shared" si="204"/>
        <v>0</v>
      </c>
      <c r="BG643">
        <f t="shared" si="204"/>
        <v>0</v>
      </c>
      <c r="BH643">
        <f t="shared" si="204"/>
        <v>0</v>
      </c>
      <c r="BI643">
        <f t="shared" si="205"/>
        <v>0</v>
      </c>
      <c r="BJ643">
        <f t="shared" si="205"/>
        <v>0</v>
      </c>
      <c r="BK643">
        <f t="shared" si="205"/>
        <v>0</v>
      </c>
      <c r="BL643">
        <f t="shared" si="205"/>
        <v>0</v>
      </c>
      <c r="BM643">
        <f t="shared" si="205"/>
        <v>0</v>
      </c>
      <c r="BN643">
        <f t="shared" si="205"/>
        <v>0</v>
      </c>
      <c r="BO643">
        <f t="shared" si="205"/>
        <v>0</v>
      </c>
      <c r="BP643">
        <f t="shared" si="205"/>
        <v>0</v>
      </c>
      <c r="BQ643">
        <f t="shared" si="205"/>
        <v>0</v>
      </c>
      <c r="BR643">
        <f t="shared" si="205"/>
        <v>0</v>
      </c>
      <c r="BS643">
        <f t="shared" si="205"/>
        <v>0</v>
      </c>
    </row>
    <row r="644" spans="2:71" ht="15" customHeight="1" x14ac:dyDescent="0.2">
      <c r="B644">
        <v>2</v>
      </c>
      <c r="C644">
        <v>2</v>
      </c>
      <c r="D644">
        <v>10</v>
      </c>
      <c r="E644" t="s">
        <v>482</v>
      </c>
      <c r="F644" t="s">
        <v>346</v>
      </c>
      <c r="G644" s="5">
        <v>45141</v>
      </c>
      <c r="H644" t="s">
        <v>97</v>
      </c>
      <c r="I644" t="s">
        <v>477</v>
      </c>
      <c r="J644" t="s">
        <v>478</v>
      </c>
      <c r="K644">
        <v>9</v>
      </c>
      <c r="L644" t="s">
        <v>76</v>
      </c>
      <c r="M644" t="s">
        <v>479</v>
      </c>
      <c r="N644" t="s">
        <v>123</v>
      </c>
      <c r="O644">
        <v>72.8</v>
      </c>
      <c r="P644">
        <v>131</v>
      </c>
      <c r="Q644">
        <v>6692</v>
      </c>
      <c r="R644" t="s">
        <v>79</v>
      </c>
      <c r="S644" t="s">
        <v>80</v>
      </c>
      <c r="T644" t="s">
        <v>353</v>
      </c>
      <c r="U644" t="s">
        <v>61</v>
      </c>
      <c r="V644" t="s">
        <v>42</v>
      </c>
      <c r="W644" t="s">
        <v>480</v>
      </c>
      <c r="Y644" t="s">
        <v>60</v>
      </c>
      <c r="AA644">
        <v>1</v>
      </c>
      <c r="AB644" t="s">
        <v>32</v>
      </c>
      <c r="AC644" t="s">
        <v>371</v>
      </c>
      <c r="AE644" t="str">
        <f t="shared" si="202"/>
        <v>JacksonZimmer</v>
      </c>
      <c r="AF644">
        <v>1</v>
      </c>
      <c r="AG644">
        <v>1</v>
      </c>
      <c r="AH644">
        <v>0</v>
      </c>
      <c r="AI644">
        <v>0</v>
      </c>
      <c r="AJ644">
        <v>1</v>
      </c>
      <c r="AK644" t="s">
        <v>50</v>
      </c>
      <c r="AL644">
        <v>0.59523809523809501</v>
      </c>
      <c r="AM644" t="s">
        <v>40</v>
      </c>
      <c r="AN644">
        <v>0.546875</v>
      </c>
      <c r="AO644">
        <f t="shared" si="203"/>
        <v>0</v>
      </c>
      <c r="AP644">
        <f t="shared" si="203"/>
        <v>0</v>
      </c>
      <c r="AQ644" t="str">
        <f t="shared" si="203"/>
        <v>Jackson</v>
      </c>
      <c r="AR644">
        <f t="shared" si="203"/>
        <v>0</v>
      </c>
      <c r="AS644">
        <f t="shared" si="203"/>
        <v>0</v>
      </c>
      <c r="AT644">
        <f t="shared" si="203"/>
        <v>0</v>
      </c>
      <c r="AU644">
        <f t="shared" si="203"/>
        <v>0</v>
      </c>
      <c r="AV644">
        <f t="shared" si="203"/>
        <v>0</v>
      </c>
      <c r="AW644">
        <f t="shared" si="203"/>
        <v>0</v>
      </c>
      <c r="AX644">
        <f t="shared" si="203"/>
        <v>0</v>
      </c>
      <c r="AY644">
        <f t="shared" si="204"/>
        <v>0</v>
      </c>
      <c r="AZ644">
        <f t="shared" si="204"/>
        <v>0</v>
      </c>
      <c r="BA644">
        <f t="shared" si="204"/>
        <v>0</v>
      </c>
      <c r="BB644">
        <f t="shared" si="204"/>
        <v>0</v>
      </c>
      <c r="BC644">
        <f t="shared" si="204"/>
        <v>0</v>
      </c>
      <c r="BD644">
        <f t="shared" si="204"/>
        <v>0</v>
      </c>
      <c r="BE644">
        <f t="shared" si="204"/>
        <v>0</v>
      </c>
      <c r="BF644">
        <f t="shared" si="204"/>
        <v>0</v>
      </c>
      <c r="BG644">
        <f t="shared" si="204"/>
        <v>0</v>
      </c>
      <c r="BH644">
        <f t="shared" si="204"/>
        <v>0</v>
      </c>
      <c r="BI644" t="str">
        <f t="shared" si="205"/>
        <v>Zimmer</v>
      </c>
      <c r="BJ644">
        <f t="shared" si="205"/>
        <v>0</v>
      </c>
      <c r="BK644">
        <f t="shared" si="205"/>
        <v>0</v>
      </c>
      <c r="BL644">
        <f t="shared" si="205"/>
        <v>0</v>
      </c>
      <c r="BM644">
        <f t="shared" si="205"/>
        <v>0</v>
      </c>
      <c r="BN644">
        <f t="shared" si="205"/>
        <v>0</v>
      </c>
      <c r="BO644">
        <f t="shared" si="205"/>
        <v>0</v>
      </c>
      <c r="BP644">
        <f t="shared" si="205"/>
        <v>0</v>
      </c>
      <c r="BQ644">
        <f t="shared" si="205"/>
        <v>0</v>
      </c>
      <c r="BR644">
        <f t="shared" si="205"/>
        <v>0</v>
      </c>
      <c r="BS644">
        <f t="shared" si="205"/>
        <v>0</v>
      </c>
    </row>
    <row r="645" spans="2:71" ht="15" customHeight="1" x14ac:dyDescent="0.2">
      <c r="B645">
        <v>3</v>
      </c>
      <c r="C645">
        <v>3</v>
      </c>
      <c r="D645">
        <v>10</v>
      </c>
      <c r="E645" t="s">
        <v>483</v>
      </c>
      <c r="F645" t="s">
        <v>346</v>
      </c>
      <c r="G645" s="5">
        <v>45141</v>
      </c>
      <c r="H645" t="s">
        <v>97</v>
      </c>
      <c r="I645" t="s">
        <v>477</v>
      </c>
      <c r="J645" t="s">
        <v>478</v>
      </c>
      <c r="K645">
        <v>9</v>
      </c>
      <c r="L645" t="s">
        <v>76</v>
      </c>
      <c r="M645" t="s">
        <v>479</v>
      </c>
      <c r="N645" t="s">
        <v>123</v>
      </c>
      <c r="O645">
        <v>72.8</v>
      </c>
      <c r="P645">
        <v>131</v>
      </c>
      <c r="Q645">
        <v>6692</v>
      </c>
      <c r="R645" t="s">
        <v>79</v>
      </c>
      <c r="S645" t="s">
        <v>80</v>
      </c>
      <c r="T645" t="s">
        <v>353</v>
      </c>
      <c r="U645" t="s">
        <v>61</v>
      </c>
      <c r="V645" t="s">
        <v>53</v>
      </c>
      <c r="W645" t="s">
        <v>480</v>
      </c>
      <c r="Y645" t="s">
        <v>62</v>
      </c>
      <c r="AA645">
        <v>1</v>
      </c>
      <c r="AB645" t="s">
        <v>33</v>
      </c>
      <c r="AC645" t="s">
        <v>171</v>
      </c>
      <c r="AE645" t="str">
        <f t="shared" si="202"/>
        <v>ForsterWelker</v>
      </c>
      <c r="AF645">
        <v>0</v>
      </c>
      <c r="AG645">
        <v>0</v>
      </c>
      <c r="AH645">
        <v>1</v>
      </c>
      <c r="AI645">
        <v>0</v>
      </c>
      <c r="AJ645">
        <v>0</v>
      </c>
      <c r="AK645" t="s">
        <v>44</v>
      </c>
      <c r="AL645">
        <v>0.4296875</v>
      </c>
      <c r="AM645" t="s">
        <v>48</v>
      </c>
      <c r="AN645">
        <v>0.5546875</v>
      </c>
      <c r="AO645">
        <f t="shared" si="203"/>
        <v>0</v>
      </c>
      <c r="AP645">
        <f t="shared" si="203"/>
        <v>0</v>
      </c>
      <c r="AQ645">
        <f t="shared" si="203"/>
        <v>0</v>
      </c>
      <c r="AR645">
        <f t="shared" si="203"/>
        <v>0</v>
      </c>
      <c r="AS645">
        <f t="shared" si="203"/>
        <v>0</v>
      </c>
      <c r="AT645">
        <f t="shared" si="203"/>
        <v>0</v>
      </c>
      <c r="AU645">
        <f t="shared" si="203"/>
        <v>0</v>
      </c>
      <c r="AV645">
        <f t="shared" si="203"/>
        <v>0</v>
      </c>
      <c r="AW645">
        <f t="shared" si="203"/>
        <v>0</v>
      </c>
      <c r="AX645">
        <f t="shared" si="203"/>
        <v>0</v>
      </c>
      <c r="AY645">
        <f t="shared" si="204"/>
        <v>0</v>
      </c>
      <c r="AZ645">
        <f t="shared" si="204"/>
        <v>0</v>
      </c>
      <c r="BA645">
        <f t="shared" si="204"/>
        <v>0</v>
      </c>
      <c r="BB645" t="str">
        <f t="shared" si="204"/>
        <v>Forster</v>
      </c>
      <c r="BC645">
        <f t="shared" si="204"/>
        <v>0</v>
      </c>
      <c r="BD645">
        <f t="shared" si="204"/>
        <v>0</v>
      </c>
      <c r="BE645">
        <f t="shared" si="204"/>
        <v>0</v>
      </c>
      <c r="BF645">
        <f t="shared" si="204"/>
        <v>0</v>
      </c>
      <c r="BG645">
        <f t="shared" si="204"/>
        <v>0</v>
      </c>
      <c r="BH645">
        <f t="shared" si="204"/>
        <v>0</v>
      </c>
      <c r="BI645">
        <f t="shared" si="205"/>
        <v>0</v>
      </c>
      <c r="BJ645">
        <f t="shared" si="205"/>
        <v>0</v>
      </c>
      <c r="BK645" t="str">
        <f t="shared" si="205"/>
        <v>Welker</v>
      </c>
      <c r="BL645">
        <f t="shared" si="205"/>
        <v>0</v>
      </c>
      <c r="BM645">
        <f t="shared" si="205"/>
        <v>0</v>
      </c>
      <c r="BN645">
        <f t="shared" si="205"/>
        <v>0</v>
      </c>
      <c r="BO645">
        <f t="shared" si="205"/>
        <v>0</v>
      </c>
      <c r="BP645">
        <f t="shared" si="205"/>
        <v>0</v>
      </c>
      <c r="BQ645">
        <f t="shared" si="205"/>
        <v>0</v>
      </c>
      <c r="BR645">
        <f t="shared" si="205"/>
        <v>0</v>
      </c>
      <c r="BS645">
        <f t="shared" si="205"/>
        <v>0</v>
      </c>
    </row>
    <row r="646" spans="2:71" ht="15" customHeight="1" x14ac:dyDescent="0.2">
      <c r="B646">
        <v>3</v>
      </c>
      <c r="C646">
        <v>3</v>
      </c>
      <c r="D646">
        <v>10</v>
      </c>
      <c r="E646" t="s">
        <v>483</v>
      </c>
      <c r="F646" t="s">
        <v>346</v>
      </c>
      <c r="G646" s="5">
        <v>45141</v>
      </c>
      <c r="H646" t="s">
        <v>97</v>
      </c>
      <c r="I646" t="s">
        <v>477</v>
      </c>
      <c r="J646" t="s">
        <v>478</v>
      </c>
      <c r="K646">
        <v>9</v>
      </c>
      <c r="L646" t="s">
        <v>76</v>
      </c>
      <c r="M646" t="s">
        <v>479</v>
      </c>
      <c r="N646" t="s">
        <v>123</v>
      </c>
      <c r="O646">
        <v>72.8</v>
      </c>
      <c r="P646">
        <v>131</v>
      </c>
      <c r="Q646">
        <v>6692</v>
      </c>
      <c r="R646" t="s">
        <v>79</v>
      </c>
      <c r="S646" t="s">
        <v>80</v>
      </c>
      <c r="T646" t="s">
        <v>353</v>
      </c>
      <c r="U646" t="s">
        <v>55</v>
      </c>
      <c r="V646" t="s">
        <v>44</v>
      </c>
      <c r="W646" t="s">
        <v>481</v>
      </c>
      <c r="Y646" t="s">
        <v>48</v>
      </c>
      <c r="AA646">
        <v>1</v>
      </c>
      <c r="AB646" t="s">
        <v>32</v>
      </c>
      <c r="AC646" t="s">
        <v>171</v>
      </c>
      <c r="AE646" t="str">
        <f t="shared" si="202"/>
        <v>FlandersLynch</v>
      </c>
      <c r="AF646">
        <v>1</v>
      </c>
      <c r="AG646">
        <v>1</v>
      </c>
      <c r="AH646">
        <v>0</v>
      </c>
      <c r="AI646">
        <v>0</v>
      </c>
      <c r="AJ646">
        <v>1</v>
      </c>
      <c r="AK646" t="s">
        <v>53</v>
      </c>
      <c r="AL646">
        <v>0.59649122807017496</v>
      </c>
      <c r="AM646" t="s">
        <v>62</v>
      </c>
      <c r="AN646">
        <v>0.51041666666666696</v>
      </c>
      <c r="AO646">
        <f t="shared" si="203"/>
        <v>0</v>
      </c>
      <c r="AP646">
        <f t="shared" si="203"/>
        <v>0</v>
      </c>
      <c r="AQ646">
        <f t="shared" si="203"/>
        <v>0</v>
      </c>
      <c r="AR646">
        <f t="shared" si="203"/>
        <v>0</v>
      </c>
      <c r="AS646" t="str">
        <f t="shared" si="203"/>
        <v>Flanders</v>
      </c>
      <c r="AT646">
        <f t="shared" si="203"/>
        <v>0</v>
      </c>
      <c r="AU646">
        <f t="shared" si="203"/>
        <v>0</v>
      </c>
      <c r="AV646">
        <f t="shared" si="203"/>
        <v>0</v>
      </c>
      <c r="AW646" t="str">
        <f t="shared" si="203"/>
        <v>Lynch</v>
      </c>
      <c r="AX646">
        <f t="shared" si="203"/>
        <v>0</v>
      </c>
      <c r="AY646">
        <f t="shared" si="204"/>
        <v>0</v>
      </c>
      <c r="AZ646">
        <f t="shared" si="204"/>
        <v>0</v>
      </c>
      <c r="BA646">
        <f t="shared" si="204"/>
        <v>0</v>
      </c>
      <c r="BB646">
        <f t="shared" si="204"/>
        <v>0</v>
      </c>
      <c r="BC646">
        <f t="shared" si="204"/>
        <v>0</v>
      </c>
      <c r="BD646">
        <f t="shared" si="204"/>
        <v>0</v>
      </c>
      <c r="BE646">
        <f t="shared" si="204"/>
        <v>0</v>
      </c>
      <c r="BF646">
        <f t="shared" si="204"/>
        <v>0</v>
      </c>
      <c r="BG646">
        <f t="shared" si="204"/>
        <v>0</v>
      </c>
      <c r="BH646">
        <f t="shared" si="204"/>
        <v>0</v>
      </c>
      <c r="BI646">
        <f t="shared" si="205"/>
        <v>0</v>
      </c>
      <c r="BJ646">
        <f t="shared" si="205"/>
        <v>0</v>
      </c>
      <c r="BK646">
        <f t="shared" si="205"/>
        <v>0</v>
      </c>
      <c r="BL646">
        <f t="shared" si="205"/>
        <v>0</v>
      </c>
      <c r="BM646">
        <f t="shared" si="205"/>
        <v>0</v>
      </c>
      <c r="BN646">
        <f t="shared" si="205"/>
        <v>0</v>
      </c>
      <c r="BO646">
        <f t="shared" si="205"/>
        <v>0</v>
      </c>
      <c r="BP646">
        <f t="shared" si="205"/>
        <v>0</v>
      </c>
      <c r="BQ646">
        <f t="shared" si="205"/>
        <v>0</v>
      </c>
      <c r="BR646">
        <f t="shared" si="205"/>
        <v>0</v>
      </c>
      <c r="BS646">
        <f t="shared" si="205"/>
        <v>0</v>
      </c>
    </row>
    <row r="647" spans="2:71" ht="15" customHeight="1" x14ac:dyDescent="0.2">
      <c r="B647">
        <v>4</v>
      </c>
      <c r="C647">
        <v>4</v>
      </c>
      <c r="D647">
        <v>10</v>
      </c>
      <c r="E647" t="s">
        <v>484</v>
      </c>
      <c r="F647" t="s">
        <v>346</v>
      </c>
      <c r="G647" s="5">
        <v>45141</v>
      </c>
      <c r="H647" t="s">
        <v>97</v>
      </c>
      <c r="I647" t="s">
        <v>477</v>
      </c>
      <c r="J647" t="s">
        <v>478</v>
      </c>
      <c r="K647">
        <v>9</v>
      </c>
      <c r="L647" t="s">
        <v>76</v>
      </c>
      <c r="M647" t="s">
        <v>479</v>
      </c>
      <c r="N647" t="s">
        <v>123</v>
      </c>
      <c r="O647">
        <v>72.8</v>
      </c>
      <c r="P647">
        <v>131</v>
      </c>
      <c r="Q647">
        <v>6692</v>
      </c>
      <c r="R647" t="s">
        <v>79</v>
      </c>
      <c r="S647" t="s">
        <v>80</v>
      </c>
      <c r="T647" t="s">
        <v>353</v>
      </c>
      <c r="U647" t="s">
        <v>55</v>
      </c>
      <c r="V647" t="s">
        <v>45</v>
      </c>
      <c r="W647" t="s">
        <v>481</v>
      </c>
      <c r="Y647" t="s">
        <v>69</v>
      </c>
      <c r="AA647">
        <v>1</v>
      </c>
      <c r="AB647" t="s">
        <v>34</v>
      </c>
      <c r="AC647" t="s">
        <v>92</v>
      </c>
      <c r="AE647" t="str">
        <f t="shared" si="202"/>
        <v>ConnollyR. Connolly</v>
      </c>
      <c r="AF647">
        <v>0.5</v>
      </c>
      <c r="AG647">
        <v>0</v>
      </c>
      <c r="AH647">
        <v>0</v>
      </c>
      <c r="AI647">
        <v>1</v>
      </c>
      <c r="AJ647">
        <v>0.5</v>
      </c>
      <c r="AK647" t="s">
        <v>58</v>
      </c>
      <c r="AL647">
        <v>0.65476190476190499</v>
      </c>
      <c r="AM647" t="s">
        <v>61</v>
      </c>
      <c r="AN647">
        <v>0.5</v>
      </c>
      <c r="AO647">
        <f t="shared" si="203"/>
        <v>0</v>
      </c>
      <c r="AP647">
        <f t="shared" si="203"/>
        <v>0</v>
      </c>
      <c r="AQ647">
        <f t="shared" si="203"/>
        <v>0</v>
      </c>
      <c r="AR647">
        <f t="shared" si="203"/>
        <v>0</v>
      </c>
      <c r="AS647">
        <f t="shared" si="203"/>
        <v>0</v>
      </c>
      <c r="AT647" t="str">
        <f t="shared" si="203"/>
        <v>Connolly</v>
      </c>
      <c r="AU647">
        <f t="shared" si="203"/>
        <v>0</v>
      </c>
      <c r="AV647">
        <f t="shared" si="203"/>
        <v>0</v>
      </c>
      <c r="AW647">
        <f t="shared" si="203"/>
        <v>0</v>
      </c>
      <c r="AX647">
        <f t="shared" si="203"/>
        <v>0</v>
      </c>
      <c r="AY647">
        <f t="shared" si="204"/>
        <v>0</v>
      </c>
      <c r="AZ647">
        <f t="shared" si="204"/>
        <v>0</v>
      </c>
      <c r="BA647">
        <f t="shared" si="204"/>
        <v>0</v>
      </c>
      <c r="BB647">
        <f t="shared" si="204"/>
        <v>0</v>
      </c>
      <c r="BC647">
        <f t="shared" si="204"/>
        <v>0</v>
      </c>
      <c r="BD647">
        <f t="shared" si="204"/>
        <v>0</v>
      </c>
      <c r="BE647">
        <f t="shared" si="204"/>
        <v>0</v>
      </c>
      <c r="BF647">
        <f t="shared" si="204"/>
        <v>0</v>
      </c>
      <c r="BG647">
        <f t="shared" si="204"/>
        <v>0</v>
      </c>
      <c r="BH647">
        <f t="shared" si="204"/>
        <v>0</v>
      </c>
      <c r="BI647">
        <f t="shared" si="205"/>
        <v>0</v>
      </c>
      <c r="BJ647">
        <f t="shared" si="205"/>
        <v>0</v>
      </c>
      <c r="BK647">
        <f t="shared" si="205"/>
        <v>0</v>
      </c>
      <c r="BL647">
        <f t="shared" si="205"/>
        <v>0</v>
      </c>
      <c r="BM647">
        <f t="shared" si="205"/>
        <v>0</v>
      </c>
      <c r="BN647">
        <f t="shared" si="205"/>
        <v>0</v>
      </c>
      <c r="BO647">
        <f t="shared" si="205"/>
        <v>0</v>
      </c>
      <c r="BP647">
        <f t="shared" si="205"/>
        <v>0</v>
      </c>
      <c r="BQ647">
        <f t="shared" si="205"/>
        <v>0</v>
      </c>
      <c r="BR647" t="str">
        <f t="shared" si="205"/>
        <v>R. Connolly</v>
      </c>
      <c r="BS647">
        <f t="shared" si="205"/>
        <v>0</v>
      </c>
    </row>
    <row r="648" spans="2:71" ht="15" customHeight="1" x14ac:dyDescent="0.2">
      <c r="B648">
        <v>4</v>
      </c>
      <c r="C648">
        <v>4</v>
      </c>
      <c r="D648">
        <v>10</v>
      </c>
      <c r="E648" t="s">
        <v>484</v>
      </c>
      <c r="F648" t="s">
        <v>346</v>
      </c>
      <c r="G648" s="5">
        <v>45141</v>
      </c>
      <c r="H648" t="s">
        <v>97</v>
      </c>
      <c r="I648" t="s">
        <v>477</v>
      </c>
      <c r="J648" t="s">
        <v>478</v>
      </c>
      <c r="K648">
        <v>9</v>
      </c>
      <c r="L648" t="s">
        <v>76</v>
      </c>
      <c r="M648" t="s">
        <v>479</v>
      </c>
      <c r="N648" t="s">
        <v>123</v>
      </c>
      <c r="O648">
        <v>72.8</v>
      </c>
      <c r="P648">
        <v>131</v>
      </c>
      <c r="Q648">
        <v>6692</v>
      </c>
      <c r="R648" t="s">
        <v>79</v>
      </c>
      <c r="S648" t="s">
        <v>80</v>
      </c>
      <c r="T648" t="s">
        <v>353</v>
      </c>
      <c r="U648" t="s">
        <v>61</v>
      </c>
      <c r="V648" t="s">
        <v>58</v>
      </c>
      <c r="W648" t="s">
        <v>480</v>
      </c>
      <c r="Y648" t="s">
        <v>61</v>
      </c>
      <c r="AA648">
        <v>1</v>
      </c>
      <c r="AB648" t="s">
        <v>34</v>
      </c>
      <c r="AC648" t="s">
        <v>92</v>
      </c>
      <c r="AE648" t="str">
        <f t="shared" si="202"/>
        <v>GrayMcInerney</v>
      </c>
      <c r="AF648">
        <v>0.5</v>
      </c>
      <c r="AG648">
        <v>0</v>
      </c>
      <c r="AH648">
        <v>0</v>
      </c>
      <c r="AI648">
        <v>1</v>
      </c>
      <c r="AJ648">
        <v>0.5</v>
      </c>
      <c r="AK648" t="s">
        <v>45</v>
      </c>
      <c r="AL648">
        <v>0.59375</v>
      </c>
      <c r="AM648" t="s">
        <v>69</v>
      </c>
      <c r="AN648">
        <v>0.33333333333333298</v>
      </c>
      <c r="AO648">
        <f t="shared" si="203"/>
        <v>0</v>
      </c>
      <c r="AP648">
        <f t="shared" si="203"/>
        <v>0</v>
      </c>
      <c r="AQ648">
        <f t="shared" si="203"/>
        <v>0</v>
      </c>
      <c r="AR648">
        <f t="shared" si="203"/>
        <v>0</v>
      </c>
      <c r="AS648">
        <f t="shared" si="203"/>
        <v>0</v>
      </c>
      <c r="AT648">
        <f t="shared" si="203"/>
        <v>0</v>
      </c>
      <c r="AU648">
        <f t="shared" si="203"/>
        <v>0</v>
      </c>
      <c r="AV648">
        <f t="shared" si="203"/>
        <v>0</v>
      </c>
      <c r="AW648">
        <f t="shared" si="203"/>
        <v>0</v>
      </c>
      <c r="AX648">
        <f t="shared" si="203"/>
        <v>0</v>
      </c>
      <c r="AY648">
        <f t="shared" si="204"/>
        <v>0</v>
      </c>
      <c r="AZ648">
        <f t="shared" si="204"/>
        <v>0</v>
      </c>
      <c r="BA648">
        <f t="shared" si="204"/>
        <v>0</v>
      </c>
      <c r="BB648">
        <f t="shared" si="204"/>
        <v>0</v>
      </c>
      <c r="BC648">
        <f t="shared" si="204"/>
        <v>0</v>
      </c>
      <c r="BD648">
        <f t="shared" si="204"/>
        <v>0</v>
      </c>
      <c r="BE648">
        <f t="shared" si="204"/>
        <v>0</v>
      </c>
      <c r="BF648">
        <f t="shared" si="204"/>
        <v>0</v>
      </c>
      <c r="BG648" t="str">
        <f t="shared" si="204"/>
        <v>Gray</v>
      </c>
      <c r="BH648">
        <f t="shared" si="204"/>
        <v>0</v>
      </c>
      <c r="BI648">
        <f t="shared" si="205"/>
        <v>0</v>
      </c>
      <c r="BJ648" t="str">
        <f t="shared" si="205"/>
        <v>McInerney</v>
      </c>
      <c r="BK648">
        <f t="shared" si="205"/>
        <v>0</v>
      </c>
      <c r="BL648">
        <f t="shared" si="205"/>
        <v>0</v>
      </c>
      <c r="BM648">
        <f t="shared" si="205"/>
        <v>0</v>
      </c>
      <c r="BN648">
        <f t="shared" si="205"/>
        <v>0</v>
      </c>
      <c r="BO648">
        <f t="shared" si="205"/>
        <v>0</v>
      </c>
      <c r="BP648">
        <f t="shared" si="205"/>
        <v>0</v>
      </c>
      <c r="BQ648">
        <f t="shared" si="205"/>
        <v>0</v>
      </c>
      <c r="BR648">
        <f t="shared" si="205"/>
        <v>0</v>
      </c>
      <c r="BS648">
        <f t="shared" si="205"/>
        <v>0</v>
      </c>
    </row>
    <row r="649" spans="2:71" ht="15" customHeight="1" x14ac:dyDescent="0.2">
      <c r="B649">
        <v>5</v>
      </c>
      <c r="C649">
        <v>5</v>
      </c>
      <c r="D649">
        <v>10</v>
      </c>
      <c r="E649" t="s">
        <v>485</v>
      </c>
      <c r="F649" t="s">
        <v>346</v>
      </c>
      <c r="G649" s="5">
        <v>45141</v>
      </c>
      <c r="H649" t="s">
        <v>97</v>
      </c>
      <c r="I649" t="s">
        <v>477</v>
      </c>
      <c r="J649" t="s">
        <v>478</v>
      </c>
      <c r="K649">
        <v>9</v>
      </c>
      <c r="L649" t="s">
        <v>76</v>
      </c>
      <c r="M649" t="s">
        <v>479</v>
      </c>
      <c r="N649" t="s">
        <v>123</v>
      </c>
      <c r="O649">
        <v>72.8</v>
      </c>
      <c r="P649">
        <v>131</v>
      </c>
      <c r="Q649">
        <v>6692</v>
      </c>
      <c r="R649" t="s">
        <v>486</v>
      </c>
      <c r="S649" t="s">
        <v>80</v>
      </c>
      <c r="T649" t="s">
        <v>353</v>
      </c>
      <c r="U649" t="s">
        <v>61</v>
      </c>
      <c r="V649" t="s">
        <v>54</v>
      </c>
      <c r="W649" t="s">
        <v>480</v>
      </c>
      <c r="Y649" t="s">
        <v>64</v>
      </c>
      <c r="AA649">
        <v>1</v>
      </c>
      <c r="AB649" t="s">
        <v>33</v>
      </c>
      <c r="AC649" t="s">
        <v>487</v>
      </c>
      <c r="AE649" t="str">
        <f t="shared" si="202"/>
        <v>FoganDelneky</v>
      </c>
      <c r="AF649">
        <v>0</v>
      </c>
      <c r="AG649">
        <v>0</v>
      </c>
      <c r="AH649">
        <v>1</v>
      </c>
      <c r="AI649">
        <v>0</v>
      </c>
      <c r="AJ649">
        <v>0</v>
      </c>
      <c r="AK649" t="s">
        <v>63</v>
      </c>
      <c r="AL649">
        <v>0.46551724137931</v>
      </c>
      <c r="AM649" t="s">
        <v>66</v>
      </c>
      <c r="AN649">
        <v>0.63888888888888895</v>
      </c>
      <c r="AO649">
        <f t="shared" si="203"/>
        <v>0</v>
      </c>
      <c r="AP649">
        <f t="shared" si="203"/>
        <v>0</v>
      </c>
      <c r="AQ649">
        <f t="shared" si="203"/>
        <v>0</v>
      </c>
      <c r="AR649">
        <f t="shared" si="203"/>
        <v>0</v>
      </c>
      <c r="AS649">
        <f t="shared" si="203"/>
        <v>0</v>
      </c>
      <c r="AT649">
        <f t="shared" si="203"/>
        <v>0</v>
      </c>
      <c r="AU649">
        <f t="shared" si="203"/>
        <v>0</v>
      </c>
      <c r="AV649">
        <f t="shared" si="203"/>
        <v>0</v>
      </c>
      <c r="AW649">
        <f t="shared" si="203"/>
        <v>0</v>
      </c>
      <c r="AX649">
        <f t="shared" si="203"/>
        <v>0</v>
      </c>
      <c r="AY649">
        <f t="shared" si="204"/>
        <v>0</v>
      </c>
      <c r="AZ649">
        <f t="shared" si="204"/>
        <v>0</v>
      </c>
      <c r="BA649">
        <f t="shared" si="204"/>
        <v>0</v>
      </c>
      <c r="BB649">
        <f t="shared" si="204"/>
        <v>0</v>
      </c>
      <c r="BC649" t="str">
        <f t="shared" si="204"/>
        <v>Fogan</v>
      </c>
      <c r="BD649">
        <f t="shared" si="204"/>
        <v>0</v>
      </c>
      <c r="BE649">
        <f t="shared" si="204"/>
        <v>0</v>
      </c>
      <c r="BF649">
        <f t="shared" si="204"/>
        <v>0</v>
      </c>
      <c r="BG649">
        <f t="shared" si="204"/>
        <v>0</v>
      </c>
      <c r="BH649">
        <f t="shared" si="204"/>
        <v>0</v>
      </c>
      <c r="BI649">
        <f t="shared" si="205"/>
        <v>0</v>
      </c>
      <c r="BJ649">
        <f t="shared" si="205"/>
        <v>0</v>
      </c>
      <c r="BK649">
        <f t="shared" si="205"/>
        <v>0</v>
      </c>
      <c r="BL649">
        <f t="shared" si="205"/>
        <v>0</v>
      </c>
      <c r="BM649" t="str">
        <f t="shared" si="205"/>
        <v>Delneky</v>
      </c>
      <c r="BN649">
        <f t="shared" si="205"/>
        <v>0</v>
      </c>
      <c r="BO649">
        <f t="shared" si="205"/>
        <v>0</v>
      </c>
      <c r="BP649">
        <f t="shared" si="205"/>
        <v>0</v>
      </c>
      <c r="BQ649">
        <f t="shared" si="205"/>
        <v>0</v>
      </c>
      <c r="BR649">
        <f t="shared" si="205"/>
        <v>0</v>
      </c>
      <c r="BS649">
        <f t="shared" si="205"/>
        <v>0</v>
      </c>
    </row>
    <row r="650" spans="2:71" ht="15" customHeight="1" x14ac:dyDescent="0.2">
      <c r="B650">
        <v>5</v>
      </c>
      <c r="C650">
        <v>5</v>
      </c>
      <c r="D650">
        <v>10</v>
      </c>
      <c r="E650" t="s">
        <v>485</v>
      </c>
      <c r="F650" t="s">
        <v>346</v>
      </c>
      <c r="G650" s="5">
        <v>45141</v>
      </c>
      <c r="H650" t="s">
        <v>97</v>
      </c>
      <c r="I650" t="s">
        <v>477</v>
      </c>
      <c r="J650" t="s">
        <v>478</v>
      </c>
      <c r="K650">
        <v>9</v>
      </c>
      <c r="L650" t="s">
        <v>76</v>
      </c>
      <c r="M650" t="s">
        <v>479</v>
      </c>
      <c r="N650" t="s">
        <v>123</v>
      </c>
      <c r="O650">
        <v>72.8</v>
      </c>
      <c r="P650">
        <v>131</v>
      </c>
      <c r="Q650">
        <v>6692</v>
      </c>
      <c r="R650" t="s">
        <v>486</v>
      </c>
      <c r="S650" t="s">
        <v>80</v>
      </c>
      <c r="T650" t="s">
        <v>353</v>
      </c>
      <c r="U650" t="s">
        <v>55</v>
      </c>
      <c r="V650" t="s">
        <v>63</v>
      </c>
      <c r="W650" t="s">
        <v>481</v>
      </c>
      <c r="Y650" t="s">
        <v>66</v>
      </c>
      <c r="AA650">
        <v>1</v>
      </c>
      <c r="AB650" t="s">
        <v>32</v>
      </c>
      <c r="AC650" t="s">
        <v>487</v>
      </c>
      <c r="AE650" t="str">
        <f t="shared" si="202"/>
        <v>DelaneyPerkins</v>
      </c>
      <c r="AF650">
        <v>1</v>
      </c>
      <c r="AG650">
        <v>1</v>
      </c>
      <c r="AH650">
        <v>0</v>
      </c>
      <c r="AI650">
        <v>0</v>
      </c>
      <c r="AJ650">
        <v>1</v>
      </c>
      <c r="AK650" t="s">
        <v>54</v>
      </c>
      <c r="AL650">
        <v>0.37288135593220301</v>
      </c>
      <c r="AM650" t="s">
        <v>64</v>
      </c>
      <c r="AN650">
        <v>0.37288135593220301</v>
      </c>
      <c r="AO650">
        <f t="shared" si="203"/>
        <v>0</v>
      </c>
      <c r="AP650">
        <f t="shared" si="203"/>
        <v>0</v>
      </c>
      <c r="AQ650">
        <f t="shared" si="203"/>
        <v>0</v>
      </c>
      <c r="AR650">
        <f t="shared" si="203"/>
        <v>0</v>
      </c>
      <c r="AS650">
        <f t="shared" si="203"/>
        <v>0</v>
      </c>
      <c r="AT650">
        <f t="shared" si="203"/>
        <v>0</v>
      </c>
      <c r="AU650">
        <f t="shared" si="203"/>
        <v>0</v>
      </c>
      <c r="AV650">
        <f t="shared" si="203"/>
        <v>0</v>
      </c>
      <c r="AW650">
        <f t="shared" si="203"/>
        <v>0</v>
      </c>
      <c r="AX650">
        <f t="shared" si="203"/>
        <v>0</v>
      </c>
      <c r="AY650">
        <f t="shared" si="204"/>
        <v>0</v>
      </c>
      <c r="AZ650">
        <f t="shared" si="204"/>
        <v>0</v>
      </c>
      <c r="BA650">
        <f t="shared" si="204"/>
        <v>0</v>
      </c>
      <c r="BB650">
        <f t="shared" si="204"/>
        <v>0</v>
      </c>
      <c r="BC650">
        <f t="shared" si="204"/>
        <v>0</v>
      </c>
      <c r="BD650">
        <f t="shared" si="204"/>
        <v>0</v>
      </c>
      <c r="BE650">
        <f t="shared" si="204"/>
        <v>0</v>
      </c>
      <c r="BF650">
        <f t="shared" si="204"/>
        <v>0</v>
      </c>
      <c r="BG650">
        <f t="shared" si="204"/>
        <v>0</v>
      </c>
      <c r="BH650">
        <f t="shared" si="204"/>
        <v>0</v>
      </c>
      <c r="BI650">
        <f t="shared" si="205"/>
        <v>0</v>
      </c>
      <c r="BJ650">
        <f t="shared" si="205"/>
        <v>0</v>
      </c>
      <c r="BK650">
        <f t="shared" si="205"/>
        <v>0</v>
      </c>
      <c r="BL650" t="str">
        <f t="shared" si="205"/>
        <v>Delaney</v>
      </c>
      <c r="BM650">
        <f t="shared" si="205"/>
        <v>0</v>
      </c>
      <c r="BN650">
        <f t="shared" si="205"/>
        <v>0</v>
      </c>
      <c r="BO650" t="str">
        <f t="shared" si="205"/>
        <v>Perkins</v>
      </c>
      <c r="BP650">
        <f t="shared" si="205"/>
        <v>0</v>
      </c>
      <c r="BQ650">
        <f t="shared" si="205"/>
        <v>0</v>
      </c>
      <c r="BR650">
        <f t="shared" si="205"/>
        <v>0</v>
      </c>
      <c r="BS650">
        <f t="shared" si="205"/>
        <v>0</v>
      </c>
    </row>
    <row r="651" spans="2:71" ht="15" customHeight="1" x14ac:dyDescent="0.2">
      <c r="B651">
        <v>6</v>
      </c>
      <c r="C651">
        <v>1</v>
      </c>
      <c r="D651">
        <v>10</v>
      </c>
      <c r="E651" t="s">
        <v>488</v>
      </c>
      <c r="F651" t="s">
        <v>346</v>
      </c>
      <c r="G651" s="5">
        <v>45141</v>
      </c>
      <c r="H651" t="s">
        <v>97</v>
      </c>
      <c r="I651" t="s">
        <v>477</v>
      </c>
      <c r="J651" t="s">
        <v>478</v>
      </c>
      <c r="K651">
        <v>9</v>
      </c>
      <c r="L651" t="s">
        <v>90</v>
      </c>
      <c r="M651" t="s">
        <v>479</v>
      </c>
      <c r="N651" t="s">
        <v>123</v>
      </c>
      <c r="O651">
        <v>72.8</v>
      </c>
      <c r="P651">
        <v>131</v>
      </c>
      <c r="Q651">
        <v>6692</v>
      </c>
      <c r="R651" t="s">
        <v>98</v>
      </c>
      <c r="S651" t="s">
        <v>80</v>
      </c>
      <c r="T651" t="s">
        <v>353</v>
      </c>
      <c r="U651" t="s">
        <v>61</v>
      </c>
      <c r="V651" t="s">
        <v>52</v>
      </c>
      <c r="W651" t="s">
        <v>480</v>
      </c>
      <c r="Y651" t="s">
        <v>46</v>
      </c>
      <c r="AA651">
        <v>1</v>
      </c>
      <c r="AB651" t="s">
        <v>34</v>
      </c>
      <c r="AC651" t="s">
        <v>92</v>
      </c>
      <c r="AE651" t="str">
        <f t="shared" si="202"/>
        <v>ConnorsMangold</v>
      </c>
      <c r="AF651">
        <v>0.5</v>
      </c>
      <c r="AG651">
        <v>0</v>
      </c>
      <c r="AH651">
        <v>0</v>
      </c>
      <c r="AI651">
        <v>1</v>
      </c>
      <c r="AJ651">
        <v>0.5</v>
      </c>
      <c r="AK651" t="s">
        <v>55</v>
      </c>
      <c r="AL651">
        <v>0.44067796610169502</v>
      </c>
      <c r="AM651" t="s">
        <v>41</v>
      </c>
      <c r="AN651">
        <v>0.47321428571428598</v>
      </c>
      <c r="AO651">
        <f t="shared" si="203"/>
        <v>0</v>
      </c>
      <c r="AP651">
        <f t="shared" si="203"/>
        <v>0</v>
      </c>
      <c r="AQ651">
        <f t="shared" si="203"/>
        <v>0</v>
      </c>
      <c r="AR651">
        <f t="shared" si="203"/>
        <v>0</v>
      </c>
      <c r="AS651">
        <f t="shared" si="203"/>
        <v>0</v>
      </c>
      <c r="AT651">
        <f t="shared" si="203"/>
        <v>0</v>
      </c>
      <c r="AU651" t="str">
        <f t="shared" si="203"/>
        <v>Mangold</v>
      </c>
      <c r="AV651">
        <f t="shared" si="203"/>
        <v>0</v>
      </c>
      <c r="AW651">
        <f t="shared" si="203"/>
        <v>0</v>
      </c>
      <c r="AX651">
        <f t="shared" si="203"/>
        <v>0</v>
      </c>
      <c r="AY651">
        <f t="shared" si="204"/>
        <v>0</v>
      </c>
      <c r="AZ651">
        <f t="shared" si="204"/>
        <v>0</v>
      </c>
      <c r="BA651" t="str">
        <f t="shared" si="204"/>
        <v>Connors</v>
      </c>
      <c r="BB651">
        <f t="shared" si="204"/>
        <v>0</v>
      </c>
      <c r="BC651">
        <f t="shared" si="204"/>
        <v>0</v>
      </c>
      <c r="BD651">
        <f t="shared" si="204"/>
        <v>0</v>
      </c>
      <c r="BE651">
        <f t="shared" si="204"/>
        <v>0</v>
      </c>
      <c r="BF651">
        <f t="shared" si="204"/>
        <v>0</v>
      </c>
      <c r="BG651">
        <f t="shared" si="204"/>
        <v>0</v>
      </c>
      <c r="BH651">
        <f t="shared" si="204"/>
        <v>0</v>
      </c>
      <c r="BI651">
        <f t="shared" si="205"/>
        <v>0</v>
      </c>
      <c r="BJ651">
        <f t="shared" si="205"/>
        <v>0</v>
      </c>
      <c r="BK651">
        <f t="shared" si="205"/>
        <v>0</v>
      </c>
      <c r="BL651">
        <f t="shared" si="205"/>
        <v>0</v>
      </c>
      <c r="BM651">
        <f t="shared" si="205"/>
        <v>0</v>
      </c>
      <c r="BN651">
        <f t="shared" si="205"/>
        <v>0</v>
      </c>
      <c r="BO651">
        <f t="shared" si="205"/>
        <v>0</v>
      </c>
      <c r="BP651">
        <f t="shared" si="205"/>
        <v>0</v>
      </c>
      <c r="BQ651">
        <f t="shared" si="205"/>
        <v>0</v>
      </c>
      <c r="BR651">
        <f t="shared" si="205"/>
        <v>0</v>
      </c>
      <c r="BS651">
        <f t="shared" si="205"/>
        <v>0</v>
      </c>
    </row>
    <row r="652" spans="2:71" ht="15" customHeight="1" x14ac:dyDescent="0.2">
      <c r="B652">
        <v>6</v>
      </c>
      <c r="C652">
        <v>1</v>
      </c>
      <c r="D652">
        <v>10</v>
      </c>
      <c r="E652" t="s">
        <v>488</v>
      </c>
      <c r="F652" t="s">
        <v>346</v>
      </c>
      <c r="G652" s="5">
        <v>45141</v>
      </c>
      <c r="H652" t="s">
        <v>97</v>
      </c>
      <c r="I652" t="s">
        <v>477</v>
      </c>
      <c r="J652" t="s">
        <v>478</v>
      </c>
      <c r="K652">
        <v>9</v>
      </c>
      <c r="L652" t="s">
        <v>90</v>
      </c>
      <c r="M652" t="s">
        <v>479</v>
      </c>
      <c r="N652" t="s">
        <v>123</v>
      </c>
      <c r="O652">
        <v>72.8</v>
      </c>
      <c r="P652">
        <v>131</v>
      </c>
      <c r="Q652">
        <v>6692</v>
      </c>
      <c r="R652" t="s">
        <v>98</v>
      </c>
      <c r="S652" t="s">
        <v>80</v>
      </c>
      <c r="T652" t="s">
        <v>353</v>
      </c>
      <c r="U652" t="s">
        <v>55</v>
      </c>
      <c r="V652" t="s">
        <v>55</v>
      </c>
      <c r="W652" t="s">
        <v>481</v>
      </c>
      <c r="Y652" t="s">
        <v>41</v>
      </c>
      <c r="AA652">
        <v>1</v>
      </c>
      <c r="AB652" t="s">
        <v>34</v>
      </c>
      <c r="AC652" t="s">
        <v>92</v>
      </c>
      <c r="AE652" t="str">
        <f t="shared" si="202"/>
        <v>ColeHilts</v>
      </c>
      <c r="AF652">
        <v>0.5</v>
      </c>
      <c r="AG652">
        <v>0</v>
      </c>
      <c r="AH652">
        <v>0</v>
      </c>
      <c r="AI652">
        <v>1</v>
      </c>
      <c r="AJ652">
        <v>0.5</v>
      </c>
      <c r="AK652" t="s">
        <v>52</v>
      </c>
      <c r="AL652">
        <v>0.34745762711864397</v>
      </c>
      <c r="AM652" t="s">
        <v>46</v>
      </c>
      <c r="AN652">
        <v>0.38392857142857201</v>
      </c>
      <c r="AO652">
        <f t="shared" ref="AO652:AX661" si="206">IF(OR($V652=AO$1,$Y652=AO$1),AO$1,0)</f>
        <v>0</v>
      </c>
      <c r="AP652" t="str">
        <f t="shared" si="206"/>
        <v>Hilts</v>
      </c>
      <c r="AQ652">
        <f t="shared" si="206"/>
        <v>0</v>
      </c>
      <c r="AR652">
        <f t="shared" si="206"/>
        <v>0</v>
      </c>
      <c r="AS652">
        <f t="shared" si="206"/>
        <v>0</v>
      </c>
      <c r="AT652">
        <f t="shared" si="206"/>
        <v>0</v>
      </c>
      <c r="AU652">
        <f t="shared" si="206"/>
        <v>0</v>
      </c>
      <c r="AV652">
        <f t="shared" si="206"/>
        <v>0</v>
      </c>
      <c r="AW652">
        <f t="shared" si="206"/>
        <v>0</v>
      </c>
      <c r="AX652">
        <f t="shared" si="206"/>
        <v>0</v>
      </c>
      <c r="AY652">
        <f t="shared" ref="AY652:BH661" si="207">IF(OR($V652=AY$1,$Y652=AY$1),AY$1,0)</f>
        <v>0</v>
      </c>
      <c r="AZ652">
        <f t="shared" si="207"/>
        <v>0</v>
      </c>
      <c r="BA652">
        <f t="shared" si="207"/>
        <v>0</v>
      </c>
      <c r="BB652">
        <f t="shared" si="207"/>
        <v>0</v>
      </c>
      <c r="BC652">
        <f t="shared" si="207"/>
        <v>0</v>
      </c>
      <c r="BD652" t="str">
        <f t="shared" si="207"/>
        <v>Cole</v>
      </c>
      <c r="BE652">
        <f t="shared" si="207"/>
        <v>0</v>
      </c>
      <c r="BF652">
        <f t="shared" si="207"/>
        <v>0</v>
      </c>
      <c r="BG652">
        <f t="shared" si="207"/>
        <v>0</v>
      </c>
      <c r="BH652">
        <f t="shared" si="207"/>
        <v>0</v>
      </c>
      <c r="BI652">
        <f t="shared" ref="BI652:BS661" si="208">IF(OR($V652=BI$1,$Y652=BI$1),BI$1,0)</f>
        <v>0</v>
      </c>
      <c r="BJ652">
        <f t="shared" si="208"/>
        <v>0</v>
      </c>
      <c r="BK652">
        <f t="shared" si="208"/>
        <v>0</v>
      </c>
      <c r="BL652">
        <f t="shared" si="208"/>
        <v>0</v>
      </c>
      <c r="BM652">
        <f t="shared" si="208"/>
        <v>0</v>
      </c>
      <c r="BN652">
        <f t="shared" si="208"/>
        <v>0</v>
      </c>
      <c r="BO652">
        <f t="shared" si="208"/>
        <v>0</v>
      </c>
      <c r="BP652">
        <f t="shared" si="208"/>
        <v>0</v>
      </c>
      <c r="BQ652">
        <f t="shared" si="208"/>
        <v>0</v>
      </c>
      <c r="BR652">
        <f t="shared" si="208"/>
        <v>0</v>
      </c>
      <c r="BS652">
        <f t="shared" si="208"/>
        <v>0</v>
      </c>
    </row>
    <row r="653" spans="2:71" ht="15" customHeight="1" x14ac:dyDescent="0.2">
      <c r="B653">
        <v>7</v>
      </c>
      <c r="C653">
        <v>2</v>
      </c>
      <c r="D653">
        <v>10</v>
      </c>
      <c r="E653" t="s">
        <v>489</v>
      </c>
      <c r="F653" t="s">
        <v>346</v>
      </c>
      <c r="G653" s="5">
        <v>45141</v>
      </c>
      <c r="H653" t="s">
        <v>97</v>
      </c>
      <c r="I653" t="s">
        <v>477</v>
      </c>
      <c r="J653" t="s">
        <v>478</v>
      </c>
      <c r="K653">
        <v>9</v>
      </c>
      <c r="L653" t="s">
        <v>90</v>
      </c>
      <c r="M653" t="s">
        <v>479</v>
      </c>
      <c r="N653" t="s">
        <v>123</v>
      </c>
      <c r="O653">
        <v>72.8</v>
      </c>
      <c r="P653">
        <v>131</v>
      </c>
      <c r="Q653">
        <v>6692</v>
      </c>
      <c r="R653" t="s">
        <v>98</v>
      </c>
      <c r="S653" t="s">
        <v>80</v>
      </c>
      <c r="T653" t="s">
        <v>353</v>
      </c>
      <c r="U653" t="s">
        <v>55</v>
      </c>
      <c r="V653" t="s">
        <v>50</v>
      </c>
      <c r="W653" t="s">
        <v>481</v>
      </c>
      <c r="Y653" t="s">
        <v>40</v>
      </c>
      <c r="AA653">
        <v>1</v>
      </c>
      <c r="AB653" t="s">
        <v>32</v>
      </c>
      <c r="AC653" t="s">
        <v>249</v>
      </c>
      <c r="AE653" t="str">
        <f t="shared" si="202"/>
        <v>FerrinGrise</v>
      </c>
      <c r="AF653">
        <v>1</v>
      </c>
      <c r="AG653">
        <v>1</v>
      </c>
      <c r="AH653">
        <v>0</v>
      </c>
      <c r="AI653">
        <v>0</v>
      </c>
      <c r="AJ653">
        <v>1</v>
      </c>
      <c r="AK653" t="s">
        <v>42</v>
      </c>
      <c r="AL653">
        <v>0.6171875</v>
      </c>
      <c r="AM653" t="s">
        <v>60</v>
      </c>
      <c r="AN653">
        <v>0.5</v>
      </c>
      <c r="AO653" t="str">
        <f t="shared" si="206"/>
        <v>Grise</v>
      </c>
      <c r="AP653">
        <f t="shared" si="206"/>
        <v>0</v>
      </c>
      <c r="AQ653">
        <f t="shared" si="206"/>
        <v>0</v>
      </c>
      <c r="AR653">
        <f t="shared" si="206"/>
        <v>0</v>
      </c>
      <c r="AS653">
        <f t="shared" si="206"/>
        <v>0</v>
      </c>
      <c r="AT653">
        <f t="shared" si="206"/>
        <v>0</v>
      </c>
      <c r="AU653">
        <f t="shared" si="206"/>
        <v>0</v>
      </c>
      <c r="AV653">
        <f t="shared" si="206"/>
        <v>0</v>
      </c>
      <c r="AW653">
        <f t="shared" si="206"/>
        <v>0</v>
      </c>
      <c r="AX653">
        <f t="shared" si="206"/>
        <v>0</v>
      </c>
      <c r="AY653" t="str">
        <f t="shared" si="207"/>
        <v>Ferrin</v>
      </c>
      <c r="AZ653">
        <f t="shared" si="207"/>
        <v>0</v>
      </c>
      <c r="BA653">
        <f t="shared" si="207"/>
        <v>0</v>
      </c>
      <c r="BB653">
        <f t="shared" si="207"/>
        <v>0</v>
      </c>
      <c r="BC653">
        <f t="shared" si="207"/>
        <v>0</v>
      </c>
      <c r="BD653">
        <f t="shared" si="207"/>
        <v>0</v>
      </c>
      <c r="BE653">
        <f t="shared" si="207"/>
        <v>0</v>
      </c>
      <c r="BF653">
        <f t="shared" si="207"/>
        <v>0</v>
      </c>
      <c r="BG653">
        <f t="shared" si="207"/>
        <v>0</v>
      </c>
      <c r="BH653">
        <f t="shared" si="207"/>
        <v>0</v>
      </c>
      <c r="BI653">
        <f t="shared" si="208"/>
        <v>0</v>
      </c>
      <c r="BJ653">
        <f t="shared" si="208"/>
        <v>0</v>
      </c>
      <c r="BK653">
        <f t="shared" si="208"/>
        <v>0</v>
      </c>
      <c r="BL653">
        <f t="shared" si="208"/>
        <v>0</v>
      </c>
      <c r="BM653">
        <f t="shared" si="208"/>
        <v>0</v>
      </c>
      <c r="BN653">
        <f t="shared" si="208"/>
        <v>0</v>
      </c>
      <c r="BO653">
        <f t="shared" si="208"/>
        <v>0</v>
      </c>
      <c r="BP653">
        <f t="shared" si="208"/>
        <v>0</v>
      </c>
      <c r="BQ653">
        <f t="shared" si="208"/>
        <v>0</v>
      </c>
      <c r="BR653">
        <f t="shared" si="208"/>
        <v>0</v>
      </c>
      <c r="BS653">
        <f t="shared" si="208"/>
        <v>0</v>
      </c>
    </row>
    <row r="654" spans="2:71" ht="15" customHeight="1" x14ac:dyDescent="0.2">
      <c r="B654">
        <v>7</v>
      </c>
      <c r="C654">
        <v>2</v>
      </c>
      <c r="D654">
        <v>10</v>
      </c>
      <c r="E654" t="s">
        <v>489</v>
      </c>
      <c r="F654" t="s">
        <v>346</v>
      </c>
      <c r="G654" s="5">
        <v>45141</v>
      </c>
      <c r="H654" t="s">
        <v>97</v>
      </c>
      <c r="I654" t="s">
        <v>477</v>
      </c>
      <c r="J654" t="s">
        <v>478</v>
      </c>
      <c r="K654">
        <v>9</v>
      </c>
      <c r="L654" t="s">
        <v>90</v>
      </c>
      <c r="M654" t="s">
        <v>479</v>
      </c>
      <c r="N654" t="s">
        <v>123</v>
      </c>
      <c r="O654">
        <v>72.8</v>
      </c>
      <c r="P654">
        <v>131</v>
      </c>
      <c r="Q654">
        <v>6692</v>
      </c>
      <c r="R654" t="s">
        <v>98</v>
      </c>
      <c r="S654" t="s">
        <v>80</v>
      </c>
      <c r="T654" t="s">
        <v>353</v>
      </c>
      <c r="U654" t="s">
        <v>61</v>
      </c>
      <c r="V654" t="s">
        <v>42</v>
      </c>
      <c r="W654" t="s">
        <v>480</v>
      </c>
      <c r="Y654" t="s">
        <v>60</v>
      </c>
      <c r="AA654">
        <v>1</v>
      </c>
      <c r="AB654" t="s">
        <v>33</v>
      </c>
      <c r="AC654" t="s">
        <v>249</v>
      </c>
      <c r="AE654" t="str">
        <f t="shared" si="202"/>
        <v>JacksonZimmer</v>
      </c>
      <c r="AF654">
        <v>0</v>
      </c>
      <c r="AG654">
        <v>0</v>
      </c>
      <c r="AH654">
        <v>1</v>
      </c>
      <c r="AI654">
        <v>0</v>
      </c>
      <c r="AJ654">
        <v>0</v>
      </c>
      <c r="AK654" t="s">
        <v>50</v>
      </c>
      <c r="AL654">
        <v>0.59523809523809501</v>
      </c>
      <c r="AM654" t="s">
        <v>40</v>
      </c>
      <c r="AN654">
        <v>0.546875</v>
      </c>
      <c r="AO654">
        <f t="shared" si="206"/>
        <v>0</v>
      </c>
      <c r="AP654">
        <f t="shared" si="206"/>
        <v>0</v>
      </c>
      <c r="AQ654" t="str">
        <f t="shared" si="206"/>
        <v>Jackson</v>
      </c>
      <c r="AR654">
        <f t="shared" si="206"/>
        <v>0</v>
      </c>
      <c r="AS654">
        <f t="shared" si="206"/>
        <v>0</v>
      </c>
      <c r="AT654">
        <f t="shared" si="206"/>
        <v>0</v>
      </c>
      <c r="AU654">
        <f t="shared" si="206"/>
        <v>0</v>
      </c>
      <c r="AV654">
        <f t="shared" si="206"/>
        <v>0</v>
      </c>
      <c r="AW654">
        <f t="shared" si="206"/>
        <v>0</v>
      </c>
      <c r="AX654">
        <f t="shared" si="206"/>
        <v>0</v>
      </c>
      <c r="AY654">
        <f t="shared" si="207"/>
        <v>0</v>
      </c>
      <c r="AZ654">
        <f t="shared" si="207"/>
        <v>0</v>
      </c>
      <c r="BA654">
        <f t="shared" si="207"/>
        <v>0</v>
      </c>
      <c r="BB654">
        <f t="shared" si="207"/>
        <v>0</v>
      </c>
      <c r="BC654">
        <f t="shared" si="207"/>
        <v>0</v>
      </c>
      <c r="BD654">
        <f t="shared" si="207"/>
        <v>0</v>
      </c>
      <c r="BE654">
        <f t="shared" si="207"/>
        <v>0</v>
      </c>
      <c r="BF654">
        <f t="shared" si="207"/>
        <v>0</v>
      </c>
      <c r="BG654">
        <f t="shared" si="207"/>
        <v>0</v>
      </c>
      <c r="BH654">
        <f t="shared" si="207"/>
        <v>0</v>
      </c>
      <c r="BI654" t="str">
        <f t="shared" si="208"/>
        <v>Zimmer</v>
      </c>
      <c r="BJ654">
        <f t="shared" si="208"/>
        <v>0</v>
      </c>
      <c r="BK654">
        <f t="shared" si="208"/>
        <v>0</v>
      </c>
      <c r="BL654">
        <f t="shared" si="208"/>
        <v>0</v>
      </c>
      <c r="BM654">
        <f t="shared" si="208"/>
        <v>0</v>
      </c>
      <c r="BN654">
        <f t="shared" si="208"/>
        <v>0</v>
      </c>
      <c r="BO654">
        <f t="shared" si="208"/>
        <v>0</v>
      </c>
      <c r="BP654">
        <f t="shared" si="208"/>
        <v>0</v>
      </c>
      <c r="BQ654">
        <f t="shared" si="208"/>
        <v>0</v>
      </c>
      <c r="BR654">
        <f t="shared" si="208"/>
        <v>0</v>
      </c>
      <c r="BS654">
        <f t="shared" si="208"/>
        <v>0</v>
      </c>
    </row>
    <row r="655" spans="2:71" ht="15" customHeight="1" x14ac:dyDescent="0.2">
      <c r="B655">
        <v>8</v>
      </c>
      <c r="C655">
        <v>3</v>
      </c>
      <c r="D655">
        <v>10</v>
      </c>
      <c r="E655" t="s">
        <v>490</v>
      </c>
      <c r="F655" t="s">
        <v>346</v>
      </c>
      <c r="G655" s="5">
        <v>45141</v>
      </c>
      <c r="H655" t="s">
        <v>97</v>
      </c>
      <c r="I655" t="s">
        <v>477</v>
      </c>
      <c r="J655" t="s">
        <v>478</v>
      </c>
      <c r="K655">
        <v>9</v>
      </c>
      <c r="L655" t="s">
        <v>90</v>
      </c>
      <c r="M655" t="s">
        <v>479</v>
      </c>
      <c r="N655" t="s">
        <v>123</v>
      </c>
      <c r="O655">
        <v>72.8</v>
      </c>
      <c r="P655">
        <v>131</v>
      </c>
      <c r="Q655">
        <v>6692</v>
      </c>
      <c r="R655" t="s">
        <v>98</v>
      </c>
      <c r="S655" t="s">
        <v>80</v>
      </c>
      <c r="T655" t="s">
        <v>353</v>
      </c>
      <c r="U655" t="s">
        <v>61</v>
      </c>
      <c r="V655" t="s">
        <v>53</v>
      </c>
      <c r="W655" t="s">
        <v>480</v>
      </c>
      <c r="Y655" t="s">
        <v>62</v>
      </c>
      <c r="AA655">
        <v>1</v>
      </c>
      <c r="AB655" t="s">
        <v>33</v>
      </c>
      <c r="AC655" t="s">
        <v>171</v>
      </c>
      <c r="AE655" t="str">
        <f t="shared" si="202"/>
        <v>ForsterWelker</v>
      </c>
      <c r="AF655">
        <v>0</v>
      </c>
      <c r="AG655">
        <v>0</v>
      </c>
      <c r="AH655">
        <v>1</v>
      </c>
      <c r="AI655">
        <v>0</v>
      </c>
      <c r="AJ655">
        <v>0</v>
      </c>
      <c r="AK655" t="s">
        <v>44</v>
      </c>
      <c r="AL655">
        <v>0.4296875</v>
      </c>
      <c r="AM655" t="s">
        <v>48</v>
      </c>
      <c r="AN655">
        <v>0.5546875</v>
      </c>
      <c r="AO655">
        <f t="shared" si="206"/>
        <v>0</v>
      </c>
      <c r="AP655">
        <f t="shared" si="206"/>
        <v>0</v>
      </c>
      <c r="AQ655">
        <f t="shared" si="206"/>
        <v>0</v>
      </c>
      <c r="AR655">
        <f t="shared" si="206"/>
        <v>0</v>
      </c>
      <c r="AS655">
        <f t="shared" si="206"/>
        <v>0</v>
      </c>
      <c r="AT655">
        <f t="shared" si="206"/>
        <v>0</v>
      </c>
      <c r="AU655">
        <f t="shared" si="206"/>
        <v>0</v>
      </c>
      <c r="AV655">
        <f t="shared" si="206"/>
        <v>0</v>
      </c>
      <c r="AW655">
        <f t="shared" si="206"/>
        <v>0</v>
      </c>
      <c r="AX655">
        <f t="shared" si="206"/>
        <v>0</v>
      </c>
      <c r="AY655">
        <f t="shared" si="207"/>
        <v>0</v>
      </c>
      <c r="AZ655">
        <f t="shared" si="207"/>
        <v>0</v>
      </c>
      <c r="BA655">
        <f t="shared" si="207"/>
        <v>0</v>
      </c>
      <c r="BB655" t="str">
        <f t="shared" si="207"/>
        <v>Forster</v>
      </c>
      <c r="BC655">
        <f t="shared" si="207"/>
        <v>0</v>
      </c>
      <c r="BD655">
        <f t="shared" si="207"/>
        <v>0</v>
      </c>
      <c r="BE655">
        <f t="shared" si="207"/>
        <v>0</v>
      </c>
      <c r="BF655">
        <f t="shared" si="207"/>
        <v>0</v>
      </c>
      <c r="BG655">
        <f t="shared" si="207"/>
        <v>0</v>
      </c>
      <c r="BH655">
        <f t="shared" si="207"/>
        <v>0</v>
      </c>
      <c r="BI655">
        <f t="shared" si="208"/>
        <v>0</v>
      </c>
      <c r="BJ655">
        <f t="shared" si="208"/>
        <v>0</v>
      </c>
      <c r="BK655" t="str">
        <f t="shared" si="208"/>
        <v>Welker</v>
      </c>
      <c r="BL655">
        <f t="shared" si="208"/>
        <v>0</v>
      </c>
      <c r="BM655">
        <f t="shared" si="208"/>
        <v>0</v>
      </c>
      <c r="BN655">
        <f t="shared" si="208"/>
        <v>0</v>
      </c>
      <c r="BO655">
        <f t="shared" si="208"/>
        <v>0</v>
      </c>
      <c r="BP655">
        <f t="shared" si="208"/>
        <v>0</v>
      </c>
      <c r="BQ655">
        <f t="shared" si="208"/>
        <v>0</v>
      </c>
      <c r="BR655">
        <f t="shared" si="208"/>
        <v>0</v>
      </c>
      <c r="BS655">
        <f t="shared" si="208"/>
        <v>0</v>
      </c>
    </row>
    <row r="656" spans="2:71" ht="15" customHeight="1" x14ac:dyDescent="0.2">
      <c r="B656">
        <v>8</v>
      </c>
      <c r="C656">
        <v>3</v>
      </c>
      <c r="D656">
        <v>10</v>
      </c>
      <c r="E656" t="s">
        <v>490</v>
      </c>
      <c r="F656" t="s">
        <v>346</v>
      </c>
      <c r="G656" s="5">
        <v>45141</v>
      </c>
      <c r="H656" t="s">
        <v>97</v>
      </c>
      <c r="I656" t="s">
        <v>477</v>
      </c>
      <c r="J656" t="s">
        <v>478</v>
      </c>
      <c r="K656">
        <v>9</v>
      </c>
      <c r="L656" t="s">
        <v>90</v>
      </c>
      <c r="M656" t="s">
        <v>479</v>
      </c>
      <c r="N656" t="s">
        <v>123</v>
      </c>
      <c r="O656">
        <v>72.8</v>
      </c>
      <c r="P656">
        <v>131</v>
      </c>
      <c r="Q656">
        <v>6692</v>
      </c>
      <c r="R656" t="s">
        <v>98</v>
      </c>
      <c r="S656" t="s">
        <v>80</v>
      </c>
      <c r="T656" t="s">
        <v>353</v>
      </c>
      <c r="U656" t="s">
        <v>55</v>
      </c>
      <c r="V656" t="s">
        <v>44</v>
      </c>
      <c r="W656" t="s">
        <v>481</v>
      </c>
      <c r="Y656" t="s">
        <v>48</v>
      </c>
      <c r="AA656">
        <v>1</v>
      </c>
      <c r="AB656" t="s">
        <v>32</v>
      </c>
      <c r="AC656" t="s">
        <v>171</v>
      </c>
      <c r="AE656" t="str">
        <f t="shared" si="202"/>
        <v>FlandersLynch</v>
      </c>
      <c r="AF656">
        <v>1</v>
      </c>
      <c r="AG656">
        <v>1</v>
      </c>
      <c r="AH656">
        <v>0</v>
      </c>
      <c r="AI656">
        <v>0</v>
      </c>
      <c r="AJ656">
        <v>1</v>
      </c>
      <c r="AK656" t="s">
        <v>53</v>
      </c>
      <c r="AL656">
        <v>0.59649122807017496</v>
      </c>
      <c r="AM656" t="s">
        <v>62</v>
      </c>
      <c r="AN656">
        <v>0.51041666666666696</v>
      </c>
      <c r="AO656">
        <f t="shared" si="206"/>
        <v>0</v>
      </c>
      <c r="AP656">
        <f t="shared" si="206"/>
        <v>0</v>
      </c>
      <c r="AQ656">
        <f t="shared" si="206"/>
        <v>0</v>
      </c>
      <c r="AR656">
        <f t="shared" si="206"/>
        <v>0</v>
      </c>
      <c r="AS656" t="str">
        <f t="shared" si="206"/>
        <v>Flanders</v>
      </c>
      <c r="AT656">
        <f t="shared" si="206"/>
        <v>0</v>
      </c>
      <c r="AU656">
        <f t="shared" si="206"/>
        <v>0</v>
      </c>
      <c r="AV656">
        <f t="shared" si="206"/>
        <v>0</v>
      </c>
      <c r="AW656" t="str">
        <f t="shared" si="206"/>
        <v>Lynch</v>
      </c>
      <c r="AX656">
        <f t="shared" si="206"/>
        <v>0</v>
      </c>
      <c r="AY656">
        <f t="shared" si="207"/>
        <v>0</v>
      </c>
      <c r="AZ656">
        <f t="shared" si="207"/>
        <v>0</v>
      </c>
      <c r="BA656">
        <f t="shared" si="207"/>
        <v>0</v>
      </c>
      <c r="BB656">
        <f t="shared" si="207"/>
        <v>0</v>
      </c>
      <c r="BC656">
        <f t="shared" si="207"/>
        <v>0</v>
      </c>
      <c r="BD656">
        <f t="shared" si="207"/>
        <v>0</v>
      </c>
      <c r="BE656">
        <f t="shared" si="207"/>
        <v>0</v>
      </c>
      <c r="BF656">
        <f t="shared" si="207"/>
        <v>0</v>
      </c>
      <c r="BG656">
        <f t="shared" si="207"/>
        <v>0</v>
      </c>
      <c r="BH656">
        <f t="shared" si="207"/>
        <v>0</v>
      </c>
      <c r="BI656">
        <f t="shared" si="208"/>
        <v>0</v>
      </c>
      <c r="BJ656">
        <f t="shared" si="208"/>
        <v>0</v>
      </c>
      <c r="BK656">
        <f t="shared" si="208"/>
        <v>0</v>
      </c>
      <c r="BL656">
        <f t="shared" si="208"/>
        <v>0</v>
      </c>
      <c r="BM656">
        <f t="shared" si="208"/>
        <v>0</v>
      </c>
      <c r="BN656">
        <f t="shared" si="208"/>
        <v>0</v>
      </c>
      <c r="BO656">
        <f t="shared" si="208"/>
        <v>0</v>
      </c>
      <c r="BP656">
        <f t="shared" si="208"/>
        <v>0</v>
      </c>
      <c r="BQ656">
        <f t="shared" si="208"/>
        <v>0</v>
      </c>
      <c r="BR656">
        <f t="shared" si="208"/>
        <v>0</v>
      </c>
      <c r="BS656">
        <f t="shared" si="208"/>
        <v>0</v>
      </c>
    </row>
    <row r="657" spans="2:71" ht="15" customHeight="1" x14ac:dyDescent="0.2">
      <c r="B657">
        <v>9</v>
      </c>
      <c r="C657">
        <v>4</v>
      </c>
      <c r="D657">
        <v>10</v>
      </c>
      <c r="E657" t="s">
        <v>491</v>
      </c>
      <c r="F657" t="s">
        <v>346</v>
      </c>
      <c r="G657" s="5">
        <v>45141</v>
      </c>
      <c r="H657" t="s">
        <v>97</v>
      </c>
      <c r="I657" t="s">
        <v>477</v>
      </c>
      <c r="J657" t="s">
        <v>478</v>
      </c>
      <c r="K657">
        <v>9</v>
      </c>
      <c r="L657" t="s">
        <v>90</v>
      </c>
      <c r="M657" t="s">
        <v>479</v>
      </c>
      <c r="N657" t="s">
        <v>123</v>
      </c>
      <c r="O657">
        <v>72.8</v>
      </c>
      <c r="P657">
        <v>131</v>
      </c>
      <c r="Q657">
        <v>6692</v>
      </c>
      <c r="R657" t="s">
        <v>98</v>
      </c>
      <c r="S657" t="s">
        <v>80</v>
      </c>
      <c r="T657" t="s">
        <v>353</v>
      </c>
      <c r="U657" t="s">
        <v>55</v>
      </c>
      <c r="V657" t="s">
        <v>45</v>
      </c>
      <c r="W657" t="s">
        <v>481</v>
      </c>
      <c r="Y657" t="s">
        <v>69</v>
      </c>
      <c r="AA657">
        <v>1</v>
      </c>
      <c r="AB657" t="s">
        <v>34</v>
      </c>
      <c r="AC657" t="s">
        <v>92</v>
      </c>
      <c r="AE657" t="str">
        <f t="shared" si="202"/>
        <v>ConnollyR. Connolly</v>
      </c>
      <c r="AF657">
        <v>0.5</v>
      </c>
      <c r="AG657">
        <v>0</v>
      </c>
      <c r="AH657">
        <v>0</v>
      </c>
      <c r="AI657">
        <v>1</v>
      </c>
      <c r="AJ657">
        <v>0.5</v>
      </c>
      <c r="AK657" t="s">
        <v>58</v>
      </c>
      <c r="AL657">
        <v>0.65476190476190499</v>
      </c>
      <c r="AM657" t="s">
        <v>61</v>
      </c>
      <c r="AN657">
        <v>0.5</v>
      </c>
      <c r="AO657">
        <f t="shared" si="206"/>
        <v>0</v>
      </c>
      <c r="AP657">
        <f t="shared" si="206"/>
        <v>0</v>
      </c>
      <c r="AQ657">
        <f t="shared" si="206"/>
        <v>0</v>
      </c>
      <c r="AR657">
        <f t="shared" si="206"/>
        <v>0</v>
      </c>
      <c r="AS657">
        <f t="shared" si="206"/>
        <v>0</v>
      </c>
      <c r="AT657" t="str">
        <f t="shared" si="206"/>
        <v>Connolly</v>
      </c>
      <c r="AU657">
        <f t="shared" si="206"/>
        <v>0</v>
      </c>
      <c r="AV657">
        <f t="shared" si="206"/>
        <v>0</v>
      </c>
      <c r="AW657">
        <f t="shared" si="206"/>
        <v>0</v>
      </c>
      <c r="AX657">
        <f t="shared" si="206"/>
        <v>0</v>
      </c>
      <c r="AY657">
        <f t="shared" si="207"/>
        <v>0</v>
      </c>
      <c r="AZ657">
        <f t="shared" si="207"/>
        <v>0</v>
      </c>
      <c r="BA657">
        <f t="shared" si="207"/>
        <v>0</v>
      </c>
      <c r="BB657">
        <f t="shared" si="207"/>
        <v>0</v>
      </c>
      <c r="BC657">
        <f t="shared" si="207"/>
        <v>0</v>
      </c>
      <c r="BD657">
        <f t="shared" si="207"/>
        <v>0</v>
      </c>
      <c r="BE657">
        <f t="shared" si="207"/>
        <v>0</v>
      </c>
      <c r="BF657">
        <f t="shared" si="207"/>
        <v>0</v>
      </c>
      <c r="BG657">
        <f t="shared" si="207"/>
        <v>0</v>
      </c>
      <c r="BH657">
        <f t="shared" si="207"/>
        <v>0</v>
      </c>
      <c r="BI657">
        <f t="shared" si="208"/>
        <v>0</v>
      </c>
      <c r="BJ657">
        <f t="shared" si="208"/>
        <v>0</v>
      </c>
      <c r="BK657">
        <f t="shared" si="208"/>
        <v>0</v>
      </c>
      <c r="BL657">
        <f t="shared" si="208"/>
        <v>0</v>
      </c>
      <c r="BM657">
        <f t="shared" si="208"/>
        <v>0</v>
      </c>
      <c r="BN657">
        <f t="shared" si="208"/>
        <v>0</v>
      </c>
      <c r="BO657">
        <f t="shared" si="208"/>
        <v>0</v>
      </c>
      <c r="BP657">
        <f t="shared" si="208"/>
        <v>0</v>
      </c>
      <c r="BQ657">
        <f t="shared" si="208"/>
        <v>0</v>
      </c>
      <c r="BR657" t="str">
        <f t="shared" si="208"/>
        <v>R. Connolly</v>
      </c>
      <c r="BS657">
        <f t="shared" si="208"/>
        <v>0</v>
      </c>
    </row>
    <row r="658" spans="2:71" ht="15" customHeight="1" x14ac:dyDescent="0.2">
      <c r="B658">
        <v>9</v>
      </c>
      <c r="C658">
        <v>4</v>
      </c>
      <c r="D658">
        <v>10</v>
      </c>
      <c r="E658" t="s">
        <v>491</v>
      </c>
      <c r="F658" t="s">
        <v>346</v>
      </c>
      <c r="G658" s="5">
        <v>45141</v>
      </c>
      <c r="H658" t="s">
        <v>97</v>
      </c>
      <c r="I658" t="s">
        <v>477</v>
      </c>
      <c r="J658" t="s">
        <v>478</v>
      </c>
      <c r="K658">
        <v>9</v>
      </c>
      <c r="L658" t="s">
        <v>90</v>
      </c>
      <c r="M658" t="s">
        <v>479</v>
      </c>
      <c r="N658" t="s">
        <v>123</v>
      </c>
      <c r="O658">
        <v>72.8</v>
      </c>
      <c r="P658">
        <v>131</v>
      </c>
      <c r="Q658">
        <v>6692</v>
      </c>
      <c r="R658" t="s">
        <v>98</v>
      </c>
      <c r="S658" t="s">
        <v>80</v>
      </c>
      <c r="T658" t="s">
        <v>353</v>
      </c>
      <c r="U658" t="s">
        <v>61</v>
      </c>
      <c r="V658" t="s">
        <v>58</v>
      </c>
      <c r="W658" t="s">
        <v>480</v>
      </c>
      <c r="Y658" t="s">
        <v>61</v>
      </c>
      <c r="AA658">
        <v>1</v>
      </c>
      <c r="AB658" t="s">
        <v>34</v>
      </c>
      <c r="AC658" t="s">
        <v>92</v>
      </c>
      <c r="AE658" t="str">
        <f t="shared" si="202"/>
        <v>GrayMcInerney</v>
      </c>
      <c r="AF658">
        <v>0.5</v>
      </c>
      <c r="AG658">
        <v>0</v>
      </c>
      <c r="AH658">
        <v>0</v>
      </c>
      <c r="AI658">
        <v>1</v>
      </c>
      <c r="AJ658">
        <v>0.5</v>
      </c>
      <c r="AK658" t="s">
        <v>45</v>
      </c>
      <c r="AL658">
        <v>0.59375</v>
      </c>
      <c r="AM658" t="s">
        <v>69</v>
      </c>
      <c r="AN658">
        <v>0.33333333333333298</v>
      </c>
      <c r="AO658">
        <f t="shared" si="206"/>
        <v>0</v>
      </c>
      <c r="AP658">
        <f t="shared" si="206"/>
        <v>0</v>
      </c>
      <c r="AQ658">
        <f t="shared" si="206"/>
        <v>0</v>
      </c>
      <c r="AR658">
        <f t="shared" si="206"/>
        <v>0</v>
      </c>
      <c r="AS658">
        <f t="shared" si="206"/>
        <v>0</v>
      </c>
      <c r="AT658">
        <f t="shared" si="206"/>
        <v>0</v>
      </c>
      <c r="AU658">
        <f t="shared" si="206"/>
        <v>0</v>
      </c>
      <c r="AV658">
        <f t="shared" si="206"/>
        <v>0</v>
      </c>
      <c r="AW658">
        <f t="shared" si="206"/>
        <v>0</v>
      </c>
      <c r="AX658">
        <f t="shared" si="206"/>
        <v>0</v>
      </c>
      <c r="AY658">
        <f t="shared" si="207"/>
        <v>0</v>
      </c>
      <c r="AZ658">
        <f t="shared" si="207"/>
        <v>0</v>
      </c>
      <c r="BA658">
        <f t="shared" si="207"/>
        <v>0</v>
      </c>
      <c r="BB658">
        <f t="shared" si="207"/>
        <v>0</v>
      </c>
      <c r="BC658">
        <f t="shared" si="207"/>
        <v>0</v>
      </c>
      <c r="BD658">
        <f t="shared" si="207"/>
        <v>0</v>
      </c>
      <c r="BE658">
        <f t="shared" si="207"/>
        <v>0</v>
      </c>
      <c r="BF658">
        <f t="shared" si="207"/>
        <v>0</v>
      </c>
      <c r="BG658" t="str">
        <f t="shared" si="207"/>
        <v>Gray</v>
      </c>
      <c r="BH658">
        <f t="shared" si="207"/>
        <v>0</v>
      </c>
      <c r="BI658">
        <f t="shared" si="208"/>
        <v>0</v>
      </c>
      <c r="BJ658" t="str">
        <f t="shared" si="208"/>
        <v>McInerney</v>
      </c>
      <c r="BK658">
        <f t="shared" si="208"/>
        <v>0</v>
      </c>
      <c r="BL658">
        <f t="shared" si="208"/>
        <v>0</v>
      </c>
      <c r="BM658">
        <f t="shared" si="208"/>
        <v>0</v>
      </c>
      <c r="BN658">
        <f t="shared" si="208"/>
        <v>0</v>
      </c>
      <c r="BO658">
        <f t="shared" si="208"/>
        <v>0</v>
      </c>
      <c r="BP658">
        <f t="shared" si="208"/>
        <v>0</v>
      </c>
      <c r="BQ658">
        <f t="shared" si="208"/>
        <v>0</v>
      </c>
      <c r="BR658">
        <f t="shared" si="208"/>
        <v>0</v>
      </c>
      <c r="BS658">
        <f t="shared" si="208"/>
        <v>0</v>
      </c>
    </row>
    <row r="659" spans="2:71" ht="15" customHeight="1" x14ac:dyDescent="0.2">
      <c r="B659">
        <v>10</v>
      </c>
      <c r="C659">
        <v>5</v>
      </c>
      <c r="D659">
        <v>10</v>
      </c>
      <c r="E659" t="s">
        <v>492</v>
      </c>
      <c r="F659" t="s">
        <v>346</v>
      </c>
      <c r="G659" s="5">
        <v>45141</v>
      </c>
      <c r="H659" t="s">
        <v>97</v>
      </c>
      <c r="I659" t="s">
        <v>477</v>
      </c>
      <c r="J659" t="s">
        <v>478</v>
      </c>
      <c r="K659">
        <v>9</v>
      </c>
      <c r="L659" t="s">
        <v>90</v>
      </c>
      <c r="M659" t="s">
        <v>479</v>
      </c>
      <c r="N659" t="s">
        <v>123</v>
      </c>
      <c r="O659">
        <v>72.8</v>
      </c>
      <c r="P659">
        <v>131</v>
      </c>
      <c r="Q659">
        <v>6692</v>
      </c>
      <c r="R659" t="s">
        <v>98</v>
      </c>
      <c r="S659" t="s">
        <v>80</v>
      </c>
      <c r="T659" t="s">
        <v>353</v>
      </c>
      <c r="U659" t="s">
        <v>61</v>
      </c>
      <c r="V659" t="s">
        <v>64</v>
      </c>
      <c r="W659" t="s">
        <v>480</v>
      </c>
      <c r="Y659" t="s">
        <v>54</v>
      </c>
      <c r="AA659">
        <v>1</v>
      </c>
      <c r="AB659" t="s">
        <v>34</v>
      </c>
      <c r="AC659" t="s">
        <v>92</v>
      </c>
      <c r="AE659" t="str">
        <f t="shared" si="202"/>
        <v>DelnekyFogan</v>
      </c>
      <c r="AF659">
        <v>0.5</v>
      </c>
      <c r="AG659">
        <v>0</v>
      </c>
      <c r="AH659">
        <v>0</v>
      </c>
      <c r="AI659">
        <v>1</v>
      </c>
      <c r="AJ659">
        <v>0.5</v>
      </c>
      <c r="AK659" t="s">
        <v>63</v>
      </c>
      <c r="AL659">
        <v>0.46551724137931</v>
      </c>
      <c r="AM659" t="s">
        <v>66</v>
      </c>
      <c r="AN659">
        <v>0.63888888888888895</v>
      </c>
      <c r="AO659">
        <f t="shared" si="206"/>
        <v>0</v>
      </c>
      <c r="AP659">
        <f t="shared" si="206"/>
        <v>0</v>
      </c>
      <c r="AQ659">
        <f t="shared" si="206"/>
        <v>0</v>
      </c>
      <c r="AR659">
        <f t="shared" si="206"/>
        <v>0</v>
      </c>
      <c r="AS659">
        <f t="shared" si="206"/>
        <v>0</v>
      </c>
      <c r="AT659">
        <f t="shared" si="206"/>
        <v>0</v>
      </c>
      <c r="AU659">
        <f t="shared" si="206"/>
        <v>0</v>
      </c>
      <c r="AV659">
        <f t="shared" si="206"/>
        <v>0</v>
      </c>
      <c r="AW659">
        <f t="shared" si="206"/>
        <v>0</v>
      </c>
      <c r="AX659">
        <f t="shared" si="206"/>
        <v>0</v>
      </c>
      <c r="AY659">
        <f t="shared" si="207"/>
        <v>0</v>
      </c>
      <c r="AZ659">
        <f t="shared" si="207"/>
        <v>0</v>
      </c>
      <c r="BA659">
        <f t="shared" si="207"/>
        <v>0</v>
      </c>
      <c r="BB659">
        <f t="shared" si="207"/>
        <v>0</v>
      </c>
      <c r="BC659" t="str">
        <f t="shared" si="207"/>
        <v>Fogan</v>
      </c>
      <c r="BD659">
        <f t="shared" si="207"/>
        <v>0</v>
      </c>
      <c r="BE659">
        <f t="shared" si="207"/>
        <v>0</v>
      </c>
      <c r="BF659">
        <f t="shared" si="207"/>
        <v>0</v>
      </c>
      <c r="BG659">
        <f t="shared" si="207"/>
        <v>0</v>
      </c>
      <c r="BH659">
        <f t="shared" si="207"/>
        <v>0</v>
      </c>
      <c r="BI659">
        <f t="shared" si="208"/>
        <v>0</v>
      </c>
      <c r="BJ659">
        <f t="shared" si="208"/>
        <v>0</v>
      </c>
      <c r="BK659">
        <f t="shared" si="208"/>
        <v>0</v>
      </c>
      <c r="BL659">
        <f t="shared" si="208"/>
        <v>0</v>
      </c>
      <c r="BM659" t="str">
        <f t="shared" si="208"/>
        <v>Delneky</v>
      </c>
      <c r="BN659">
        <f t="shared" si="208"/>
        <v>0</v>
      </c>
      <c r="BO659">
        <f t="shared" si="208"/>
        <v>0</v>
      </c>
      <c r="BP659">
        <f t="shared" si="208"/>
        <v>0</v>
      </c>
      <c r="BQ659">
        <f t="shared" si="208"/>
        <v>0</v>
      </c>
      <c r="BR659">
        <f t="shared" si="208"/>
        <v>0</v>
      </c>
      <c r="BS659">
        <f t="shared" si="208"/>
        <v>0</v>
      </c>
    </row>
    <row r="660" spans="2:71" ht="15" customHeight="1" x14ac:dyDescent="0.2">
      <c r="B660">
        <v>10</v>
      </c>
      <c r="C660">
        <v>5</v>
      </c>
      <c r="D660">
        <v>10</v>
      </c>
      <c r="E660" t="s">
        <v>492</v>
      </c>
      <c r="F660" t="s">
        <v>346</v>
      </c>
      <c r="G660" s="5">
        <v>45141</v>
      </c>
      <c r="H660" t="s">
        <v>97</v>
      </c>
      <c r="I660" t="s">
        <v>477</v>
      </c>
      <c r="J660" t="s">
        <v>478</v>
      </c>
      <c r="K660">
        <v>9</v>
      </c>
      <c r="L660" t="s">
        <v>90</v>
      </c>
      <c r="M660" t="s">
        <v>479</v>
      </c>
      <c r="N660" t="s">
        <v>123</v>
      </c>
      <c r="O660">
        <v>72.8</v>
      </c>
      <c r="P660">
        <v>131</v>
      </c>
      <c r="Q660">
        <v>6692</v>
      </c>
      <c r="R660" t="s">
        <v>98</v>
      </c>
      <c r="S660" t="s">
        <v>80</v>
      </c>
      <c r="T660" t="s">
        <v>353</v>
      </c>
      <c r="U660" t="s">
        <v>55</v>
      </c>
      <c r="V660" t="s">
        <v>63</v>
      </c>
      <c r="W660" t="s">
        <v>481</v>
      </c>
      <c r="Y660" t="s">
        <v>66</v>
      </c>
      <c r="AA660">
        <v>1</v>
      </c>
      <c r="AB660" t="s">
        <v>34</v>
      </c>
      <c r="AC660" t="s">
        <v>92</v>
      </c>
      <c r="AE660" t="str">
        <f t="shared" si="202"/>
        <v>DelaneyPerkins</v>
      </c>
      <c r="AF660">
        <v>0.5</v>
      </c>
      <c r="AG660">
        <v>0</v>
      </c>
      <c r="AH660">
        <v>0</v>
      </c>
      <c r="AI660">
        <v>1</v>
      </c>
      <c r="AJ660">
        <v>0.5</v>
      </c>
      <c r="AK660" t="s">
        <v>64</v>
      </c>
      <c r="AL660">
        <v>0.65909090909090895</v>
      </c>
      <c r="AM660" t="s">
        <v>54</v>
      </c>
      <c r="AN660">
        <v>0.37288135593220301</v>
      </c>
      <c r="AO660">
        <f t="shared" si="206"/>
        <v>0</v>
      </c>
      <c r="AP660">
        <f t="shared" si="206"/>
        <v>0</v>
      </c>
      <c r="AQ660">
        <f t="shared" si="206"/>
        <v>0</v>
      </c>
      <c r="AR660">
        <f t="shared" si="206"/>
        <v>0</v>
      </c>
      <c r="AS660">
        <f t="shared" si="206"/>
        <v>0</v>
      </c>
      <c r="AT660">
        <f t="shared" si="206"/>
        <v>0</v>
      </c>
      <c r="AU660">
        <f t="shared" si="206"/>
        <v>0</v>
      </c>
      <c r="AV660">
        <f t="shared" si="206"/>
        <v>0</v>
      </c>
      <c r="AW660">
        <f t="shared" si="206"/>
        <v>0</v>
      </c>
      <c r="AX660">
        <f t="shared" si="206"/>
        <v>0</v>
      </c>
      <c r="AY660">
        <f t="shared" si="207"/>
        <v>0</v>
      </c>
      <c r="AZ660">
        <f t="shared" si="207"/>
        <v>0</v>
      </c>
      <c r="BA660">
        <f t="shared" si="207"/>
        <v>0</v>
      </c>
      <c r="BB660">
        <f t="shared" si="207"/>
        <v>0</v>
      </c>
      <c r="BC660">
        <f t="shared" si="207"/>
        <v>0</v>
      </c>
      <c r="BD660">
        <f t="shared" si="207"/>
        <v>0</v>
      </c>
      <c r="BE660">
        <f t="shared" si="207"/>
        <v>0</v>
      </c>
      <c r="BF660">
        <f t="shared" si="207"/>
        <v>0</v>
      </c>
      <c r="BG660">
        <f t="shared" si="207"/>
        <v>0</v>
      </c>
      <c r="BH660">
        <f t="shared" si="207"/>
        <v>0</v>
      </c>
      <c r="BI660">
        <f t="shared" si="208"/>
        <v>0</v>
      </c>
      <c r="BJ660">
        <f t="shared" si="208"/>
        <v>0</v>
      </c>
      <c r="BK660">
        <f t="shared" si="208"/>
        <v>0</v>
      </c>
      <c r="BL660" t="str">
        <f t="shared" si="208"/>
        <v>Delaney</v>
      </c>
      <c r="BM660">
        <f t="shared" si="208"/>
        <v>0</v>
      </c>
      <c r="BN660">
        <f t="shared" si="208"/>
        <v>0</v>
      </c>
      <c r="BO660" t="str">
        <f t="shared" si="208"/>
        <v>Perkins</v>
      </c>
      <c r="BP660">
        <f t="shared" si="208"/>
        <v>0</v>
      </c>
      <c r="BQ660">
        <f t="shared" si="208"/>
        <v>0</v>
      </c>
      <c r="BR660">
        <f t="shared" si="208"/>
        <v>0</v>
      </c>
      <c r="BS660">
        <f t="shared" si="208"/>
        <v>0</v>
      </c>
    </row>
    <row r="661" spans="2:71" ht="15" customHeight="1" x14ac:dyDescent="0.2">
      <c r="B661">
        <v>11</v>
      </c>
      <c r="C661">
        <v>1</v>
      </c>
      <c r="D661">
        <v>10</v>
      </c>
      <c r="E661" t="s">
        <v>493</v>
      </c>
      <c r="F661" t="s">
        <v>214</v>
      </c>
      <c r="G661" s="5">
        <v>45142</v>
      </c>
      <c r="H661" t="s">
        <v>73</v>
      </c>
      <c r="I661" t="s">
        <v>477</v>
      </c>
      <c r="J661" t="s">
        <v>478</v>
      </c>
      <c r="K661">
        <v>9</v>
      </c>
      <c r="L661" t="s">
        <v>76</v>
      </c>
      <c r="M661" t="s">
        <v>494</v>
      </c>
      <c r="N661" t="s">
        <v>123</v>
      </c>
      <c r="O661">
        <v>73.599999999999994</v>
      </c>
      <c r="P661">
        <v>135</v>
      </c>
      <c r="Q661">
        <v>6705</v>
      </c>
      <c r="R661" t="s">
        <v>79</v>
      </c>
      <c r="S661" t="s">
        <v>80</v>
      </c>
      <c r="T661" t="s">
        <v>353</v>
      </c>
      <c r="U661" t="s">
        <v>61</v>
      </c>
      <c r="V661" t="s">
        <v>46</v>
      </c>
      <c r="W661" t="s">
        <v>495</v>
      </c>
      <c r="Y661" t="s">
        <v>62</v>
      </c>
      <c r="AA661">
        <v>1</v>
      </c>
      <c r="AB661" t="s">
        <v>32</v>
      </c>
      <c r="AC661" t="s">
        <v>174</v>
      </c>
      <c r="AE661" t="str">
        <f t="shared" si="202"/>
        <v>MangoldWelker</v>
      </c>
      <c r="AF661">
        <v>1</v>
      </c>
      <c r="AG661">
        <v>1</v>
      </c>
      <c r="AH661">
        <v>0</v>
      </c>
      <c r="AI661">
        <v>0</v>
      </c>
      <c r="AJ661">
        <v>1</v>
      </c>
      <c r="AK661" t="s">
        <v>55</v>
      </c>
      <c r="AL661">
        <v>0.44067796610169502</v>
      </c>
      <c r="AM661" t="s">
        <v>69</v>
      </c>
      <c r="AN661">
        <v>0.33333333333333298</v>
      </c>
      <c r="AO661">
        <f t="shared" si="206"/>
        <v>0</v>
      </c>
      <c r="AP661">
        <f t="shared" si="206"/>
        <v>0</v>
      </c>
      <c r="AQ661">
        <f t="shared" si="206"/>
        <v>0</v>
      </c>
      <c r="AR661">
        <f t="shared" si="206"/>
        <v>0</v>
      </c>
      <c r="AS661">
        <f t="shared" si="206"/>
        <v>0</v>
      </c>
      <c r="AT661">
        <f t="shared" si="206"/>
        <v>0</v>
      </c>
      <c r="AU661" t="str">
        <f t="shared" si="206"/>
        <v>Mangold</v>
      </c>
      <c r="AV661">
        <f t="shared" si="206"/>
        <v>0</v>
      </c>
      <c r="AW661">
        <f t="shared" si="206"/>
        <v>0</v>
      </c>
      <c r="AX661">
        <f t="shared" si="206"/>
        <v>0</v>
      </c>
      <c r="AY661">
        <f t="shared" si="207"/>
        <v>0</v>
      </c>
      <c r="AZ661">
        <f t="shared" si="207"/>
        <v>0</v>
      </c>
      <c r="BA661">
        <f t="shared" si="207"/>
        <v>0</v>
      </c>
      <c r="BB661">
        <f t="shared" si="207"/>
        <v>0</v>
      </c>
      <c r="BC661">
        <f t="shared" si="207"/>
        <v>0</v>
      </c>
      <c r="BD661">
        <f t="shared" si="207"/>
        <v>0</v>
      </c>
      <c r="BE661">
        <f t="shared" si="207"/>
        <v>0</v>
      </c>
      <c r="BF661">
        <f t="shared" si="207"/>
        <v>0</v>
      </c>
      <c r="BG661">
        <f t="shared" si="207"/>
        <v>0</v>
      </c>
      <c r="BH661">
        <f t="shared" si="207"/>
        <v>0</v>
      </c>
      <c r="BI661">
        <f t="shared" si="208"/>
        <v>0</v>
      </c>
      <c r="BJ661">
        <f t="shared" si="208"/>
        <v>0</v>
      </c>
      <c r="BK661" t="str">
        <f t="shared" si="208"/>
        <v>Welker</v>
      </c>
      <c r="BL661">
        <f t="shared" si="208"/>
        <v>0</v>
      </c>
      <c r="BM661">
        <f t="shared" si="208"/>
        <v>0</v>
      </c>
      <c r="BN661">
        <f t="shared" si="208"/>
        <v>0</v>
      </c>
      <c r="BO661">
        <f t="shared" si="208"/>
        <v>0</v>
      </c>
      <c r="BP661">
        <f t="shared" si="208"/>
        <v>0</v>
      </c>
      <c r="BQ661">
        <f t="shared" si="208"/>
        <v>0</v>
      </c>
      <c r="BR661">
        <f t="shared" si="208"/>
        <v>0</v>
      </c>
      <c r="BS661">
        <f t="shared" si="208"/>
        <v>0</v>
      </c>
    </row>
    <row r="662" spans="2:71" ht="15" customHeight="1" x14ac:dyDescent="0.2">
      <c r="B662">
        <v>11</v>
      </c>
      <c r="C662">
        <v>1</v>
      </c>
      <c r="D662">
        <v>10</v>
      </c>
      <c r="E662" t="s">
        <v>493</v>
      </c>
      <c r="F662" t="s">
        <v>214</v>
      </c>
      <c r="G662" s="5">
        <v>45142</v>
      </c>
      <c r="H662" t="s">
        <v>73</v>
      </c>
      <c r="I662" t="s">
        <v>477</v>
      </c>
      <c r="J662" t="s">
        <v>478</v>
      </c>
      <c r="K662">
        <v>9</v>
      </c>
      <c r="L662" t="s">
        <v>76</v>
      </c>
      <c r="M662" t="s">
        <v>494</v>
      </c>
      <c r="N662" t="s">
        <v>123</v>
      </c>
      <c r="O662">
        <v>73.599999999999994</v>
      </c>
      <c r="P662">
        <v>135</v>
      </c>
      <c r="Q662">
        <v>6705</v>
      </c>
      <c r="R662" t="s">
        <v>79</v>
      </c>
      <c r="S662" t="s">
        <v>80</v>
      </c>
      <c r="T662" t="s">
        <v>353</v>
      </c>
      <c r="U662" t="s">
        <v>55</v>
      </c>
      <c r="V662" t="s">
        <v>55</v>
      </c>
      <c r="W662" t="s">
        <v>496</v>
      </c>
      <c r="Y662" t="s">
        <v>69</v>
      </c>
      <c r="AA662">
        <v>1</v>
      </c>
      <c r="AB662" t="s">
        <v>33</v>
      </c>
      <c r="AC662" t="s">
        <v>174</v>
      </c>
      <c r="AE662" t="str">
        <f t="shared" si="202"/>
        <v>ColeR. Connolly</v>
      </c>
      <c r="AF662">
        <v>0</v>
      </c>
      <c r="AG662">
        <v>0</v>
      </c>
      <c r="AH662">
        <v>1</v>
      </c>
      <c r="AI662">
        <v>0</v>
      </c>
      <c r="AJ662">
        <v>0</v>
      </c>
      <c r="AK662" t="s">
        <v>46</v>
      </c>
      <c r="AL662">
        <v>0.38392857142857201</v>
      </c>
      <c r="AM662" t="s">
        <v>62</v>
      </c>
      <c r="AN662">
        <v>0.51041666666666696</v>
      </c>
      <c r="AO662">
        <f t="shared" ref="AO662:AX671" si="209">IF(OR($V662=AO$1,$Y662=AO$1),AO$1,0)</f>
        <v>0</v>
      </c>
      <c r="AP662">
        <f t="shared" si="209"/>
        <v>0</v>
      </c>
      <c r="AQ662">
        <f t="shared" si="209"/>
        <v>0</v>
      </c>
      <c r="AR662">
        <f t="shared" si="209"/>
        <v>0</v>
      </c>
      <c r="AS662">
        <f t="shared" si="209"/>
        <v>0</v>
      </c>
      <c r="AT662">
        <f t="shared" si="209"/>
        <v>0</v>
      </c>
      <c r="AU662">
        <f t="shared" si="209"/>
        <v>0</v>
      </c>
      <c r="AV662">
        <f t="shared" si="209"/>
        <v>0</v>
      </c>
      <c r="AW662">
        <f t="shared" si="209"/>
        <v>0</v>
      </c>
      <c r="AX662">
        <f t="shared" si="209"/>
        <v>0</v>
      </c>
      <c r="AY662">
        <f t="shared" ref="AY662:BH671" si="210">IF(OR($V662=AY$1,$Y662=AY$1),AY$1,0)</f>
        <v>0</v>
      </c>
      <c r="AZ662">
        <f t="shared" si="210"/>
        <v>0</v>
      </c>
      <c r="BA662">
        <f t="shared" si="210"/>
        <v>0</v>
      </c>
      <c r="BB662">
        <f t="shared" si="210"/>
        <v>0</v>
      </c>
      <c r="BC662">
        <f t="shared" si="210"/>
        <v>0</v>
      </c>
      <c r="BD662" t="str">
        <f t="shared" si="210"/>
        <v>Cole</v>
      </c>
      <c r="BE662">
        <f t="shared" si="210"/>
        <v>0</v>
      </c>
      <c r="BF662">
        <f t="shared" si="210"/>
        <v>0</v>
      </c>
      <c r="BG662">
        <f t="shared" si="210"/>
        <v>0</v>
      </c>
      <c r="BH662">
        <f t="shared" si="210"/>
        <v>0</v>
      </c>
      <c r="BI662">
        <f t="shared" ref="BI662:BS671" si="211">IF(OR($V662=BI$1,$Y662=BI$1),BI$1,0)</f>
        <v>0</v>
      </c>
      <c r="BJ662">
        <f t="shared" si="211"/>
        <v>0</v>
      </c>
      <c r="BK662">
        <f t="shared" si="211"/>
        <v>0</v>
      </c>
      <c r="BL662">
        <f t="shared" si="211"/>
        <v>0</v>
      </c>
      <c r="BM662">
        <f t="shared" si="211"/>
        <v>0</v>
      </c>
      <c r="BN662">
        <f t="shared" si="211"/>
        <v>0</v>
      </c>
      <c r="BO662">
        <f t="shared" si="211"/>
        <v>0</v>
      </c>
      <c r="BP662">
        <f t="shared" si="211"/>
        <v>0</v>
      </c>
      <c r="BQ662">
        <f t="shared" si="211"/>
        <v>0</v>
      </c>
      <c r="BR662" t="str">
        <f t="shared" si="211"/>
        <v>R. Connolly</v>
      </c>
      <c r="BS662">
        <f t="shared" si="211"/>
        <v>0</v>
      </c>
    </row>
    <row r="663" spans="2:71" ht="15" customHeight="1" x14ac:dyDescent="0.2">
      <c r="B663">
        <v>12</v>
      </c>
      <c r="C663">
        <v>2</v>
      </c>
      <c r="D663">
        <v>10</v>
      </c>
      <c r="E663" t="s">
        <v>497</v>
      </c>
      <c r="F663" t="s">
        <v>214</v>
      </c>
      <c r="G663" s="5">
        <v>45142</v>
      </c>
      <c r="H663" t="s">
        <v>73</v>
      </c>
      <c r="I663" t="s">
        <v>477</v>
      </c>
      <c r="J663" t="s">
        <v>478</v>
      </c>
      <c r="K663">
        <v>9</v>
      </c>
      <c r="L663" t="s">
        <v>76</v>
      </c>
      <c r="M663" t="s">
        <v>494</v>
      </c>
      <c r="N663" t="s">
        <v>123</v>
      </c>
      <c r="O663">
        <v>73.599999999999994</v>
      </c>
      <c r="P663">
        <v>135</v>
      </c>
      <c r="Q663">
        <v>6705</v>
      </c>
      <c r="R663" t="s">
        <v>79</v>
      </c>
      <c r="S663" t="s">
        <v>80</v>
      </c>
      <c r="T663" t="s">
        <v>353</v>
      </c>
      <c r="U663" t="s">
        <v>55</v>
      </c>
      <c r="V663" t="s">
        <v>63</v>
      </c>
      <c r="W663" t="s">
        <v>496</v>
      </c>
      <c r="Y663" t="s">
        <v>41</v>
      </c>
      <c r="AA663">
        <v>1</v>
      </c>
      <c r="AB663" t="s">
        <v>33</v>
      </c>
      <c r="AC663" t="s">
        <v>209</v>
      </c>
      <c r="AE663" t="str">
        <f t="shared" si="202"/>
        <v>DelaneyHilts</v>
      </c>
      <c r="AF663">
        <v>0</v>
      </c>
      <c r="AG663">
        <v>0</v>
      </c>
      <c r="AH663">
        <v>1</v>
      </c>
      <c r="AI663">
        <v>0</v>
      </c>
      <c r="AJ663">
        <v>0</v>
      </c>
      <c r="AK663" t="s">
        <v>52</v>
      </c>
      <c r="AL663">
        <v>0.34745762711864397</v>
      </c>
      <c r="AM663" t="s">
        <v>42</v>
      </c>
      <c r="AN663">
        <v>0.6171875</v>
      </c>
      <c r="AO663">
        <f t="shared" si="209"/>
        <v>0</v>
      </c>
      <c r="AP663" t="str">
        <f t="shared" si="209"/>
        <v>Hilts</v>
      </c>
      <c r="AQ663">
        <f t="shared" si="209"/>
        <v>0</v>
      </c>
      <c r="AR663">
        <f t="shared" si="209"/>
        <v>0</v>
      </c>
      <c r="AS663">
        <f t="shared" si="209"/>
        <v>0</v>
      </c>
      <c r="AT663">
        <f t="shared" si="209"/>
        <v>0</v>
      </c>
      <c r="AU663">
        <f t="shared" si="209"/>
        <v>0</v>
      </c>
      <c r="AV663">
        <f t="shared" si="209"/>
        <v>0</v>
      </c>
      <c r="AW663">
        <f t="shared" si="209"/>
        <v>0</v>
      </c>
      <c r="AX663">
        <f t="shared" si="209"/>
        <v>0</v>
      </c>
      <c r="AY663">
        <f t="shared" si="210"/>
        <v>0</v>
      </c>
      <c r="AZ663">
        <f t="shared" si="210"/>
        <v>0</v>
      </c>
      <c r="BA663">
        <f t="shared" si="210"/>
        <v>0</v>
      </c>
      <c r="BB663">
        <f t="shared" si="210"/>
        <v>0</v>
      </c>
      <c r="BC663">
        <f t="shared" si="210"/>
        <v>0</v>
      </c>
      <c r="BD663">
        <f t="shared" si="210"/>
        <v>0</v>
      </c>
      <c r="BE663">
        <f t="shared" si="210"/>
        <v>0</v>
      </c>
      <c r="BF663">
        <f t="shared" si="210"/>
        <v>0</v>
      </c>
      <c r="BG663">
        <f t="shared" si="210"/>
        <v>0</v>
      </c>
      <c r="BH663">
        <f t="shared" si="210"/>
        <v>0</v>
      </c>
      <c r="BI663">
        <f t="shared" si="211"/>
        <v>0</v>
      </c>
      <c r="BJ663">
        <f t="shared" si="211"/>
        <v>0</v>
      </c>
      <c r="BK663">
        <f t="shared" si="211"/>
        <v>0</v>
      </c>
      <c r="BL663" t="str">
        <f t="shared" si="211"/>
        <v>Delaney</v>
      </c>
      <c r="BM663">
        <f t="shared" si="211"/>
        <v>0</v>
      </c>
      <c r="BN663">
        <f t="shared" si="211"/>
        <v>0</v>
      </c>
      <c r="BO663">
        <f t="shared" si="211"/>
        <v>0</v>
      </c>
      <c r="BP663">
        <f t="shared" si="211"/>
        <v>0</v>
      </c>
      <c r="BQ663">
        <f t="shared" si="211"/>
        <v>0</v>
      </c>
      <c r="BR663">
        <f t="shared" si="211"/>
        <v>0</v>
      </c>
      <c r="BS663">
        <f t="shared" si="211"/>
        <v>0</v>
      </c>
    </row>
    <row r="664" spans="2:71" ht="15" customHeight="1" x14ac:dyDescent="0.2">
      <c r="B664">
        <v>12</v>
      </c>
      <c r="C664">
        <v>2</v>
      </c>
      <c r="D664">
        <v>10</v>
      </c>
      <c r="E664" t="s">
        <v>497</v>
      </c>
      <c r="F664" t="s">
        <v>214</v>
      </c>
      <c r="G664" s="5">
        <v>45142</v>
      </c>
      <c r="H664" t="s">
        <v>73</v>
      </c>
      <c r="I664" t="s">
        <v>477</v>
      </c>
      <c r="J664" t="s">
        <v>478</v>
      </c>
      <c r="K664">
        <v>9</v>
      </c>
      <c r="L664" t="s">
        <v>76</v>
      </c>
      <c r="M664" t="s">
        <v>494</v>
      </c>
      <c r="N664" t="s">
        <v>123</v>
      </c>
      <c r="O664">
        <v>73.599999999999994</v>
      </c>
      <c r="P664">
        <v>135</v>
      </c>
      <c r="Q664">
        <v>6705</v>
      </c>
      <c r="R664" t="s">
        <v>79</v>
      </c>
      <c r="S664" t="s">
        <v>80</v>
      </c>
      <c r="T664" t="s">
        <v>353</v>
      </c>
      <c r="U664" t="s">
        <v>61</v>
      </c>
      <c r="V664" t="s">
        <v>52</v>
      </c>
      <c r="W664" t="s">
        <v>495</v>
      </c>
      <c r="Y664" t="s">
        <v>42</v>
      </c>
      <c r="AA664">
        <v>1</v>
      </c>
      <c r="AB664" t="s">
        <v>32</v>
      </c>
      <c r="AC664" t="s">
        <v>209</v>
      </c>
      <c r="AE664" t="str">
        <f t="shared" si="202"/>
        <v>ConnorsJackson</v>
      </c>
      <c r="AF664">
        <v>1</v>
      </c>
      <c r="AG664">
        <v>1</v>
      </c>
      <c r="AH664">
        <v>0</v>
      </c>
      <c r="AI664">
        <v>0</v>
      </c>
      <c r="AJ664">
        <v>1</v>
      </c>
      <c r="AK664" t="s">
        <v>63</v>
      </c>
      <c r="AL664">
        <v>0.46551724137931</v>
      </c>
      <c r="AM664" t="s">
        <v>41</v>
      </c>
      <c r="AN664">
        <v>0.47321428571428598</v>
      </c>
      <c r="AO664">
        <f t="shared" si="209"/>
        <v>0</v>
      </c>
      <c r="AP664">
        <f t="shared" si="209"/>
        <v>0</v>
      </c>
      <c r="AQ664" t="str">
        <f t="shared" si="209"/>
        <v>Jackson</v>
      </c>
      <c r="AR664">
        <f t="shared" si="209"/>
        <v>0</v>
      </c>
      <c r="AS664">
        <f t="shared" si="209"/>
        <v>0</v>
      </c>
      <c r="AT664">
        <f t="shared" si="209"/>
        <v>0</v>
      </c>
      <c r="AU664">
        <f t="shared" si="209"/>
        <v>0</v>
      </c>
      <c r="AV664">
        <f t="shared" si="209"/>
        <v>0</v>
      </c>
      <c r="AW664">
        <f t="shared" si="209"/>
        <v>0</v>
      </c>
      <c r="AX664">
        <f t="shared" si="209"/>
        <v>0</v>
      </c>
      <c r="AY664">
        <f t="shared" si="210"/>
        <v>0</v>
      </c>
      <c r="AZ664">
        <f t="shared" si="210"/>
        <v>0</v>
      </c>
      <c r="BA664" t="str">
        <f t="shared" si="210"/>
        <v>Connors</v>
      </c>
      <c r="BB664">
        <f t="shared" si="210"/>
        <v>0</v>
      </c>
      <c r="BC664">
        <f t="shared" si="210"/>
        <v>0</v>
      </c>
      <c r="BD664">
        <f t="shared" si="210"/>
        <v>0</v>
      </c>
      <c r="BE664">
        <f t="shared" si="210"/>
        <v>0</v>
      </c>
      <c r="BF664">
        <f t="shared" si="210"/>
        <v>0</v>
      </c>
      <c r="BG664">
        <f t="shared" si="210"/>
        <v>0</v>
      </c>
      <c r="BH664">
        <f t="shared" si="210"/>
        <v>0</v>
      </c>
      <c r="BI664">
        <f t="shared" si="211"/>
        <v>0</v>
      </c>
      <c r="BJ664">
        <f t="shared" si="211"/>
        <v>0</v>
      </c>
      <c r="BK664">
        <f t="shared" si="211"/>
        <v>0</v>
      </c>
      <c r="BL664">
        <f t="shared" si="211"/>
        <v>0</v>
      </c>
      <c r="BM664">
        <f t="shared" si="211"/>
        <v>0</v>
      </c>
      <c r="BN664">
        <f t="shared" si="211"/>
        <v>0</v>
      </c>
      <c r="BO664">
        <f t="shared" si="211"/>
        <v>0</v>
      </c>
      <c r="BP664">
        <f t="shared" si="211"/>
        <v>0</v>
      </c>
      <c r="BQ664">
        <f t="shared" si="211"/>
        <v>0</v>
      </c>
      <c r="BR664">
        <f t="shared" si="211"/>
        <v>0</v>
      </c>
      <c r="BS664">
        <f t="shared" si="211"/>
        <v>0</v>
      </c>
    </row>
    <row r="665" spans="2:71" ht="15" customHeight="1" x14ac:dyDescent="0.2">
      <c r="B665">
        <v>13</v>
      </c>
      <c r="C665">
        <v>3</v>
      </c>
      <c r="D665">
        <v>10</v>
      </c>
      <c r="E665" t="s">
        <v>498</v>
      </c>
      <c r="F665" t="s">
        <v>214</v>
      </c>
      <c r="G665" s="5">
        <v>45142</v>
      </c>
      <c r="H665" t="s">
        <v>73</v>
      </c>
      <c r="I665" t="s">
        <v>477</v>
      </c>
      <c r="J665" t="s">
        <v>478</v>
      </c>
      <c r="K665">
        <v>9</v>
      </c>
      <c r="L665" t="s">
        <v>76</v>
      </c>
      <c r="M665" t="s">
        <v>494</v>
      </c>
      <c r="N665" t="s">
        <v>123</v>
      </c>
      <c r="O665">
        <v>73.599999999999994</v>
      </c>
      <c r="P665">
        <v>135</v>
      </c>
      <c r="Q665">
        <v>6705</v>
      </c>
      <c r="R665" t="s">
        <v>79</v>
      </c>
      <c r="S665" t="s">
        <v>80</v>
      </c>
      <c r="T665" t="s">
        <v>353</v>
      </c>
      <c r="U665" t="s">
        <v>61</v>
      </c>
      <c r="V665" t="s">
        <v>64</v>
      </c>
      <c r="W665" t="s">
        <v>495</v>
      </c>
      <c r="Y665" t="s">
        <v>58</v>
      </c>
      <c r="AA665">
        <v>1</v>
      </c>
      <c r="AB665" t="s">
        <v>32</v>
      </c>
      <c r="AC665" t="s">
        <v>233</v>
      </c>
      <c r="AE665" t="str">
        <f t="shared" si="202"/>
        <v>DelnekyGray</v>
      </c>
      <c r="AF665">
        <v>1</v>
      </c>
      <c r="AG665">
        <v>1</v>
      </c>
      <c r="AH665">
        <v>0</v>
      </c>
      <c r="AI665">
        <v>0</v>
      </c>
      <c r="AJ665">
        <v>1</v>
      </c>
      <c r="AK665" t="s">
        <v>48</v>
      </c>
      <c r="AL665">
        <v>0.5546875</v>
      </c>
      <c r="AM665" t="s">
        <v>66</v>
      </c>
      <c r="AN665">
        <v>0.63888888888888895</v>
      </c>
      <c r="AO665">
        <f t="shared" si="209"/>
        <v>0</v>
      </c>
      <c r="AP665">
        <f t="shared" si="209"/>
        <v>0</v>
      </c>
      <c r="AQ665">
        <f t="shared" si="209"/>
        <v>0</v>
      </c>
      <c r="AR665">
        <f t="shared" si="209"/>
        <v>0</v>
      </c>
      <c r="AS665">
        <f t="shared" si="209"/>
        <v>0</v>
      </c>
      <c r="AT665">
        <f t="shared" si="209"/>
        <v>0</v>
      </c>
      <c r="AU665">
        <f t="shared" si="209"/>
        <v>0</v>
      </c>
      <c r="AV665">
        <f t="shared" si="209"/>
        <v>0</v>
      </c>
      <c r="AW665">
        <f t="shared" si="209"/>
        <v>0</v>
      </c>
      <c r="AX665">
        <f t="shared" si="209"/>
        <v>0</v>
      </c>
      <c r="AY665">
        <f t="shared" si="210"/>
        <v>0</v>
      </c>
      <c r="AZ665">
        <f t="shared" si="210"/>
        <v>0</v>
      </c>
      <c r="BA665">
        <f t="shared" si="210"/>
        <v>0</v>
      </c>
      <c r="BB665">
        <f t="shared" si="210"/>
        <v>0</v>
      </c>
      <c r="BC665">
        <f t="shared" si="210"/>
        <v>0</v>
      </c>
      <c r="BD665">
        <f t="shared" si="210"/>
        <v>0</v>
      </c>
      <c r="BE665">
        <f t="shared" si="210"/>
        <v>0</v>
      </c>
      <c r="BF665">
        <f t="shared" si="210"/>
        <v>0</v>
      </c>
      <c r="BG665" t="str">
        <f t="shared" si="210"/>
        <v>Gray</v>
      </c>
      <c r="BH665">
        <f t="shared" si="210"/>
        <v>0</v>
      </c>
      <c r="BI665">
        <f t="shared" si="211"/>
        <v>0</v>
      </c>
      <c r="BJ665">
        <f t="shared" si="211"/>
        <v>0</v>
      </c>
      <c r="BK665">
        <f t="shared" si="211"/>
        <v>0</v>
      </c>
      <c r="BL665">
        <f t="shared" si="211"/>
        <v>0</v>
      </c>
      <c r="BM665" t="str">
        <f t="shared" si="211"/>
        <v>Delneky</v>
      </c>
      <c r="BN665">
        <f t="shared" si="211"/>
        <v>0</v>
      </c>
      <c r="BO665">
        <f t="shared" si="211"/>
        <v>0</v>
      </c>
      <c r="BP665">
        <f t="shared" si="211"/>
        <v>0</v>
      </c>
      <c r="BQ665">
        <f t="shared" si="211"/>
        <v>0</v>
      </c>
      <c r="BR665">
        <f t="shared" si="211"/>
        <v>0</v>
      </c>
      <c r="BS665">
        <f t="shared" si="211"/>
        <v>0</v>
      </c>
    </row>
    <row r="666" spans="2:71" ht="15" customHeight="1" x14ac:dyDescent="0.2">
      <c r="B666">
        <v>13</v>
      </c>
      <c r="C666">
        <v>3</v>
      </c>
      <c r="D666">
        <v>10</v>
      </c>
      <c r="E666" t="s">
        <v>498</v>
      </c>
      <c r="F666" t="s">
        <v>214</v>
      </c>
      <c r="G666" s="5">
        <v>45142</v>
      </c>
      <c r="H666" t="s">
        <v>73</v>
      </c>
      <c r="I666" t="s">
        <v>477</v>
      </c>
      <c r="J666" t="s">
        <v>478</v>
      </c>
      <c r="K666">
        <v>9</v>
      </c>
      <c r="L666" t="s">
        <v>76</v>
      </c>
      <c r="M666" t="s">
        <v>494</v>
      </c>
      <c r="N666" t="s">
        <v>123</v>
      </c>
      <c r="O666">
        <v>73.599999999999994</v>
      </c>
      <c r="P666">
        <v>135</v>
      </c>
      <c r="Q666">
        <v>6705</v>
      </c>
      <c r="R666" t="s">
        <v>79</v>
      </c>
      <c r="S666" t="s">
        <v>80</v>
      </c>
      <c r="T666" t="s">
        <v>353</v>
      </c>
      <c r="U666" t="s">
        <v>55</v>
      </c>
      <c r="V666" t="s">
        <v>48</v>
      </c>
      <c r="W666" t="s">
        <v>496</v>
      </c>
      <c r="Y666" t="s">
        <v>66</v>
      </c>
      <c r="AA666">
        <v>1</v>
      </c>
      <c r="AB666" t="s">
        <v>33</v>
      </c>
      <c r="AC666" t="s">
        <v>233</v>
      </c>
      <c r="AE666" t="str">
        <f t="shared" si="202"/>
        <v>LynchPerkins</v>
      </c>
      <c r="AF666">
        <v>0</v>
      </c>
      <c r="AG666">
        <v>0</v>
      </c>
      <c r="AH666">
        <v>1</v>
      </c>
      <c r="AI666">
        <v>0</v>
      </c>
      <c r="AJ666">
        <v>0</v>
      </c>
      <c r="AK666" t="s">
        <v>64</v>
      </c>
      <c r="AL666">
        <v>0.65909090909090895</v>
      </c>
      <c r="AM666" t="s">
        <v>58</v>
      </c>
      <c r="AN666">
        <v>0.65476190476190499</v>
      </c>
      <c r="AO666">
        <f t="shared" si="209"/>
        <v>0</v>
      </c>
      <c r="AP666">
        <f t="shared" si="209"/>
        <v>0</v>
      </c>
      <c r="AQ666">
        <f t="shared" si="209"/>
        <v>0</v>
      </c>
      <c r="AR666">
        <f t="shared" si="209"/>
        <v>0</v>
      </c>
      <c r="AS666">
        <f t="shared" si="209"/>
        <v>0</v>
      </c>
      <c r="AT666">
        <f t="shared" si="209"/>
        <v>0</v>
      </c>
      <c r="AU666">
        <f t="shared" si="209"/>
        <v>0</v>
      </c>
      <c r="AV666">
        <f t="shared" si="209"/>
        <v>0</v>
      </c>
      <c r="AW666" t="str">
        <f t="shared" si="209"/>
        <v>Lynch</v>
      </c>
      <c r="AX666">
        <f t="shared" si="209"/>
        <v>0</v>
      </c>
      <c r="AY666">
        <f t="shared" si="210"/>
        <v>0</v>
      </c>
      <c r="AZ666">
        <f t="shared" si="210"/>
        <v>0</v>
      </c>
      <c r="BA666">
        <f t="shared" si="210"/>
        <v>0</v>
      </c>
      <c r="BB666">
        <f t="shared" si="210"/>
        <v>0</v>
      </c>
      <c r="BC666">
        <f t="shared" si="210"/>
        <v>0</v>
      </c>
      <c r="BD666">
        <f t="shared" si="210"/>
        <v>0</v>
      </c>
      <c r="BE666">
        <f t="shared" si="210"/>
        <v>0</v>
      </c>
      <c r="BF666">
        <f t="shared" si="210"/>
        <v>0</v>
      </c>
      <c r="BG666">
        <f t="shared" si="210"/>
        <v>0</v>
      </c>
      <c r="BH666">
        <f t="shared" si="210"/>
        <v>0</v>
      </c>
      <c r="BI666">
        <f t="shared" si="211"/>
        <v>0</v>
      </c>
      <c r="BJ666">
        <f t="shared" si="211"/>
        <v>0</v>
      </c>
      <c r="BK666">
        <f t="shared" si="211"/>
        <v>0</v>
      </c>
      <c r="BL666">
        <f t="shared" si="211"/>
        <v>0</v>
      </c>
      <c r="BM666">
        <f t="shared" si="211"/>
        <v>0</v>
      </c>
      <c r="BN666">
        <f t="shared" si="211"/>
        <v>0</v>
      </c>
      <c r="BO666" t="str">
        <f t="shared" si="211"/>
        <v>Perkins</v>
      </c>
      <c r="BP666">
        <f t="shared" si="211"/>
        <v>0</v>
      </c>
      <c r="BQ666">
        <f t="shared" si="211"/>
        <v>0</v>
      </c>
      <c r="BR666">
        <f t="shared" si="211"/>
        <v>0</v>
      </c>
      <c r="BS666">
        <f t="shared" si="211"/>
        <v>0</v>
      </c>
    </row>
    <row r="667" spans="2:71" ht="15" customHeight="1" x14ac:dyDescent="0.2">
      <c r="B667">
        <v>14</v>
      </c>
      <c r="C667">
        <v>4</v>
      </c>
      <c r="D667">
        <v>10</v>
      </c>
      <c r="E667" t="s">
        <v>499</v>
      </c>
      <c r="F667" t="s">
        <v>214</v>
      </c>
      <c r="G667" s="5">
        <v>45142</v>
      </c>
      <c r="H667" t="s">
        <v>73</v>
      </c>
      <c r="I667" t="s">
        <v>477</v>
      </c>
      <c r="J667" t="s">
        <v>478</v>
      </c>
      <c r="K667">
        <v>9</v>
      </c>
      <c r="L667" t="s">
        <v>76</v>
      </c>
      <c r="M667" t="s">
        <v>494</v>
      </c>
      <c r="N667" t="s">
        <v>123</v>
      </c>
      <c r="O667">
        <v>73.599999999999994</v>
      </c>
      <c r="P667">
        <v>135</v>
      </c>
      <c r="Q667">
        <v>6705</v>
      </c>
      <c r="R667" t="s">
        <v>79</v>
      </c>
      <c r="S667" t="s">
        <v>80</v>
      </c>
      <c r="T667" t="s">
        <v>353</v>
      </c>
      <c r="U667" t="s">
        <v>55</v>
      </c>
      <c r="V667" t="s">
        <v>45</v>
      </c>
      <c r="W667" t="s">
        <v>496</v>
      </c>
      <c r="Y667" t="s">
        <v>40</v>
      </c>
      <c r="AA667">
        <v>1</v>
      </c>
      <c r="AB667" t="s">
        <v>32</v>
      </c>
      <c r="AC667" t="s">
        <v>209</v>
      </c>
      <c r="AE667" t="str">
        <f t="shared" si="202"/>
        <v>ConnollyGrise</v>
      </c>
      <c r="AF667">
        <v>1</v>
      </c>
      <c r="AG667">
        <v>1</v>
      </c>
      <c r="AH667">
        <v>0</v>
      </c>
      <c r="AI667">
        <v>0</v>
      </c>
      <c r="AJ667">
        <v>1</v>
      </c>
      <c r="AK667" t="s">
        <v>61</v>
      </c>
      <c r="AL667">
        <v>0.5</v>
      </c>
      <c r="AM667" t="s">
        <v>54</v>
      </c>
      <c r="AN667">
        <v>0.37288135593220301</v>
      </c>
      <c r="AO667" t="str">
        <f t="shared" si="209"/>
        <v>Grise</v>
      </c>
      <c r="AP667">
        <f t="shared" si="209"/>
        <v>0</v>
      </c>
      <c r="AQ667">
        <f t="shared" si="209"/>
        <v>0</v>
      </c>
      <c r="AR667">
        <f t="shared" si="209"/>
        <v>0</v>
      </c>
      <c r="AS667">
        <f t="shared" si="209"/>
        <v>0</v>
      </c>
      <c r="AT667" t="str">
        <f t="shared" si="209"/>
        <v>Connolly</v>
      </c>
      <c r="AU667">
        <f t="shared" si="209"/>
        <v>0</v>
      </c>
      <c r="AV667">
        <f t="shared" si="209"/>
        <v>0</v>
      </c>
      <c r="AW667">
        <f t="shared" si="209"/>
        <v>0</v>
      </c>
      <c r="AX667">
        <f t="shared" si="209"/>
        <v>0</v>
      </c>
      <c r="AY667">
        <f t="shared" si="210"/>
        <v>0</v>
      </c>
      <c r="AZ667">
        <f t="shared" si="210"/>
        <v>0</v>
      </c>
      <c r="BA667">
        <f t="shared" si="210"/>
        <v>0</v>
      </c>
      <c r="BB667">
        <f t="shared" si="210"/>
        <v>0</v>
      </c>
      <c r="BC667">
        <f t="shared" si="210"/>
        <v>0</v>
      </c>
      <c r="BD667">
        <f t="shared" si="210"/>
        <v>0</v>
      </c>
      <c r="BE667">
        <f t="shared" si="210"/>
        <v>0</v>
      </c>
      <c r="BF667">
        <f t="shared" si="210"/>
        <v>0</v>
      </c>
      <c r="BG667">
        <f t="shared" si="210"/>
        <v>0</v>
      </c>
      <c r="BH667">
        <f t="shared" si="210"/>
        <v>0</v>
      </c>
      <c r="BI667">
        <f t="shared" si="211"/>
        <v>0</v>
      </c>
      <c r="BJ667">
        <f t="shared" si="211"/>
        <v>0</v>
      </c>
      <c r="BK667">
        <f t="shared" si="211"/>
        <v>0</v>
      </c>
      <c r="BL667">
        <f t="shared" si="211"/>
        <v>0</v>
      </c>
      <c r="BM667">
        <f t="shared" si="211"/>
        <v>0</v>
      </c>
      <c r="BN667">
        <f t="shared" si="211"/>
        <v>0</v>
      </c>
      <c r="BO667">
        <f t="shared" si="211"/>
        <v>0</v>
      </c>
      <c r="BP667">
        <f t="shared" si="211"/>
        <v>0</v>
      </c>
      <c r="BQ667">
        <f t="shared" si="211"/>
        <v>0</v>
      </c>
      <c r="BR667">
        <f t="shared" si="211"/>
        <v>0</v>
      </c>
      <c r="BS667">
        <f t="shared" si="211"/>
        <v>0</v>
      </c>
    </row>
    <row r="668" spans="2:71" ht="15" customHeight="1" x14ac:dyDescent="0.2">
      <c r="B668">
        <v>14</v>
      </c>
      <c r="C668">
        <v>4</v>
      </c>
      <c r="D668">
        <v>10</v>
      </c>
      <c r="E668" t="s">
        <v>499</v>
      </c>
      <c r="F668" t="s">
        <v>214</v>
      </c>
      <c r="G668" s="5">
        <v>45142</v>
      </c>
      <c r="H668" t="s">
        <v>73</v>
      </c>
      <c r="I668" t="s">
        <v>477</v>
      </c>
      <c r="J668" t="s">
        <v>478</v>
      </c>
      <c r="K668">
        <v>9</v>
      </c>
      <c r="L668" t="s">
        <v>76</v>
      </c>
      <c r="M668" t="s">
        <v>494</v>
      </c>
      <c r="N668" t="s">
        <v>123</v>
      </c>
      <c r="O668">
        <v>73.599999999999994</v>
      </c>
      <c r="P668">
        <v>135</v>
      </c>
      <c r="Q668">
        <v>6705</v>
      </c>
      <c r="R668" t="s">
        <v>79</v>
      </c>
      <c r="S668" t="s">
        <v>80</v>
      </c>
      <c r="T668" t="s">
        <v>353</v>
      </c>
      <c r="U668" t="s">
        <v>61</v>
      </c>
      <c r="V668" t="s">
        <v>61</v>
      </c>
      <c r="W668" t="s">
        <v>495</v>
      </c>
      <c r="Y668" t="s">
        <v>54</v>
      </c>
      <c r="AA668">
        <v>1</v>
      </c>
      <c r="AB668" t="s">
        <v>33</v>
      </c>
      <c r="AC668" t="s">
        <v>209</v>
      </c>
      <c r="AE668" t="str">
        <f t="shared" si="202"/>
        <v>McInerneyFogan</v>
      </c>
      <c r="AF668">
        <v>0</v>
      </c>
      <c r="AG668">
        <v>0</v>
      </c>
      <c r="AH668">
        <v>1</v>
      </c>
      <c r="AI668">
        <v>0</v>
      </c>
      <c r="AJ668">
        <v>0</v>
      </c>
      <c r="AK668" t="s">
        <v>45</v>
      </c>
      <c r="AL668">
        <v>0.59375</v>
      </c>
      <c r="AM668" t="s">
        <v>40</v>
      </c>
      <c r="AN668">
        <v>0.546875</v>
      </c>
      <c r="AO668">
        <f t="shared" si="209"/>
        <v>0</v>
      </c>
      <c r="AP668">
        <f t="shared" si="209"/>
        <v>0</v>
      </c>
      <c r="AQ668">
        <f t="shared" si="209"/>
        <v>0</v>
      </c>
      <c r="AR668">
        <f t="shared" si="209"/>
        <v>0</v>
      </c>
      <c r="AS668">
        <f t="shared" si="209"/>
        <v>0</v>
      </c>
      <c r="AT668">
        <f t="shared" si="209"/>
        <v>0</v>
      </c>
      <c r="AU668">
        <f t="shared" si="209"/>
        <v>0</v>
      </c>
      <c r="AV668">
        <f t="shared" si="209"/>
        <v>0</v>
      </c>
      <c r="AW668">
        <f t="shared" si="209"/>
        <v>0</v>
      </c>
      <c r="AX668">
        <f t="shared" si="209"/>
        <v>0</v>
      </c>
      <c r="AY668">
        <f t="shared" si="210"/>
        <v>0</v>
      </c>
      <c r="AZ668">
        <f t="shared" si="210"/>
        <v>0</v>
      </c>
      <c r="BA668">
        <f t="shared" si="210"/>
        <v>0</v>
      </c>
      <c r="BB668">
        <f t="shared" si="210"/>
        <v>0</v>
      </c>
      <c r="BC668" t="str">
        <f t="shared" si="210"/>
        <v>Fogan</v>
      </c>
      <c r="BD668">
        <f t="shared" si="210"/>
        <v>0</v>
      </c>
      <c r="BE668">
        <f t="shared" si="210"/>
        <v>0</v>
      </c>
      <c r="BF668">
        <f t="shared" si="210"/>
        <v>0</v>
      </c>
      <c r="BG668">
        <f t="shared" si="210"/>
        <v>0</v>
      </c>
      <c r="BH668">
        <f t="shared" si="210"/>
        <v>0</v>
      </c>
      <c r="BI668">
        <f t="shared" si="211"/>
        <v>0</v>
      </c>
      <c r="BJ668" t="str">
        <f t="shared" si="211"/>
        <v>McInerney</v>
      </c>
      <c r="BK668">
        <f t="shared" si="211"/>
        <v>0</v>
      </c>
      <c r="BL668">
        <f t="shared" si="211"/>
        <v>0</v>
      </c>
      <c r="BM668">
        <f t="shared" si="211"/>
        <v>0</v>
      </c>
      <c r="BN668">
        <f t="shared" si="211"/>
        <v>0</v>
      </c>
      <c r="BO668">
        <f t="shared" si="211"/>
        <v>0</v>
      </c>
      <c r="BP668">
        <f t="shared" si="211"/>
        <v>0</v>
      </c>
      <c r="BQ668">
        <f t="shared" si="211"/>
        <v>0</v>
      </c>
      <c r="BR668">
        <f t="shared" si="211"/>
        <v>0</v>
      </c>
      <c r="BS668">
        <f t="shared" si="211"/>
        <v>0</v>
      </c>
    </row>
    <row r="669" spans="2:71" ht="15" customHeight="1" x14ac:dyDescent="0.2">
      <c r="B669">
        <v>15</v>
      </c>
      <c r="C669">
        <v>5</v>
      </c>
      <c r="D669">
        <v>10</v>
      </c>
      <c r="E669" t="s">
        <v>500</v>
      </c>
      <c r="F669" t="s">
        <v>214</v>
      </c>
      <c r="G669" s="5">
        <v>45142</v>
      </c>
      <c r="H669" t="s">
        <v>73</v>
      </c>
      <c r="I669" t="s">
        <v>477</v>
      </c>
      <c r="J669" t="s">
        <v>478</v>
      </c>
      <c r="K669">
        <v>9</v>
      </c>
      <c r="L669" t="s">
        <v>76</v>
      </c>
      <c r="M669" t="s">
        <v>494</v>
      </c>
      <c r="N669" t="s">
        <v>123</v>
      </c>
      <c r="O669">
        <v>73.599999999999994</v>
      </c>
      <c r="P669">
        <v>135</v>
      </c>
      <c r="Q669">
        <v>6705</v>
      </c>
      <c r="R669" t="s">
        <v>79</v>
      </c>
      <c r="S669" t="s">
        <v>80</v>
      </c>
      <c r="T669" t="s">
        <v>353</v>
      </c>
      <c r="U669" t="s">
        <v>61</v>
      </c>
      <c r="V669" t="s">
        <v>53</v>
      </c>
      <c r="W669" t="s">
        <v>495</v>
      </c>
      <c r="Y669" t="s">
        <v>60</v>
      </c>
      <c r="AA669">
        <v>1</v>
      </c>
      <c r="AB669" t="s">
        <v>33</v>
      </c>
      <c r="AC669" t="s">
        <v>184</v>
      </c>
      <c r="AE669" t="str">
        <f t="shared" si="202"/>
        <v>ForsterZimmer</v>
      </c>
      <c r="AF669">
        <v>0</v>
      </c>
      <c r="AG669">
        <v>0</v>
      </c>
      <c r="AH669">
        <v>1</v>
      </c>
      <c r="AI669">
        <v>0</v>
      </c>
      <c r="AJ669">
        <v>0</v>
      </c>
      <c r="AK669" t="s">
        <v>50</v>
      </c>
      <c r="AL669">
        <v>0.59523809523809501</v>
      </c>
      <c r="AM669" t="s">
        <v>44</v>
      </c>
      <c r="AN669">
        <v>0.4296875</v>
      </c>
      <c r="AO669">
        <f t="shared" si="209"/>
        <v>0</v>
      </c>
      <c r="AP669">
        <f t="shared" si="209"/>
        <v>0</v>
      </c>
      <c r="AQ669">
        <f t="shared" si="209"/>
        <v>0</v>
      </c>
      <c r="AR669">
        <f t="shared" si="209"/>
        <v>0</v>
      </c>
      <c r="AS669">
        <f t="shared" si="209"/>
        <v>0</v>
      </c>
      <c r="AT669">
        <f t="shared" si="209"/>
        <v>0</v>
      </c>
      <c r="AU669">
        <f t="shared" si="209"/>
        <v>0</v>
      </c>
      <c r="AV669">
        <f t="shared" si="209"/>
        <v>0</v>
      </c>
      <c r="AW669">
        <f t="shared" si="209"/>
        <v>0</v>
      </c>
      <c r="AX669">
        <f t="shared" si="209"/>
        <v>0</v>
      </c>
      <c r="AY669">
        <f t="shared" si="210"/>
        <v>0</v>
      </c>
      <c r="AZ669">
        <f t="shared" si="210"/>
        <v>0</v>
      </c>
      <c r="BA669">
        <f t="shared" si="210"/>
        <v>0</v>
      </c>
      <c r="BB669" t="str">
        <f t="shared" si="210"/>
        <v>Forster</v>
      </c>
      <c r="BC669">
        <f t="shared" si="210"/>
        <v>0</v>
      </c>
      <c r="BD669">
        <f t="shared" si="210"/>
        <v>0</v>
      </c>
      <c r="BE669">
        <f t="shared" si="210"/>
        <v>0</v>
      </c>
      <c r="BF669">
        <f t="shared" si="210"/>
        <v>0</v>
      </c>
      <c r="BG669">
        <f t="shared" si="210"/>
        <v>0</v>
      </c>
      <c r="BH669">
        <f t="shared" si="210"/>
        <v>0</v>
      </c>
      <c r="BI669" t="str">
        <f t="shared" si="211"/>
        <v>Zimmer</v>
      </c>
      <c r="BJ669">
        <f t="shared" si="211"/>
        <v>0</v>
      </c>
      <c r="BK669">
        <f t="shared" si="211"/>
        <v>0</v>
      </c>
      <c r="BL669">
        <f t="shared" si="211"/>
        <v>0</v>
      </c>
      <c r="BM669">
        <f t="shared" si="211"/>
        <v>0</v>
      </c>
      <c r="BN669">
        <f t="shared" si="211"/>
        <v>0</v>
      </c>
      <c r="BO669">
        <f t="shared" si="211"/>
        <v>0</v>
      </c>
      <c r="BP669">
        <f t="shared" si="211"/>
        <v>0</v>
      </c>
      <c r="BQ669">
        <f t="shared" si="211"/>
        <v>0</v>
      </c>
      <c r="BR669">
        <f t="shared" si="211"/>
        <v>0</v>
      </c>
      <c r="BS669">
        <f t="shared" si="211"/>
        <v>0</v>
      </c>
    </row>
    <row r="670" spans="2:71" ht="15" customHeight="1" x14ac:dyDescent="0.2">
      <c r="B670">
        <v>15</v>
      </c>
      <c r="C670">
        <v>5</v>
      </c>
      <c r="D670">
        <v>10</v>
      </c>
      <c r="E670" t="s">
        <v>500</v>
      </c>
      <c r="F670" t="s">
        <v>214</v>
      </c>
      <c r="G670" s="5">
        <v>45142</v>
      </c>
      <c r="H670" t="s">
        <v>73</v>
      </c>
      <c r="I670" t="s">
        <v>477</v>
      </c>
      <c r="J670" t="s">
        <v>478</v>
      </c>
      <c r="K670">
        <v>9</v>
      </c>
      <c r="L670" t="s">
        <v>76</v>
      </c>
      <c r="M670" t="s">
        <v>494</v>
      </c>
      <c r="N670" t="s">
        <v>123</v>
      </c>
      <c r="O670">
        <v>73.599999999999994</v>
      </c>
      <c r="P670">
        <v>135</v>
      </c>
      <c r="Q670">
        <v>6705</v>
      </c>
      <c r="R670" t="s">
        <v>79</v>
      </c>
      <c r="S670" t="s">
        <v>80</v>
      </c>
      <c r="T670" t="s">
        <v>353</v>
      </c>
      <c r="U670" t="s">
        <v>55</v>
      </c>
      <c r="V670" t="s">
        <v>50</v>
      </c>
      <c r="W670" t="s">
        <v>496</v>
      </c>
      <c r="Y670" t="s">
        <v>44</v>
      </c>
      <c r="AA670">
        <v>1</v>
      </c>
      <c r="AB670" t="s">
        <v>32</v>
      </c>
      <c r="AC670" t="s">
        <v>184</v>
      </c>
      <c r="AE670" t="str">
        <f t="shared" si="202"/>
        <v>FerrinFlanders</v>
      </c>
      <c r="AF670">
        <v>1</v>
      </c>
      <c r="AG670">
        <v>1</v>
      </c>
      <c r="AH670">
        <v>0</v>
      </c>
      <c r="AI670">
        <v>0</v>
      </c>
      <c r="AJ670">
        <v>1</v>
      </c>
      <c r="AK670" t="s">
        <v>53</v>
      </c>
      <c r="AL670">
        <v>0.59649122807017496</v>
      </c>
      <c r="AM670" t="s">
        <v>60</v>
      </c>
      <c r="AN670">
        <v>0.5</v>
      </c>
      <c r="AO670">
        <f t="shared" si="209"/>
        <v>0</v>
      </c>
      <c r="AP670">
        <f t="shared" si="209"/>
        <v>0</v>
      </c>
      <c r="AQ670">
        <f t="shared" si="209"/>
        <v>0</v>
      </c>
      <c r="AR670">
        <f t="shared" si="209"/>
        <v>0</v>
      </c>
      <c r="AS670" t="str">
        <f t="shared" si="209"/>
        <v>Flanders</v>
      </c>
      <c r="AT670">
        <f t="shared" si="209"/>
        <v>0</v>
      </c>
      <c r="AU670">
        <f t="shared" si="209"/>
        <v>0</v>
      </c>
      <c r="AV670">
        <f t="shared" si="209"/>
        <v>0</v>
      </c>
      <c r="AW670">
        <f t="shared" si="209"/>
        <v>0</v>
      </c>
      <c r="AX670">
        <f t="shared" si="209"/>
        <v>0</v>
      </c>
      <c r="AY670" t="str">
        <f t="shared" si="210"/>
        <v>Ferrin</v>
      </c>
      <c r="AZ670">
        <f t="shared" si="210"/>
        <v>0</v>
      </c>
      <c r="BA670">
        <f t="shared" si="210"/>
        <v>0</v>
      </c>
      <c r="BB670">
        <f t="shared" si="210"/>
        <v>0</v>
      </c>
      <c r="BC670">
        <f t="shared" si="210"/>
        <v>0</v>
      </c>
      <c r="BD670">
        <f t="shared" si="210"/>
        <v>0</v>
      </c>
      <c r="BE670">
        <f t="shared" si="210"/>
        <v>0</v>
      </c>
      <c r="BF670">
        <f t="shared" si="210"/>
        <v>0</v>
      </c>
      <c r="BG670">
        <f t="shared" si="210"/>
        <v>0</v>
      </c>
      <c r="BH670">
        <f t="shared" si="210"/>
        <v>0</v>
      </c>
      <c r="BI670">
        <f t="shared" si="211"/>
        <v>0</v>
      </c>
      <c r="BJ670">
        <f t="shared" si="211"/>
        <v>0</v>
      </c>
      <c r="BK670">
        <f t="shared" si="211"/>
        <v>0</v>
      </c>
      <c r="BL670">
        <f t="shared" si="211"/>
        <v>0</v>
      </c>
      <c r="BM670">
        <f t="shared" si="211"/>
        <v>0</v>
      </c>
      <c r="BN670">
        <f t="shared" si="211"/>
        <v>0</v>
      </c>
      <c r="BO670">
        <f t="shared" si="211"/>
        <v>0</v>
      </c>
      <c r="BP670">
        <f t="shared" si="211"/>
        <v>0</v>
      </c>
      <c r="BQ670">
        <f t="shared" si="211"/>
        <v>0</v>
      </c>
      <c r="BR670">
        <f t="shared" si="211"/>
        <v>0</v>
      </c>
      <c r="BS670">
        <f t="shared" si="211"/>
        <v>0</v>
      </c>
    </row>
    <row r="671" spans="2:71" ht="15" customHeight="1" x14ac:dyDescent="0.2">
      <c r="B671">
        <v>16</v>
      </c>
      <c r="C671">
        <v>1</v>
      </c>
      <c r="D671">
        <v>10</v>
      </c>
      <c r="E671" t="s">
        <v>501</v>
      </c>
      <c r="F671" t="s">
        <v>214</v>
      </c>
      <c r="G671" s="5">
        <v>45142</v>
      </c>
      <c r="H671" t="s">
        <v>73</v>
      </c>
      <c r="I671" t="s">
        <v>477</v>
      </c>
      <c r="J671" t="s">
        <v>478</v>
      </c>
      <c r="K671">
        <v>9</v>
      </c>
      <c r="L671" t="s">
        <v>90</v>
      </c>
      <c r="M671" t="s">
        <v>502</v>
      </c>
      <c r="N671" t="s">
        <v>123</v>
      </c>
      <c r="O671">
        <v>73.599999999999994</v>
      </c>
      <c r="P671">
        <v>135</v>
      </c>
      <c r="Q671">
        <v>6705</v>
      </c>
      <c r="R671" t="s">
        <v>313</v>
      </c>
      <c r="S671" t="s">
        <v>80</v>
      </c>
      <c r="T671" t="s">
        <v>353</v>
      </c>
      <c r="U671" t="s">
        <v>61</v>
      </c>
      <c r="V671" t="s">
        <v>46</v>
      </c>
      <c r="W671" t="s">
        <v>495</v>
      </c>
      <c r="Y671" t="s">
        <v>62</v>
      </c>
      <c r="AA671">
        <v>1</v>
      </c>
      <c r="AB671" t="s">
        <v>32</v>
      </c>
      <c r="AC671" t="s">
        <v>184</v>
      </c>
      <c r="AE671" t="str">
        <f t="shared" si="202"/>
        <v>MangoldWelker</v>
      </c>
      <c r="AF671">
        <v>1</v>
      </c>
      <c r="AG671">
        <v>1</v>
      </c>
      <c r="AH671">
        <v>0</v>
      </c>
      <c r="AI671">
        <v>0</v>
      </c>
      <c r="AJ671">
        <v>1</v>
      </c>
      <c r="AK671" t="s">
        <v>55</v>
      </c>
      <c r="AL671">
        <v>0.44067796610169502</v>
      </c>
      <c r="AM671" t="s">
        <v>69</v>
      </c>
      <c r="AN671">
        <v>0.33333333333333298</v>
      </c>
      <c r="AO671">
        <f t="shared" si="209"/>
        <v>0</v>
      </c>
      <c r="AP671">
        <f t="shared" si="209"/>
        <v>0</v>
      </c>
      <c r="AQ671">
        <f t="shared" si="209"/>
        <v>0</v>
      </c>
      <c r="AR671">
        <f t="shared" si="209"/>
        <v>0</v>
      </c>
      <c r="AS671">
        <f t="shared" si="209"/>
        <v>0</v>
      </c>
      <c r="AT671">
        <f t="shared" si="209"/>
        <v>0</v>
      </c>
      <c r="AU671" t="str">
        <f t="shared" si="209"/>
        <v>Mangold</v>
      </c>
      <c r="AV671">
        <f t="shared" si="209"/>
        <v>0</v>
      </c>
      <c r="AW671">
        <f t="shared" si="209"/>
        <v>0</v>
      </c>
      <c r="AX671">
        <f t="shared" si="209"/>
        <v>0</v>
      </c>
      <c r="AY671">
        <f t="shared" si="210"/>
        <v>0</v>
      </c>
      <c r="AZ671">
        <f t="shared" si="210"/>
        <v>0</v>
      </c>
      <c r="BA671">
        <f t="shared" si="210"/>
        <v>0</v>
      </c>
      <c r="BB671">
        <f t="shared" si="210"/>
        <v>0</v>
      </c>
      <c r="BC671">
        <f t="shared" si="210"/>
        <v>0</v>
      </c>
      <c r="BD671">
        <f t="shared" si="210"/>
        <v>0</v>
      </c>
      <c r="BE671">
        <f t="shared" si="210"/>
        <v>0</v>
      </c>
      <c r="BF671">
        <f t="shared" si="210"/>
        <v>0</v>
      </c>
      <c r="BG671">
        <f t="shared" si="210"/>
        <v>0</v>
      </c>
      <c r="BH671">
        <f t="shared" si="210"/>
        <v>0</v>
      </c>
      <c r="BI671">
        <f t="shared" si="211"/>
        <v>0</v>
      </c>
      <c r="BJ671">
        <f t="shared" si="211"/>
        <v>0</v>
      </c>
      <c r="BK671" t="str">
        <f t="shared" si="211"/>
        <v>Welker</v>
      </c>
      <c r="BL671">
        <f t="shared" si="211"/>
        <v>0</v>
      </c>
      <c r="BM671">
        <f t="shared" si="211"/>
        <v>0</v>
      </c>
      <c r="BN671">
        <f t="shared" si="211"/>
        <v>0</v>
      </c>
      <c r="BO671">
        <f t="shared" si="211"/>
        <v>0</v>
      </c>
      <c r="BP671">
        <f t="shared" si="211"/>
        <v>0</v>
      </c>
      <c r="BQ671">
        <f t="shared" si="211"/>
        <v>0</v>
      </c>
      <c r="BR671">
        <f t="shared" si="211"/>
        <v>0</v>
      </c>
      <c r="BS671">
        <f t="shared" si="211"/>
        <v>0</v>
      </c>
    </row>
    <row r="672" spans="2:71" ht="15" customHeight="1" x14ac:dyDescent="0.2">
      <c r="B672">
        <v>16</v>
      </c>
      <c r="C672">
        <v>1</v>
      </c>
      <c r="D672">
        <v>10</v>
      </c>
      <c r="E672" t="s">
        <v>501</v>
      </c>
      <c r="F672" t="s">
        <v>214</v>
      </c>
      <c r="G672" s="5">
        <v>45142</v>
      </c>
      <c r="H672" t="s">
        <v>73</v>
      </c>
      <c r="I672" t="s">
        <v>477</v>
      </c>
      <c r="J672" t="s">
        <v>478</v>
      </c>
      <c r="K672">
        <v>9</v>
      </c>
      <c r="L672" t="s">
        <v>90</v>
      </c>
      <c r="M672" t="s">
        <v>502</v>
      </c>
      <c r="N672" t="s">
        <v>123</v>
      </c>
      <c r="O672">
        <v>73.599999999999994</v>
      </c>
      <c r="P672">
        <v>135</v>
      </c>
      <c r="Q672">
        <v>6705</v>
      </c>
      <c r="R672" t="s">
        <v>313</v>
      </c>
      <c r="S672" t="s">
        <v>80</v>
      </c>
      <c r="T672" t="s">
        <v>353</v>
      </c>
      <c r="U672" t="s">
        <v>55</v>
      </c>
      <c r="V672" t="s">
        <v>55</v>
      </c>
      <c r="W672" t="s">
        <v>496</v>
      </c>
      <c r="Y672" t="s">
        <v>69</v>
      </c>
      <c r="AA672">
        <v>1</v>
      </c>
      <c r="AB672" t="s">
        <v>33</v>
      </c>
      <c r="AC672" t="s">
        <v>184</v>
      </c>
      <c r="AE672" t="str">
        <f t="shared" si="202"/>
        <v>ColeR. Connolly</v>
      </c>
      <c r="AF672">
        <v>0</v>
      </c>
      <c r="AG672">
        <v>0</v>
      </c>
      <c r="AH672">
        <v>1</v>
      </c>
      <c r="AI672">
        <v>0</v>
      </c>
      <c r="AJ672">
        <v>0</v>
      </c>
      <c r="AK672" t="s">
        <v>46</v>
      </c>
      <c r="AL672">
        <v>0.38392857142857201</v>
      </c>
      <c r="AM672" t="s">
        <v>62</v>
      </c>
      <c r="AN672">
        <v>0.51041666666666696</v>
      </c>
      <c r="AO672">
        <f t="shared" ref="AO672:AX681" si="212">IF(OR($V672=AO$1,$Y672=AO$1),AO$1,0)</f>
        <v>0</v>
      </c>
      <c r="AP672">
        <f t="shared" si="212"/>
        <v>0</v>
      </c>
      <c r="AQ672">
        <f t="shared" si="212"/>
        <v>0</v>
      </c>
      <c r="AR672">
        <f t="shared" si="212"/>
        <v>0</v>
      </c>
      <c r="AS672">
        <f t="shared" si="212"/>
        <v>0</v>
      </c>
      <c r="AT672">
        <f t="shared" si="212"/>
        <v>0</v>
      </c>
      <c r="AU672">
        <f t="shared" si="212"/>
        <v>0</v>
      </c>
      <c r="AV672">
        <f t="shared" si="212"/>
        <v>0</v>
      </c>
      <c r="AW672">
        <f t="shared" si="212"/>
        <v>0</v>
      </c>
      <c r="AX672">
        <f t="shared" si="212"/>
        <v>0</v>
      </c>
      <c r="AY672">
        <f t="shared" ref="AY672:BH681" si="213">IF(OR($V672=AY$1,$Y672=AY$1),AY$1,0)</f>
        <v>0</v>
      </c>
      <c r="AZ672">
        <f t="shared" si="213"/>
        <v>0</v>
      </c>
      <c r="BA672">
        <f t="shared" si="213"/>
        <v>0</v>
      </c>
      <c r="BB672">
        <f t="shared" si="213"/>
        <v>0</v>
      </c>
      <c r="BC672">
        <f t="shared" si="213"/>
        <v>0</v>
      </c>
      <c r="BD672" t="str">
        <f t="shared" si="213"/>
        <v>Cole</v>
      </c>
      <c r="BE672">
        <f t="shared" si="213"/>
        <v>0</v>
      </c>
      <c r="BF672">
        <f t="shared" si="213"/>
        <v>0</v>
      </c>
      <c r="BG672">
        <f t="shared" si="213"/>
        <v>0</v>
      </c>
      <c r="BH672">
        <f t="shared" si="213"/>
        <v>0</v>
      </c>
      <c r="BI672">
        <f t="shared" ref="BI672:BS681" si="214">IF(OR($V672=BI$1,$Y672=BI$1),BI$1,0)</f>
        <v>0</v>
      </c>
      <c r="BJ672">
        <f t="shared" si="214"/>
        <v>0</v>
      </c>
      <c r="BK672">
        <f t="shared" si="214"/>
        <v>0</v>
      </c>
      <c r="BL672">
        <f t="shared" si="214"/>
        <v>0</v>
      </c>
      <c r="BM672">
        <f t="shared" si="214"/>
        <v>0</v>
      </c>
      <c r="BN672">
        <f t="shared" si="214"/>
        <v>0</v>
      </c>
      <c r="BO672">
        <f t="shared" si="214"/>
        <v>0</v>
      </c>
      <c r="BP672">
        <f t="shared" si="214"/>
        <v>0</v>
      </c>
      <c r="BQ672">
        <f t="shared" si="214"/>
        <v>0</v>
      </c>
      <c r="BR672" t="str">
        <f t="shared" si="214"/>
        <v>R. Connolly</v>
      </c>
      <c r="BS672">
        <f t="shared" si="214"/>
        <v>0</v>
      </c>
    </row>
    <row r="673" spans="2:71" ht="15" customHeight="1" x14ac:dyDescent="0.2">
      <c r="B673">
        <v>17</v>
      </c>
      <c r="C673">
        <v>2</v>
      </c>
      <c r="D673">
        <v>10</v>
      </c>
      <c r="E673" t="s">
        <v>503</v>
      </c>
      <c r="F673" t="s">
        <v>214</v>
      </c>
      <c r="G673" s="5">
        <v>45142</v>
      </c>
      <c r="H673" t="s">
        <v>73</v>
      </c>
      <c r="I673" t="s">
        <v>477</v>
      </c>
      <c r="J673" t="s">
        <v>478</v>
      </c>
      <c r="K673">
        <v>9</v>
      </c>
      <c r="L673" t="s">
        <v>90</v>
      </c>
      <c r="M673" t="s">
        <v>502</v>
      </c>
      <c r="N673" t="s">
        <v>123</v>
      </c>
      <c r="O673">
        <v>73.599999999999994</v>
      </c>
      <c r="P673">
        <v>135</v>
      </c>
      <c r="Q673">
        <v>6705</v>
      </c>
      <c r="R673" t="s">
        <v>313</v>
      </c>
      <c r="S673" t="s">
        <v>80</v>
      </c>
      <c r="T673" t="s">
        <v>353</v>
      </c>
      <c r="U673" t="s">
        <v>55</v>
      </c>
      <c r="V673" t="s">
        <v>63</v>
      </c>
      <c r="W673" t="s">
        <v>496</v>
      </c>
      <c r="Y673" t="s">
        <v>41</v>
      </c>
      <c r="AA673">
        <v>1</v>
      </c>
      <c r="AB673" t="s">
        <v>34</v>
      </c>
      <c r="AC673" t="s">
        <v>92</v>
      </c>
      <c r="AE673" t="str">
        <f t="shared" si="202"/>
        <v>DelaneyHilts</v>
      </c>
      <c r="AF673">
        <v>0.5</v>
      </c>
      <c r="AG673">
        <v>0</v>
      </c>
      <c r="AH673">
        <v>0</v>
      </c>
      <c r="AI673">
        <v>1</v>
      </c>
      <c r="AJ673">
        <v>0.5</v>
      </c>
      <c r="AK673" t="s">
        <v>52</v>
      </c>
      <c r="AL673">
        <v>0.34745762711864397</v>
      </c>
      <c r="AM673" t="s">
        <v>42</v>
      </c>
      <c r="AN673">
        <v>0.6171875</v>
      </c>
      <c r="AO673">
        <f t="shared" si="212"/>
        <v>0</v>
      </c>
      <c r="AP673" t="str">
        <f t="shared" si="212"/>
        <v>Hilts</v>
      </c>
      <c r="AQ673">
        <f t="shared" si="212"/>
        <v>0</v>
      </c>
      <c r="AR673">
        <f t="shared" si="212"/>
        <v>0</v>
      </c>
      <c r="AS673">
        <f t="shared" si="212"/>
        <v>0</v>
      </c>
      <c r="AT673">
        <f t="shared" si="212"/>
        <v>0</v>
      </c>
      <c r="AU673">
        <f t="shared" si="212"/>
        <v>0</v>
      </c>
      <c r="AV673">
        <f t="shared" si="212"/>
        <v>0</v>
      </c>
      <c r="AW673">
        <f t="shared" si="212"/>
        <v>0</v>
      </c>
      <c r="AX673">
        <f t="shared" si="212"/>
        <v>0</v>
      </c>
      <c r="AY673">
        <f t="shared" si="213"/>
        <v>0</v>
      </c>
      <c r="AZ673">
        <f t="shared" si="213"/>
        <v>0</v>
      </c>
      <c r="BA673">
        <f t="shared" si="213"/>
        <v>0</v>
      </c>
      <c r="BB673">
        <f t="shared" si="213"/>
        <v>0</v>
      </c>
      <c r="BC673">
        <f t="shared" si="213"/>
        <v>0</v>
      </c>
      <c r="BD673">
        <f t="shared" si="213"/>
        <v>0</v>
      </c>
      <c r="BE673">
        <f t="shared" si="213"/>
        <v>0</v>
      </c>
      <c r="BF673">
        <f t="shared" si="213"/>
        <v>0</v>
      </c>
      <c r="BG673">
        <f t="shared" si="213"/>
        <v>0</v>
      </c>
      <c r="BH673">
        <f t="shared" si="213"/>
        <v>0</v>
      </c>
      <c r="BI673">
        <f t="shared" si="214"/>
        <v>0</v>
      </c>
      <c r="BJ673">
        <f t="shared" si="214"/>
        <v>0</v>
      </c>
      <c r="BK673">
        <f t="shared" si="214"/>
        <v>0</v>
      </c>
      <c r="BL673" t="str">
        <f t="shared" si="214"/>
        <v>Delaney</v>
      </c>
      <c r="BM673">
        <f t="shared" si="214"/>
        <v>0</v>
      </c>
      <c r="BN673">
        <f t="shared" si="214"/>
        <v>0</v>
      </c>
      <c r="BO673">
        <f t="shared" si="214"/>
        <v>0</v>
      </c>
      <c r="BP673">
        <f t="shared" si="214"/>
        <v>0</v>
      </c>
      <c r="BQ673">
        <f t="shared" si="214"/>
        <v>0</v>
      </c>
      <c r="BR673">
        <f t="shared" si="214"/>
        <v>0</v>
      </c>
      <c r="BS673">
        <f t="shared" si="214"/>
        <v>0</v>
      </c>
    </row>
    <row r="674" spans="2:71" ht="15" customHeight="1" x14ac:dyDescent="0.2">
      <c r="B674">
        <v>17</v>
      </c>
      <c r="C674">
        <v>2</v>
      </c>
      <c r="D674">
        <v>10</v>
      </c>
      <c r="E674" t="s">
        <v>503</v>
      </c>
      <c r="F674" t="s">
        <v>214</v>
      </c>
      <c r="G674" s="5">
        <v>45142</v>
      </c>
      <c r="H674" t="s">
        <v>73</v>
      </c>
      <c r="I674" t="s">
        <v>477</v>
      </c>
      <c r="J674" t="s">
        <v>478</v>
      </c>
      <c r="K674">
        <v>9</v>
      </c>
      <c r="L674" t="s">
        <v>90</v>
      </c>
      <c r="M674" t="s">
        <v>502</v>
      </c>
      <c r="N674" t="s">
        <v>123</v>
      </c>
      <c r="O674">
        <v>73.599999999999994</v>
      </c>
      <c r="P674">
        <v>135</v>
      </c>
      <c r="Q674">
        <v>6705</v>
      </c>
      <c r="R674" t="s">
        <v>313</v>
      </c>
      <c r="S674" t="s">
        <v>80</v>
      </c>
      <c r="T674" t="s">
        <v>353</v>
      </c>
      <c r="U674" t="s">
        <v>61</v>
      </c>
      <c r="V674" t="s">
        <v>52</v>
      </c>
      <c r="W674" t="s">
        <v>495</v>
      </c>
      <c r="Y674" t="s">
        <v>42</v>
      </c>
      <c r="AA674">
        <v>1</v>
      </c>
      <c r="AB674" t="s">
        <v>34</v>
      </c>
      <c r="AC674" t="s">
        <v>92</v>
      </c>
      <c r="AE674" t="str">
        <f t="shared" si="202"/>
        <v>ConnorsJackson</v>
      </c>
      <c r="AF674">
        <v>0.5</v>
      </c>
      <c r="AG674">
        <v>0</v>
      </c>
      <c r="AH674">
        <v>0</v>
      </c>
      <c r="AI674">
        <v>1</v>
      </c>
      <c r="AJ674">
        <v>0.5</v>
      </c>
      <c r="AK674" t="s">
        <v>63</v>
      </c>
      <c r="AL674">
        <v>0.46551724137931</v>
      </c>
      <c r="AM674" t="s">
        <v>41</v>
      </c>
      <c r="AN674">
        <v>0.47321428571428598</v>
      </c>
      <c r="AO674">
        <f t="shared" si="212"/>
        <v>0</v>
      </c>
      <c r="AP674">
        <f t="shared" si="212"/>
        <v>0</v>
      </c>
      <c r="AQ674" t="str">
        <f t="shared" si="212"/>
        <v>Jackson</v>
      </c>
      <c r="AR674">
        <f t="shared" si="212"/>
        <v>0</v>
      </c>
      <c r="AS674">
        <f t="shared" si="212"/>
        <v>0</v>
      </c>
      <c r="AT674">
        <f t="shared" si="212"/>
        <v>0</v>
      </c>
      <c r="AU674">
        <f t="shared" si="212"/>
        <v>0</v>
      </c>
      <c r="AV674">
        <f t="shared" si="212"/>
        <v>0</v>
      </c>
      <c r="AW674">
        <f t="shared" si="212"/>
        <v>0</v>
      </c>
      <c r="AX674">
        <f t="shared" si="212"/>
        <v>0</v>
      </c>
      <c r="AY674">
        <f t="shared" si="213"/>
        <v>0</v>
      </c>
      <c r="AZ674">
        <f t="shared" si="213"/>
        <v>0</v>
      </c>
      <c r="BA674" t="str">
        <f t="shared" si="213"/>
        <v>Connors</v>
      </c>
      <c r="BB674">
        <f t="shared" si="213"/>
        <v>0</v>
      </c>
      <c r="BC674">
        <f t="shared" si="213"/>
        <v>0</v>
      </c>
      <c r="BD674">
        <f t="shared" si="213"/>
        <v>0</v>
      </c>
      <c r="BE674">
        <f t="shared" si="213"/>
        <v>0</v>
      </c>
      <c r="BF674">
        <f t="shared" si="213"/>
        <v>0</v>
      </c>
      <c r="BG674">
        <f t="shared" si="213"/>
        <v>0</v>
      </c>
      <c r="BH674">
        <f t="shared" si="213"/>
        <v>0</v>
      </c>
      <c r="BI674">
        <f t="shared" si="214"/>
        <v>0</v>
      </c>
      <c r="BJ674">
        <f t="shared" si="214"/>
        <v>0</v>
      </c>
      <c r="BK674">
        <f t="shared" si="214"/>
        <v>0</v>
      </c>
      <c r="BL674">
        <f t="shared" si="214"/>
        <v>0</v>
      </c>
      <c r="BM674">
        <f t="shared" si="214"/>
        <v>0</v>
      </c>
      <c r="BN674">
        <f t="shared" si="214"/>
        <v>0</v>
      </c>
      <c r="BO674">
        <f t="shared" si="214"/>
        <v>0</v>
      </c>
      <c r="BP674">
        <f t="shared" si="214"/>
        <v>0</v>
      </c>
      <c r="BQ674">
        <f t="shared" si="214"/>
        <v>0</v>
      </c>
      <c r="BR674">
        <f t="shared" si="214"/>
        <v>0</v>
      </c>
      <c r="BS674">
        <f t="shared" si="214"/>
        <v>0</v>
      </c>
    </row>
    <row r="675" spans="2:71" ht="15" customHeight="1" x14ac:dyDescent="0.2">
      <c r="B675">
        <v>18</v>
      </c>
      <c r="C675">
        <v>3</v>
      </c>
      <c r="D675">
        <v>10</v>
      </c>
      <c r="E675" t="s">
        <v>504</v>
      </c>
      <c r="F675" t="s">
        <v>214</v>
      </c>
      <c r="G675" s="5">
        <v>45142</v>
      </c>
      <c r="H675" t="s">
        <v>73</v>
      </c>
      <c r="I675" t="s">
        <v>477</v>
      </c>
      <c r="J675" t="s">
        <v>478</v>
      </c>
      <c r="K675">
        <v>9</v>
      </c>
      <c r="L675" t="s">
        <v>90</v>
      </c>
      <c r="M675" t="s">
        <v>502</v>
      </c>
      <c r="N675" t="s">
        <v>123</v>
      </c>
      <c r="O675">
        <v>73.599999999999994</v>
      </c>
      <c r="P675">
        <v>135</v>
      </c>
      <c r="Q675">
        <v>6705</v>
      </c>
      <c r="R675" t="s">
        <v>313</v>
      </c>
      <c r="S675" t="s">
        <v>80</v>
      </c>
      <c r="T675" t="s">
        <v>353</v>
      </c>
      <c r="U675" t="s">
        <v>61</v>
      </c>
      <c r="V675" t="s">
        <v>64</v>
      </c>
      <c r="W675" t="s">
        <v>495</v>
      </c>
      <c r="Y675" t="s">
        <v>58</v>
      </c>
      <c r="AA675">
        <v>1</v>
      </c>
      <c r="AB675" t="s">
        <v>34</v>
      </c>
      <c r="AC675" t="s">
        <v>92</v>
      </c>
      <c r="AE675" t="str">
        <f t="shared" si="202"/>
        <v>DelnekyGray</v>
      </c>
      <c r="AF675">
        <v>0.5</v>
      </c>
      <c r="AG675">
        <v>0</v>
      </c>
      <c r="AH675">
        <v>0</v>
      </c>
      <c r="AI675">
        <v>1</v>
      </c>
      <c r="AJ675">
        <v>0.5</v>
      </c>
      <c r="AK675" t="s">
        <v>48</v>
      </c>
      <c r="AL675">
        <v>0.5546875</v>
      </c>
      <c r="AM675" t="s">
        <v>66</v>
      </c>
      <c r="AN675">
        <v>0.63888888888888895</v>
      </c>
      <c r="AO675">
        <f t="shared" si="212"/>
        <v>0</v>
      </c>
      <c r="AP675">
        <f t="shared" si="212"/>
        <v>0</v>
      </c>
      <c r="AQ675">
        <f t="shared" si="212"/>
        <v>0</v>
      </c>
      <c r="AR675">
        <f t="shared" si="212"/>
        <v>0</v>
      </c>
      <c r="AS675">
        <f t="shared" si="212"/>
        <v>0</v>
      </c>
      <c r="AT675">
        <f t="shared" si="212"/>
        <v>0</v>
      </c>
      <c r="AU675">
        <f t="shared" si="212"/>
        <v>0</v>
      </c>
      <c r="AV675">
        <f t="shared" si="212"/>
        <v>0</v>
      </c>
      <c r="AW675">
        <f t="shared" si="212"/>
        <v>0</v>
      </c>
      <c r="AX675">
        <f t="shared" si="212"/>
        <v>0</v>
      </c>
      <c r="AY675">
        <f t="shared" si="213"/>
        <v>0</v>
      </c>
      <c r="AZ675">
        <f t="shared" si="213"/>
        <v>0</v>
      </c>
      <c r="BA675">
        <f t="shared" si="213"/>
        <v>0</v>
      </c>
      <c r="BB675">
        <f t="shared" si="213"/>
        <v>0</v>
      </c>
      <c r="BC675">
        <f t="shared" si="213"/>
        <v>0</v>
      </c>
      <c r="BD675">
        <f t="shared" si="213"/>
        <v>0</v>
      </c>
      <c r="BE675">
        <f t="shared" si="213"/>
        <v>0</v>
      </c>
      <c r="BF675">
        <f t="shared" si="213"/>
        <v>0</v>
      </c>
      <c r="BG675" t="str">
        <f t="shared" si="213"/>
        <v>Gray</v>
      </c>
      <c r="BH675">
        <f t="shared" si="213"/>
        <v>0</v>
      </c>
      <c r="BI675">
        <f t="shared" si="214"/>
        <v>0</v>
      </c>
      <c r="BJ675">
        <f t="shared" si="214"/>
        <v>0</v>
      </c>
      <c r="BK675">
        <f t="shared" si="214"/>
        <v>0</v>
      </c>
      <c r="BL675">
        <f t="shared" si="214"/>
        <v>0</v>
      </c>
      <c r="BM675" t="str">
        <f t="shared" si="214"/>
        <v>Delneky</v>
      </c>
      <c r="BN675">
        <f t="shared" si="214"/>
        <v>0</v>
      </c>
      <c r="BO675">
        <f t="shared" si="214"/>
        <v>0</v>
      </c>
      <c r="BP675">
        <f t="shared" si="214"/>
        <v>0</v>
      </c>
      <c r="BQ675">
        <f t="shared" si="214"/>
        <v>0</v>
      </c>
      <c r="BR675">
        <f t="shared" si="214"/>
        <v>0</v>
      </c>
      <c r="BS675">
        <f t="shared" si="214"/>
        <v>0</v>
      </c>
    </row>
    <row r="676" spans="2:71" ht="15" customHeight="1" x14ac:dyDescent="0.2">
      <c r="B676">
        <v>18</v>
      </c>
      <c r="C676">
        <v>3</v>
      </c>
      <c r="D676">
        <v>10</v>
      </c>
      <c r="E676" t="s">
        <v>504</v>
      </c>
      <c r="F676" t="s">
        <v>214</v>
      </c>
      <c r="G676" s="5">
        <v>45142</v>
      </c>
      <c r="H676" t="s">
        <v>73</v>
      </c>
      <c r="I676" t="s">
        <v>477</v>
      </c>
      <c r="J676" t="s">
        <v>478</v>
      </c>
      <c r="K676">
        <v>9</v>
      </c>
      <c r="L676" t="s">
        <v>90</v>
      </c>
      <c r="M676" t="s">
        <v>502</v>
      </c>
      <c r="N676" t="s">
        <v>123</v>
      </c>
      <c r="O676">
        <v>73.599999999999994</v>
      </c>
      <c r="P676">
        <v>135</v>
      </c>
      <c r="Q676">
        <v>6705</v>
      </c>
      <c r="R676" t="s">
        <v>313</v>
      </c>
      <c r="S676" t="s">
        <v>80</v>
      </c>
      <c r="T676" t="s">
        <v>353</v>
      </c>
      <c r="U676" t="s">
        <v>55</v>
      </c>
      <c r="V676" t="s">
        <v>48</v>
      </c>
      <c r="W676" t="s">
        <v>496</v>
      </c>
      <c r="Y676" t="s">
        <v>66</v>
      </c>
      <c r="AA676">
        <v>1</v>
      </c>
      <c r="AB676" t="s">
        <v>34</v>
      </c>
      <c r="AC676" t="s">
        <v>92</v>
      </c>
      <c r="AE676" t="str">
        <f t="shared" si="202"/>
        <v>LynchPerkins</v>
      </c>
      <c r="AF676">
        <v>0.5</v>
      </c>
      <c r="AG676">
        <v>0</v>
      </c>
      <c r="AH676">
        <v>0</v>
      </c>
      <c r="AI676">
        <v>1</v>
      </c>
      <c r="AJ676">
        <v>0.5</v>
      </c>
      <c r="AK676" t="s">
        <v>64</v>
      </c>
      <c r="AL676">
        <v>0.65909090909090895</v>
      </c>
      <c r="AM676" t="s">
        <v>58</v>
      </c>
      <c r="AN676">
        <v>0.65476190476190499</v>
      </c>
      <c r="AO676">
        <f t="shared" si="212"/>
        <v>0</v>
      </c>
      <c r="AP676">
        <f t="shared" si="212"/>
        <v>0</v>
      </c>
      <c r="AQ676">
        <f t="shared" si="212"/>
        <v>0</v>
      </c>
      <c r="AR676">
        <f t="shared" si="212"/>
        <v>0</v>
      </c>
      <c r="AS676">
        <f t="shared" si="212"/>
        <v>0</v>
      </c>
      <c r="AT676">
        <f t="shared" si="212"/>
        <v>0</v>
      </c>
      <c r="AU676">
        <f t="shared" si="212"/>
        <v>0</v>
      </c>
      <c r="AV676">
        <f t="shared" si="212"/>
        <v>0</v>
      </c>
      <c r="AW676" t="str">
        <f t="shared" si="212"/>
        <v>Lynch</v>
      </c>
      <c r="AX676">
        <f t="shared" si="212"/>
        <v>0</v>
      </c>
      <c r="AY676">
        <f t="shared" si="213"/>
        <v>0</v>
      </c>
      <c r="AZ676">
        <f t="shared" si="213"/>
        <v>0</v>
      </c>
      <c r="BA676">
        <f t="shared" si="213"/>
        <v>0</v>
      </c>
      <c r="BB676">
        <f t="shared" si="213"/>
        <v>0</v>
      </c>
      <c r="BC676">
        <f t="shared" si="213"/>
        <v>0</v>
      </c>
      <c r="BD676">
        <f t="shared" si="213"/>
        <v>0</v>
      </c>
      <c r="BE676">
        <f t="shared" si="213"/>
        <v>0</v>
      </c>
      <c r="BF676">
        <f t="shared" si="213"/>
        <v>0</v>
      </c>
      <c r="BG676">
        <f t="shared" si="213"/>
        <v>0</v>
      </c>
      <c r="BH676">
        <f t="shared" si="213"/>
        <v>0</v>
      </c>
      <c r="BI676">
        <f t="shared" si="214"/>
        <v>0</v>
      </c>
      <c r="BJ676">
        <f t="shared" si="214"/>
        <v>0</v>
      </c>
      <c r="BK676">
        <f t="shared" si="214"/>
        <v>0</v>
      </c>
      <c r="BL676">
        <f t="shared" si="214"/>
        <v>0</v>
      </c>
      <c r="BM676">
        <f t="shared" si="214"/>
        <v>0</v>
      </c>
      <c r="BN676">
        <f t="shared" si="214"/>
        <v>0</v>
      </c>
      <c r="BO676" t="str">
        <f t="shared" si="214"/>
        <v>Perkins</v>
      </c>
      <c r="BP676">
        <f t="shared" si="214"/>
        <v>0</v>
      </c>
      <c r="BQ676">
        <f t="shared" si="214"/>
        <v>0</v>
      </c>
      <c r="BR676">
        <f t="shared" si="214"/>
        <v>0</v>
      </c>
      <c r="BS676">
        <f t="shared" si="214"/>
        <v>0</v>
      </c>
    </row>
    <row r="677" spans="2:71" ht="15" customHeight="1" x14ac:dyDescent="0.2">
      <c r="B677">
        <v>19</v>
      </c>
      <c r="C677">
        <v>4</v>
      </c>
      <c r="D677">
        <v>10</v>
      </c>
      <c r="E677" t="s">
        <v>505</v>
      </c>
      <c r="F677" t="s">
        <v>214</v>
      </c>
      <c r="G677" s="5">
        <v>45142</v>
      </c>
      <c r="H677" t="s">
        <v>73</v>
      </c>
      <c r="I677" t="s">
        <v>477</v>
      </c>
      <c r="J677" t="s">
        <v>478</v>
      </c>
      <c r="K677">
        <v>9</v>
      </c>
      <c r="L677" t="s">
        <v>90</v>
      </c>
      <c r="M677" t="s">
        <v>502</v>
      </c>
      <c r="N677" t="s">
        <v>123</v>
      </c>
      <c r="O677">
        <v>73.599999999999994</v>
      </c>
      <c r="P677">
        <v>135</v>
      </c>
      <c r="Q677">
        <v>6705</v>
      </c>
      <c r="R677" t="s">
        <v>313</v>
      </c>
      <c r="S677" t="s">
        <v>80</v>
      </c>
      <c r="T677" t="s">
        <v>353</v>
      </c>
      <c r="U677" t="s">
        <v>55</v>
      </c>
      <c r="V677" t="s">
        <v>45</v>
      </c>
      <c r="W677" t="s">
        <v>496</v>
      </c>
      <c r="Y677" t="s">
        <v>40</v>
      </c>
      <c r="AA677">
        <v>1</v>
      </c>
      <c r="AB677" t="s">
        <v>32</v>
      </c>
      <c r="AC677" t="s">
        <v>184</v>
      </c>
      <c r="AE677" t="str">
        <f t="shared" si="202"/>
        <v>ConnollyGrise</v>
      </c>
      <c r="AF677">
        <v>1</v>
      </c>
      <c r="AG677">
        <v>1</v>
      </c>
      <c r="AH677">
        <v>0</v>
      </c>
      <c r="AI677">
        <v>0</v>
      </c>
      <c r="AJ677">
        <v>1</v>
      </c>
      <c r="AK677" t="s">
        <v>61</v>
      </c>
      <c r="AL677">
        <v>0.5</v>
      </c>
      <c r="AM677" t="s">
        <v>54</v>
      </c>
      <c r="AN677">
        <v>0.37288135593220301</v>
      </c>
      <c r="AO677" t="str">
        <f t="shared" si="212"/>
        <v>Grise</v>
      </c>
      <c r="AP677">
        <f t="shared" si="212"/>
        <v>0</v>
      </c>
      <c r="AQ677">
        <f t="shared" si="212"/>
        <v>0</v>
      </c>
      <c r="AR677">
        <f t="shared" si="212"/>
        <v>0</v>
      </c>
      <c r="AS677">
        <f t="shared" si="212"/>
        <v>0</v>
      </c>
      <c r="AT677" t="str">
        <f t="shared" si="212"/>
        <v>Connolly</v>
      </c>
      <c r="AU677">
        <f t="shared" si="212"/>
        <v>0</v>
      </c>
      <c r="AV677">
        <f t="shared" si="212"/>
        <v>0</v>
      </c>
      <c r="AW677">
        <f t="shared" si="212"/>
        <v>0</v>
      </c>
      <c r="AX677">
        <f t="shared" si="212"/>
        <v>0</v>
      </c>
      <c r="AY677">
        <f t="shared" si="213"/>
        <v>0</v>
      </c>
      <c r="AZ677">
        <f t="shared" si="213"/>
        <v>0</v>
      </c>
      <c r="BA677">
        <f t="shared" si="213"/>
        <v>0</v>
      </c>
      <c r="BB677">
        <f t="shared" si="213"/>
        <v>0</v>
      </c>
      <c r="BC677">
        <f t="shared" si="213"/>
        <v>0</v>
      </c>
      <c r="BD677">
        <f t="shared" si="213"/>
        <v>0</v>
      </c>
      <c r="BE677">
        <f t="shared" si="213"/>
        <v>0</v>
      </c>
      <c r="BF677">
        <f t="shared" si="213"/>
        <v>0</v>
      </c>
      <c r="BG677">
        <f t="shared" si="213"/>
        <v>0</v>
      </c>
      <c r="BH677">
        <f t="shared" si="213"/>
        <v>0</v>
      </c>
      <c r="BI677">
        <f t="shared" si="214"/>
        <v>0</v>
      </c>
      <c r="BJ677">
        <f t="shared" si="214"/>
        <v>0</v>
      </c>
      <c r="BK677">
        <f t="shared" si="214"/>
        <v>0</v>
      </c>
      <c r="BL677">
        <f t="shared" si="214"/>
        <v>0</v>
      </c>
      <c r="BM677">
        <f t="shared" si="214"/>
        <v>0</v>
      </c>
      <c r="BN677">
        <f t="shared" si="214"/>
        <v>0</v>
      </c>
      <c r="BO677">
        <f t="shared" si="214"/>
        <v>0</v>
      </c>
      <c r="BP677">
        <f t="shared" si="214"/>
        <v>0</v>
      </c>
      <c r="BQ677">
        <f t="shared" si="214"/>
        <v>0</v>
      </c>
      <c r="BR677">
        <f t="shared" si="214"/>
        <v>0</v>
      </c>
      <c r="BS677">
        <f t="shared" si="214"/>
        <v>0</v>
      </c>
    </row>
    <row r="678" spans="2:71" ht="15" customHeight="1" x14ac:dyDescent="0.2">
      <c r="B678">
        <v>19</v>
      </c>
      <c r="C678">
        <v>4</v>
      </c>
      <c r="D678">
        <v>10</v>
      </c>
      <c r="E678" t="s">
        <v>505</v>
      </c>
      <c r="F678" t="s">
        <v>214</v>
      </c>
      <c r="G678" s="5">
        <v>45142</v>
      </c>
      <c r="H678" t="s">
        <v>73</v>
      </c>
      <c r="I678" t="s">
        <v>477</v>
      </c>
      <c r="J678" t="s">
        <v>478</v>
      </c>
      <c r="K678">
        <v>9</v>
      </c>
      <c r="L678" t="s">
        <v>90</v>
      </c>
      <c r="M678" t="s">
        <v>502</v>
      </c>
      <c r="N678" t="s">
        <v>123</v>
      </c>
      <c r="O678">
        <v>73.599999999999994</v>
      </c>
      <c r="P678">
        <v>135</v>
      </c>
      <c r="Q678">
        <v>6705</v>
      </c>
      <c r="R678" t="s">
        <v>313</v>
      </c>
      <c r="S678" t="s">
        <v>80</v>
      </c>
      <c r="T678" t="s">
        <v>353</v>
      </c>
      <c r="U678" t="s">
        <v>61</v>
      </c>
      <c r="V678" t="s">
        <v>61</v>
      </c>
      <c r="W678" t="s">
        <v>495</v>
      </c>
      <c r="Y678" t="s">
        <v>54</v>
      </c>
      <c r="AA678">
        <v>1</v>
      </c>
      <c r="AB678" t="s">
        <v>33</v>
      </c>
      <c r="AC678" t="s">
        <v>184</v>
      </c>
      <c r="AE678" t="str">
        <f t="shared" si="202"/>
        <v>McInerneyFogan</v>
      </c>
      <c r="AF678">
        <v>0</v>
      </c>
      <c r="AG678">
        <v>0</v>
      </c>
      <c r="AH678">
        <v>1</v>
      </c>
      <c r="AI678">
        <v>0</v>
      </c>
      <c r="AJ678">
        <v>0</v>
      </c>
      <c r="AK678" t="s">
        <v>45</v>
      </c>
      <c r="AL678">
        <v>0.59375</v>
      </c>
      <c r="AM678" t="s">
        <v>40</v>
      </c>
      <c r="AN678">
        <v>0.546875</v>
      </c>
      <c r="AO678">
        <f t="shared" si="212"/>
        <v>0</v>
      </c>
      <c r="AP678">
        <f t="shared" si="212"/>
        <v>0</v>
      </c>
      <c r="AQ678">
        <f t="shared" si="212"/>
        <v>0</v>
      </c>
      <c r="AR678">
        <f t="shared" si="212"/>
        <v>0</v>
      </c>
      <c r="AS678">
        <f t="shared" si="212"/>
        <v>0</v>
      </c>
      <c r="AT678">
        <f t="shared" si="212"/>
        <v>0</v>
      </c>
      <c r="AU678">
        <f t="shared" si="212"/>
        <v>0</v>
      </c>
      <c r="AV678">
        <f t="shared" si="212"/>
        <v>0</v>
      </c>
      <c r="AW678">
        <f t="shared" si="212"/>
        <v>0</v>
      </c>
      <c r="AX678">
        <f t="shared" si="212"/>
        <v>0</v>
      </c>
      <c r="AY678">
        <f t="shared" si="213"/>
        <v>0</v>
      </c>
      <c r="AZ678">
        <f t="shared" si="213"/>
        <v>0</v>
      </c>
      <c r="BA678">
        <f t="shared" si="213"/>
        <v>0</v>
      </c>
      <c r="BB678">
        <f t="shared" si="213"/>
        <v>0</v>
      </c>
      <c r="BC678" t="str">
        <f t="shared" si="213"/>
        <v>Fogan</v>
      </c>
      <c r="BD678">
        <f t="shared" si="213"/>
        <v>0</v>
      </c>
      <c r="BE678">
        <f t="shared" si="213"/>
        <v>0</v>
      </c>
      <c r="BF678">
        <f t="shared" si="213"/>
        <v>0</v>
      </c>
      <c r="BG678">
        <f t="shared" si="213"/>
        <v>0</v>
      </c>
      <c r="BH678">
        <f t="shared" si="213"/>
        <v>0</v>
      </c>
      <c r="BI678">
        <f t="shared" si="214"/>
        <v>0</v>
      </c>
      <c r="BJ678" t="str">
        <f t="shared" si="214"/>
        <v>McInerney</v>
      </c>
      <c r="BK678">
        <f t="shared" si="214"/>
        <v>0</v>
      </c>
      <c r="BL678">
        <f t="shared" si="214"/>
        <v>0</v>
      </c>
      <c r="BM678">
        <f t="shared" si="214"/>
        <v>0</v>
      </c>
      <c r="BN678">
        <f t="shared" si="214"/>
        <v>0</v>
      </c>
      <c r="BO678">
        <f t="shared" si="214"/>
        <v>0</v>
      </c>
      <c r="BP678">
        <f t="shared" si="214"/>
        <v>0</v>
      </c>
      <c r="BQ678">
        <f t="shared" si="214"/>
        <v>0</v>
      </c>
      <c r="BR678">
        <f t="shared" si="214"/>
        <v>0</v>
      </c>
      <c r="BS678">
        <f t="shared" si="214"/>
        <v>0</v>
      </c>
    </row>
    <row r="679" spans="2:71" ht="15" customHeight="1" x14ac:dyDescent="0.2">
      <c r="B679">
        <v>20</v>
      </c>
      <c r="C679">
        <v>5</v>
      </c>
      <c r="D679">
        <v>10</v>
      </c>
      <c r="E679" t="s">
        <v>506</v>
      </c>
      <c r="F679" t="s">
        <v>214</v>
      </c>
      <c r="G679" s="5">
        <v>45142</v>
      </c>
      <c r="H679" t="s">
        <v>73</v>
      </c>
      <c r="I679" t="s">
        <v>477</v>
      </c>
      <c r="J679" t="s">
        <v>478</v>
      </c>
      <c r="K679">
        <v>9</v>
      </c>
      <c r="L679" t="s">
        <v>90</v>
      </c>
      <c r="M679" t="s">
        <v>502</v>
      </c>
      <c r="N679" t="s">
        <v>123</v>
      </c>
      <c r="O679">
        <v>73.599999999999994</v>
      </c>
      <c r="P679">
        <v>135</v>
      </c>
      <c r="Q679">
        <v>6705</v>
      </c>
      <c r="R679" t="s">
        <v>313</v>
      </c>
      <c r="S679" t="s">
        <v>80</v>
      </c>
      <c r="T679" t="s">
        <v>353</v>
      </c>
      <c r="U679" t="s">
        <v>61</v>
      </c>
      <c r="V679" t="s">
        <v>53</v>
      </c>
      <c r="W679" t="s">
        <v>495</v>
      </c>
      <c r="Y679" t="s">
        <v>60</v>
      </c>
      <c r="AA679">
        <v>1</v>
      </c>
      <c r="AB679" t="s">
        <v>33</v>
      </c>
      <c r="AC679" t="s">
        <v>171</v>
      </c>
      <c r="AE679" t="str">
        <f t="shared" si="202"/>
        <v>ForsterZimmer</v>
      </c>
      <c r="AF679">
        <v>0</v>
      </c>
      <c r="AG679">
        <v>0</v>
      </c>
      <c r="AH679">
        <v>1</v>
      </c>
      <c r="AI679">
        <v>0</v>
      </c>
      <c r="AJ679">
        <v>0</v>
      </c>
      <c r="AK679" t="s">
        <v>50</v>
      </c>
      <c r="AL679">
        <v>0.59523809523809501</v>
      </c>
      <c r="AM679" t="s">
        <v>44</v>
      </c>
      <c r="AN679">
        <v>0.4296875</v>
      </c>
      <c r="AO679">
        <f t="shared" si="212"/>
        <v>0</v>
      </c>
      <c r="AP679">
        <f t="shared" si="212"/>
        <v>0</v>
      </c>
      <c r="AQ679">
        <f t="shared" si="212"/>
        <v>0</v>
      </c>
      <c r="AR679">
        <f t="shared" si="212"/>
        <v>0</v>
      </c>
      <c r="AS679">
        <f t="shared" si="212"/>
        <v>0</v>
      </c>
      <c r="AT679">
        <f t="shared" si="212"/>
        <v>0</v>
      </c>
      <c r="AU679">
        <f t="shared" si="212"/>
        <v>0</v>
      </c>
      <c r="AV679">
        <f t="shared" si="212"/>
        <v>0</v>
      </c>
      <c r="AW679">
        <f t="shared" si="212"/>
        <v>0</v>
      </c>
      <c r="AX679">
        <f t="shared" si="212"/>
        <v>0</v>
      </c>
      <c r="AY679">
        <f t="shared" si="213"/>
        <v>0</v>
      </c>
      <c r="AZ679">
        <f t="shared" si="213"/>
        <v>0</v>
      </c>
      <c r="BA679">
        <f t="shared" si="213"/>
        <v>0</v>
      </c>
      <c r="BB679" t="str">
        <f t="shared" si="213"/>
        <v>Forster</v>
      </c>
      <c r="BC679">
        <f t="shared" si="213"/>
        <v>0</v>
      </c>
      <c r="BD679">
        <f t="shared" si="213"/>
        <v>0</v>
      </c>
      <c r="BE679">
        <f t="shared" si="213"/>
        <v>0</v>
      </c>
      <c r="BF679">
        <f t="shared" si="213"/>
        <v>0</v>
      </c>
      <c r="BG679">
        <f t="shared" si="213"/>
        <v>0</v>
      </c>
      <c r="BH679">
        <f t="shared" si="213"/>
        <v>0</v>
      </c>
      <c r="BI679" t="str">
        <f t="shared" si="214"/>
        <v>Zimmer</v>
      </c>
      <c r="BJ679">
        <f t="shared" si="214"/>
        <v>0</v>
      </c>
      <c r="BK679">
        <f t="shared" si="214"/>
        <v>0</v>
      </c>
      <c r="BL679">
        <f t="shared" si="214"/>
        <v>0</v>
      </c>
      <c r="BM679">
        <f t="shared" si="214"/>
        <v>0</v>
      </c>
      <c r="BN679">
        <f t="shared" si="214"/>
        <v>0</v>
      </c>
      <c r="BO679">
        <f t="shared" si="214"/>
        <v>0</v>
      </c>
      <c r="BP679">
        <f t="shared" si="214"/>
        <v>0</v>
      </c>
      <c r="BQ679">
        <f t="shared" si="214"/>
        <v>0</v>
      </c>
      <c r="BR679">
        <f t="shared" si="214"/>
        <v>0</v>
      </c>
      <c r="BS679">
        <f t="shared" si="214"/>
        <v>0</v>
      </c>
    </row>
    <row r="680" spans="2:71" ht="15" customHeight="1" x14ac:dyDescent="0.2">
      <c r="B680">
        <v>20</v>
      </c>
      <c r="C680">
        <v>5</v>
      </c>
      <c r="D680">
        <v>10</v>
      </c>
      <c r="E680" t="s">
        <v>506</v>
      </c>
      <c r="F680" t="s">
        <v>214</v>
      </c>
      <c r="G680" s="5">
        <v>45142</v>
      </c>
      <c r="H680" t="s">
        <v>73</v>
      </c>
      <c r="I680" t="s">
        <v>477</v>
      </c>
      <c r="J680" t="s">
        <v>478</v>
      </c>
      <c r="K680">
        <v>9</v>
      </c>
      <c r="L680" t="s">
        <v>90</v>
      </c>
      <c r="M680" t="s">
        <v>502</v>
      </c>
      <c r="N680" t="s">
        <v>123</v>
      </c>
      <c r="O680">
        <v>73.599999999999994</v>
      </c>
      <c r="P680">
        <v>135</v>
      </c>
      <c r="Q680">
        <v>6705</v>
      </c>
      <c r="R680" t="s">
        <v>313</v>
      </c>
      <c r="S680" t="s">
        <v>80</v>
      </c>
      <c r="T680" t="s">
        <v>353</v>
      </c>
      <c r="U680" t="s">
        <v>55</v>
      </c>
      <c r="V680" t="s">
        <v>50</v>
      </c>
      <c r="W680" t="s">
        <v>496</v>
      </c>
      <c r="Y680" t="s">
        <v>44</v>
      </c>
      <c r="AA680">
        <v>1</v>
      </c>
      <c r="AB680" t="s">
        <v>32</v>
      </c>
      <c r="AC680" t="s">
        <v>171</v>
      </c>
      <c r="AE680" t="str">
        <f t="shared" si="202"/>
        <v>FerrinFlanders</v>
      </c>
      <c r="AF680">
        <v>1</v>
      </c>
      <c r="AG680">
        <v>1</v>
      </c>
      <c r="AH680">
        <v>0</v>
      </c>
      <c r="AI680">
        <v>0</v>
      </c>
      <c r="AJ680">
        <v>1</v>
      </c>
      <c r="AK680" t="s">
        <v>53</v>
      </c>
      <c r="AL680">
        <v>0.59649122807017496</v>
      </c>
      <c r="AM680" t="s">
        <v>60</v>
      </c>
      <c r="AN680">
        <v>0.5</v>
      </c>
      <c r="AO680">
        <f t="shared" si="212"/>
        <v>0</v>
      </c>
      <c r="AP680">
        <f t="shared" si="212"/>
        <v>0</v>
      </c>
      <c r="AQ680">
        <f t="shared" si="212"/>
        <v>0</v>
      </c>
      <c r="AR680">
        <f t="shared" si="212"/>
        <v>0</v>
      </c>
      <c r="AS680" t="str">
        <f t="shared" si="212"/>
        <v>Flanders</v>
      </c>
      <c r="AT680">
        <f t="shared" si="212"/>
        <v>0</v>
      </c>
      <c r="AU680">
        <f t="shared" si="212"/>
        <v>0</v>
      </c>
      <c r="AV680">
        <f t="shared" si="212"/>
        <v>0</v>
      </c>
      <c r="AW680">
        <f t="shared" si="212"/>
        <v>0</v>
      </c>
      <c r="AX680">
        <f t="shared" si="212"/>
        <v>0</v>
      </c>
      <c r="AY680" t="str">
        <f t="shared" si="213"/>
        <v>Ferrin</v>
      </c>
      <c r="AZ680">
        <f t="shared" si="213"/>
        <v>0</v>
      </c>
      <c r="BA680">
        <f t="shared" si="213"/>
        <v>0</v>
      </c>
      <c r="BB680">
        <f t="shared" si="213"/>
        <v>0</v>
      </c>
      <c r="BC680">
        <f t="shared" si="213"/>
        <v>0</v>
      </c>
      <c r="BD680">
        <f t="shared" si="213"/>
        <v>0</v>
      </c>
      <c r="BE680">
        <f t="shared" si="213"/>
        <v>0</v>
      </c>
      <c r="BF680">
        <f t="shared" si="213"/>
        <v>0</v>
      </c>
      <c r="BG680">
        <f t="shared" si="213"/>
        <v>0</v>
      </c>
      <c r="BH680">
        <f t="shared" si="213"/>
        <v>0</v>
      </c>
      <c r="BI680">
        <f t="shared" si="214"/>
        <v>0</v>
      </c>
      <c r="BJ680">
        <f t="shared" si="214"/>
        <v>0</v>
      </c>
      <c r="BK680">
        <f t="shared" si="214"/>
        <v>0</v>
      </c>
      <c r="BL680">
        <f t="shared" si="214"/>
        <v>0</v>
      </c>
      <c r="BM680">
        <f t="shared" si="214"/>
        <v>0</v>
      </c>
      <c r="BN680">
        <f t="shared" si="214"/>
        <v>0</v>
      </c>
      <c r="BO680">
        <f t="shared" si="214"/>
        <v>0</v>
      </c>
      <c r="BP680">
        <f t="shared" si="214"/>
        <v>0</v>
      </c>
      <c r="BQ680">
        <f t="shared" si="214"/>
        <v>0</v>
      </c>
      <c r="BR680">
        <f t="shared" si="214"/>
        <v>0</v>
      </c>
      <c r="BS680">
        <f t="shared" si="214"/>
        <v>0</v>
      </c>
    </row>
    <row r="681" spans="2:71" ht="15" customHeight="1" x14ac:dyDescent="0.2">
      <c r="B681">
        <v>21</v>
      </c>
      <c r="C681">
        <v>1</v>
      </c>
      <c r="D681">
        <v>10</v>
      </c>
      <c r="E681" t="s">
        <v>507</v>
      </c>
      <c r="F681" t="s">
        <v>214</v>
      </c>
      <c r="G681" s="5">
        <v>45142</v>
      </c>
      <c r="H681" t="s">
        <v>97</v>
      </c>
      <c r="I681" t="s">
        <v>477</v>
      </c>
      <c r="J681" t="s">
        <v>478</v>
      </c>
      <c r="K681">
        <v>9</v>
      </c>
      <c r="L681" t="s">
        <v>76</v>
      </c>
      <c r="M681" t="s">
        <v>508</v>
      </c>
      <c r="N681" t="s">
        <v>123</v>
      </c>
      <c r="O681">
        <v>36.1</v>
      </c>
      <c r="P681">
        <v>125</v>
      </c>
      <c r="Q681">
        <v>2959</v>
      </c>
      <c r="R681" t="s">
        <v>91</v>
      </c>
      <c r="S681" t="s">
        <v>80</v>
      </c>
      <c r="T681" t="s">
        <v>353</v>
      </c>
      <c r="U681" t="s">
        <v>61</v>
      </c>
      <c r="V681" t="s">
        <v>54</v>
      </c>
      <c r="W681" t="s">
        <v>495</v>
      </c>
      <c r="Y681" t="s">
        <v>62</v>
      </c>
      <c r="AA681">
        <v>1</v>
      </c>
      <c r="AB681" t="s">
        <v>32</v>
      </c>
      <c r="AC681" t="s">
        <v>184</v>
      </c>
      <c r="AE681" t="str">
        <f t="shared" si="202"/>
        <v>FoganWelker</v>
      </c>
      <c r="AF681">
        <v>1</v>
      </c>
      <c r="AG681">
        <v>1</v>
      </c>
      <c r="AH681">
        <v>0</v>
      </c>
      <c r="AI681">
        <v>0</v>
      </c>
      <c r="AJ681">
        <v>1</v>
      </c>
      <c r="AK681" t="s">
        <v>63</v>
      </c>
      <c r="AL681">
        <v>0.46551724137931</v>
      </c>
      <c r="AM681" t="s">
        <v>50</v>
      </c>
      <c r="AN681">
        <v>0.59523809523809501</v>
      </c>
      <c r="AO681">
        <f t="shared" si="212"/>
        <v>0</v>
      </c>
      <c r="AP681">
        <f t="shared" si="212"/>
        <v>0</v>
      </c>
      <c r="AQ681">
        <f t="shared" si="212"/>
        <v>0</v>
      </c>
      <c r="AR681">
        <f t="shared" si="212"/>
        <v>0</v>
      </c>
      <c r="AS681">
        <f t="shared" si="212"/>
        <v>0</v>
      </c>
      <c r="AT681">
        <f t="shared" si="212"/>
        <v>0</v>
      </c>
      <c r="AU681">
        <f t="shared" si="212"/>
        <v>0</v>
      </c>
      <c r="AV681">
        <f t="shared" si="212"/>
        <v>0</v>
      </c>
      <c r="AW681">
        <f t="shared" si="212"/>
        <v>0</v>
      </c>
      <c r="AX681">
        <f t="shared" si="212"/>
        <v>0</v>
      </c>
      <c r="AY681">
        <f t="shared" si="213"/>
        <v>0</v>
      </c>
      <c r="AZ681">
        <f t="shared" si="213"/>
        <v>0</v>
      </c>
      <c r="BA681">
        <f t="shared" si="213"/>
        <v>0</v>
      </c>
      <c r="BB681">
        <f t="shared" si="213"/>
        <v>0</v>
      </c>
      <c r="BC681" t="str">
        <f t="shared" si="213"/>
        <v>Fogan</v>
      </c>
      <c r="BD681">
        <f t="shared" si="213"/>
        <v>0</v>
      </c>
      <c r="BE681">
        <f t="shared" si="213"/>
        <v>0</v>
      </c>
      <c r="BF681">
        <f t="shared" si="213"/>
        <v>0</v>
      </c>
      <c r="BG681">
        <f t="shared" si="213"/>
        <v>0</v>
      </c>
      <c r="BH681">
        <f t="shared" si="213"/>
        <v>0</v>
      </c>
      <c r="BI681">
        <f t="shared" si="214"/>
        <v>0</v>
      </c>
      <c r="BJ681">
        <f t="shared" si="214"/>
        <v>0</v>
      </c>
      <c r="BK681" t="str">
        <f t="shared" si="214"/>
        <v>Welker</v>
      </c>
      <c r="BL681">
        <f t="shared" si="214"/>
        <v>0</v>
      </c>
      <c r="BM681">
        <f t="shared" si="214"/>
        <v>0</v>
      </c>
      <c r="BN681">
        <f t="shared" si="214"/>
        <v>0</v>
      </c>
      <c r="BO681">
        <f t="shared" si="214"/>
        <v>0</v>
      </c>
      <c r="BP681">
        <f t="shared" si="214"/>
        <v>0</v>
      </c>
      <c r="BQ681">
        <f t="shared" si="214"/>
        <v>0</v>
      </c>
      <c r="BR681">
        <f t="shared" si="214"/>
        <v>0</v>
      </c>
      <c r="BS681">
        <f t="shared" si="214"/>
        <v>0</v>
      </c>
    </row>
    <row r="682" spans="2:71" ht="15" customHeight="1" x14ac:dyDescent="0.2">
      <c r="B682">
        <v>21</v>
      </c>
      <c r="C682">
        <v>1</v>
      </c>
      <c r="D682">
        <v>10</v>
      </c>
      <c r="E682" t="s">
        <v>507</v>
      </c>
      <c r="F682" t="s">
        <v>214</v>
      </c>
      <c r="G682" s="5">
        <v>45142</v>
      </c>
      <c r="H682" t="s">
        <v>97</v>
      </c>
      <c r="I682" t="s">
        <v>477</v>
      </c>
      <c r="J682" t="s">
        <v>478</v>
      </c>
      <c r="K682">
        <v>9</v>
      </c>
      <c r="L682" t="s">
        <v>76</v>
      </c>
      <c r="M682" t="s">
        <v>508</v>
      </c>
      <c r="N682" t="s">
        <v>123</v>
      </c>
      <c r="O682">
        <v>36.1</v>
      </c>
      <c r="P682">
        <v>125</v>
      </c>
      <c r="Q682">
        <v>2959</v>
      </c>
      <c r="R682" t="s">
        <v>91</v>
      </c>
      <c r="S682" t="s">
        <v>80</v>
      </c>
      <c r="T682" t="s">
        <v>353</v>
      </c>
      <c r="U682" t="s">
        <v>55</v>
      </c>
      <c r="V682" t="s">
        <v>63</v>
      </c>
      <c r="W682" t="s">
        <v>496</v>
      </c>
      <c r="Y682" t="s">
        <v>50</v>
      </c>
      <c r="AA682">
        <v>1</v>
      </c>
      <c r="AB682" t="s">
        <v>33</v>
      </c>
      <c r="AC682" t="s">
        <v>184</v>
      </c>
      <c r="AE682" t="str">
        <f t="shared" si="202"/>
        <v>DelaneyFerrin</v>
      </c>
      <c r="AF682">
        <v>0</v>
      </c>
      <c r="AG682">
        <v>0</v>
      </c>
      <c r="AH682">
        <v>1</v>
      </c>
      <c r="AI682">
        <v>0</v>
      </c>
      <c r="AJ682">
        <v>0</v>
      </c>
      <c r="AK682" t="s">
        <v>54</v>
      </c>
      <c r="AL682">
        <v>0.37288135593220301</v>
      </c>
      <c r="AM682" t="s">
        <v>62</v>
      </c>
      <c r="AN682">
        <v>0.51041666666666696</v>
      </c>
      <c r="AO682">
        <f t="shared" ref="AO682:AX691" si="215">IF(OR($V682=AO$1,$Y682=AO$1),AO$1,0)</f>
        <v>0</v>
      </c>
      <c r="AP682">
        <f t="shared" si="215"/>
        <v>0</v>
      </c>
      <c r="AQ682">
        <f t="shared" si="215"/>
        <v>0</v>
      </c>
      <c r="AR682">
        <f t="shared" si="215"/>
        <v>0</v>
      </c>
      <c r="AS682">
        <f t="shared" si="215"/>
        <v>0</v>
      </c>
      <c r="AT682">
        <f t="shared" si="215"/>
        <v>0</v>
      </c>
      <c r="AU682">
        <f t="shared" si="215"/>
        <v>0</v>
      </c>
      <c r="AV682">
        <f t="shared" si="215"/>
        <v>0</v>
      </c>
      <c r="AW682">
        <f t="shared" si="215"/>
        <v>0</v>
      </c>
      <c r="AX682">
        <f t="shared" si="215"/>
        <v>0</v>
      </c>
      <c r="AY682" t="str">
        <f t="shared" ref="AY682:BH691" si="216">IF(OR($V682=AY$1,$Y682=AY$1),AY$1,0)</f>
        <v>Ferrin</v>
      </c>
      <c r="AZ682">
        <f t="shared" si="216"/>
        <v>0</v>
      </c>
      <c r="BA682">
        <f t="shared" si="216"/>
        <v>0</v>
      </c>
      <c r="BB682">
        <f t="shared" si="216"/>
        <v>0</v>
      </c>
      <c r="BC682">
        <f t="shared" si="216"/>
        <v>0</v>
      </c>
      <c r="BD682">
        <f t="shared" si="216"/>
        <v>0</v>
      </c>
      <c r="BE682">
        <f t="shared" si="216"/>
        <v>0</v>
      </c>
      <c r="BF682">
        <f t="shared" si="216"/>
        <v>0</v>
      </c>
      <c r="BG682">
        <f t="shared" si="216"/>
        <v>0</v>
      </c>
      <c r="BH682">
        <f t="shared" si="216"/>
        <v>0</v>
      </c>
      <c r="BI682">
        <f t="shared" ref="BI682:BS691" si="217">IF(OR($V682=BI$1,$Y682=BI$1),BI$1,0)</f>
        <v>0</v>
      </c>
      <c r="BJ682">
        <f t="shared" si="217"/>
        <v>0</v>
      </c>
      <c r="BK682">
        <f t="shared" si="217"/>
        <v>0</v>
      </c>
      <c r="BL682" t="str">
        <f t="shared" si="217"/>
        <v>Delaney</v>
      </c>
      <c r="BM682">
        <f t="shared" si="217"/>
        <v>0</v>
      </c>
      <c r="BN682">
        <f t="shared" si="217"/>
        <v>0</v>
      </c>
      <c r="BO682">
        <f t="shared" si="217"/>
        <v>0</v>
      </c>
      <c r="BP682">
        <f t="shared" si="217"/>
        <v>0</v>
      </c>
      <c r="BQ682">
        <f t="shared" si="217"/>
        <v>0</v>
      </c>
      <c r="BR682">
        <f t="shared" si="217"/>
        <v>0</v>
      </c>
      <c r="BS682">
        <f t="shared" si="217"/>
        <v>0</v>
      </c>
    </row>
    <row r="683" spans="2:71" ht="15" customHeight="1" x14ac:dyDescent="0.2">
      <c r="B683">
        <v>22</v>
      </c>
      <c r="C683">
        <v>2</v>
      </c>
      <c r="D683">
        <v>10</v>
      </c>
      <c r="E683" t="s">
        <v>509</v>
      </c>
      <c r="F683" t="s">
        <v>214</v>
      </c>
      <c r="G683" s="5">
        <v>45142</v>
      </c>
      <c r="H683" t="s">
        <v>97</v>
      </c>
      <c r="I683" t="s">
        <v>477</v>
      </c>
      <c r="J683" t="s">
        <v>478</v>
      </c>
      <c r="K683">
        <v>9</v>
      </c>
      <c r="L683" t="s">
        <v>76</v>
      </c>
      <c r="M683" t="s">
        <v>508</v>
      </c>
      <c r="N683" t="s">
        <v>123</v>
      </c>
      <c r="O683">
        <v>36.1</v>
      </c>
      <c r="P683">
        <v>125</v>
      </c>
      <c r="Q683">
        <v>2959</v>
      </c>
      <c r="R683" t="s">
        <v>91</v>
      </c>
      <c r="S683" t="s">
        <v>80</v>
      </c>
      <c r="T683" t="s">
        <v>353</v>
      </c>
      <c r="U683" t="s">
        <v>55</v>
      </c>
      <c r="V683" t="s">
        <v>41</v>
      </c>
      <c r="W683" t="s">
        <v>496</v>
      </c>
      <c r="Y683" t="s">
        <v>48</v>
      </c>
      <c r="AA683">
        <v>1</v>
      </c>
      <c r="AB683" t="s">
        <v>32</v>
      </c>
      <c r="AC683" t="s">
        <v>249</v>
      </c>
      <c r="AE683" t="str">
        <f t="shared" si="202"/>
        <v>HiltsLynch</v>
      </c>
      <c r="AF683">
        <v>1</v>
      </c>
      <c r="AG683">
        <v>1</v>
      </c>
      <c r="AH683">
        <v>0</v>
      </c>
      <c r="AI683">
        <v>0</v>
      </c>
      <c r="AJ683">
        <v>1</v>
      </c>
      <c r="AK683" t="s">
        <v>53</v>
      </c>
      <c r="AL683">
        <v>0.59649122807017496</v>
      </c>
      <c r="AM683" t="s">
        <v>46</v>
      </c>
      <c r="AN683">
        <v>0.38392857142857201</v>
      </c>
      <c r="AO683">
        <f t="shared" si="215"/>
        <v>0</v>
      </c>
      <c r="AP683" t="str">
        <f t="shared" si="215"/>
        <v>Hilts</v>
      </c>
      <c r="AQ683">
        <f t="shared" si="215"/>
        <v>0</v>
      </c>
      <c r="AR683">
        <f t="shared" si="215"/>
        <v>0</v>
      </c>
      <c r="AS683">
        <f t="shared" si="215"/>
        <v>0</v>
      </c>
      <c r="AT683">
        <f t="shared" si="215"/>
        <v>0</v>
      </c>
      <c r="AU683">
        <f t="shared" si="215"/>
        <v>0</v>
      </c>
      <c r="AV683">
        <f t="shared" si="215"/>
        <v>0</v>
      </c>
      <c r="AW683" t="str">
        <f t="shared" si="215"/>
        <v>Lynch</v>
      </c>
      <c r="AX683">
        <f t="shared" si="215"/>
        <v>0</v>
      </c>
      <c r="AY683">
        <f t="shared" si="216"/>
        <v>0</v>
      </c>
      <c r="AZ683">
        <f t="shared" si="216"/>
        <v>0</v>
      </c>
      <c r="BA683">
        <f t="shared" si="216"/>
        <v>0</v>
      </c>
      <c r="BB683">
        <f t="shared" si="216"/>
        <v>0</v>
      </c>
      <c r="BC683">
        <f t="shared" si="216"/>
        <v>0</v>
      </c>
      <c r="BD683">
        <f t="shared" si="216"/>
        <v>0</v>
      </c>
      <c r="BE683">
        <f t="shared" si="216"/>
        <v>0</v>
      </c>
      <c r="BF683">
        <f t="shared" si="216"/>
        <v>0</v>
      </c>
      <c r="BG683">
        <f t="shared" si="216"/>
        <v>0</v>
      </c>
      <c r="BH683">
        <f t="shared" si="216"/>
        <v>0</v>
      </c>
      <c r="BI683">
        <f t="shared" si="217"/>
        <v>0</v>
      </c>
      <c r="BJ683">
        <f t="shared" si="217"/>
        <v>0</v>
      </c>
      <c r="BK683">
        <f t="shared" si="217"/>
        <v>0</v>
      </c>
      <c r="BL683">
        <f t="shared" si="217"/>
        <v>0</v>
      </c>
      <c r="BM683">
        <f t="shared" si="217"/>
        <v>0</v>
      </c>
      <c r="BN683">
        <f t="shared" si="217"/>
        <v>0</v>
      </c>
      <c r="BO683">
        <f t="shared" si="217"/>
        <v>0</v>
      </c>
      <c r="BP683">
        <f t="shared" si="217"/>
        <v>0</v>
      </c>
      <c r="BQ683">
        <f t="shared" si="217"/>
        <v>0</v>
      </c>
      <c r="BR683">
        <f t="shared" si="217"/>
        <v>0</v>
      </c>
      <c r="BS683">
        <f t="shared" si="217"/>
        <v>0</v>
      </c>
    </row>
    <row r="684" spans="2:71" ht="15" customHeight="1" x14ac:dyDescent="0.2">
      <c r="B684">
        <v>22</v>
      </c>
      <c r="C684">
        <v>2</v>
      </c>
      <c r="D684">
        <v>10</v>
      </c>
      <c r="E684" t="s">
        <v>509</v>
      </c>
      <c r="F684" t="s">
        <v>214</v>
      </c>
      <c r="G684" s="5">
        <v>45142</v>
      </c>
      <c r="H684" t="s">
        <v>97</v>
      </c>
      <c r="I684" t="s">
        <v>477</v>
      </c>
      <c r="J684" t="s">
        <v>478</v>
      </c>
      <c r="K684">
        <v>9</v>
      </c>
      <c r="L684" t="s">
        <v>76</v>
      </c>
      <c r="M684" t="s">
        <v>508</v>
      </c>
      <c r="N684" t="s">
        <v>123</v>
      </c>
      <c r="O684">
        <v>36.1</v>
      </c>
      <c r="P684">
        <v>125</v>
      </c>
      <c r="Q684">
        <v>2959</v>
      </c>
      <c r="R684" t="s">
        <v>91</v>
      </c>
      <c r="S684" t="s">
        <v>80</v>
      </c>
      <c r="T684" t="s">
        <v>353</v>
      </c>
      <c r="U684" t="s">
        <v>61</v>
      </c>
      <c r="V684" t="s">
        <v>53</v>
      </c>
      <c r="W684" t="s">
        <v>495</v>
      </c>
      <c r="Y684" t="s">
        <v>46</v>
      </c>
      <c r="AA684">
        <v>1</v>
      </c>
      <c r="AB684" t="s">
        <v>33</v>
      </c>
      <c r="AC684" t="s">
        <v>356</v>
      </c>
      <c r="AE684" t="str">
        <f t="shared" si="202"/>
        <v>ForsterMangold</v>
      </c>
      <c r="AF684">
        <v>0</v>
      </c>
      <c r="AG684">
        <v>0</v>
      </c>
      <c r="AH684">
        <v>1</v>
      </c>
      <c r="AI684">
        <v>0</v>
      </c>
      <c r="AJ684">
        <v>0</v>
      </c>
      <c r="AK684" t="s">
        <v>41</v>
      </c>
      <c r="AL684">
        <v>0.47321428571428598</v>
      </c>
      <c r="AM684" t="s">
        <v>48</v>
      </c>
      <c r="AN684">
        <v>0.5546875</v>
      </c>
      <c r="AO684">
        <f t="shared" si="215"/>
        <v>0</v>
      </c>
      <c r="AP684">
        <f t="shared" si="215"/>
        <v>0</v>
      </c>
      <c r="AQ684">
        <f t="shared" si="215"/>
        <v>0</v>
      </c>
      <c r="AR684">
        <f t="shared" si="215"/>
        <v>0</v>
      </c>
      <c r="AS684">
        <f t="shared" si="215"/>
        <v>0</v>
      </c>
      <c r="AT684">
        <f t="shared" si="215"/>
        <v>0</v>
      </c>
      <c r="AU684" t="str">
        <f t="shared" si="215"/>
        <v>Mangold</v>
      </c>
      <c r="AV684">
        <f t="shared" si="215"/>
        <v>0</v>
      </c>
      <c r="AW684">
        <f t="shared" si="215"/>
        <v>0</v>
      </c>
      <c r="AX684">
        <f t="shared" si="215"/>
        <v>0</v>
      </c>
      <c r="AY684">
        <f t="shared" si="216"/>
        <v>0</v>
      </c>
      <c r="AZ684">
        <f t="shared" si="216"/>
        <v>0</v>
      </c>
      <c r="BA684">
        <f t="shared" si="216"/>
        <v>0</v>
      </c>
      <c r="BB684" t="str">
        <f t="shared" si="216"/>
        <v>Forster</v>
      </c>
      <c r="BC684">
        <f t="shared" si="216"/>
        <v>0</v>
      </c>
      <c r="BD684">
        <f t="shared" si="216"/>
        <v>0</v>
      </c>
      <c r="BE684">
        <f t="shared" si="216"/>
        <v>0</v>
      </c>
      <c r="BF684">
        <f t="shared" si="216"/>
        <v>0</v>
      </c>
      <c r="BG684">
        <f t="shared" si="216"/>
        <v>0</v>
      </c>
      <c r="BH684">
        <f t="shared" si="216"/>
        <v>0</v>
      </c>
      <c r="BI684">
        <f t="shared" si="217"/>
        <v>0</v>
      </c>
      <c r="BJ684">
        <f t="shared" si="217"/>
        <v>0</v>
      </c>
      <c r="BK684">
        <f t="shared" si="217"/>
        <v>0</v>
      </c>
      <c r="BL684">
        <f t="shared" si="217"/>
        <v>0</v>
      </c>
      <c r="BM684">
        <f t="shared" si="217"/>
        <v>0</v>
      </c>
      <c r="BN684">
        <f t="shared" si="217"/>
        <v>0</v>
      </c>
      <c r="BO684">
        <f t="shared" si="217"/>
        <v>0</v>
      </c>
      <c r="BP684">
        <f t="shared" si="217"/>
        <v>0</v>
      </c>
      <c r="BQ684">
        <f t="shared" si="217"/>
        <v>0</v>
      </c>
      <c r="BR684">
        <f t="shared" si="217"/>
        <v>0</v>
      </c>
      <c r="BS684">
        <f t="shared" si="217"/>
        <v>0</v>
      </c>
    </row>
    <row r="685" spans="2:71" ht="15" customHeight="1" x14ac:dyDescent="0.2">
      <c r="B685">
        <v>23</v>
      </c>
      <c r="C685">
        <v>3</v>
      </c>
      <c r="D685">
        <v>10</v>
      </c>
      <c r="E685" t="s">
        <v>510</v>
      </c>
      <c r="F685" t="s">
        <v>214</v>
      </c>
      <c r="G685" s="5">
        <v>45142</v>
      </c>
      <c r="H685" t="s">
        <v>97</v>
      </c>
      <c r="I685" t="s">
        <v>477</v>
      </c>
      <c r="J685" t="s">
        <v>478</v>
      </c>
      <c r="K685">
        <v>9</v>
      </c>
      <c r="L685" t="s">
        <v>76</v>
      </c>
      <c r="M685" t="s">
        <v>508</v>
      </c>
      <c r="N685" t="s">
        <v>123</v>
      </c>
      <c r="O685">
        <v>36.1</v>
      </c>
      <c r="P685">
        <v>125</v>
      </c>
      <c r="Q685">
        <v>2959</v>
      </c>
      <c r="R685" t="s">
        <v>91</v>
      </c>
      <c r="S685" t="s">
        <v>80</v>
      </c>
      <c r="T685" t="s">
        <v>353</v>
      </c>
      <c r="U685" t="s">
        <v>61</v>
      </c>
      <c r="V685" t="s">
        <v>58</v>
      </c>
      <c r="W685" t="s">
        <v>495</v>
      </c>
      <c r="Y685" t="s">
        <v>42</v>
      </c>
      <c r="AA685">
        <v>1</v>
      </c>
      <c r="AB685" t="s">
        <v>32</v>
      </c>
      <c r="AC685" t="s">
        <v>184</v>
      </c>
      <c r="AE685" t="str">
        <f t="shared" si="202"/>
        <v>GrayJackson</v>
      </c>
      <c r="AF685">
        <v>1</v>
      </c>
      <c r="AG685">
        <v>1</v>
      </c>
      <c r="AH685">
        <v>0</v>
      </c>
      <c r="AI685">
        <v>0</v>
      </c>
      <c r="AJ685">
        <v>1</v>
      </c>
      <c r="AK685" t="s">
        <v>44</v>
      </c>
      <c r="AL685">
        <v>0.4296875</v>
      </c>
      <c r="AM685" t="s">
        <v>40</v>
      </c>
      <c r="AN685">
        <v>0.546875</v>
      </c>
      <c r="AO685">
        <f t="shared" si="215"/>
        <v>0</v>
      </c>
      <c r="AP685">
        <f t="shared" si="215"/>
        <v>0</v>
      </c>
      <c r="AQ685" t="str">
        <f t="shared" si="215"/>
        <v>Jackson</v>
      </c>
      <c r="AR685">
        <f t="shared" si="215"/>
        <v>0</v>
      </c>
      <c r="AS685">
        <f t="shared" si="215"/>
        <v>0</v>
      </c>
      <c r="AT685">
        <f t="shared" si="215"/>
        <v>0</v>
      </c>
      <c r="AU685">
        <f t="shared" si="215"/>
        <v>0</v>
      </c>
      <c r="AV685">
        <f t="shared" si="215"/>
        <v>0</v>
      </c>
      <c r="AW685">
        <f t="shared" si="215"/>
        <v>0</v>
      </c>
      <c r="AX685">
        <f t="shared" si="215"/>
        <v>0</v>
      </c>
      <c r="AY685">
        <f t="shared" si="216"/>
        <v>0</v>
      </c>
      <c r="AZ685">
        <f t="shared" si="216"/>
        <v>0</v>
      </c>
      <c r="BA685">
        <f t="shared" si="216"/>
        <v>0</v>
      </c>
      <c r="BB685">
        <f t="shared" si="216"/>
        <v>0</v>
      </c>
      <c r="BC685">
        <f t="shared" si="216"/>
        <v>0</v>
      </c>
      <c r="BD685">
        <f t="shared" si="216"/>
        <v>0</v>
      </c>
      <c r="BE685">
        <f t="shared" si="216"/>
        <v>0</v>
      </c>
      <c r="BF685">
        <f t="shared" si="216"/>
        <v>0</v>
      </c>
      <c r="BG685" t="str">
        <f t="shared" si="216"/>
        <v>Gray</v>
      </c>
      <c r="BH685">
        <f t="shared" si="216"/>
        <v>0</v>
      </c>
      <c r="BI685">
        <f t="shared" si="217"/>
        <v>0</v>
      </c>
      <c r="BJ685">
        <f t="shared" si="217"/>
        <v>0</v>
      </c>
      <c r="BK685">
        <f t="shared" si="217"/>
        <v>0</v>
      </c>
      <c r="BL685">
        <f t="shared" si="217"/>
        <v>0</v>
      </c>
      <c r="BM685">
        <f t="shared" si="217"/>
        <v>0</v>
      </c>
      <c r="BN685">
        <f t="shared" si="217"/>
        <v>0</v>
      </c>
      <c r="BO685">
        <f t="shared" si="217"/>
        <v>0</v>
      </c>
      <c r="BP685">
        <f t="shared" si="217"/>
        <v>0</v>
      </c>
      <c r="BQ685">
        <f t="shared" si="217"/>
        <v>0</v>
      </c>
      <c r="BR685">
        <f t="shared" si="217"/>
        <v>0</v>
      </c>
      <c r="BS685">
        <f t="shared" si="217"/>
        <v>0</v>
      </c>
    </row>
    <row r="686" spans="2:71" ht="15" customHeight="1" x14ac:dyDescent="0.2">
      <c r="B686">
        <v>23</v>
      </c>
      <c r="C686">
        <v>3</v>
      </c>
      <c r="D686">
        <v>10</v>
      </c>
      <c r="E686" t="s">
        <v>510</v>
      </c>
      <c r="F686" t="s">
        <v>214</v>
      </c>
      <c r="G686" s="5">
        <v>45142</v>
      </c>
      <c r="H686" t="s">
        <v>97</v>
      </c>
      <c r="I686" t="s">
        <v>477</v>
      </c>
      <c r="J686" t="s">
        <v>478</v>
      </c>
      <c r="K686">
        <v>9</v>
      </c>
      <c r="L686" t="s">
        <v>76</v>
      </c>
      <c r="M686" t="s">
        <v>508</v>
      </c>
      <c r="N686" t="s">
        <v>123</v>
      </c>
      <c r="O686">
        <v>36.1</v>
      </c>
      <c r="P686">
        <v>125</v>
      </c>
      <c r="Q686">
        <v>2959</v>
      </c>
      <c r="R686" t="s">
        <v>91</v>
      </c>
      <c r="S686" t="s">
        <v>80</v>
      </c>
      <c r="T686" t="s">
        <v>353</v>
      </c>
      <c r="U686" t="s">
        <v>55</v>
      </c>
      <c r="V686" t="s">
        <v>44</v>
      </c>
      <c r="W686" t="s">
        <v>496</v>
      </c>
      <c r="Y686" t="s">
        <v>40</v>
      </c>
      <c r="AA686">
        <v>1</v>
      </c>
      <c r="AB686" t="s">
        <v>33</v>
      </c>
      <c r="AC686" t="s">
        <v>184</v>
      </c>
      <c r="AE686" t="str">
        <f t="shared" si="202"/>
        <v>FlandersGrise</v>
      </c>
      <c r="AF686">
        <v>0</v>
      </c>
      <c r="AG686">
        <v>0</v>
      </c>
      <c r="AH686">
        <v>1</v>
      </c>
      <c r="AI686">
        <v>0</v>
      </c>
      <c r="AJ686">
        <v>0</v>
      </c>
      <c r="AK686" t="s">
        <v>58</v>
      </c>
      <c r="AL686">
        <v>0.65476190476190499</v>
      </c>
      <c r="AM686" t="s">
        <v>42</v>
      </c>
      <c r="AN686">
        <v>0.6171875</v>
      </c>
      <c r="AO686" t="str">
        <f t="shared" si="215"/>
        <v>Grise</v>
      </c>
      <c r="AP686">
        <f t="shared" si="215"/>
        <v>0</v>
      </c>
      <c r="AQ686">
        <f t="shared" si="215"/>
        <v>0</v>
      </c>
      <c r="AR686">
        <f t="shared" si="215"/>
        <v>0</v>
      </c>
      <c r="AS686" t="str">
        <f t="shared" si="215"/>
        <v>Flanders</v>
      </c>
      <c r="AT686">
        <f t="shared" si="215"/>
        <v>0</v>
      </c>
      <c r="AU686">
        <f t="shared" si="215"/>
        <v>0</v>
      </c>
      <c r="AV686">
        <f t="shared" si="215"/>
        <v>0</v>
      </c>
      <c r="AW686">
        <f t="shared" si="215"/>
        <v>0</v>
      </c>
      <c r="AX686">
        <f t="shared" si="215"/>
        <v>0</v>
      </c>
      <c r="AY686">
        <f t="shared" si="216"/>
        <v>0</v>
      </c>
      <c r="AZ686">
        <f t="shared" si="216"/>
        <v>0</v>
      </c>
      <c r="BA686">
        <f t="shared" si="216"/>
        <v>0</v>
      </c>
      <c r="BB686">
        <f t="shared" si="216"/>
        <v>0</v>
      </c>
      <c r="BC686">
        <f t="shared" si="216"/>
        <v>0</v>
      </c>
      <c r="BD686">
        <f t="shared" si="216"/>
        <v>0</v>
      </c>
      <c r="BE686">
        <f t="shared" si="216"/>
        <v>0</v>
      </c>
      <c r="BF686">
        <f t="shared" si="216"/>
        <v>0</v>
      </c>
      <c r="BG686">
        <f t="shared" si="216"/>
        <v>0</v>
      </c>
      <c r="BH686">
        <f t="shared" si="216"/>
        <v>0</v>
      </c>
      <c r="BI686">
        <f t="shared" si="217"/>
        <v>0</v>
      </c>
      <c r="BJ686">
        <f t="shared" si="217"/>
        <v>0</v>
      </c>
      <c r="BK686">
        <f t="shared" si="217"/>
        <v>0</v>
      </c>
      <c r="BL686">
        <f t="shared" si="217"/>
        <v>0</v>
      </c>
      <c r="BM686">
        <f t="shared" si="217"/>
        <v>0</v>
      </c>
      <c r="BN686">
        <f t="shared" si="217"/>
        <v>0</v>
      </c>
      <c r="BO686">
        <f t="shared" si="217"/>
        <v>0</v>
      </c>
      <c r="BP686">
        <f t="shared" si="217"/>
        <v>0</v>
      </c>
      <c r="BQ686">
        <f t="shared" si="217"/>
        <v>0</v>
      </c>
      <c r="BR686">
        <f t="shared" si="217"/>
        <v>0</v>
      </c>
      <c r="BS686">
        <f t="shared" si="217"/>
        <v>0</v>
      </c>
    </row>
    <row r="687" spans="2:71" ht="15" customHeight="1" x14ac:dyDescent="0.2">
      <c r="B687">
        <v>24</v>
      </c>
      <c r="C687">
        <v>4</v>
      </c>
      <c r="D687">
        <v>10</v>
      </c>
      <c r="E687" t="s">
        <v>511</v>
      </c>
      <c r="F687" t="s">
        <v>214</v>
      </c>
      <c r="G687" s="5">
        <v>45142</v>
      </c>
      <c r="H687" t="s">
        <v>97</v>
      </c>
      <c r="I687" t="s">
        <v>477</v>
      </c>
      <c r="J687" t="s">
        <v>478</v>
      </c>
      <c r="K687">
        <v>9</v>
      </c>
      <c r="L687" t="s">
        <v>76</v>
      </c>
      <c r="M687" t="s">
        <v>508</v>
      </c>
      <c r="N687" t="s">
        <v>123</v>
      </c>
      <c r="O687">
        <v>36.1</v>
      </c>
      <c r="P687">
        <v>125</v>
      </c>
      <c r="Q687">
        <v>2959</v>
      </c>
      <c r="R687" t="s">
        <v>91</v>
      </c>
      <c r="S687" t="s">
        <v>80</v>
      </c>
      <c r="T687" t="s">
        <v>353</v>
      </c>
      <c r="U687" t="s">
        <v>55</v>
      </c>
      <c r="V687" t="s">
        <v>55</v>
      </c>
      <c r="W687" t="s">
        <v>496</v>
      </c>
      <c r="Y687" t="s">
        <v>45</v>
      </c>
      <c r="AA687">
        <v>1</v>
      </c>
      <c r="AB687" t="s">
        <v>32</v>
      </c>
      <c r="AC687" t="s">
        <v>171</v>
      </c>
      <c r="AE687" t="str">
        <f t="shared" si="202"/>
        <v>ColeConnolly</v>
      </c>
      <c r="AF687">
        <v>1</v>
      </c>
      <c r="AG687">
        <v>1</v>
      </c>
      <c r="AH687">
        <v>0</v>
      </c>
      <c r="AI687">
        <v>0</v>
      </c>
      <c r="AJ687">
        <v>1</v>
      </c>
      <c r="AK687" t="s">
        <v>61</v>
      </c>
      <c r="AL687">
        <v>0.5</v>
      </c>
      <c r="AM687" t="s">
        <v>60</v>
      </c>
      <c r="AN687">
        <v>0.5</v>
      </c>
      <c r="AO687">
        <f t="shared" si="215"/>
        <v>0</v>
      </c>
      <c r="AP687">
        <f t="shared" si="215"/>
        <v>0</v>
      </c>
      <c r="AQ687">
        <f t="shared" si="215"/>
        <v>0</v>
      </c>
      <c r="AR687">
        <f t="shared" si="215"/>
        <v>0</v>
      </c>
      <c r="AS687">
        <f t="shared" si="215"/>
        <v>0</v>
      </c>
      <c r="AT687" t="str">
        <f t="shared" si="215"/>
        <v>Connolly</v>
      </c>
      <c r="AU687">
        <f t="shared" si="215"/>
        <v>0</v>
      </c>
      <c r="AV687">
        <f t="shared" si="215"/>
        <v>0</v>
      </c>
      <c r="AW687">
        <f t="shared" si="215"/>
        <v>0</v>
      </c>
      <c r="AX687">
        <f t="shared" si="215"/>
        <v>0</v>
      </c>
      <c r="AY687">
        <f t="shared" si="216"/>
        <v>0</v>
      </c>
      <c r="AZ687">
        <f t="shared" si="216"/>
        <v>0</v>
      </c>
      <c r="BA687">
        <f t="shared" si="216"/>
        <v>0</v>
      </c>
      <c r="BB687">
        <f t="shared" si="216"/>
        <v>0</v>
      </c>
      <c r="BC687">
        <f t="shared" si="216"/>
        <v>0</v>
      </c>
      <c r="BD687" t="str">
        <f t="shared" si="216"/>
        <v>Cole</v>
      </c>
      <c r="BE687">
        <f t="shared" si="216"/>
        <v>0</v>
      </c>
      <c r="BF687">
        <f t="shared" si="216"/>
        <v>0</v>
      </c>
      <c r="BG687">
        <f t="shared" si="216"/>
        <v>0</v>
      </c>
      <c r="BH687">
        <f t="shared" si="216"/>
        <v>0</v>
      </c>
      <c r="BI687">
        <f t="shared" si="217"/>
        <v>0</v>
      </c>
      <c r="BJ687">
        <f t="shared" si="217"/>
        <v>0</v>
      </c>
      <c r="BK687">
        <f t="shared" si="217"/>
        <v>0</v>
      </c>
      <c r="BL687">
        <f t="shared" si="217"/>
        <v>0</v>
      </c>
      <c r="BM687">
        <f t="shared" si="217"/>
        <v>0</v>
      </c>
      <c r="BN687">
        <f t="shared" si="217"/>
        <v>0</v>
      </c>
      <c r="BO687">
        <f t="shared" si="217"/>
        <v>0</v>
      </c>
      <c r="BP687">
        <f t="shared" si="217"/>
        <v>0</v>
      </c>
      <c r="BQ687">
        <f t="shared" si="217"/>
        <v>0</v>
      </c>
      <c r="BR687">
        <f t="shared" si="217"/>
        <v>0</v>
      </c>
      <c r="BS687">
        <f t="shared" si="217"/>
        <v>0</v>
      </c>
    </row>
    <row r="688" spans="2:71" ht="15" customHeight="1" x14ac:dyDescent="0.2">
      <c r="B688">
        <v>24</v>
      </c>
      <c r="C688">
        <v>4</v>
      </c>
      <c r="D688">
        <v>10</v>
      </c>
      <c r="E688" t="s">
        <v>511</v>
      </c>
      <c r="F688" t="s">
        <v>214</v>
      </c>
      <c r="G688" s="5">
        <v>45142</v>
      </c>
      <c r="H688" t="s">
        <v>97</v>
      </c>
      <c r="I688" t="s">
        <v>477</v>
      </c>
      <c r="J688" t="s">
        <v>478</v>
      </c>
      <c r="K688">
        <v>9</v>
      </c>
      <c r="L688" t="s">
        <v>76</v>
      </c>
      <c r="M688" t="s">
        <v>508</v>
      </c>
      <c r="N688" t="s">
        <v>123</v>
      </c>
      <c r="O688">
        <v>36.1</v>
      </c>
      <c r="P688">
        <v>125</v>
      </c>
      <c r="Q688">
        <v>2959</v>
      </c>
      <c r="R688" t="s">
        <v>91</v>
      </c>
      <c r="S688" t="s">
        <v>80</v>
      </c>
      <c r="T688" t="s">
        <v>353</v>
      </c>
      <c r="U688" t="s">
        <v>61</v>
      </c>
      <c r="V688" t="s">
        <v>61</v>
      </c>
      <c r="W688" t="s">
        <v>495</v>
      </c>
      <c r="Y688" t="s">
        <v>60</v>
      </c>
      <c r="AA688">
        <v>1</v>
      </c>
      <c r="AB688" t="s">
        <v>33</v>
      </c>
      <c r="AC688" t="s">
        <v>171</v>
      </c>
      <c r="AE688" t="str">
        <f t="shared" si="202"/>
        <v>McInerneyZimmer</v>
      </c>
      <c r="AF688">
        <v>0</v>
      </c>
      <c r="AG688">
        <v>0</v>
      </c>
      <c r="AH688">
        <v>1</v>
      </c>
      <c r="AI688">
        <v>0</v>
      </c>
      <c r="AJ688">
        <v>0</v>
      </c>
      <c r="AK688" t="s">
        <v>55</v>
      </c>
      <c r="AL688">
        <v>0.44067796610169502</v>
      </c>
      <c r="AM688" t="s">
        <v>45</v>
      </c>
      <c r="AN688">
        <v>0.59375</v>
      </c>
      <c r="AO688">
        <f t="shared" si="215"/>
        <v>0</v>
      </c>
      <c r="AP688">
        <f t="shared" si="215"/>
        <v>0</v>
      </c>
      <c r="AQ688">
        <f t="shared" si="215"/>
        <v>0</v>
      </c>
      <c r="AR688">
        <f t="shared" si="215"/>
        <v>0</v>
      </c>
      <c r="AS688">
        <f t="shared" si="215"/>
        <v>0</v>
      </c>
      <c r="AT688">
        <f t="shared" si="215"/>
        <v>0</v>
      </c>
      <c r="AU688">
        <f t="shared" si="215"/>
        <v>0</v>
      </c>
      <c r="AV688">
        <f t="shared" si="215"/>
        <v>0</v>
      </c>
      <c r="AW688">
        <f t="shared" si="215"/>
        <v>0</v>
      </c>
      <c r="AX688">
        <f t="shared" si="215"/>
        <v>0</v>
      </c>
      <c r="AY688">
        <f t="shared" si="216"/>
        <v>0</v>
      </c>
      <c r="AZ688">
        <f t="shared" si="216"/>
        <v>0</v>
      </c>
      <c r="BA688">
        <f t="shared" si="216"/>
        <v>0</v>
      </c>
      <c r="BB688">
        <f t="shared" si="216"/>
        <v>0</v>
      </c>
      <c r="BC688">
        <f t="shared" si="216"/>
        <v>0</v>
      </c>
      <c r="BD688">
        <f t="shared" si="216"/>
        <v>0</v>
      </c>
      <c r="BE688">
        <f t="shared" si="216"/>
        <v>0</v>
      </c>
      <c r="BF688">
        <f t="shared" si="216"/>
        <v>0</v>
      </c>
      <c r="BG688">
        <f t="shared" si="216"/>
        <v>0</v>
      </c>
      <c r="BH688">
        <f t="shared" si="216"/>
        <v>0</v>
      </c>
      <c r="BI688" t="str">
        <f t="shared" si="217"/>
        <v>Zimmer</v>
      </c>
      <c r="BJ688" t="str">
        <f t="shared" si="217"/>
        <v>McInerney</v>
      </c>
      <c r="BK688">
        <f t="shared" si="217"/>
        <v>0</v>
      </c>
      <c r="BL688">
        <f t="shared" si="217"/>
        <v>0</v>
      </c>
      <c r="BM688">
        <f t="shared" si="217"/>
        <v>0</v>
      </c>
      <c r="BN688">
        <f t="shared" si="217"/>
        <v>0</v>
      </c>
      <c r="BO688">
        <f t="shared" si="217"/>
        <v>0</v>
      </c>
      <c r="BP688">
        <f t="shared" si="217"/>
        <v>0</v>
      </c>
      <c r="BQ688">
        <f t="shared" si="217"/>
        <v>0</v>
      </c>
      <c r="BR688">
        <f t="shared" si="217"/>
        <v>0</v>
      </c>
      <c r="BS688">
        <f t="shared" si="217"/>
        <v>0</v>
      </c>
    </row>
    <row r="689" spans="2:71" ht="15" customHeight="1" x14ac:dyDescent="0.2">
      <c r="B689">
        <v>25</v>
      </c>
      <c r="C689">
        <v>5</v>
      </c>
      <c r="D689">
        <v>10</v>
      </c>
      <c r="E689" t="s">
        <v>512</v>
      </c>
      <c r="F689" t="s">
        <v>214</v>
      </c>
      <c r="G689" s="5">
        <v>45142</v>
      </c>
      <c r="H689" t="s">
        <v>97</v>
      </c>
      <c r="I689" t="s">
        <v>477</v>
      </c>
      <c r="J689" t="s">
        <v>478</v>
      </c>
      <c r="K689">
        <v>9</v>
      </c>
      <c r="L689" t="s">
        <v>76</v>
      </c>
      <c r="M689" t="s">
        <v>508</v>
      </c>
      <c r="N689" t="s">
        <v>123</v>
      </c>
      <c r="O689">
        <v>36.1</v>
      </c>
      <c r="P689">
        <v>125</v>
      </c>
      <c r="Q689">
        <v>2959</v>
      </c>
      <c r="R689" t="s">
        <v>91</v>
      </c>
      <c r="S689" t="s">
        <v>80</v>
      </c>
      <c r="T689" t="s">
        <v>353</v>
      </c>
      <c r="U689" t="s">
        <v>61</v>
      </c>
      <c r="V689" t="s">
        <v>52</v>
      </c>
      <c r="W689" t="s">
        <v>495</v>
      </c>
      <c r="Y689" t="s">
        <v>64</v>
      </c>
      <c r="AA689">
        <v>1</v>
      </c>
      <c r="AB689" t="s">
        <v>32</v>
      </c>
      <c r="AC689" t="s">
        <v>174</v>
      </c>
      <c r="AE689" t="str">
        <f t="shared" si="202"/>
        <v>ConnorsDelneky</v>
      </c>
      <c r="AF689">
        <v>1</v>
      </c>
      <c r="AG689">
        <v>1</v>
      </c>
      <c r="AH689">
        <v>0</v>
      </c>
      <c r="AI689">
        <v>0</v>
      </c>
      <c r="AJ689">
        <v>1</v>
      </c>
      <c r="AK689" t="s">
        <v>69</v>
      </c>
      <c r="AL689">
        <v>0.33333333333333298</v>
      </c>
      <c r="AM689" t="s">
        <v>66</v>
      </c>
      <c r="AN689">
        <v>0.63888888888888895</v>
      </c>
      <c r="AO689">
        <f t="shared" si="215"/>
        <v>0</v>
      </c>
      <c r="AP689">
        <f t="shared" si="215"/>
        <v>0</v>
      </c>
      <c r="AQ689">
        <f t="shared" si="215"/>
        <v>0</v>
      </c>
      <c r="AR689">
        <f t="shared" si="215"/>
        <v>0</v>
      </c>
      <c r="AS689">
        <f t="shared" si="215"/>
        <v>0</v>
      </c>
      <c r="AT689">
        <f t="shared" si="215"/>
        <v>0</v>
      </c>
      <c r="AU689">
        <f t="shared" si="215"/>
        <v>0</v>
      </c>
      <c r="AV689">
        <f t="shared" si="215"/>
        <v>0</v>
      </c>
      <c r="AW689">
        <f t="shared" si="215"/>
        <v>0</v>
      </c>
      <c r="AX689">
        <f t="shared" si="215"/>
        <v>0</v>
      </c>
      <c r="AY689">
        <f t="shared" si="216"/>
        <v>0</v>
      </c>
      <c r="AZ689">
        <f t="shared" si="216"/>
        <v>0</v>
      </c>
      <c r="BA689" t="str">
        <f t="shared" si="216"/>
        <v>Connors</v>
      </c>
      <c r="BB689">
        <f t="shared" si="216"/>
        <v>0</v>
      </c>
      <c r="BC689">
        <f t="shared" si="216"/>
        <v>0</v>
      </c>
      <c r="BD689">
        <f t="shared" si="216"/>
        <v>0</v>
      </c>
      <c r="BE689">
        <f t="shared" si="216"/>
        <v>0</v>
      </c>
      <c r="BF689">
        <f t="shared" si="216"/>
        <v>0</v>
      </c>
      <c r="BG689">
        <f t="shared" si="216"/>
        <v>0</v>
      </c>
      <c r="BH689">
        <f t="shared" si="216"/>
        <v>0</v>
      </c>
      <c r="BI689">
        <f t="shared" si="217"/>
        <v>0</v>
      </c>
      <c r="BJ689">
        <f t="shared" si="217"/>
        <v>0</v>
      </c>
      <c r="BK689">
        <f t="shared" si="217"/>
        <v>0</v>
      </c>
      <c r="BL689">
        <f t="shared" si="217"/>
        <v>0</v>
      </c>
      <c r="BM689" t="str">
        <f t="shared" si="217"/>
        <v>Delneky</v>
      </c>
      <c r="BN689">
        <f t="shared" si="217"/>
        <v>0</v>
      </c>
      <c r="BO689">
        <f t="shared" si="217"/>
        <v>0</v>
      </c>
      <c r="BP689">
        <f t="shared" si="217"/>
        <v>0</v>
      </c>
      <c r="BQ689">
        <f t="shared" si="217"/>
        <v>0</v>
      </c>
      <c r="BR689">
        <f t="shared" si="217"/>
        <v>0</v>
      </c>
      <c r="BS689">
        <f t="shared" si="217"/>
        <v>0</v>
      </c>
    </row>
    <row r="690" spans="2:71" ht="15" customHeight="1" x14ac:dyDescent="0.2">
      <c r="B690">
        <v>25</v>
      </c>
      <c r="C690">
        <v>5</v>
      </c>
      <c r="D690">
        <v>10</v>
      </c>
      <c r="E690" t="s">
        <v>512</v>
      </c>
      <c r="F690" t="s">
        <v>214</v>
      </c>
      <c r="G690" s="5">
        <v>45142</v>
      </c>
      <c r="H690" t="s">
        <v>97</v>
      </c>
      <c r="I690" t="s">
        <v>477</v>
      </c>
      <c r="J690" t="s">
        <v>478</v>
      </c>
      <c r="K690">
        <v>9</v>
      </c>
      <c r="L690" t="s">
        <v>76</v>
      </c>
      <c r="M690" t="s">
        <v>508</v>
      </c>
      <c r="N690" t="s">
        <v>123</v>
      </c>
      <c r="O690">
        <v>36.1</v>
      </c>
      <c r="P690">
        <v>125</v>
      </c>
      <c r="Q690">
        <v>2959</v>
      </c>
      <c r="R690" t="s">
        <v>91</v>
      </c>
      <c r="S690" t="s">
        <v>80</v>
      </c>
      <c r="T690" t="s">
        <v>353</v>
      </c>
      <c r="U690" t="s">
        <v>55</v>
      </c>
      <c r="V690" t="s">
        <v>69</v>
      </c>
      <c r="W690" t="s">
        <v>496</v>
      </c>
      <c r="Y690" t="s">
        <v>66</v>
      </c>
      <c r="AA690">
        <v>1</v>
      </c>
      <c r="AB690" t="s">
        <v>33</v>
      </c>
      <c r="AC690" t="s">
        <v>174</v>
      </c>
      <c r="AE690" t="str">
        <f t="shared" si="202"/>
        <v>R. ConnollyPerkins</v>
      </c>
      <c r="AF690">
        <v>0</v>
      </c>
      <c r="AG690">
        <v>0</v>
      </c>
      <c r="AH690">
        <v>1</v>
      </c>
      <c r="AI690">
        <v>0</v>
      </c>
      <c r="AJ690">
        <v>0</v>
      </c>
      <c r="AK690" t="s">
        <v>52</v>
      </c>
      <c r="AL690">
        <v>0.34745762711864397</v>
      </c>
      <c r="AM690" t="s">
        <v>64</v>
      </c>
      <c r="AN690">
        <v>0.65909090909090895</v>
      </c>
      <c r="AO690">
        <f t="shared" si="215"/>
        <v>0</v>
      </c>
      <c r="AP690">
        <f t="shared" si="215"/>
        <v>0</v>
      </c>
      <c r="AQ690">
        <f t="shared" si="215"/>
        <v>0</v>
      </c>
      <c r="AR690">
        <f t="shared" si="215"/>
        <v>0</v>
      </c>
      <c r="AS690">
        <f t="shared" si="215"/>
        <v>0</v>
      </c>
      <c r="AT690">
        <f t="shared" si="215"/>
        <v>0</v>
      </c>
      <c r="AU690">
        <f t="shared" si="215"/>
        <v>0</v>
      </c>
      <c r="AV690">
        <f t="shared" si="215"/>
        <v>0</v>
      </c>
      <c r="AW690">
        <f t="shared" si="215"/>
        <v>0</v>
      </c>
      <c r="AX690">
        <f t="shared" si="215"/>
        <v>0</v>
      </c>
      <c r="AY690">
        <f t="shared" si="216"/>
        <v>0</v>
      </c>
      <c r="AZ690">
        <f t="shared" si="216"/>
        <v>0</v>
      </c>
      <c r="BA690">
        <f t="shared" si="216"/>
        <v>0</v>
      </c>
      <c r="BB690">
        <f t="shared" si="216"/>
        <v>0</v>
      </c>
      <c r="BC690">
        <f t="shared" si="216"/>
        <v>0</v>
      </c>
      <c r="BD690">
        <f t="shared" si="216"/>
        <v>0</v>
      </c>
      <c r="BE690">
        <f t="shared" si="216"/>
        <v>0</v>
      </c>
      <c r="BF690">
        <f t="shared" si="216"/>
        <v>0</v>
      </c>
      <c r="BG690">
        <f t="shared" si="216"/>
        <v>0</v>
      </c>
      <c r="BH690">
        <f t="shared" si="216"/>
        <v>0</v>
      </c>
      <c r="BI690">
        <f t="shared" si="217"/>
        <v>0</v>
      </c>
      <c r="BJ690">
        <f t="shared" si="217"/>
        <v>0</v>
      </c>
      <c r="BK690">
        <f t="shared" si="217"/>
        <v>0</v>
      </c>
      <c r="BL690">
        <f t="shared" si="217"/>
        <v>0</v>
      </c>
      <c r="BM690">
        <f t="shared" si="217"/>
        <v>0</v>
      </c>
      <c r="BN690">
        <f t="shared" si="217"/>
        <v>0</v>
      </c>
      <c r="BO690" t="str">
        <f t="shared" si="217"/>
        <v>Perkins</v>
      </c>
      <c r="BP690">
        <f t="shared" si="217"/>
        <v>0</v>
      </c>
      <c r="BQ690">
        <f t="shared" si="217"/>
        <v>0</v>
      </c>
      <c r="BR690" t="str">
        <f t="shared" si="217"/>
        <v>R. Connolly</v>
      </c>
      <c r="BS690">
        <f t="shared" si="217"/>
        <v>0</v>
      </c>
    </row>
    <row r="691" spans="2:71" ht="15" customHeight="1" x14ac:dyDescent="0.2">
      <c r="B691">
        <v>21</v>
      </c>
      <c r="C691">
        <v>1</v>
      </c>
      <c r="D691">
        <v>10</v>
      </c>
      <c r="E691" t="s">
        <v>513</v>
      </c>
      <c r="F691" t="s">
        <v>72</v>
      </c>
      <c r="G691" s="5">
        <v>45143</v>
      </c>
      <c r="H691" t="s">
        <v>73</v>
      </c>
      <c r="I691" t="s">
        <v>477</v>
      </c>
      <c r="J691" t="s">
        <v>478</v>
      </c>
      <c r="K691">
        <v>18</v>
      </c>
      <c r="L691" t="s">
        <v>107</v>
      </c>
      <c r="M691" t="s">
        <v>514</v>
      </c>
      <c r="N691" t="s">
        <v>515</v>
      </c>
      <c r="O691">
        <v>70.2</v>
      </c>
      <c r="P691">
        <v>130</v>
      </c>
      <c r="Q691">
        <v>5675</v>
      </c>
      <c r="R691" t="s">
        <v>110</v>
      </c>
      <c r="S691" t="s">
        <v>111</v>
      </c>
      <c r="T691" t="s">
        <v>353</v>
      </c>
      <c r="U691" t="s">
        <v>61</v>
      </c>
      <c r="V691" t="s">
        <v>42</v>
      </c>
      <c r="W691" t="s">
        <v>516</v>
      </c>
      <c r="AA691">
        <v>2</v>
      </c>
      <c r="AB691" t="s">
        <v>32</v>
      </c>
      <c r="AC691" t="s">
        <v>209</v>
      </c>
      <c r="AD691" t="s">
        <v>63</v>
      </c>
      <c r="AE691" t="str">
        <f t="shared" si="202"/>
        <v>Jackson</v>
      </c>
      <c r="AF691">
        <v>2</v>
      </c>
      <c r="AG691">
        <v>1</v>
      </c>
      <c r="AH691">
        <v>0</v>
      </c>
      <c r="AI691">
        <v>0</v>
      </c>
      <c r="AJ691">
        <v>1</v>
      </c>
      <c r="AK691" t="s">
        <v>63</v>
      </c>
      <c r="AL691">
        <v>0.46551724137931</v>
      </c>
      <c r="AO691">
        <f t="shared" si="215"/>
        <v>0</v>
      </c>
      <c r="AP691">
        <f t="shared" si="215"/>
        <v>0</v>
      </c>
      <c r="AQ691" t="str">
        <f t="shared" si="215"/>
        <v>Jackson</v>
      </c>
      <c r="AR691">
        <f t="shared" si="215"/>
        <v>0</v>
      </c>
      <c r="AS691">
        <f t="shared" si="215"/>
        <v>0</v>
      </c>
      <c r="AT691">
        <f t="shared" si="215"/>
        <v>0</v>
      </c>
      <c r="AU691">
        <f t="shared" si="215"/>
        <v>0</v>
      </c>
      <c r="AV691">
        <f t="shared" si="215"/>
        <v>0</v>
      </c>
      <c r="AW691">
        <f t="shared" si="215"/>
        <v>0</v>
      </c>
      <c r="AX691">
        <f t="shared" si="215"/>
        <v>0</v>
      </c>
      <c r="AY691">
        <f t="shared" si="216"/>
        <v>0</v>
      </c>
      <c r="AZ691">
        <f t="shared" si="216"/>
        <v>0</v>
      </c>
      <c r="BA691">
        <f t="shared" si="216"/>
        <v>0</v>
      </c>
      <c r="BB691">
        <f t="shared" si="216"/>
        <v>0</v>
      </c>
      <c r="BC691">
        <f t="shared" si="216"/>
        <v>0</v>
      </c>
      <c r="BD691">
        <f t="shared" si="216"/>
        <v>0</v>
      </c>
      <c r="BE691">
        <f t="shared" si="216"/>
        <v>0</v>
      </c>
      <c r="BF691">
        <f t="shared" si="216"/>
        <v>0</v>
      </c>
      <c r="BG691">
        <f t="shared" si="216"/>
        <v>0</v>
      </c>
      <c r="BH691">
        <f t="shared" si="216"/>
        <v>0</v>
      </c>
      <c r="BI691">
        <f t="shared" si="217"/>
        <v>0</v>
      </c>
      <c r="BJ691">
        <f t="shared" si="217"/>
        <v>0</v>
      </c>
      <c r="BK691">
        <f t="shared" si="217"/>
        <v>0</v>
      </c>
      <c r="BL691">
        <f t="shared" si="217"/>
        <v>0</v>
      </c>
      <c r="BM691">
        <f t="shared" si="217"/>
        <v>0</v>
      </c>
      <c r="BN691">
        <f t="shared" si="217"/>
        <v>0</v>
      </c>
      <c r="BO691">
        <f t="shared" si="217"/>
        <v>0</v>
      </c>
      <c r="BP691">
        <f t="shared" si="217"/>
        <v>0</v>
      </c>
      <c r="BQ691">
        <f t="shared" si="217"/>
        <v>0</v>
      </c>
      <c r="BR691">
        <f t="shared" si="217"/>
        <v>0</v>
      </c>
      <c r="BS691">
        <f t="shared" si="217"/>
        <v>0</v>
      </c>
    </row>
    <row r="692" spans="2:71" ht="15" customHeight="1" x14ac:dyDescent="0.2">
      <c r="B692">
        <v>21</v>
      </c>
      <c r="C692">
        <v>2</v>
      </c>
      <c r="D692">
        <v>10</v>
      </c>
      <c r="E692" t="s">
        <v>517</v>
      </c>
      <c r="F692" t="s">
        <v>72</v>
      </c>
      <c r="G692" s="5">
        <v>45143</v>
      </c>
      <c r="H692" t="s">
        <v>73</v>
      </c>
      <c r="I692" t="s">
        <v>477</v>
      </c>
      <c r="J692" t="s">
        <v>478</v>
      </c>
      <c r="K692">
        <v>18</v>
      </c>
      <c r="L692" t="s">
        <v>107</v>
      </c>
      <c r="M692" t="s">
        <v>514</v>
      </c>
      <c r="N692" t="s">
        <v>515</v>
      </c>
      <c r="O692">
        <v>70.2</v>
      </c>
      <c r="P692">
        <v>130</v>
      </c>
      <c r="Q692">
        <v>5675</v>
      </c>
      <c r="R692" t="s">
        <v>110</v>
      </c>
      <c r="S692" t="s">
        <v>111</v>
      </c>
      <c r="T692" t="s">
        <v>353</v>
      </c>
      <c r="U692" t="s">
        <v>61</v>
      </c>
      <c r="V692" t="s">
        <v>60</v>
      </c>
      <c r="W692" t="s">
        <v>516</v>
      </c>
      <c r="AA692">
        <v>2</v>
      </c>
      <c r="AB692" t="s">
        <v>33</v>
      </c>
      <c r="AC692" t="s">
        <v>518</v>
      </c>
      <c r="AD692" t="s">
        <v>45</v>
      </c>
      <c r="AE692" t="str">
        <f t="shared" si="202"/>
        <v>Zimmer</v>
      </c>
      <c r="AF692">
        <v>0</v>
      </c>
      <c r="AG692">
        <v>0</v>
      </c>
      <c r="AH692">
        <v>1</v>
      </c>
      <c r="AI692">
        <v>0</v>
      </c>
      <c r="AJ692">
        <v>0</v>
      </c>
      <c r="AK692" t="s">
        <v>45</v>
      </c>
      <c r="AL692">
        <v>0.59375</v>
      </c>
      <c r="AO692">
        <f t="shared" ref="AO692:AX701" si="218">IF(OR($V692=AO$1,$Y692=AO$1),AO$1,0)</f>
        <v>0</v>
      </c>
      <c r="AP692">
        <f t="shared" si="218"/>
        <v>0</v>
      </c>
      <c r="AQ692">
        <f t="shared" si="218"/>
        <v>0</v>
      </c>
      <c r="AR692">
        <f t="shared" si="218"/>
        <v>0</v>
      </c>
      <c r="AS692">
        <f t="shared" si="218"/>
        <v>0</v>
      </c>
      <c r="AT692">
        <f t="shared" si="218"/>
        <v>0</v>
      </c>
      <c r="AU692">
        <f t="shared" si="218"/>
        <v>0</v>
      </c>
      <c r="AV692">
        <f t="shared" si="218"/>
        <v>0</v>
      </c>
      <c r="AW692">
        <f t="shared" si="218"/>
        <v>0</v>
      </c>
      <c r="AX692">
        <f t="shared" si="218"/>
        <v>0</v>
      </c>
      <c r="AY692">
        <f t="shared" ref="AY692:BH701" si="219">IF(OR($V692=AY$1,$Y692=AY$1),AY$1,0)</f>
        <v>0</v>
      </c>
      <c r="AZ692">
        <f t="shared" si="219"/>
        <v>0</v>
      </c>
      <c r="BA692">
        <f t="shared" si="219"/>
        <v>0</v>
      </c>
      <c r="BB692">
        <f t="shared" si="219"/>
        <v>0</v>
      </c>
      <c r="BC692">
        <f t="shared" si="219"/>
        <v>0</v>
      </c>
      <c r="BD692">
        <f t="shared" si="219"/>
        <v>0</v>
      </c>
      <c r="BE692">
        <f t="shared" si="219"/>
        <v>0</v>
      </c>
      <c r="BF692">
        <f t="shared" si="219"/>
        <v>0</v>
      </c>
      <c r="BG692">
        <f t="shared" si="219"/>
        <v>0</v>
      </c>
      <c r="BH692">
        <f t="shared" si="219"/>
        <v>0</v>
      </c>
      <c r="BI692" t="str">
        <f t="shared" ref="BI692:BS701" si="220">IF(OR($V692=BI$1,$Y692=BI$1),BI$1,0)</f>
        <v>Zimmer</v>
      </c>
      <c r="BJ692">
        <f t="shared" si="220"/>
        <v>0</v>
      </c>
      <c r="BK692">
        <f t="shared" si="220"/>
        <v>0</v>
      </c>
      <c r="BL692">
        <f t="shared" si="220"/>
        <v>0</v>
      </c>
      <c r="BM692">
        <f t="shared" si="220"/>
        <v>0</v>
      </c>
      <c r="BN692">
        <f t="shared" si="220"/>
        <v>0</v>
      </c>
      <c r="BO692">
        <f t="shared" si="220"/>
        <v>0</v>
      </c>
      <c r="BP692">
        <f t="shared" si="220"/>
        <v>0</v>
      </c>
      <c r="BQ692">
        <f t="shared" si="220"/>
        <v>0</v>
      </c>
      <c r="BR692">
        <f t="shared" si="220"/>
        <v>0</v>
      </c>
      <c r="BS692">
        <f t="shared" si="220"/>
        <v>0</v>
      </c>
    </row>
    <row r="693" spans="2:71" ht="15" customHeight="1" x14ac:dyDescent="0.2">
      <c r="B693">
        <v>22</v>
      </c>
      <c r="C693">
        <v>3</v>
      </c>
      <c r="D693">
        <v>10</v>
      </c>
      <c r="E693" t="s">
        <v>519</v>
      </c>
      <c r="F693" t="s">
        <v>72</v>
      </c>
      <c r="G693" s="5">
        <v>45143</v>
      </c>
      <c r="H693" t="s">
        <v>73</v>
      </c>
      <c r="I693" t="s">
        <v>477</v>
      </c>
      <c r="J693" t="s">
        <v>478</v>
      </c>
      <c r="K693">
        <v>18</v>
      </c>
      <c r="L693" t="s">
        <v>107</v>
      </c>
      <c r="M693" t="s">
        <v>514</v>
      </c>
      <c r="N693" t="s">
        <v>515</v>
      </c>
      <c r="O693">
        <v>70.2</v>
      </c>
      <c r="P693">
        <v>130</v>
      </c>
      <c r="Q693">
        <v>5675</v>
      </c>
      <c r="R693" t="s">
        <v>110</v>
      </c>
      <c r="S693" t="s">
        <v>111</v>
      </c>
      <c r="T693" t="s">
        <v>353</v>
      </c>
      <c r="U693" t="s">
        <v>61</v>
      </c>
      <c r="V693" t="s">
        <v>64</v>
      </c>
      <c r="W693" t="s">
        <v>516</v>
      </c>
      <c r="AA693">
        <v>2</v>
      </c>
      <c r="AB693" t="s">
        <v>32</v>
      </c>
      <c r="AC693" t="s">
        <v>342</v>
      </c>
      <c r="AD693" t="s">
        <v>41</v>
      </c>
      <c r="AE693" t="str">
        <f t="shared" si="202"/>
        <v>Delneky</v>
      </c>
      <c r="AF693">
        <v>2</v>
      </c>
      <c r="AG693">
        <v>1</v>
      </c>
      <c r="AH693">
        <v>0</v>
      </c>
      <c r="AI693">
        <v>0</v>
      </c>
      <c r="AJ693">
        <v>1</v>
      </c>
      <c r="AK693" t="s">
        <v>41</v>
      </c>
      <c r="AL693">
        <v>0.47321428571428598</v>
      </c>
      <c r="AO693">
        <f t="shared" si="218"/>
        <v>0</v>
      </c>
      <c r="AP693">
        <f t="shared" si="218"/>
        <v>0</v>
      </c>
      <c r="AQ693">
        <f t="shared" si="218"/>
        <v>0</v>
      </c>
      <c r="AR693">
        <f t="shared" si="218"/>
        <v>0</v>
      </c>
      <c r="AS693">
        <f t="shared" si="218"/>
        <v>0</v>
      </c>
      <c r="AT693">
        <f t="shared" si="218"/>
        <v>0</v>
      </c>
      <c r="AU693">
        <f t="shared" si="218"/>
        <v>0</v>
      </c>
      <c r="AV693">
        <f t="shared" si="218"/>
        <v>0</v>
      </c>
      <c r="AW693">
        <f t="shared" si="218"/>
        <v>0</v>
      </c>
      <c r="AX693">
        <f t="shared" si="218"/>
        <v>0</v>
      </c>
      <c r="AY693">
        <f t="shared" si="219"/>
        <v>0</v>
      </c>
      <c r="AZ693">
        <f t="shared" si="219"/>
        <v>0</v>
      </c>
      <c r="BA693">
        <f t="shared" si="219"/>
        <v>0</v>
      </c>
      <c r="BB693">
        <f t="shared" si="219"/>
        <v>0</v>
      </c>
      <c r="BC693">
        <f t="shared" si="219"/>
        <v>0</v>
      </c>
      <c r="BD693">
        <f t="shared" si="219"/>
        <v>0</v>
      </c>
      <c r="BE693">
        <f t="shared" si="219"/>
        <v>0</v>
      </c>
      <c r="BF693">
        <f t="shared" si="219"/>
        <v>0</v>
      </c>
      <c r="BG693">
        <f t="shared" si="219"/>
        <v>0</v>
      </c>
      <c r="BH693">
        <f t="shared" si="219"/>
        <v>0</v>
      </c>
      <c r="BI693">
        <f t="shared" si="220"/>
        <v>0</v>
      </c>
      <c r="BJ693">
        <f t="shared" si="220"/>
        <v>0</v>
      </c>
      <c r="BK693">
        <f t="shared" si="220"/>
        <v>0</v>
      </c>
      <c r="BL693">
        <f t="shared" si="220"/>
        <v>0</v>
      </c>
      <c r="BM693" t="str">
        <f t="shared" si="220"/>
        <v>Delneky</v>
      </c>
      <c r="BN693">
        <f t="shared" si="220"/>
        <v>0</v>
      </c>
      <c r="BO693">
        <f t="shared" si="220"/>
        <v>0</v>
      </c>
      <c r="BP693">
        <f t="shared" si="220"/>
        <v>0</v>
      </c>
      <c r="BQ693">
        <f t="shared" si="220"/>
        <v>0</v>
      </c>
      <c r="BR693">
        <f t="shared" si="220"/>
        <v>0</v>
      </c>
      <c r="BS693">
        <f t="shared" si="220"/>
        <v>0</v>
      </c>
    </row>
    <row r="694" spans="2:71" ht="15" customHeight="1" x14ac:dyDescent="0.2">
      <c r="B694">
        <v>22</v>
      </c>
      <c r="C694">
        <v>4</v>
      </c>
      <c r="D694">
        <v>10</v>
      </c>
      <c r="E694" t="s">
        <v>520</v>
      </c>
      <c r="F694" t="s">
        <v>72</v>
      </c>
      <c r="G694" s="5">
        <v>45143</v>
      </c>
      <c r="H694" t="s">
        <v>73</v>
      </c>
      <c r="I694" t="s">
        <v>477</v>
      </c>
      <c r="J694" t="s">
        <v>478</v>
      </c>
      <c r="K694">
        <v>18</v>
      </c>
      <c r="L694" t="s">
        <v>107</v>
      </c>
      <c r="M694" t="s">
        <v>514</v>
      </c>
      <c r="N694" t="s">
        <v>515</v>
      </c>
      <c r="O694">
        <v>70.2</v>
      </c>
      <c r="P694">
        <v>130</v>
      </c>
      <c r="Q694">
        <v>5675</v>
      </c>
      <c r="R694" t="s">
        <v>110</v>
      </c>
      <c r="S694" t="s">
        <v>111</v>
      </c>
      <c r="T694" t="s">
        <v>353</v>
      </c>
      <c r="U694" t="s">
        <v>61</v>
      </c>
      <c r="V694" t="s">
        <v>54</v>
      </c>
      <c r="W694" t="s">
        <v>516</v>
      </c>
      <c r="AA694">
        <v>2</v>
      </c>
      <c r="AB694" t="s">
        <v>33</v>
      </c>
      <c r="AC694" t="s">
        <v>171</v>
      </c>
      <c r="AD694" t="s">
        <v>69</v>
      </c>
      <c r="AE694" t="str">
        <f t="shared" si="202"/>
        <v>Fogan</v>
      </c>
      <c r="AF694">
        <v>0</v>
      </c>
      <c r="AG694">
        <v>0</v>
      </c>
      <c r="AH694">
        <v>1</v>
      </c>
      <c r="AI694">
        <v>0</v>
      </c>
      <c r="AJ694">
        <v>0</v>
      </c>
      <c r="AK694" t="s">
        <v>69</v>
      </c>
      <c r="AL694">
        <v>0.33333333333333298</v>
      </c>
      <c r="AO694">
        <f t="shared" si="218"/>
        <v>0</v>
      </c>
      <c r="AP694">
        <f t="shared" si="218"/>
        <v>0</v>
      </c>
      <c r="AQ694">
        <f t="shared" si="218"/>
        <v>0</v>
      </c>
      <c r="AR694">
        <f t="shared" si="218"/>
        <v>0</v>
      </c>
      <c r="AS694">
        <f t="shared" si="218"/>
        <v>0</v>
      </c>
      <c r="AT694">
        <f t="shared" si="218"/>
        <v>0</v>
      </c>
      <c r="AU694">
        <f t="shared" si="218"/>
        <v>0</v>
      </c>
      <c r="AV694">
        <f t="shared" si="218"/>
        <v>0</v>
      </c>
      <c r="AW694">
        <f t="shared" si="218"/>
        <v>0</v>
      </c>
      <c r="AX694">
        <f t="shared" si="218"/>
        <v>0</v>
      </c>
      <c r="AY694">
        <f t="shared" si="219"/>
        <v>0</v>
      </c>
      <c r="AZ694">
        <f t="shared" si="219"/>
        <v>0</v>
      </c>
      <c r="BA694">
        <f t="shared" si="219"/>
        <v>0</v>
      </c>
      <c r="BB694">
        <f t="shared" si="219"/>
        <v>0</v>
      </c>
      <c r="BC694" t="str">
        <f t="shared" si="219"/>
        <v>Fogan</v>
      </c>
      <c r="BD694">
        <f t="shared" si="219"/>
        <v>0</v>
      </c>
      <c r="BE694">
        <f t="shared" si="219"/>
        <v>0</v>
      </c>
      <c r="BF694">
        <f t="shared" si="219"/>
        <v>0</v>
      </c>
      <c r="BG694">
        <f t="shared" si="219"/>
        <v>0</v>
      </c>
      <c r="BH694">
        <f t="shared" si="219"/>
        <v>0</v>
      </c>
      <c r="BI694">
        <f t="shared" si="220"/>
        <v>0</v>
      </c>
      <c r="BJ694">
        <f t="shared" si="220"/>
        <v>0</v>
      </c>
      <c r="BK694">
        <f t="shared" si="220"/>
        <v>0</v>
      </c>
      <c r="BL694">
        <f t="shared" si="220"/>
        <v>0</v>
      </c>
      <c r="BM694">
        <f t="shared" si="220"/>
        <v>0</v>
      </c>
      <c r="BN694">
        <f t="shared" si="220"/>
        <v>0</v>
      </c>
      <c r="BO694">
        <f t="shared" si="220"/>
        <v>0</v>
      </c>
      <c r="BP694">
        <f t="shared" si="220"/>
        <v>0</v>
      </c>
      <c r="BQ694">
        <f t="shared" si="220"/>
        <v>0</v>
      </c>
      <c r="BR694">
        <f t="shared" si="220"/>
        <v>0</v>
      </c>
      <c r="BS694">
        <f t="shared" si="220"/>
        <v>0</v>
      </c>
    </row>
    <row r="695" spans="2:71" ht="15" customHeight="1" x14ac:dyDescent="0.2">
      <c r="B695">
        <v>23</v>
      </c>
      <c r="C695">
        <v>5</v>
      </c>
      <c r="D695">
        <v>10</v>
      </c>
      <c r="E695" t="s">
        <v>521</v>
      </c>
      <c r="F695" t="s">
        <v>72</v>
      </c>
      <c r="G695" s="5">
        <v>45143</v>
      </c>
      <c r="H695" t="s">
        <v>73</v>
      </c>
      <c r="I695" t="s">
        <v>477</v>
      </c>
      <c r="J695" t="s">
        <v>478</v>
      </c>
      <c r="K695">
        <v>18</v>
      </c>
      <c r="L695" t="s">
        <v>107</v>
      </c>
      <c r="M695" t="s">
        <v>514</v>
      </c>
      <c r="N695" t="s">
        <v>515</v>
      </c>
      <c r="O695">
        <v>70.2</v>
      </c>
      <c r="P695">
        <v>130</v>
      </c>
      <c r="Q695">
        <v>5675</v>
      </c>
      <c r="R695" t="s">
        <v>110</v>
      </c>
      <c r="S695" t="s">
        <v>111</v>
      </c>
      <c r="T695" t="s">
        <v>353</v>
      </c>
      <c r="U695" t="s">
        <v>61</v>
      </c>
      <c r="V695" t="s">
        <v>58</v>
      </c>
      <c r="W695" t="s">
        <v>516</v>
      </c>
      <c r="AA695">
        <v>2</v>
      </c>
      <c r="AB695" t="s">
        <v>32</v>
      </c>
      <c r="AC695" t="s">
        <v>233</v>
      </c>
      <c r="AD695" t="s">
        <v>44</v>
      </c>
      <c r="AE695" t="str">
        <f t="shared" si="202"/>
        <v>Gray</v>
      </c>
      <c r="AF695">
        <v>2</v>
      </c>
      <c r="AG695">
        <v>1</v>
      </c>
      <c r="AH695">
        <v>0</v>
      </c>
      <c r="AI695">
        <v>0</v>
      </c>
      <c r="AJ695">
        <v>1</v>
      </c>
      <c r="AK695" t="s">
        <v>44</v>
      </c>
      <c r="AL695">
        <v>0.4296875</v>
      </c>
      <c r="AO695">
        <f t="shared" si="218"/>
        <v>0</v>
      </c>
      <c r="AP695">
        <f t="shared" si="218"/>
        <v>0</v>
      </c>
      <c r="AQ695">
        <f t="shared" si="218"/>
        <v>0</v>
      </c>
      <c r="AR695">
        <f t="shared" si="218"/>
        <v>0</v>
      </c>
      <c r="AS695">
        <f t="shared" si="218"/>
        <v>0</v>
      </c>
      <c r="AT695">
        <f t="shared" si="218"/>
        <v>0</v>
      </c>
      <c r="AU695">
        <f t="shared" si="218"/>
        <v>0</v>
      </c>
      <c r="AV695">
        <f t="shared" si="218"/>
        <v>0</v>
      </c>
      <c r="AW695">
        <f t="shared" si="218"/>
        <v>0</v>
      </c>
      <c r="AX695">
        <f t="shared" si="218"/>
        <v>0</v>
      </c>
      <c r="AY695">
        <f t="shared" si="219"/>
        <v>0</v>
      </c>
      <c r="AZ695">
        <f t="shared" si="219"/>
        <v>0</v>
      </c>
      <c r="BA695">
        <f t="shared" si="219"/>
        <v>0</v>
      </c>
      <c r="BB695">
        <f t="shared" si="219"/>
        <v>0</v>
      </c>
      <c r="BC695">
        <f t="shared" si="219"/>
        <v>0</v>
      </c>
      <c r="BD695">
        <f t="shared" si="219"/>
        <v>0</v>
      </c>
      <c r="BE695">
        <f t="shared" si="219"/>
        <v>0</v>
      </c>
      <c r="BF695">
        <f t="shared" si="219"/>
        <v>0</v>
      </c>
      <c r="BG695" t="str">
        <f t="shared" si="219"/>
        <v>Gray</v>
      </c>
      <c r="BH695">
        <f t="shared" si="219"/>
        <v>0</v>
      </c>
      <c r="BI695">
        <f t="shared" si="220"/>
        <v>0</v>
      </c>
      <c r="BJ695">
        <f t="shared" si="220"/>
        <v>0</v>
      </c>
      <c r="BK695">
        <f t="shared" si="220"/>
        <v>0</v>
      </c>
      <c r="BL695">
        <f t="shared" si="220"/>
        <v>0</v>
      </c>
      <c r="BM695">
        <f t="shared" si="220"/>
        <v>0</v>
      </c>
      <c r="BN695">
        <f t="shared" si="220"/>
        <v>0</v>
      </c>
      <c r="BO695">
        <f t="shared" si="220"/>
        <v>0</v>
      </c>
      <c r="BP695">
        <f t="shared" si="220"/>
        <v>0</v>
      </c>
      <c r="BQ695">
        <f t="shared" si="220"/>
        <v>0</v>
      </c>
      <c r="BR695">
        <f t="shared" si="220"/>
        <v>0</v>
      </c>
      <c r="BS695">
        <f t="shared" si="220"/>
        <v>0</v>
      </c>
    </row>
    <row r="696" spans="2:71" ht="15" customHeight="1" x14ac:dyDescent="0.2">
      <c r="B696">
        <v>23</v>
      </c>
      <c r="C696">
        <v>6</v>
      </c>
      <c r="D696">
        <v>10</v>
      </c>
      <c r="E696" t="s">
        <v>522</v>
      </c>
      <c r="F696" t="s">
        <v>72</v>
      </c>
      <c r="G696" s="5">
        <v>45143</v>
      </c>
      <c r="H696" t="s">
        <v>73</v>
      </c>
      <c r="I696" t="s">
        <v>477</v>
      </c>
      <c r="J696" t="s">
        <v>478</v>
      </c>
      <c r="K696">
        <v>18</v>
      </c>
      <c r="L696" t="s">
        <v>107</v>
      </c>
      <c r="M696" t="s">
        <v>514</v>
      </c>
      <c r="N696" t="s">
        <v>515</v>
      </c>
      <c r="O696">
        <v>70.2</v>
      </c>
      <c r="P696">
        <v>130</v>
      </c>
      <c r="Q696">
        <v>5675</v>
      </c>
      <c r="R696" t="s">
        <v>110</v>
      </c>
      <c r="S696" t="s">
        <v>111</v>
      </c>
      <c r="T696" t="s">
        <v>353</v>
      </c>
      <c r="U696" t="s">
        <v>61</v>
      </c>
      <c r="V696" t="s">
        <v>61</v>
      </c>
      <c r="W696" t="s">
        <v>516</v>
      </c>
      <c r="AA696">
        <v>2</v>
      </c>
      <c r="AB696" t="s">
        <v>32</v>
      </c>
      <c r="AC696" t="s">
        <v>171</v>
      </c>
      <c r="AD696" t="s">
        <v>66</v>
      </c>
      <c r="AE696" t="str">
        <f t="shared" si="202"/>
        <v>McInerney</v>
      </c>
      <c r="AF696">
        <v>2</v>
      </c>
      <c r="AG696">
        <v>1</v>
      </c>
      <c r="AH696">
        <v>0</v>
      </c>
      <c r="AI696">
        <v>0</v>
      </c>
      <c r="AJ696">
        <v>1</v>
      </c>
      <c r="AK696" t="s">
        <v>66</v>
      </c>
      <c r="AL696">
        <v>0.63888888888888895</v>
      </c>
      <c r="AO696">
        <f t="shared" si="218"/>
        <v>0</v>
      </c>
      <c r="AP696">
        <f t="shared" si="218"/>
        <v>0</v>
      </c>
      <c r="AQ696">
        <f t="shared" si="218"/>
        <v>0</v>
      </c>
      <c r="AR696">
        <f t="shared" si="218"/>
        <v>0</v>
      </c>
      <c r="AS696">
        <f t="shared" si="218"/>
        <v>0</v>
      </c>
      <c r="AT696">
        <f t="shared" si="218"/>
        <v>0</v>
      </c>
      <c r="AU696">
        <f t="shared" si="218"/>
        <v>0</v>
      </c>
      <c r="AV696">
        <f t="shared" si="218"/>
        <v>0</v>
      </c>
      <c r="AW696">
        <f t="shared" si="218"/>
        <v>0</v>
      </c>
      <c r="AX696">
        <f t="shared" si="218"/>
        <v>0</v>
      </c>
      <c r="AY696">
        <f t="shared" si="219"/>
        <v>0</v>
      </c>
      <c r="AZ696">
        <f t="shared" si="219"/>
        <v>0</v>
      </c>
      <c r="BA696">
        <f t="shared" si="219"/>
        <v>0</v>
      </c>
      <c r="BB696">
        <f t="shared" si="219"/>
        <v>0</v>
      </c>
      <c r="BC696">
        <f t="shared" si="219"/>
        <v>0</v>
      </c>
      <c r="BD696">
        <f t="shared" si="219"/>
        <v>0</v>
      </c>
      <c r="BE696">
        <f t="shared" si="219"/>
        <v>0</v>
      </c>
      <c r="BF696">
        <f t="shared" si="219"/>
        <v>0</v>
      </c>
      <c r="BG696">
        <f t="shared" si="219"/>
        <v>0</v>
      </c>
      <c r="BH696">
        <f t="shared" si="219"/>
        <v>0</v>
      </c>
      <c r="BI696">
        <f t="shared" si="220"/>
        <v>0</v>
      </c>
      <c r="BJ696" t="str">
        <f t="shared" si="220"/>
        <v>McInerney</v>
      </c>
      <c r="BK696">
        <f t="shared" si="220"/>
        <v>0</v>
      </c>
      <c r="BL696">
        <f t="shared" si="220"/>
        <v>0</v>
      </c>
      <c r="BM696">
        <f t="shared" si="220"/>
        <v>0</v>
      </c>
      <c r="BN696">
        <f t="shared" si="220"/>
        <v>0</v>
      </c>
      <c r="BO696">
        <f t="shared" si="220"/>
        <v>0</v>
      </c>
      <c r="BP696">
        <f t="shared" si="220"/>
        <v>0</v>
      </c>
      <c r="BQ696">
        <f t="shared" si="220"/>
        <v>0</v>
      </c>
      <c r="BR696">
        <f t="shared" si="220"/>
        <v>0</v>
      </c>
      <c r="BS696">
        <f t="shared" si="220"/>
        <v>0</v>
      </c>
    </row>
    <row r="697" spans="2:71" ht="15" customHeight="1" x14ac:dyDescent="0.2">
      <c r="B697">
        <v>24</v>
      </c>
      <c r="C697">
        <v>7</v>
      </c>
      <c r="D697">
        <v>10</v>
      </c>
      <c r="E697" t="s">
        <v>523</v>
      </c>
      <c r="F697" t="s">
        <v>72</v>
      </c>
      <c r="G697" s="5">
        <v>45143</v>
      </c>
      <c r="H697" t="s">
        <v>73</v>
      </c>
      <c r="I697" t="s">
        <v>477</v>
      </c>
      <c r="J697" t="s">
        <v>478</v>
      </c>
      <c r="K697">
        <v>18</v>
      </c>
      <c r="L697" t="s">
        <v>107</v>
      </c>
      <c r="M697" t="s">
        <v>514</v>
      </c>
      <c r="N697" t="s">
        <v>515</v>
      </c>
      <c r="O697">
        <v>70.2</v>
      </c>
      <c r="P697">
        <v>130</v>
      </c>
      <c r="Q697">
        <v>5675</v>
      </c>
      <c r="R697" t="s">
        <v>110</v>
      </c>
      <c r="S697" t="s">
        <v>111</v>
      </c>
      <c r="T697" t="s">
        <v>353</v>
      </c>
      <c r="U697" t="s">
        <v>61</v>
      </c>
      <c r="V697" t="s">
        <v>52</v>
      </c>
      <c r="W697" t="s">
        <v>516</v>
      </c>
      <c r="AA697">
        <v>2</v>
      </c>
      <c r="AB697" t="s">
        <v>33</v>
      </c>
      <c r="AC697" t="s">
        <v>184</v>
      </c>
      <c r="AD697" t="s">
        <v>55</v>
      </c>
      <c r="AE697" t="str">
        <f t="shared" si="202"/>
        <v>Connors</v>
      </c>
      <c r="AF697">
        <v>0</v>
      </c>
      <c r="AG697">
        <v>0</v>
      </c>
      <c r="AH697">
        <v>1</v>
      </c>
      <c r="AI697">
        <v>0</v>
      </c>
      <c r="AJ697">
        <v>0</v>
      </c>
      <c r="AK697" t="s">
        <v>55</v>
      </c>
      <c r="AL697">
        <v>0.44067796610169502</v>
      </c>
      <c r="AO697">
        <f t="shared" si="218"/>
        <v>0</v>
      </c>
      <c r="AP697">
        <f t="shared" si="218"/>
        <v>0</v>
      </c>
      <c r="AQ697">
        <f t="shared" si="218"/>
        <v>0</v>
      </c>
      <c r="AR697">
        <f t="shared" si="218"/>
        <v>0</v>
      </c>
      <c r="AS697">
        <f t="shared" si="218"/>
        <v>0</v>
      </c>
      <c r="AT697">
        <f t="shared" si="218"/>
        <v>0</v>
      </c>
      <c r="AU697">
        <f t="shared" si="218"/>
        <v>0</v>
      </c>
      <c r="AV697">
        <f t="shared" si="218"/>
        <v>0</v>
      </c>
      <c r="AW697">
        <f t="shared" si="218"/>
        <v>0</v>
      </c>
      <c r="AX697">
        <f t="shared" si="218"/>
        <v>0</v>
      </c>
      <c r="AY697">
        <f t="shared" si="219"/>
        <v>0</v>
      </c>
      <c r="AZ697">
        <f t="shared" si="219"/>
        <v>0</v>
      </c>
      <c r="BA697" t="str">
        <f t="shared" si="219"/>
        <v>Connors</v>
      </c>
      <c r="BB697">
        <f t="shared" si="219"/>
        <v>0</v>
      </c>
      <c r="BC697">
        <f t="shared" si="219"/>
        <v>0</v>
      </c>
      <c r="BD697">
        <f t="shared" si="219"/>
        <v>0</v>
      </c>
      <c r="BE697">
        <f t="shared" si="219"/>
        <v>0</v>
      </c>
      <c r="BF697">
        <f t="shared" si="219"/>
        <v>0</v>
      </c>
      <c r="BG697">
        <f t="shared" si="219"/>
        <v>0</v>
      </c>
      <c r="BH697">
        <f t="shared" si="219"/>
        <v>0</v>
      </c>
      <c r="BI697">
        <f t="shared" si="220"/>
        <v>0</v>
      </c>
      <c r="BJ697">
        <f t="shared" si="220"/>
        <v>0</v>
      </c>
      <c r="BK697">
        <f t="shared" si="220"/>
        <v>0</v>
      </c>
      <c r="BL697">
        <f t="shared" si="220"/>
        <v>0</v>
      </c>
      <c r="BM697">
        <f t="shared" si="220"/>
        <v>0</v>
      </c>
      <c r="BN697">
        <f t="shared" si="220"/>
        <v>0</v>
      </c>
      <c r="BO697">
        <f t="shared" si="220"/>
        <v>0</v>
      </c>
      <c r="BP697">
        <f t="shared" si="220"/>
        <v>0</v>
      </c>
      <c r="BQ697">
        <f t="shared" si="220"/>
        <v>0</v>
      </c>
      <c r="BR697">
        <f t="shared" si="220"/>
        <v>0</v>
      </c>
      <c r="BS697">
        <f t="shared" si="220"/>
        <v>0</v>
      </c>
    </row>
    <row r="698" spans="2:71" ht="15" customHeight="1" x14ac:dyDescent="0.2">
      <c r="B698">
        <v>24</v>
      </c>
      <c r="C698">
        <v>8</v>
      </c>
      <c r="D698">
        <v>10</v>
      </c>
      <c r="E698" t="s">
        <v>524</v>
      </c>
      <c r="F698" t="s">
        <v>72</v>
      </c>
      <c r="G698" s="5">
        <v>45143</v>
      </c>
      <c r="H698" t="s">
        <v>73</v>
      </c>
      <c r="I698" t="s">
        <v>477</v>
      </c>
      <c r="J698" t="s">
        <v>478</v>
      </c>
      <c r="K698">
        <v>18</v>
      </c>
      <c r="L698" t="s">
        <v>107</v>
      </c>
      <c r="M698" t="s">
        <v>514</v>
      </c>
      <c r="N698" t="s">
        <v>515</v>
      </c>
      <c r="O698">
        <v>70.2</v>
      </c>
      <c r="P698">
        <v>130</v>
      </c>
      <c r="Q698">
        <v>5675</v>
      </c>
      <c r="R698" t="s">
        <v>110</v>
      </c>
      <c r="S698" t="s">
        <v>111</v>
      </c>
      <c r="T698" t="s">
        <v>353</v>
      </c>
      <c r="U698" t="s">
        <v>61</v>
      </c>
      <c r="V698" t="s">
        <v>62</v>
      </c>
      <c r="W698" t="s">
        <v>516</v>
      </c>
      <c r="AA698">
        <v>2</v>
      </c>
      <c r="AB698" t="s">
        <v>32</v>
      </c>
      <c r="AC698" t="s">
        <v>184</v>
      </c>
      <c r="AD698" t="s">
        <v>48</v>
      </c>
      <c r="AE698" t="str">
        <f t="shared" si="202"/>
        <v>Welker</v>
      </c>
      <c r="AF698">
        <v>2</v>
      </c>
      <c r="AG698">
        <v>1</v>
      </c>
      <c r="AH698">
        <v>0</v>
      </c>
      <c r="AI698">
        <v>0</v>
      </c>
      <c r="AJ698">
        <v>1</v>
      </c>
      <c r="AK698" t="s">
        <v>48</v>
      </c>
      <c r="AL698">
        <v>0.5546875</v>
      </c>
      <c r="AO698">
        <f t="shared" si="218"/>
        <v>0</v>
      </c>
      <c r="AP698">
        <f t="shared" si="218"/>
        <v>0</v>
      </c>
      <c r="AQ698">
        <f t="shared" si="218"/>
        <v>0</v>
      </c>
      <c r="AR698">
        <f t="shared" si="218"/>
        <v>0</v>
      </c>
      <c r="AS698">
        <f t="shared" si="218"/>
        <v>0</v>
      </c>
      <c r="AT698">
        <f t="shared" si="218"/>
        <v>0</v>
      </c>
      <c r="AU698">
        <f t="shared" si="218"/>
        <v>0</v>
      </c>
      <c r="AV698">
        <f t="shared" si="218"/>
        <v>0</v>
      </c>
      <c r="AW698">
        <f t="shared" si="218"/>
        <v>0</v>
      </c>
      <c r="AX698">
        <f t="shared" si="218"/>
        <v>0</v>
      </c>
      <c r="AY698">
        <f t="shared" si="219"/>
        <v>0</v>
      </c>
      <c r="AZ698">
        <f t="shared" si="219"/>
        <v>0</v>
      </c>
      <c r="BA698">
        <f t="shared" si="219"/>
        <v>0</v>
      </c>
      <c r="BB698">
        <f t="shared" si="219"/>
        <v>0</v>
      </c>
      <c r="BC698">
        <f t="shared" si="219"/>
        <v>0</v>
      </c>
      <c r="BD698">
        <f t="shared" si="219"/>
        <v>0</v>
      </c>
      <c r="BE698">
        <f t="shared" si="219"/>
        <v>0</v>
      </c>
      <c r="BF698">
        <f t="shared" si="219"/>
        <v>0</v>
      </c>
      <c r="BG698">
        <f t="shared" si="219"/>
        <v>0</v>
      </c>
      <c r="BH698">
        <f t="shared" si="219"/>
        <v>0</v>
      </c>
      <c r="BI698">
        <f t="shared" si="220"/>
        <v>0</v>
      </c>
      <c r="BJ698">
        <f t="shared" si="220"/>
        <v>0</v>
      </c>
      <c r="BK698" t="str">
        <f t="shared" si="220"/>
        <v>Welker</v>
      </c>
      <c r="BL698">
        <f t="shared" si="220"/>
        <v>0</v>
      </c>
      <c r="BM698">
        <f t="shared" si="220"/>
        <v>0</v>
      </c>
      <c r="BN698">
        <f t="shared" si="220"/>
        <v>0</v>
      </c>
      <c r="BO698">
        <f t="shared" si="220"/>
        <v>0</v>
      </c>
      <c r="BP698">
        <f t="shared" si="220"/>
        <v>0</v>
      </c>
      <c r="BQ698">
        <f t="shared" si="220"/>
        <v>0</v>
      </c>
      <c r="BR698">
        <f t="shared" si="220"/>
        <v>0</v>
      </c>
      <c r="BS698">
        <f t="shared" si="220"/>
        <v>0</v>
      </c>
    </row>
    <row r="699" spans="2:71" ht="15" customHeight="1" x14ac:dyDescent="0.2">
      <c r="B699">
        <v>25</v>
      </c>
      <c r="C699">
        <v>9</v>
      </c>
      <c r="D699">
        <v>10</v>
      </c>
      <c r="E699" t="s">
        <v>525</v>
      </c>
      <c r="F699" t="s">
        <v>72</v>
      </c>
      <c r="G699" s="5">
        <v>45143</v>
      </c>
      <c r="H699" t="s">
        <v>73</v>
      </c>
      <c r="I699" t="s">
        <v>477</v>
      </c>
      <c r="J699" t="s">
        <v>478</v>
      </c>
      <c r="K699">
        <v>18</v>
      </c>
      <c r="L699" t="s">
        <v>107</v>
      </c>
      <c r="M699" t="s">
        <v>514</v>
      </c>
      <c r="N699" t="s">
        <v>515</v>
      </c>
      <c r="O699">
        <v>70.2</v>
      </c>
      <c r="P699">
        <v>130</v>
      </c>
      <c r="Q699">
        <v>5675</v>
      </c>
      <c r="R699" t="s">
        <v>110</v>
      </c>
      <c r="S699" t="s">
        <v>111</v>
      </c>
      <c r="T699" t="s">
        <v>353</v>
      </c>
      <c r="U699" t="s">
        <v>61</v>
      </c>
      <c r="V699" t="s">
        <v>46</v>
      </c>
      <c r="W699" t="s">
        <v>516</v>
      </c>
      <c r="AA699">
        <v>2</v>
      </c>
      <c r="AB699" t="s">
        <v>34</v>
      </c>
      <c r="AC699" t="s">
        <v>92</v>
      </c>
      <c r="AD699" t="s">
        <v>50</v>
      </c>
      <c r="AE699" t="str">
        <f t="shared" si="202"/>
        <v>Mangold</v>
      </c>
      <c r="AF699">
        <v>1</v>
      </c>
      <c r="AG699">
        <v>0</v>
      </c>
      <c r="AH699">
        <v>0</v>
      </c>
      <c r="AI699">
        <v>1</v>
      </c>
      <c r="AJ699">
        <v>0.5</v>
      </c>
      <c r="AK699" t="s">
        <v>50</v>
      </c>
      <c r="AL699">
        <v>0.59523809523809501</v>
      </c>
      <c r="AO699">
        <f t="shared" si="218"/>
        <v>0</v>
      </c>
      <c r="AP699">
        <f t="shared" si="218"/>
        <v>0</v>
      </c>
      <c r="AQ699">
        <f t="shared" si="218"/>
        <v>0</v>
      </c>
      <c r="AR699">
        <f t="shared" si="218"/>
        <v>0</v>
      </c>
      <c r="AS699">
        <f t="shared" si="218"/>
        <v>0</v>
      </c>
      <c r="AT699">
        <f t="shared" si="218"/>
        <v>0</v>
      </c>
      <c r="AU699" t="str">
        <f t="shared" si="218"/>
        <v>Mangold</v>
      </c>
      <c r="AV699">
        <f t="shared" si="218"/>
        <v>0</v>
      </c>
      <c r="AW699">
        <f t="shared" si="218"/>
        <v>0</v>
      </c>
      <c r="AX699">
        <f t="shared" si="218"/>
        <v>0</v>
      </c>
      <c r="AY699">
        <f t="shared" si="219"/>
        <v>0</v>
      </c>
      <c r="AZ699">
        <f t="shared" si="219"/>
        <v>0</v>
      </c>
      <c r="BA699">
        <f t="shared" si="219"/>
        <v>0</v>
      </c>
      <c r="BB699">
        <f t="shared" si="219"/>
        <v>0</v>
      </c>
      <c r="BC699">
        <f t="shared" si="219"/>
        <v>0</v>
      </c>
      <c r="BD699">
        <f t="shared" si="219"/>
        <v>0</v>
      </c>
      <c r="BE699">
        <f t="shared" si="219"/>
        <v>0</v>
      </c>
      <c r="BF699">
        <f t="shared" si="219"/>
        <v>0</v>
      </c>
      <c r="BG699">
        <f t="shared" si="219"/>
        <v>0</v>
      </c>
      <c r="BH699">
        <f t="shared" si="219"/>
        <v>0</v>
      </c>
      <c r="BI699">
        <f t="shared" si="220"/>
        <v>0</v>
      </c>
      <c r="BJ699">
        <f t="shared" si="220"/>
        <v>0</v>
      </c>
      <c r="BK699">
        <f t="shared" si="220"/>
        <v>0</v>
      </c>
      <c r="BL699">
        <f t="shared" si="220"/>
        <v>0</v>
      </c>
      <c r="BM699">
        <f t="shared" si="220"/>
        <v>0</v>
      </c>
      <c r="BN699">
        <f t="shared" si="220"/>
        <v>0</v>
      </c>
      <c r="BO699">
        <f t="shared" si="220"/>
        <v>0</v>
      </c>
      <c r="BP699">
        <f t="shared" si="220"/>
        <v>0</v>
      </c>
      <c r="BQ699">
        <f t="shared" si="220"/>
        <v>0</v>
      </c>
      <c r="BR699">
        <f t="shared" si="220"/>
        <v>0</v>
      </c>
      <c r="BS699">
        <f t="shared" si="220"/>
        <v>0</v>
      </c>
    </row>
    <row r="700" spans="2:71" ht="15" customHeight="1" x14ac:dyDescent="0.2">
      <c r="B700">
        <v>25</v>
      </c>
      <c r="C700">
        <v>10</v>
      </c>
      <c r="D700">
        <v>10</v>
      </c>
      <c r="E700" t="s">
        <v>526</v>
      </c>
      <c r="F700" t="s">
        <v>72</v>
      </c>
      <c r="G700" s="5">
        <v>45143</v>
      </c>
      <c r="H700" t="s">
        <v>73</v>
      </c>
      <c r="I700" t="s">
        <v>477</v>
      </c>
      <c r="J700" t="s">
        <v>478</v>
      </c>
      <c r="K700">
        <v>18</v>
      </c>
      <c r="L700" t="s">
        <v>107</v>
      </c>
      <c r="M700" t="s">
        <v>514</v>
      </c>
      <c r="N700" t="s">
        <v>515</v>
      </c>
      <c r="O700">
        <v>70.2</v>
      </c>
      <c r="P700">
        <v>130</v>
      </c>
      <c r="Q700">
        <v>5675</v>
      </c>
      <c r="R700" t="s">
        <v>110</v>
      </c>
      <c r="S700" t="s">
        <v>111</v>
      </c>
      <c r="T700" t="s">
        <v>353</v>
      </c>
      <c r="U700" t="s">
        <v>61</v>
      </c>
      <c r="V700" t="s">
        <v>53</v>
      </c>
      <c r="W700" t="s">
        <v>516</v>
      </c>
      <c r="AA700">
        <v>2</v>
      </c>
      <c r="AB700" t="s">
        <v>33</v>
      </c>
      <c r="AC700" t="s">
        <v>171</v>
      </c>
      <c r="AD700" t="s">
        <v>40</v>
      </c>
      <c r="AE700" t="str">
        <f t="shared" si="202"/>
        <v>Forster</v>
      </c>
      <c r="AF700">
        <v>0</v>
      </c>
      <c r="AG700">
        <v>0</v>
      </c>
      <c r="AH700">
        <v>1</v>
      </c>
      <c r="AI700">
        <v>0</v>
      </c>
      <c r="AJ700">
        <v>0</v>
      </c>
      <c r="AK700" t="s">
        <v>40</v>
      </c>
      <c r="AL700">
        <v>0.546875</v>
      </c>
      <c r="AO700">
        <f t="shared" si="218"/>
        <v>0</v>
      </c>
      <c r="AP700">
        <f t="shared" si="218"/>
        <v>0</v>
      </c>
      <c r="AQ700">
        <f t="shared" si="218"/>
        <v>0</v>
      </c>
      <c r="AR700">
        <f t="shared" si="218"/>
        <v>0</v>
      </c>
      <c r="AS700">
        <f t="shared" si="218"/>
        <v>0</v>
      </c>
      <c r="AT700">
        <f t="shared" si="218"/>
        <v>0</v>
      </c>
      <c r="AU700">
        <f t="shared" si="218"/>
        <v>0</v>
      </c>
      <c r="AV700">
        <f t="shared" si="218"/>
        <v>0</v>
      </c>
      <c r="AW700">
        <f t="shared" si="218"/>
        <v>0</v>
      </c>
      <c r="AX700">
        <f t="shared" si="218"/>
        <v>0</v>
      </c>
      <c r="AY700">
        <f t="shared" si="219"/>
        <v>0</v>
      </c>
      <c r="AZ700">
        <f t="shared" si="219"/>
        <v>0</v>
      </c>
      <c r="BA700">
        <f t="shared" si="219"/>
        <v>0</v>
      </c>
      <c r="BB700" t="str">
        <f t="shared" si="219"/>
        <v>Forster</v>
      </c>
      <c r="BC700">
        <f t="shared" si="219"/>
        <v>0</v>
      </c>
      <c r="BD700">
        <f t="shared" si="219"/>
        <v>0</v>
      </c>
      <c r="BE700">
        <f t="shared" si="219"/>
        <v>0</v>
      </c>
      <c r="BF700">
        <f t="shared" si="219"/>
        <v>0</v>
      </c>
      <c r="BG700">
        <f t="shared" si="219"/>
        <v>0</v>
      </c>
      <c r="BH700">
        <f t="shared" si="219"/>
        <v>0</v>
      </c>
      <c r="BI700">
        <f t="shared" si="220"/>
        <v>0</v>
      </c>
      <c r="BJ700">
        <f t="shared" si="220"/>
        <v>0</v>
      </c>
      <c r="BK700">
        <f t="shared" si="220"/>
        <v>0</v>
      </c>
      <c r="BL700">
        <f t="shared" si="220"/>
        <v>0</v>
      </c>
      <c r="BM700">
        <f t="shared" si="220"/>
        <v>0</v>
      </c>
      <c r="BN700">
        <f t="shared" si="220"/>
        <v>0</v>
      </c>
      <c r="BO700">
        <f t="shared" si="220"/>
        <v>0</v>
      </c>
      <c r="BP700">
        <f t="shared" si="220"/>
        <v>0</v>
      </c>
      <c r="BQ700">
        <f t="shared" si="220"/>
        <v>0</v>
      </c>
      <c r="BR700">
        <f t="shared" si="220"/>
        <v>0</v>
      </c>
      <c r="BS700">
        <f t="shared" si="220"/>
        <v>0</v>
      </c>
    </row>
    <row r="701" spans="2:71" ht="15" customHeight="1" x14ac:dyDescent="0.2">
      <c r="B701">
        <v>26</v>
      </c>
      <c r="C701">
        <v>1</v>
      </c>
      <c r="D701">
        <v>10</v>
      </c>
      <c r="E701" t="s">
        <v>513</v>
      </c>
      <c r="F701" t="s">
        <v>72</v>
      </c>
      <c r="G701" s="5">
        <v>45143</v>
      </c>
      <c r="H701" t="s">
        <v>73</v>
      </c>
      <c r="I701" t="s">
        <v>477</v>
      </c>
      <c r="J701" t="s">
        <v>478</v>
      </c>
      <c r="K701">
        <v>18</v>
      </c>
      <c r="L701" t="s">
        <v>107</v>
      </c>
      <c r="M701" t="s">
        <v>514</v>
      </c>
      <c r="N701" t="s">
        <v>515</v>
      </c>
      <c r="O701">
        <v>70.2</v>
      </c>
      <c r="P701">
        <v>130</v>
      </c>
      <c r="Q701">
        <v>5675</v>
      </c>
      <c r="R701" t="s">
        <v>110</v>
      </c>
      <c r="S701" t="s">
        <v>111</v>
      </c>
      <c r="T701" t="s">
        <v>353</v>
      </c>
      <c r="U701" t="s">
        <v>55</v>
      </c>
      <c r="V701" t="s">
        <v>63</v>
      </c>
      <c r="W701" t="s">
        <v>123</v>
      </c>
      <c r="AA701">
        <v>2</v>
      </c>
      <c r="AB701" t="s">
        <v>33</v>
      </c>
      <c r="AC701" t="s">
        <v>209</v>
      </c>
      <c r="AD701" t="s">
        <v>42</v>
      </c>
      <c r="AE701" t="str">
        <f t="shared" si="202"/>
        <v>Delaney</v>
      </c>
      <c r="AF701">
        <v>0</v>
      </c>
      <c r="AG701">
        <v>0</v>
      </c>
      <c r="AH701">
        <v>1</v>
      </c>
      <c r="AI701">
        <v>0</v>
      </c>
      <c r="AJ701">
        <v>0</v>
      </c>
      <c r="AK701" t="s">
        <v>42</v>
      </c>
      <c r="AL701">
        <v>0.6171875</v>
      </c>
      <c r="AO701">
        <f t="shared" si="218"/>
        <v>0</v>
      </c>
      <c r="AP701">
        <f t="shared" si="218"/>
        <v>0</v>
      </c>
      <c r="AQ701">
        <f t="shared" si="218"/>
        <v>0</v>
      </c>
      <c r="AR701">
        <f t="shared" si="218"/>
        <v>0</v>
      </c>
      <c r="AS701">
        <f t="shared" si="218"/>
        <v>0</v>
      </c>
      <c r="AT701">
        <f t="shared" si="218"/>
        <v>0</v>
      </c>
      <c r="AU701">
        <f t="shared" si="218"/>
        <v>0</v>
      </c>
      <c r="AV701">
        <f t="shared" si="218"/>
        <v>0</v>
      </c>
      <c r="AW701">
        <f t="shared" si="218"/>
        <v>0</v>
      </c>
      <c r="AX701">
        <f t="shared" si="218"/>
        <v>0</v>
      </c>
      <c r="AY701">
        <f t="shared" si="219"/>
        <v>0</v>
      </c>
      <c r="AZ701">
        <f t="shared" si="219"/>
        <v>0</v>
      </c>
      <c r="BA701">
        <f t="shared" si="219"/>
        <v>0</v>
      </c>
      <c r="BB701">
        <f t="shared" si="219"/>
        <v>0</v>
      </c>
      <c r="BC701">
        <f t="shared" si="219"/>
        <v>0</v>
      </c>
      <c r="BD701">
        <f t="shared" si="219"/>
        <v>0</v>
      </c>
      <c r="BE701">
        <f t="shared" si="219"/>
        <v>0</v>
      </c>
      <c r="BF701">
        <f t="shared" si="219"/>
        <v>0</v>
      </c>
      <c r="BG701">
        <f t="shared" si="219"/>
        <v>0</v>
      </c>
      <c r="BH701">
        <f t="shared" si="219"/>
        <v>0</v>
      </c>
      <c r="BI701">
        <f t="shared" si="220"/>
        <v>0</v>
      </c>
      <c r="BJ701">
        <f t="shared" si="220"/>
        <v>0</v>
      </c>
      <c r="BK701">
        <f t="shared" si="220"/>
        <v>0</v>
      </c>
      <c r="BL701" t="str">
        <f t="shared" si="220"/>
        <v>Delaney</v>
      </c>
      <c r="BM701">
        <f t="shared" si="220"/>
        <v>0</v>
      </c>
      <c r="BN701">
        <f t="shared" si="220"/>
        <v>0</v>
      </c>
      <c r="BO701">
        <f t="shared" si="220"/>
        <v>0</v>
      </c>
      <c r="BP701">
        <f t="shared" si="220"/>
        <v>0</v>
      </c>
      <c r="BQ701">
        <f t="shared" si="220"/>
        <v>0</v>
      </c>
      <c r="BR701">
        <f t="shared" si="220"/>
        <v>0</v>
      </c>
      <c r="BS701">
        <f t="shared" si="220"/>
        <v>0</v>
      </c>
    </row>
    <row r="702" spans="2:71" ht="15" customHeight="1" x14ac:dyDescent="0.2">
      <c r="B702">
        <v>26</v>
      </c>
      <c r="C702">
        <v>2</v>
      </c>
      <c r="D702">
        <v>10</v>
      </c>
      <c r="E702" t="s">
        <v>517</v>
      </c>
      <c r="F702" t="s">
        <v>72</v>
      </c>
      <c r="G702" s="5">
        <v>45143</v>
      </c>
      <c r="H702" t="s">
        <v>73</v>
      </c>
      <c r="I702" t="s">
        <v>477</v>
      </c>
      <c r="J702" t="s">
        <v>478</v>
      </c>
      <c r="K702">
        <v>18</v>
      </c>
      <c r="L702" t="s">
        <v>107</v>
      </c>
      <c r="M702" t="s">
        <v>514</v>
      </c>
      <c r="N702" t="s">
        <v>515</v>
      </c>
      <c r="O702">
        <v>70.2</v>
      </c>
      <c r="P702">
        <v>130</v>
      </c>
      <c r="Q702">
        <v>5675</v>
      </c>
      <c r="R702" t="s">
        <v>110</v>
      </c>
      <c r="S702" t="s">
        <v>111</v>
      </c>
      <c r="T702" t="s">
        <v>353</v>
      </c>
      <c r="U702" t="s">
        <v>55</v>
      </c>
      <c r="V702" t="s">
        <v>45</v>
      </c>
      <c r="W702" t="s">
        <v>123</v>
      </c>
      <c r="AA702">
        <v>2</v>
      </c>
      <c r="AB702" t="s">
        <v>32</v>
      </c>
      <c r="AC702" t="s">
        <v>518</v>
      </c>
      <c r="AD702" t="s">
        <v>60</v>
      </c>
      <c r="AE702" t="str">
        <f t="shared" si="202"/>
        <v>Connolly</v>
      </c>
      <c r="AF702">
        <v>2</v>
      </c>
      <c r="AG702">
        <v>1</v>
      </c>
      <c r="AH702">
        <v>0</v>
      </c>
      <c r="AI702">
        <v>0</v>
      </c>
      <c r="AJ702">
        <v>1</v>
      </c>
      <c r="AK702" t="s">
        <v>60</v>
      </c>
      <c r="AL702">
        <v>0.5</v>
      </c>
      <c r="AO702">
        <f t="shared" ref="AO702:AX711" si="221">IF(OR($V702=AO$1,$Y702=AO$1),AO$1,0)</f>
        <v>0</v>
      </c>
      <c r="AP702">
        <f t="shared" si="221"/>
        <v>0</v>
      </c>
      <c r="AQ702">
        <f t="shared" si="221"/>
        <v>0</v>
      </c>
      <c r="AR702">
        <f t="shared" si="221"/>
        <v>0</v>
      </c>
      <c r="AS702">
        <f t="shared" si="221"/>
        <v>0</v>
      </c>
      <c r="AT702" t="str">
        <f t="shared" si="221"/>
        <v>Connolly</v>
      </c>
      <c r="AU702">
        <f t="shared" si="221"/>
        <v>0</v>
      </c>
      <c r="AV702">
        <f t="shared" si="221"/>
        <v>0</v>
      </c>
      <c r="AW702">
        <f t="shared" si="221"/>
        <v>0</v>
      </c>
      <c r="AX702">
        <f t="shared" si="221"/>
        <v>0</v>
      </c>
      <c r="AY702">
        <f t="shared" ref="AY702:BH711" si="222">IF(OR($V702=AY$1,$Y702=AY$1),AY$1,0)</f>
        <v>0</v>
      </c>
      <c r="AZ702">
        <f t="shared" si="222"/>
        <v>0</v>
      </c>
      <c r="BA702">
        <f t="shared" si="222"/>
        <v>0</v>
      </c>
      <c r="BB702">
        <f t="shared" si="222"/>
        <v>0</v>
      </c>
      <c r="BC702">
        <f t="shared" si="222"/>
        <v>0</v>
      </c>
      <c r="BD702">
        <f t="shared" si="222"/>
        <v>0</v>
      </c>
      <c r="BE702">
        <f t="shared" si="222"/>
        <v>0</v>
      </c>
      <c r="BF702">
        <f t="shared" si="222"/>
        <v>0</v>
      </c>
      <c r="BG702">
        <f t="shared" si="222"/>
        <v>0</v>
      </c>
      <c r="BH702">
        <f t="shared" si="222"/>
        <v>0</v>
      </c>
      <c r="BI702">
        <f t="shared" ref="BI702:BS711" si="223">IF(OR($V702=BI$1,$Y702=BI$1),BI$1,0)</f>
        <v>0</v>
      </c>
      <c r="BJ702">
        <f t="shared" si="223"/>
        <v>0</v>
      </c>
      <c r="BK702">
        <f t="shared" si="223"/>
        <v>0</v>
      </c>
      <c r="BL702">
        <f t="shared" si="223"/>
        <v>0</v>
      </c>
      <c r="BM702">
        <f t="shared" si="223"/>
        <v>0</v>
      </c>
      <c r="BN702">
        <f t="shared" si="223"/>
        <v>0</v>
      </c>
      <c r="BO702">
        <f t="shared" si="223"/>
        <v>0</v>
      </c>
      <c r="BP702">
        <f t="shared" si="223"/>
        <v>0</v>
      </c>
      <c r="BQ702">
        <f t="shared" si="223"/>
        <v>0</v>
      </c>
      <c r="BR702">
        <f t="shared" si="223"/>
        <v>0</v>
      </c>
      <c r="BS702">
        <f t="shared" si="223"/>
        <v>0</v>
      </c>
    </row>
    <row r="703" spans="2:71" ht="15" customHeight="1" x14ac:dyDescent="0.2">
      <c r="B703">
        <v>27</v>
      </c>
      <c r="C703">
        <v>3</v>
      </c>
      <c r="D703">
        <v>10</v>
      </c>
      <c r="E703" t="s">
        <v>519</v>
      </c>
      <c r="F703" t="s">
        <v>72</v>
      </c>
      <c r="G703" s="5">
        <v>45143</v>
      </c>
      <c r="H703" t="s">
        <v>73</v>
      </c>
      <c r="I703" t="s">
        <v>477</v>
      </c>
      <c r="J703" t="s">
        <v>478</v>
      </c>
      <c r="K703">
        <v>18</v>
      </c>
      <c r="L703" t="s">
        <v>107</v>
      </c>
      <c r="M703" t="s">
        <v>514</v>
      </c>
      <c r="N703" t="s">
        <v>515</v>
      </c>
      <c r="O703">
        <v>70.2</v>
      </c>
      <c r="P703">
        <v>130</v>
      </c>
      <c r="Q703">
        <v>5675</v>
      </c>
      <c r="R703" t="s">
        <v>110</v>
      </c>
      <c r="S703" t="s">
        <v>111</v>
      </c>
      <c r="T703" t="s">
        <v>353</v>
      </c>
      <c r="U703" t="s">
        <v>55</v>
      </c>
      <c r="V703" t="s">
        <v>41</v>
      </c>
      <c r="W703" t="s">
        <v>123</v>
      </c>
      <c r="AA703">
        <v>2</v>
      </c>
      <c r="AB703" t="s">
        <v>33</v>
      </c>
      <c r="AC703" t="s">
        <v>342</v>
      </c>
      <c r="AD703" t="s">
        <v>64</v>
      </c>
      <c r="AE703" t="str">
        <f t="shared" si="202"/>
        <v>Hilts</v>
      </c>
      <c r="AF703">
        <v>0</v>
      </c>
      <c r="AG703">
        <v>0</v>
      </c>
      <c r="AH703">
        <v>1</v>
      </c>
      <c r="AI703">
        <v>0</v>
      </c>
      <c r="AJ703">
        <v>0</v>
      </c>
      <c r="AK703" t="s">
        <v>64</v>
      </c>
      <c r="AL703">
        <v>0.65909090909090895</v>
      </c>
      <c r="AO703">
        <f t="shared" si="221"/>
        <v>0</v>
      </c>
      <c r="AP703" t="str">
        <f t="shared" si="221"/>
        <v>Hilts</v>
      </c>
      <c r="AQ703">
        <f t="shared" si="221"/>
        <v>0</v>
      </c>
      <c r="AR703">
        <f t="shared" si="221"/>
        <v>0</v>
      </c>
      <c r="AS703">
        <f t="shared" si="221"/>
        <v>0</v>
      </c>
      <c r="AT703">
        <f t="shared" si="221"/>
        <v>0</v>
      </c>
      <c r="AU703">
        <f t="shared" si="221"/>
        <v>0</v>
      </c>
      <c r="AV703">
        <f t="shared" si="221"/>
        <v>0</v>
      </c>
      <c r="AW703">
        <f t="shared" si="221"/>
        <v>0</v>
      </c>
      <c r="AX703">
        <f t="shared" si="221"/>
        <v>0</v>
      </c>
      <c r="AY703">
        <f t="shared" si="222"/>
        <v>0</v>
      </c>
      <c r="AZ703">
        <f t="shared" si="222"/>
        <v>0</v>
      </c>
      <c r="BA703">
        <f t="shared" si="222"/>
        <v>0</v>
      </c>
      <c r="BB703">
        <f t="shared" si="222"/>
        <v>0</v>
      </c>
      <c r="BC703">
        <f t="shared" si="222"/>
        <v>0</v>
      </c>
      <c r="BD703">
        <f t="shared" si="222"/>
        <v>0</v>
      </c>
      <c r="BE703">
        <f t="shared" si="222"/>
        <v>0</v>
      </c>
      <c r="BF703">
        <f t="shared" si="222"/>
        <v>0</v>
      </c>
      <c r="BG703">
        <f t="shared" si="222"/>
        <v>0</v>
      </c>
      <c r="BH703">
        <f t="shared" si="222"/>
        <v>0</v>
      </c>
      <c r="BI703">
        <f t="shared" si="223"/>
        <v>0</v>
      </c>
      <c r="BJ703">
        <f t="shared" si="223"/>
        <v>0</v>
      </c>
      <c r="BK703">
        <f t="shared" si="223"/>
        <v>0</v>
      </c>
      <c r="BL703">
        <f t="shared" si="223"/>
        <v>0</v>
      </c>
      <c r="BM703">
        <f t="shared" si="223"/>
        <v>0</v>
      </c>
      <c r="BN703">
        <f t="shared" si="223"/>
        <v>0</v>
      </c>
      <c r="BO703">
        <f t="shared" si="223"/>
        <v>0</v>
      </c>
      <c r="BP703">
        <f t="shared" si="223"/>
        <v>0</v>
      </c>
      <c r="BQ703">
        <f t="shared" si="223"/>
        <v>0</v>
      </c>
      <c r="BR703">
        <f t="shared" si="223"/>
        <v>0</v>
      </c>
      <c r="BS703">
        <f t="shared" si="223"/>
        <v>0</v>
      </c>
    </row>
    <row r="704" spans="2:71" ht="15" customHeight="1" x14ac:dyDescent="0.2">
      <c r="B704">
        <v>27</v>
      </c>
      <c r="C704">
        <v>4</v>
      </c>
      <c r="D704">
        <v>10</v>
      </c>
      <c r="E704" t="s">
        <v>520</v>
      </c>
      <c r="F704" t="s">
        <v>72</v>
      </c>
      <c r="G704" s="5">
        <v>45143</v>
      </c>
      <c r="H704" t="s">
        <v>73</v>
      </c>
      <c r="I704" t="s">
        <v>477</v>
      </c>
      <c r="J704" t="s">
        <v>478</v>
      </c>
      <c r="K704">
        <v>18</v>
      </c>
      <c r="L704" t="s">
        <v>107</v>
      </c>
      <c r="M704" t="s">
        <v>514</v>
      </c>
      <c r="N704" t="s">
        <v>515</v>
      </c>
      <c r="O704">
        <v>70.2</v>
      </c>
      <c r="P704">
        <v>130</v>
      </c>
      <c r="Q704">
        <v>5675</v>
      </c>
      <c r="R704" t="s">
        <v>110</v>
      </c>
      <c r="S704" t="s">
        <v>111</v>
      </c>
      <c r="T704" t="s">
        <v>353</v>
      </c>
      <c r="U704" t="s">
        <v>55</v>
      </c>
      <c r="V704" t="s">
        <v>69</v>
      </c>
      <c r="W704" t="s">
        <v>123</v>
      </c>
      <c r="AA704">
        <v>2</v>
      </c>
      <c r="AB704" t="s">
        <v>32</v>
      </c>
      <c r="AC704" t="s">
        <v>171</v>
      </c>
      <c r="AD704" t="s">
        <v>54</v>
      </c>
      <c r="AE704" t="str">
        <f t="shared" si="202"/>
        <v>R. Connolly</v>
      </c>
      <c r="AF704">
        <v>2</v>
      </c>
      <c r="AG704">
        <v>1</v>
      </c>
      <c r="AH704">
        <v>0</v>
      </c>
      <c r="AI704">
        <v>0</v>
      </c>
      <c r="AJ704">
        <v>1</v>
      </c>
      <c r="AK704" t="s">
        <v>54</v>
      </c>
      <c r="AL704">
        <v>0.37288135593220301</v>
      </c>
      <c r="AO704">
        <f t="shared" si="221"/>
        <v>0</v>
      </c>
      <c r="AP704">
        <f t="shared" si="221"/>
        <v>0</v>
      </c>
      <c r="AQ704">
        <f t="shared" si="221"/>
        <v>0</v>
      </c>
      <c r="AR704">
        <f t="shared" si="221"/>
        <v>0</v>
      </c>
      <c r="AS704">
        <f t="shared" si="221"/>
        <v>0</v>
      </c>
      <c r="AT704">
        <f t="shared" si="221"/>
        <v>0</v>
      </c>
      <c r="AU704">
        <f t="shared" si="221"/>
        <v>0</v>
      </c>
      <c r="AV704">
        <f t="shared" si="221"/>
        <v>0</v>
      </c>
      <c r="AW704">
        <f t="shared" si="221"/>
        <v>0</v>
      </c>
      <c r="AX704">
        <f t="shared" si="221"/>
        <v>0</v>
      </c>
      <c r="AY704">
        <f t="shared" si="222"/>
        <v>0</v>
      </c>
      <c r="AZ704">
        <f t="shared" si="222"/>
        <v>0</v>
      </c>
      <c r="BA704">
        <f t="shared" si="222"/>
        <v>0</v>
      </c>
      <c r="BB704">
        <f t="shared" si="222"/>
        <v>0</v>
      </c>
      <c r="BC704">
        <f t="shared" si="222"/>
        <v>0</v>
      </c>
      <c r="BD704">
        <f t="shared" si="222"/>
        <v>0</v>
      </c>
      <c r="BE704">
        <f t="shared" si="222"/>
        <v>0</v>
      </c>
      <c r="BF704">
        <f t="shared" si="222"/>
        <v>0</v>
      </c>
      <c r="BG704">
        <f t="shared" si="222"/>
        <v>0</v>
      </c>
      <c r="BH704">
        <f t="shared" si="222"/>
        <v>0</v>
      </c>
      <c r="BI704">
        <f t="shared" si="223"/>
        <v>0</v>
      </c>
      <c r="BJ704">
        <f t="shared" si="223"/>
        <v>0</v>
      </c>
      <c r="BK704">
        <f t="shared" si="223"/>
        <v>0</v>
      </c>
      <c r="BL704">
        <f t="shared" si="223"/>
        <v>0</v>
      </c>
      <c r="BM704">
        <f t="shared" si="223"/>
        <v>0</v>
      </c>
      <c r="BN704">
        <f t="shared" si="223"/>
        <v>0</v>
      </c>
      <c r="BO704">
        <f t="shared" si="223"/>
        <v>0</v>
      </c>
      <c r="BP704">
        <f t="shared" si="223"/>
        <v>0</v>
      </c>
      <c r="BQ704">
        <f t="shared" si="223"/>
        <v>0</v>
      </c>
      <c r="BR704" t="str">
        <f t="shared" si="223"/>
        <v>R. Connolly</v>
      </c>
      <c r="BS704">
        <f t="shared" si="223"/>
        <v>0</v>
      </c>
    </row>
    <row r="705" spans="2:71" ht="15" customHeight="1" x14ac:dyDescent="0.2">
      <c r="B705">
        <v>28</v>
      </c>
      <c r="C705">
        <v>5</v>
      </c>
      <c r="D705">
        <v>10</v>
      </c>
      <c r="E705" t="s">
        <v>521</v>
      </c>
      <c r="F705" t="s">
        <v>72</v>
      </c>
      <c r="G705" s="5">
        <v>45143</v>
      </c>
      <c r="H705" t="s">
        <v>73</v>
      </c>
      <c r="I705" t="s">
        <v>477</v>
      </c>
      <c r="J705" t="s">
        <v>478</v>
      </c>
      <c r="K705">
        <v>18</v>
      </c>
      <c r="L705" t="s">
        <v>107</v>
      </c>
      <c r="M705" t="s">
        <v>514</v>
      </c>
      <c r="N705" t="s">
        <v>515</v>
      </c>
      <c r="O705">
        <v>70.2</v>
      </c>
      <c r="P705">
        <v>130</v>
      </c>
      <c r="Q705">
        <v>5675</v>
      </c>
      <c r="R705" t="s">
        <v>110</v>
      </c>
      <c r="S705" t="s">
        <v>111</v>
      </c>
      <c r="T705" t="s">
        <v>353</v>
      </c>
      <c r="U705" t="s">
        <v>55</v>
      </c>
      <c r="V705" t="s">
        <v>44</v>
      </c>
      <c r="W705" t="s">
        <v>123</v>
      </c>
      <c r="AA705">
        <v>2</v>
      </c>
      <c r="AB705" t="s">
        <v>33</v>
      </c>
      <c r="AC705" t="s">
        <v>233</v>
      </c>
      <c r="AD705" t="s">
        <v>58</v>
      </c>
      <c r="AE705" t="str">
        <f t="shared" si="202"/>
        <v>Flanders</v>
      </c>
      <c r="AF705">
        <v>0</v>
      </c>
      <c r="AG705">
        <v>0</v>
      </c>
      <c r="AH705">
        <v>1</v>
      </c>
      <c r="AI705">
        <v>0</v>
      </c>
      <c r="AJ705">
        <v>0</v>
      </c>
      <c r="AK705" t="s">
        <v>58</v>
      </c>
      <c r="AL705">
        <v>0.65476190476190499</v>
      </c>
      <c r="AO705">
        <f t="shared" si="221"/>
        <v>0</v>
      </c>
      <c r="AP705">
        <f t="shared" si="221"/>
        <v>0</v>
      </c>
      <c r="AQ705">
        <f t="shared" si="221"/>
        <v>0</v>
      </c>
      <c r="AR705">
        <f t="shared" si="221"/>
        <v>0</v>
      </c>
      <c r="AS705" t="str">
        <f t="shared" si="221"/>
        <v>Flanders</v>
      </c>
      <c r="AT705">
        <f t="shared" si="221"/>
        <v>0</v>
      </c>
      <c r="AU705">
        <f t="shared" si="221"/>
        <v>0</v>
      </c>
      <c r="AV705">
        <f t="shared" si="221"/>
        <v>0</v>
      </c>
      <c r="AW705">
        <f t="shared" si="221"/>
        <v>0</v>
      </c>
      <c r="AX705">
        <f t="shared" si="221"/>
        <v>0</v>
      </c>
      <c r="AY705">
        <f t="shared" si="222"/>
        <v>0</v>
      </c>
      <c r="AZ705">
        <f t="shared" si="222"/>
        <v>0</v>
      </c>
      <c r="BA705">
        <f t="shared" si="222"/>
        <v>0</v>
      </c>
      <c r="BB705">
        <f t="shared" si="222"/>
        <v>0</v>
      </c>
      <c r="BC705">
        <f t="shared" si="222"/>
        <v>0</v>
      </c>
      <c r="BD705">
        <f t="shared" si="222"/>
        <v>0</v>
      </c>
      <c r="BE705">
        <f t="shared" si="222"/>
        <v>0</v>
      </c>
      <c r="BF705">
        <f t="shared" si="222"/>
        <v>0</v>
      </c>
      <c r="BG705">
        <f t="shared" si="222"/>
        <v>0</v>
      </c>
      <c r="BH705">
        <f t="shared" si="222"/>
        <v>0</v>
      </c>
      <c r="BI705">
        <f t="shared" si="223"/>
        <v>0</v>
      </c>
      <c r="BJ705">
        <f t="shared" si="223"/>
        <v>0</v>
      </c>
      <c r="BK705">
        <f t="shared" si="223"/>
        <v>0</v>
      </c>
      <c r="BL705">
        <f t="shared" si="223"/>
        <v>0</v>
      </c>
      <c r="BM705">
        <f t="shared" si="223"/>
        <v>0</v>
      </c>
      <c r="BN705">
        <f t="shared" si="223"/>
        <v>0</v>
      </c>
      <c r="BO705">
        <f t="shared" si="223"/>
        <v>0</v>
      </c>
      <c r="BP705">
        <f t="shared" si="223"/>
        <v>0</v>
      </c>
      <c r="BQ705">
        <f t="shared" si="223"/>
        <v>0</v>
      </c>
      <c r="BR705">
        <f t="shared" si="223"/>
        <v>0</v>
      </c>
      <c r="BS705">
        <f t="shared" si="223"/>
        <v>0</v>
      </c>
    </row>
    <row r="706" spans="2:71" ht="15" customHeight="1" x14ac:dyDescent="0.2">
      <c r="B706">
        <v>28</v>
      </c>
      <c r="C706">
        <v>6</v>
      </c>
      <c r="D706">
        <v>10</v>
      </c>
      <c r="E706" t="s">
        <v>522</v>
      </c>
      <c r="F706" t="s">
        <v>72</v>
      </c>
      <c r="G706" s="5">
        <v>45143</v>
      </c>
      <c r="H706" t="s">
        <v>73</v>
      </c>
      <c r="I706" t="s">
        <v>477</v>
      </c>
      <c r="J706" t="s">
        <v>478</v>
      </c>
      <c r="K706">
        <v>18</v>
      </c>
      <c r="L706" t="s">
        <v>107</v>
      </c>
      <c r="M706" t="s">
        <v>514</v>
      </c>
      <c r="N706" t="s">
        <v>515</v>
      </c>
      <c r="O706">
        <v>70.2</v>
      </c>
      <c r="P706">
        <v>130</v>
      </c>
      <c r="Q706">
        <v>5675</v>
      </c>
      <c r="R706" t="s">
        <v>110</v>
      </c>
      <c r="S706" t="s">
        <v>111</v>
      </c>
      <c r="T706" t="s">
        <v>353</v>
      </c>
      <c r="U706" t="s">
        <v>55</v>
      </c>
      <c r="V706" t="s">
        <v>66</v>
      </c>
      <c r="W706" t="s">
        <v>123</v>
      </c>
      <c r="AA706">
        <v>2</v>
      </c>
      <c r="AB706" t="s">
        <v>33</v>
      </c>
      <c r="AC706" t="s">
        <v>171</v>
      </c>
      <c r="AD706" t="s">
        <v>61</v>
      </c>
      <c r="AE706" t="str">
        <f t="shared" ref="AE706:AE769" si="224">$V706&amp;$Y706</f>
        <v>Perkins</v>
      </c>
      <c r="AF706">
        <v>0</v>
      </c>
      <c r="AG706">
        <v>0</v>
      </c>
      <c r="AH706">
        <v>1</v>
      </c>
      <c r="AI706">
        <v>0</v>
      </c>
      <c r="AJ706">
        <v>0</v>
      </c>
      <c r="AK706" t="s">
        <v>61</v>
      </c>
      <c r="AL706">
        <v>0.5</v>
      </c>
      <c r="AO706">
        <f t="shared" si="221"/>
        <v>0</v>
      </c>
      <c r="AP706">
        <f t="shared" si="221"/>
        <v>0</v>
      </c>
      <c r="AQ706">
        <f t="shared" si="221"/>
        <v>0</v>
      </c>
      <c r="AR706">
        <f t="shared" si="221"/>
        <v>0</v>
      </c>
      <c r="AS706">
        <f t="shared" si="221"/>
        <v>0</v>
      </c>
      <c r="AT706">
        <f t="shared" si="221"/>
        <v>0</v>
      </c>
      <c r="AU706">
        <f t="shared" si="221"/>
        <v>0</v>
      </c>
      <c r="AV706">
        <f t="shared" si="221"/>
        <v>0</v>
      </c>
      <c r="AW706">
        <f t="shared" si="221"/>
        <v>0</v>
      </c>
      <c r="AX706">
        <f t="shared" si="221"/>
        <v>0</v>
      </c>
      <c r="AY706">
        <f t="shared" si="222"/>
        <v>0</v>
      </c>
      <c r="AZ706">
        <f t="shared" si="222"/>
        <v>0</v>
      </c>
      <c r="BA706">
        <f t="shared" si="222"/>
        <v>0</v>
      </c>
      <c r="BB706">
        <f t="shared" si="222"/>
        <v>0</v>
      </c>
      <c r="BC706">
        <f t="shared" si="222"/>
        <v>0</v>
      </c>
      <c r="BD706">
        <f t="shared" si="222"/>
        <v>0</v>
      </c>
      <c r="BE706">
        <f t="shared" si="222"/>
        <v>0</v>
      </c>
      <c r="BF706">
        <f t="shared" si="222"/>
        <v>0</v>
      </c>
      <c r="BG706">
        <f t="shared" si="222"/>
        <v>0</v>
      </c>
      <c r="BH706">
        <f t="shared" si="222"/>
        <v>0</v>
      </c>
      <c r="BI706">
        <f t="shared" si="223"/>
        <v>0</v>
      </c>
      <c r="BJ706">
        <f t="shared" si="223"/>
        <v>0</v>
      </c>
      <c r="BK706">
        <f t="shared" si="223"/>
        <v>0</v>
      </c>
      <c r="BL706">
        <f t="shared" si="223"/>
        <v>0</v>
      </c>
      <c r="BM706">
        <f t="shared" si="223"/>
        <v>0</v>
      </c>
      <c r="BN706">
        <f t="shared" si="223"/>
        <v>0</v>
      </c>
      <c r="BO706" t="str">
        <f t="shared" si="223"/>
        <v>Perkins</v>
      </c>
      <c r="BP706">
        <f t="shared" si="223"/>
        <v>0</v>
      </c>
      <c r="BQ706">
        <f t="shared" si="223"/>
        <v>0</v>
      </c>
      <c r="BR706">
        <f t="shared" si="223"/>
        <v>0</v>
      </c>
      <c r="BS706">
        <f t="shared" si="223"/>
        <v>0</v>
      </c>
    </row>
    <row r="707" spans="2:71" ht="15" customHeight="1" x14ac:dyDescent="0.2">
      <c r="B707">
        <v>29</v>
      </c>
      <c r="C707">
        <v>7</v>
      </c>
      <c r="D707">
        <v>10</v>
      </c>
      <c r="E707" t="s">
        <v>523</v>
      </c>
      <c r="F707" t="s">
        <v>72</v>
      </c>
      <c r="G707" s="5">
        <v>45143</v>
      </c>
      <c r="H707" t="s">
        <v>73</v>
      </c>
      <c r="I707" t="s">
        <v>477</v>
      </c>
      <c r="J707" t="s">
        <v>478</v>
      </c>
      <c r="K707">
        <v>18</v>
      </c>
      <c r="L707" t="s">
        <v>107</v>
      </c>
      <c r="M707" t="s">
        <v>514</v>
      </c>
      <c r="N707" t="s">
        <v>515</v>
      </c>
      <c r="O707">
        <v>70.2</v>
      </c>
      <c r="P707">
        <v>130</v>
      </c>
      <c r="Q707">
        <v>5675</v>
      </c>
      <c r="R707" t="s">
        <v>110</v>
      </c>
      <c r="S707" t="s">
        <v>111</v>
      </c>
      <c r="T707" t="s">
        <v>353</v>
      </c>
      <c r="U707" t="s">
        <v>55</v>
      </c>
      <c r="V707" t="s">
        <v>55</v>
      </c>
      <c r="W707" t="s">
        <v>123</v>
      </c>
      <c r="AA707">
        <v>2</v>
      </c>
      <c r="AB707" t="s">
        <v>32</v>
      </c>
      <c r="AC707" t="s">
        <v>184</v>
      </c>
      <c r="AD707" t="s">
        <v>52</v>
      </c>
      <c r="AE707" t="str">
        <f t="shared" si="224"/>
        <v>Cole</v>
      </c>
      <c r="AF707">
        <v>2</v>
      </c>
      <c r="AG707">
        <v>1</v>
      </c>
      <c r="AH707">
        <v>0</v>
      </c>
      <c r="AI707">
        <v>0</v>
      </c>
      <c r="AJ707">
        <v>1</v>
      </c>
      <c r="AK707" t="s">
        <v>52</v>
      </c>
      <c r="AL707">
        <v>0.34745762711864397</v>
      </c>
      <c r="AO707">
        <f t="shared" si="221"/>
        <v>0</v>
      </c>
      <c r="AP707">
        <f t="shared" si="221"/>
        <v>0</v>
      </c>
      <c r="AQ707">
        <f t="shared" si="221"/>
        <v>0</v>
      </c>
      <c r="AR707">
        <f t="shared" si="221"/>
        <v>0</v>
      </c>
      <c r="AS707">
        <f t="shared" si="221"/>
        <v>0</v>
      </c>
      <c r="AT707">
        <f t="shared" si="221"/>
        <v>0</v>
      </c>
      <c r="AU707">
        <f t="shared" si="221"/>
        <v>0</v>
      </c>
      <c r="AV707">
        <f t="shared" si="221"/>
        <v>0</v>
      </c>
      <c r="AW707">
        <f t="shared" si="221"/>
        <v>0</v>
      </c>
      <c r="AX707">
        <f t="shared" si="221"/>
        <v>0</v>
      </c>
      <c r="AY707">
        <f t="shared" si="222"/>
        <v>0</v>
      </c>
      <c r="AZ707">
        <f t="shared" si="222"/>
        <v>0</v>
      </c>
      <c r="BA707">
        <f t="shared" si="222"/>
        <v>0</v>
      </c>
      <c r="BB707">
        <f t="shared" si="222"/>
        <v>0</v>
      </c>
      <c r="BC707">
        <f t="shared" si="222"/>
        <v>0</v>
      </c>
      <c r="BD707" t="str">
        <f t="shared" si="222"/>
        <v>Cole</v>
      </c>
      <c r="BE707">
        <f t="shared" si="222"/>
        <v>0</v>
      </c>
      <c r="BF707">
        <f t="shared" si="222"/>
        <v>0</v>
      </c>
      <c r="BG707">
        <f t="shared" si="222"/>
        <v>0</v>
      </c>
      <c r="BH707">
        <f t="shared" si="222"/>
        <v>0</v>
      </c>
      <c r="BI707">
        <f t="shared" si="223"/>
        <v>0</v>
      </c>
      <c r="BJ707">
        <f t="shared" si="223"/>
        <v>0</v>
      </c>
      <c r="BK707">
        <f t="shared" si="223"/>
        <v>0</v>
      </c>
      <c r="BL707">
        <f t="shared" si="223"/>
        <v>0</v>
      </c>
      <c r="BM707">
        <f t="shared" si="223"/>
        <v>0</v>
      </c>
      <c r="BN707">
        <f t="shared" si="223"/>
        <v>0</v>
      </c>
      <c r="BO707">
        <f t="shared" si="223"/>
        <v>0</v>
      </c>
      <c r="BP707">
        <f t="shared" si="223"/>
        <v>0</v>
      </c>
      <c r="BQ707">
        <f t="shared" si="223"/>
        <v>0</v>
      </c>
      <c r="BR707">
        <f t="shared" si="223"/>
        <v>0</v>
      </c>
      <c r="BS707">
        <f t="shared" si="223"/>
        <v>0</v>
      </c>
    </row>
    <row r="708" spans="2:71" ht="15" customHeight="1" x14ac:dyDescent="0.2">
      <c r="B708">
        <v>29</v>
      </c>
      <c r="C708">
        <v>8</v>
      </c>
      <c r="D708">
        <v>10</v>
      </c>
      <c r="E708" t="s">
        <v>524</v>
      </c>
      <c r="F708" t="s">
        <v>72</v>
      </c>
      <c r="G708" s="5">
        <v>45143</v>
      </c>
      <c r="H708" t="s">
        <v>73</v>
      </c>
      <c r="I708" t="s">
        <v>477</v>
      </c>
      <c r="J708" t="s">
        <v>478</v>
      </c>
      <c r="K708">
        <v>18</v>
      </c>
      <c r="L708" t="s">
        <v>107</v>
      </c>
      <c r="M708" t="s">
        <v>514</v>
      </c>
      <c r="N708" t="s">
        <v>515</v>
      </c>
      <c r="O708">
        <v>70.2</v>
      </c>
      <c r="P708">
        <v>130</v>
      </c>
      <c r="Q708">
        <v>5675</v>
      </c>
      <c r="R708" t="s">
        <v>110</v>
      </c>
      <c r="S708" t="s">
        <v>111</v>
      </c>
      <c r="T708" t="s">
        <v>353</v>
      </c>
      <c r="U708" t="s">
        <v>55</v>
      </c>
      <c r="V708" t="s">
        <v>48</v>
      </c>
      <c r="W708" t="s">
        <v>123</v>
      </c>
      <c r="AA708">
        <v>2</v>
      </c>
      <c r="AB708" t="s">
        <v>33</v>
      </c>
      <c r="AC708" t="s">
        <v>184</v>
      </c>
      <c r="AD708" t="s">
        <v>62</v>
      </c>
      <c r="AE708" t="str">
        <f t="shared" si="224"/>
        <v>Lynch</v>
      </c>
      <c r="AF708">
        <v>0</v>
      </c>
      <c r="AG708">
        <v>0</v>
      </c>
      <c r="AH708">
        <v>1</v>
      </c>
      <c r="AI708">
        <v>0</v>
      </c>
      <c r="AJ708">
        <v>0</v>
      </c>
      <c r="AK708" t="s">
        <v>62</v>
      </c>
      <c r="AL708">
        <v>0.51041666666666696</v>
      </c>
      <c r="AO708">
        <f t="shared" si="221"/>
        <v>0</v>
      </c>
      <c r="AP708">
        <f t="shared" si="221"/>
        <v>0</v>
      </c>
      <c r="AQ708">
        <f t="shared" si="221"/>
        <v>0</v>
      </c>
      <c r="AR708">
        <f t="shared" si="221"/>
        <v>0</v>
      </c>
      <c r="AS708">
        <f t="shared" si="221"/>
        <v>0</v>
      </c>
      <c r="AT708">
        <f t="shared" si="221"/>
        <v>0</v>
      </c>
      <c r="AU708">
        <f t="shared" si="221"/>
        <v>0</v>
      </c>
      <c r="AV708">
        <f t="shared" si="221"/>
        <v>0</v>
      </c>
      <c r="AW708" t="str">
        <f t="shared" si="221"/>
        <v>Lynch</v>
      </c>
      <c r="AX708">
        <f t="shared" si="221"/>
        <v>0</v>
      </c>
      <c r="AY708">
        <f t="shared" si="222"/>
        <v>0</v>
      </c>
      <c r="AZ708">
        <f t="shared" si="222"/>
        <v>0</v>
      </c>
      <c r="BA708">
        <f t="shared" si="222"/>
        <v>0</v>
      </c>
      <c r="BB708">
        <f t="shared" si="222"/>
        <v>0</v>
      </c>
      <c r="BC708">
        <f t="shared" si="222"/>
        <v>0</v>
      </c>
      <c r="BD708">
        <f t="shared" si="222"/>
        <v>0</v>
      </c>
      <c r="BE708">
        <f t="shared" si="222"/>
        <v>0</v>
      </c>
      <c r="BF708">
        <f t="shared" si="222"/>
        <v>0</v>
      </c>
      <c r="BG708">
        <f t="shared" si="222"/>
        <v>0</v>
      </c>
      <c r="BH708">
        <f t="shared" si="222"/>
        <v>0</v>
      </c>
      <c r="BI708">
        <f t="shared" si="223"/>
        <v>0</v>
      </c>
      <c r="BJ708">
        <f t="shared" si="223"/>
        <v>0</v>
      </c>
      <c r="BK708">
        <f t="shared" si="223"/>
        <v>0</v>
      </c>
      <c r="BL708">
        <f t="shared" si="223"/>
        <v>0</v>
      </c>
      <c r="BM708">
        <f t="shared" si="223"/>
        <v>0</v>
      </c>
      <c r="BN708">
        <f t="shared" si="223"/>
        <v>0</v>
      </c>
      <c r="BO708">
        <f t="shared" si="223"/>
        <v>0</v>
      </c>
      <c r="BP708">
        <f t="shared" si="223"/>
        <v>0</v>
      </c>
      <c r="BQ708">
        <f t="shared" si="223"/>
        <v>0</v>
      </c>
      <c r="BR708">
        <f t="shared" si="223"/>
        <v>0</v>
      </c>
      <c r="BS708">
        <f t="shared" si="223"/>
        <v>0</v>
      </c>
    </row>
    <row r="709" spans="2:71" ht="15" customHeight="1" x14ac:dyDescent="0.2">
      <c r="B709">
        <v>30</v>
      </c>
      <c r="C709">
        <v>9</v>
      </c>
      <c r="D709">
        <v>10</v>
      </c>
      <c r="E709" t="s">
        <v>525</v>
      </c>
      <c r="F709" t="s">
        <v>72</v>
      </c>
      <c r="G709" s="5">
        <v>45143</v>
      </c>
      <c r="H709" t="s">
        <v>73</v>
      </c>
      <c r="I709" t="s">
        <v>477</v>
      </c>
      <c r="J709" t="s">
        <v>478</v>
      </c>
      <c r="K709">
        <v>18</v>
      </c>
      <c r="L709" t="s">
        <v>107</v>
      </c>
      <c r="M709" t="s">
        <v>514</v>
      </c>
      <c r="N709" t="s">
        <v>515</v>
      </c>
      <c r="O709">
        <v>70.2</v>
      </c>
      <c r="P709">
        <v>130</v>
      </c>
      <c r="Q709">
        <v>5675</v>
      </c>
      <c r="R709" t="s">
        <v>110</v>
      </c>
      <c r="S709" t="s">
        <v>111</v>
      </c>
      <c r="T709" t="s">
        <v>353</v>
      </c>
      <c r="U709" t="s">
        <v>55</v>
      </c>
      <c r="V709" t="s">
        <v>50</v>
      </c>
      <c r="W709" t="s">
        <v>123</v>
      </c>
      <c r="AA709">
        <v>2</v>
      </c>
      <c r="AB709" t="s">
        <v>34</v>
      </c>
      <c r="AC709" t="s">
        <v>92</v>
      </c>
      <c r="AD709" t="s">
        <v>46</v>
      </c>
      <c r="AE709" t="str">
        <f t="shared" si="224"/>
        <v>Ferrin</v>
      </c>
      <c r="AF709">
        <v>1</v>
      </c>
      <c r="AG709">
        <v>0</v>
      </c>
      <c r="AH709">
        <v>0</v>
      </c>
      <c r="AI709">
        <v>1</v>
      </c>
      <c r="AJ709">
        <v>0.5</v>
      </c>
      <c r="AK709" t="s">
        <v>46</v>
      </c>
      <c r="AL709">
        <v>0.38392857142857201</v>
      </c>
      <c r="AO709">
        <f t="shared" si="221"/>
        <v>0</v>
      </c>
      <c r="AP709">
        <f t="shared" si="221"/>
        <v>0</v>
      </c>
      <c r="AQ709">
        <f t="shared" si="221"/>
        <v>0</v>
      </c>
      <c r="AR709">
        <f t="shared" si="221"/>
        <v>0</v>
      </c>
      <c r="AS709">
        <f t="shared" si="221"/>
        <v>0</v>
      </c>
      <c r="AT709">
        <f t="shared" si="221"/>
        <v>0</v>
      </c>
      <c r="AU709">
        <f t="shared" si="221"/>
        <v>0</v>
      </c>
      <c r="AV709">
        <f t="shared" si="221"/>
        <v>0</v>
      </c>
      <c r="AW709">
        <f t="shared" si="221"/>
        <v>0</v>
      </c>
      <c r="AX709">
        <f t="shared" si="221"/>
        <v>0</v>
      </c>
      <c r="AY709" t="str">
        <f t="shared" si="222"/>
        <v>Ferrin</v>
      </c>
      <c r="AZ709">
        <f t="shared" si="222"/>
        <v>0</v>
      </c>
      <c r="BA709">
        <f t="shared" si="222"/>
        <v>0</v>
      </c>
      <c r="BB709">
        <f t="shared" si="222"/>
        <v>0</v>
      </c>
      <c r="BC709">
        <f t="shared" si="222"/>
        <v>0</v>
      </c>
      <c r="BD709">
        <f t="shared" si="222"/>
        <v>0</v>
      </c>
      <c r="BE709">
        <f t="shared" si="222"/>
        <v>0</v>
      </c>
      <c r="BF709">
        <f t="shared" si="222"/>
        <v>0</v>
      </c>
      <c r="BG709">
        <f t="shared" si="222"/>
        <v>0</v>
      </c>
      <c r="BH709">
        <f t="shared" si="222"/>
        <v>0</v>
      </c>
      <c r="BI709">
        <f t="shared" si="223"/>
        <v>0</v>
      </c>
      <c r="BJ709">
        <f t="shared" si="223"/>
        <v>0</v>
      </c>
      <c r="BK709">
        <f t="shared" si="223"/>
        <v>0</v>
      </c>
      <c r="BL709">
        <f t="shared" si="223"/>
        <v>0</v>
      </c>
      <c r="BM709">
        <f t="shared" si="223"/>
        <v>0</v>
      </c>
      <c r="BN709">
        <f t="shared" si="223"/>
        <v>0</v>
      </c>
      <c r="BO709">
        <f t="shared" si="223"/>
        <v>0</v>
      </c>
      <c r="BP709">
        <f t="shared" si="223"/>
        <v>0</v>
      </c>
      <c r="BQ709">
        <f t="shared" si="223"/>
        <v>0</v>
      </c>
      <c r="BR709">
        <f t="shared" si="223"/>
        <v>0</v>
      </c>
      <c r="BS709">
        <f t="shared" si="223"/>
        <v>0</v>
      </c>
    </row>
    <row r="710" spans="2:71" ht="15" customHeight="1" x14ac:dyDescent="0.2">
      <c r="B710">
        <v>30</v>
      </c>
      <c r="C710">
        <v>10</v>
      </c>
      <c r="D710">
        <v>10</v>
      </c>
      <c r="E710" t="s">
        <v>526</v>
      </c>
      <c r="F710" t="s">
        <v>72</v>
      </c>
      <c r="G710" s="5">
        <v>45143</v>
      </c>
      <c r="H710" t="s">
        <v>73</v>
      </c>
      <c r="I710" t="s">
        <v>477</v>
      </c>
      <c r="J710" t="s">
        <v>478</v>
      </c>
      <c r="K710">
        <v>18</v>
      </c>
      <c r="L710" t="s">
        <v>107</v>
      </c>
      <c r="M710" t="s">
        <v>514</v>
      </c>
      <c r="N710" t="s">
        <v>515</v>
      </c>
      <c r="O710">
        <v>70.2</v>
      </c>
      <c r="P710">
        <v>130</v>
      </c>
      <c r="Q710">
        <v>5675</v>
      </c>
      <c r="R710" t="s">
        <v>110</v>
      </c>
      <c r="S710" t="s">
        <v>111</v>
      </c>
      <c r="T710" t="s">
        <v>353</v>
      </c>
      <c r="U710" t="s">
        <v>55</v>
      </c>
      <c r="V710" t="s">
        <v>40</v>
      </c>
      <c r="W710" t="s">
        <v>123</v>
      </c>
      <c r="AA710">
        <v>2</v>
      </c>
      <c r="AB710" t="s">
        <v>32</v>
      </c>
      <c r="AC710" t="s">
        <v>171</v>
      </c>
      <c r="AD710" t="s">
        <v>53</v>
      </c>
      <c r="AE710" t="str">
        <f t="shared" si="224"/>
        <v>Grise</v>
      </c>
      <c r="AF710">
        <v>2</v>
      </c>
      <c r="AG710">
        <v>1</v>
      </c>
      <c r="AH710">
        <v>0</v>
      </c>
      <c r="AI710">
        <v>0</v>
      </c>
      <c r="AJ710">
        <v>1</v>
      </c>
      <c r="AK710" t="s">
        <v>53</v>
      </c>
      <c r="AL710">
        <v>0.59649122807017496</v>
      </c>
      <c r="AO710" t="str">
        <f t="shared" si="221"/>
        <v>Grise</v>
      </c>
      <c r="AP710">
        <f t="shared" si="221"/>
        <v>0</v>
      </c>
      <c r="AQ710">
        <f t="shared" si="221"/>
        <v>0</v>
      </c>
      <c r="AR710">
        <f t="shared" si="221"/>
        <v>0</v>
      </c>
      <c r="AS710">
        <f t="shared" si="221"/>
        <v>0</v>
      </c>
      <c r="AT710">
        <f t="shared" si="221"/>
        <v>0</v>
      </c>
      <c r="AU710">
        <f t="shared" si="221"/>
        <v>0</v>
      </c>
      <c r="AV710">
        <f t="shared" si="221"/>
        <v>0</v>
      </c>
      <c r="AW710">
        <f t="shared" si="221"/>
        <v>0</v>
      </c>
      <c r="AX710">
        <f t="shared" si="221"/>
        <v>0</v>
      </c>
      <c r="AY710">
        <f t="shared" si="222"/>
        <v>0</v>
      </c>
      <c r="AZ710">
        <f t="shared" si="222"/>
        <v>0</v>
      </c>
      <c r="BA710">
        <f t="shared" si="222"/>
        <v>0</v>
      </c>
      <c r="BB710">
        <f t="shared" si="222"/>
        <v>0</v>
      </c>
      <c r="BC710">
        <f t="shared" si="222"/>
        <v>0</v>
      </c>
      <c r="BD710">
        <f t="shared" si="222"/>
        <v>0</v>
      </c>
      <c r="BE710">
        <f t="shared" si="222"/>
        <v>0</v>
      </c>
      <c r="BF710">
        <f t="shared" si="222"/>
        <v>0</v>
      </c>
      <c r="BG710">
        <f t="shared" si="222"/>
        <v>0</v>
      </c>
      <c r="BH710">
        <f t="shared" si="222"/>
        <v>0</v>
      </c>
      <c r="BI710">
        <f t="shared" si="223"/>
        <v>0</v>
      </c>
      <c r="BJ710">
        <f t="shared" si="223"/>
        <v>0</v>
      </c>
      <c r="BK710">
        <f t="shared" si="223"/>
        <v>0</v>
      </c>
      <c r="BL710">
        <f t="shared" si="223"/>
        <v>0</v>
      </c>
      <c r="BM710">
        <f t="shared" si="223"/>
        <v>0</v>
      </c>
      <c r="BN710">
        <f t="shared" si="223"/>
        <v>0</v>
      </c>
      <c r="BO710">
        <f t="shared" si="223"/>
        <v>0</v>
      </c>
      <c r="BP710">
        <f t="shared" si="223"/>
        <v>0</v>
      </c>
      <c r="BQ710">
        <f t="shared" si="223"/>
        <v>0</v>
      </c>
      <c r="BR710">
        <f t="shared" si="223"/>
        <v>0</v>
      </c>
      <c r="BS710">
        <f t="shared" si="223"/>
        <v>0</v>
      </c>
    </row>
    <row r="711" spans="2:71" ht="15" customHeight="1" x14ac:dyDescent="0.2">
      <c r="B711">
        <v>1</v>
      </c>
      <c r="C711">
        <v>1</v>
      </c>
      <c r="D711">
        <v>11</v>
      </c>
      <c r="E711" t="s">
        <v>527</v>
      </c>
      <c r="F711" t="s">
        <v>214</v>
      </c>
      <c r="G711" s="5">
        <v>45583</v>
      </c>
      <c r="H711" t="s">
        <v>73</v>
      </c>
      <c r="I711" t="s">
        <v>528</v>
      </c>
      <c r="J711" t="s">
        <v>168</v>
      </c>
      <c r="K711">
        <v>9</v>
      </c>
      <c r="L711" t="s">
        <v>76</v>
      </c>
      <c r="M711" t="s">
        <v>529</v>
      </c>
      <c r="N711" t="s">
        <v>78</v>
      </c>
      <c r="P711">
        <v>139</v>
      </c>
      <c r="Q711">
        <v>6307</v>
      </c>
      <c r="R711" t="s">
        <v>79</v>
      </c>
      <c r="S711" t="s">
        <v>80</v>
      </c>
      <c r="U711" t="s">
        <v>52</v>
      </c>
      <c r="V711" t="s">
        <v>44</v>
      </c>
      <c r="W711" t="s">
        <v>109</v>
      </c>
      <c r="Y711" t="s">
        <v>40</v>
      </c>
      <c r="AA711">
        <v>1</v>
      </c>
      <c r="AB711" t="s">
        <v>33</v>
      </c>
      <c r="AC711" t="s">
        <v>530</v>
      </c>
      <c r="AE711" t="str">
        <f t="shared" si="224"/>
        <v>FlandersGrise</v>
      </c>
      <c r="AF711">
        <v>0</v>
      </c>
      <c r="AG711">
        <v>0</v>
      </c>
      <c r="AH711">
        <v>1</v>
      </c>
      <c r="AI711">
        <v>0</v>
      </c>
      <c r="AJ711">
        <v>0</v>
      </c>
      <c r="AK711" t="s">
        <v>54</v>
      </c>
      <c r="AL711">
        <v>0.37288135593220301</v>
      </c>
      <c r="AM711" t="s">
        <v>43</v>
      </c>
      <c r="AN711">
        <v>0.48611111111111099</v>
      </c>
      <c r="AO711" t="str">
        <f t="shared" si="221"/>
        <v>Grise</v>
      </c>
      <c r="AP711">
        <f t="shared" si="221"/>
        <v>0</v>
      </c>
      <c r="AQ711">
        <f t="shared" si="221"/>
        <v>0</v>
      </c>
      <c r="AR711">
        <f t="shared" si="221"/>
        <v>0</v>
      </c>
      <c r="AS711" t="str">
        <f t="shared" si="221"/>
        <v>Flanders</v>
      </c>
      <c r="AT711">
        <f t="shared" si="221"/>
        <v>0</v>
      </c>
      <c r="AU711">
        <f t="shared" si="221"/>
        <v>0</v>
      </c>
      <c r="AV711">
        <f t="shared" si="221"/>
        <v>0</v>
      </c>
      <c r="AW711">
        <f t="shared" si="221"/>
        <v>0</v>
      </c>
      <c r="AX711">
        <f t="shared" si="221"/>
        <v>0</v>
      </c>
      <c r="AY711">
        <f t="shared" si="222"/>
        <v>0</v>
      </c>
      <c r="AZ711">
        <f t="shared" si="222"/>
        <v>0</v>
      </c>
      <c r="BA711">
        <f t="shared" si="222"/>
        <v>0</v>
      </c>
      <c r="BB711">
        <f t="shared" si="222"/>
        <v>0</v>
      </c>
      <c r="BC711">
        <f t="shared" si="222"/>
        <v>0</v>
      </c>
      <c r="BD711">
        <f t="shared" si="222"/>
        <v>0</v>
      </c>
      <c r="BE711">
        <f t="shared" si="222"/>
        <v>0</v>
      </c>
      <c r="BF711">
        <f t="shared" si="222"/>
        <v>0</v>
      </c>
      <c r="BG711">
        <f t="shared" si="222"/>
        <v>0</v>
      </c>
      <c r="BH711">
        <f t="shared" si="222"/>
        <v>0</v>
      </c>
      <c r="BI711">
        <f t="shared" si="223"/>
        <v>0</v>
      </c>
      <c r="BJ711">
        <f t="shared" si="223"/>
        <v>0</v>
      </c>
      <c r="BK711">
        <f t="shared" si="223"/>
        <v>0</v>
      </c>
      <c r="BL711">
        <f t="shared" si="223"/>
        <v>0</v>
      </c>
      <c r="BM711">
        <f t="shared" si="223"/>
        <v>0</v>
      </c>
      <c r="BN711">
        <f t="shared" si="223"/>
        <v>0</v>
      </c>
      <c r="BO711">
        <f t="shared" si="223"/>
        <v>0</v>
      </c>
      <c r="BP711">
        <f t="shared" si="223"/>
        <v>0</v>
      </c>
      <c r="BQ711">
        <f t="shared" si="223"/>
        <v>0</v>
      </c>
      <c r="BR711">
        <f t="shared" si="223"/>
        <v>0</v>
      </c>
      <c r="BS711">
        <f t="shared" si="223"/>
        <v>0</v>
      </c>
    </row>
    <row r="712" spans="2:71" ht="15" customHeight="1" x14ac:dyDescent="0.2">
      <c r="B712">
        <v>1</v>
      </c>
      <c r="C712">
        <v>1</v>
      </c>
      <c r="D712">
        <v>11</v>
      </c>
      <c r="E712" t="s">
        <v>527</v>
      </c>
      <c r="F712" t="s">
        <v>214</v>
      </c>
      <c r="G712" s="5">
        <v>45583</v>
      </c>
      <c r="H712" t="s">
        <v>73</v>
      </c>
      <c r="I712" t="s">
        <v>528</v>
      </c>
      <c r="J712" t="s">
        <v>168</v>
      </c>
      <c r="K712">
        <v>9</v>
      </c>
      <c r="L712" t="s">
        <v>76</v>
      </c>
      <c r="M712" t="s">
        <v>529</v>
      </c>
      <c r="N712" t="s">
        <v>78</v>
      </c>
      <c r="P712">
        <v>139</v>
      </c>
      <c r="Q712">
        <v>6307</v>
      </c>
      <c r="R712" t="s">
        <v>79</v>
      </c>
      <c r="S712" t="s">
        <v>80</v>
      </c>
      <c r="U712" t="s">
        <v>64</v>
      </c>
      <c r="V712" t="s">
        <v>54</v>
      </c>
      <c r="W712" t="s">
        <v>109</v>
      </c>
      <c r="Y712" t="s">
        <v>43</v>
      </c>
      <c r="AA712">
        <v>1</v>
      </c>
      <c r="AB712" t="s">
        <v>32</v>
      </c>
      <c r="AC712" t="s">
        <v>371</v>
      </c>
      <c r="AE712" t="str">
        <f t="shared" si="224"/>
        <v>FoganPoirier</v>
      </c>
      <c r="AF712">
        <v>1</v>
      </c>
      <c r="AG712">
        <v>1</v>
      </c>
      <c r="AH712">
        <v>0</v>
      </c>
      <c r="AI712">
        <v>0</v>
      </c>
      <c r="AJ712">
        <v>1</v>
      </c>
      <c r="AK712" t="s">
        <v>44</v>
      </c>
      <c r="AL712">
        <v>0.4296875</v>
      </c>
      <c r="AM712" t="s">
        <v>40</v>
      </c>
      <c r="AN712">
        <v>0.52777777777777801</v>
      </c>
      <c r="AO712">
        <f t="shared" ref="AO712:AX721" si="225">IF(OR($V712=AO$1,$Y712=AO$1),AO$1,0)</f>
        <v>0</v>
      </c>
      <c r="AP712">
        <f t="shared" si="225"/>
        <v>0</v>
      </c>
      <c r="AQ712">
        <f t="shared" si="225"/>
        <v>0</v>
      </c>
      <c r="AR712" t="str">
        <f t="shared" si="225"/>
        <v>Poirier</v>
      </c>
      <c r="AS712">
        <f t="shared" si="225"/>
        <v>0</v>
      </c>
      <c r="AT712">
        <f t="shared" si="225"/>
        <v>0</v>
      </c>
      <c r="AU712">
        <f t="shared" si="225"/>
        <v>0</v>
      </c>
      <c r="AV712">
        <f t="shared" si="225"/>
        <v>0</v>
      </c>
      <c r="AW712">
        <f t="shared" si="225"/>
        <v>0</v>
      </c>
      <c r="AX712">
        <f t="shared" si="225"/>
        <v>0</v>
      </c>
      <c r="AY712">
        <f t="shared" ref="AY712:BH721" si="226">IF(OR($V712=AY$1,$Y712=AY$1),AY$1,0)</f>
        <v>0</v>
      </c>
      <c r="AZ712">
        <f t="shared" si="226"/>
        <v>0</v>
      </c>
      <c r="BA712">
        <f t="shared" si="226"/>
        <v>0</v>
      </c>
      <c r="BB712">
        <f t="shared" si="226"/>
        <v>0</v>
      </c>
      <c r="BC712" t="str">
        <f t="shared" si="226"/>
        <v>Fogan</v>
      </c>
      <c r="BD712">
        <f t="shared" si="226"/>
        <v>0</v>
      </c>
      <c r="BE712">
        <f t="shared" si="226"/>
        <v>0</v>
      </c>
      <c r="BF712">
        <f t="shared" si="226"/>
        <v>0</v>
      </c>
      <c r="BG712">
        <f t="shared" si="226"/>
        <v>0</v>
      </c>
      <c r="BH712">
        <f t="shared" si="226"/>
        <v>0</v>
      </c>
      <c r="BI712">
        <f t="shared" ref="BI712:BS721" si="227">IF(OR($V712=BI$1,$Y712=BI$1),BI$1,0)</f>
        <v>0</v>
      </c>
      <c r="BJ712">
        <f t="shared" si="227"/>
        <v>0</v>
      </c>
      <c r="BK712">
        <f t="shared" si="227"/>
        <v>0</v>
      </c>
      <c r="BL712">
        <f t="shared" si="227"/>
        <v>0</v>
      </c>
      <c r="BM712">
        <f t="shared" si="227"/>
        <v>0</v>
      </c>
      <c r="BN712">
        <f t="shared" si="227"/>
        <v>0</v>
      </c>
      <c r="BO712">
        <f t="shared" si="227"/>
        <v>0</v>
      </c>
      <c r="BP712">
        <f t="shared" si="227"/>
        <v>0</v>
      </c>
      <c r="BQ712">
        <f t="shared" si="227"/>
        <v>0</v>
      </c>
      <c r="BR712">
        <f t="shared" si="227"/>
        <v>0</v>
      </c>
      <c r="BS712">
        <f t="shared" si="227"/>
        <v>0</v>
      </c>
    </row>
    <row r="713" spans="2:71" ht="15" customHeight="1" x14ac:dyDescent="0.2">
      <c r="B713">
        <v>2</v>
      </c>
      <c r="C713">
        <v>2</v>
      </c>
      <c r="D713">
        <v>11</v>
      </c>
      <c r="E713" t="s">
        <v>531</v>
      </c>
      <c r="F713" t="s">
        <v>214</v>
      </c>
      <c r="G713" s="5">
        <v>45583</v>
      </c>
      <c r="H713" t="s">
        <v>73</v>
      </c>
      <c r="I713" t="s">
        <v>528</v>
      </c>
      <c r="J713" t="s">
        <v>168</v>
      </c>
      <c r="K713">
        <v>9</v>
      </c>
      <c r="L713" t="s">
        <v>76</v>
      </c>
      <c r="M713" t="s">
        <v>529</v>
      </c>
      <c r="N713" t="s">
        <v>78</v>
      </c>
      <c r="P713">
        <v>139</v>
      </c>
      <c r="Q713">
        <v>6307</v>
      </c>
      <c r="R713" t="s">
        <v>79</v>
      </c>
      <c r="S713" t="s">
        <v>80</v>
      </c>
      <c r="U713" t="s">
        <v>64</v>
      </c>
      <c r="V713" t="s">
        <v>58</v>
      </c>
      <c r="W713" t="s">
        <v>109</v>
      </c>
      <c r="Y713" t="s">
        <v>59</v>
      </c>
      <c r="AA713">
        <v>1</v>
      </c>
      <c r="AB713" t="s">
        <v>32</v>
      </c>
      <c r="AC713" t="s">
        <v>174</v>
      </c>
      <c r="AE713" t="str">
        <f t="shared" si="224"/>
        <v>GrayNorat</v>
      </c>
      <c r="AF713">
        <v>1</v>
      </c>
      <c r="AG713">
        <v>1</v>
      </c>
      <c r="AH713">
        <v>0</v>
      </c>
      <c r="AI713">
        <v>0</v>
      </c>
      <c r="AJ713">
        <v>1</v>
      </c>
      <c r="AK713" t="s">
        <v>55</v>
      </c>
      <c r="AL713">
        <v>0.44067796610169502</v>
      </c>
      <c r="AM713" t="s">
        <v>48</v>
      </c>
      <c r="AN713">
        <v>0.5546875</v>
      </c>
      <c r="AO713">
        <f t="shared" si="225"/>
        <v>0</v>
      </c>
      <c r="AP713">
        <f t="shared" si="225"/>
        <v>0</v>
      </c>
      <c r="AQ713">
        <f t="shared" si="225"/>
        <v>0</v>
      </c>
      <c r="AR713">
        <f t="shared" si="225"/>
        <v>0</v>
      </c>
      <c r="AS713">
        <f t="shared" si="225"/>
        <v>0</v>
      </c>
      <c r="AT713">
        <f t="shared" si="225"/>
        <v>0</v>
      </c>
      <c r="AU713">
        <f t="shared" si="225"/>
        <v>0</v>
      </c>
      <c r="AV713">
        <f t="shared" si="225"/>
        <v>0</v>
      </c>
      <c r="AW713">
        <f t="shared" si="225"/>
        <v>0</v>
      </c>
      <c r="AX713">
        <f t="shared" si="225"/>
        <v>0</v>
      </c>
      <c r="AY713">
        <f t="shared" si="226"/>
        <v>0</v>
      </c>
      <c r="AZ713">
        <f t="shared" si="226"/>
        <v>0</v>
      </c>
      <c r="BA713">
        <f t="shared" si="226"/>
        <v>0</v>
      </c>
      <c r="BB713">
        <f t="shared" si="226"/>
        <v>0</v>
      </c>
      <c r="BC713">
        <f t="shared" si="226"/>
        <v>0</v>
      </c>
      <c r="BD713">
        <f t="shared" si="226"/>
        <v>0</v>
      </c>
      <c r="BE713">
        <f t="shared" si="226"/>
        <v>0</v>
      </c>
      <c r="BF713">
        <f t="shared" si="226"/>
        <v>0</v>
      </c>
      <c r="BG713" t="str">
        <f t="shared" si="226"/>
        <v>Gray</v>
      </c>
      <c r="BH713" t="str">
        <f t="shared" si="226"/>
        <v>Norat</v>
      </c>
      <c r="BI713">
        <f t="shared" si="227"/>
        <v>0</v>
      </c>
      <c r="BJ713">
        <f t="shared" si="227"/>
        <v>0</v>
      </c>
      <c r="BK713">
        <f t="shared" si="227"/>
        <v>0</v>
      </c>
      <c r="BL713">
        <f t="shared" si="227"/>
        <v>0</v>
      </c>
      <c r="BM713">
        <f t="shared" si="227"/>
        <v>0</v>
      </c>
      <c r="BN713">
        <f t="shared" si="227"/>
        <v>0</v>
      </c>
      <c r="BO713">
        <f t="shared" si="227"/>
        <v>0</v>
      </c>
      <c r="BP713">
        <f t="shared" si="227"/>
        <v>0</v>
      </c>
      <c r="BQ713">
        <f t="shared" si="227"/>
        <v>0</v>
      </c>
      <c r="BR713">
        <f t="shared" si="227"/>
        <v>0</v>
      </c>
      <c r="BS713">
        <f t="shared" si="227"/>
        <v>0</v>
      </c>
    </row>
    <row r="714" spans="2:71" ht="15" customHeight="1" x14ac:dyDescent="0.2">
      <c r="B714">
        <v>2</v>
      </c>
      <c r="C714">
        <v>2</v>
      </c>
      <c r="D714">
        <v>11</v>
      </c>
      <c r="E714" t="s">
        <v>531</v>
      </c>
      <c r="F714" t="s">
        <v>214</v>
      </c>
      <c r="G714" s="5">
        <v>45583</v>
      </c>
      <c r="H714" t="s">
        <v>73</v>
      </c>
      <c r="I714" t="s">
        <v>528</v>
      </c>
      <c r="J714" t="s">
        <v>168</v>
      </c>
      <c r="K714">
        <v>9</v>
      </c>
      <c r="L714" t="s">
        <v>76</v>
      </c>
      <c r="M714" t="s">
        <v>529</v>
      </c>
      <c r="N714" t="s">
        <v>78</v>
      </c>
      <c r="P714">
        <v>139</v>
      </c>
      <c r="Q714">
        <v>6307</v>
      </c>
      <c r="R714" t="s">
        <v>79</v>
      </c>
      <c r="S714" t="s">
        <v>80</v>
      </c>
      <c r="U714" t="s">
        <v>52</v>
      </c>
      <c r="V714" t="s">
        <v>55</v>
      </c>
      <c r="W714" t="s">
        <v>109</v>
      </c>
      <c r="Y714" t="s">
        <v>48</v>
      </c>
      <c r="AA714">
        <v>1</v>
      </c>
      <c r="AB714" t="s">
        <v>33</v>
      </c>
      <c r="AC714" t="s">
        <v>174</v>
      </c>
      <c r="AE714" t="str">
        <f t="shared" si="224"/>
        <v>ColeLynch</v>
      </c>
      <c r="AF714">
        <v>0</v>
      </c>
      <c r="AG714">
        <v>0</v>
      </c>
      <c r="AH714">
        <v>1</v>
      </c>
      <c r="AI714">
        <v>0</v>
      </c>
      <c r="AJ714">
        <v>0</v>
      </c>
      <c r="AK714" t="s">
        <v>58</v>
      </c>
      <c r="AL714">
        <v>0.65476190476190499</v>
      </c>
      <c r="AM714" t="s">
        <v>59</v>
      </c>
      <c r="AN714">
        <v>0.52777777777777801</v>
      </c>
      <c r="AO714">
        <f t="shared" si="225"/>
        <v>0</v>
      </c>
      <c r="AP714">
        <f t="shared" si="225"/>
        <v>0</v>
      </c>
      <c r="AQ714">
        <f t="shared" si="225"/>
        <v>0</v>
      </c>
      <c r="AR714">
        <f t="shared" si="225"/>
        <v>0</v>
      </c>
      <c r="AS714">
        <f t="shared" si="225"/>
        <v>0</v>
      </c>
      <c r="AT714">
        <f t="shared" si="225"/>
        <v>0</v>
      </c>
      <c r="AU714">
        <f t="shared" si="225"/>
        <v>0</v>
      </c>
      <c r="AV714">
        <f t="shared" si="225"/>
        <v>0</v>
      </c>
      <c r="AW714" t="str">
        <f t="shared" si="225"/>
        <v>Lynch</v>
      </c>
      <c r="AX714">
        <f t="shared" si="225"/>
        <v>0</v>
      </c>
      <c r="AY714">
        <f t="shared" si="226"/>
        <v>0</v>
      </c>
      <c r="AZ714">
        <f t="shared" si="226"/>
        <v>0</v>
      </c>
      <c r="BA714">
        <f t="shared" si="226"/>
        <v>0</v>
      </c>
      <c r="BB714">
        <f t="shared" si="226"/>
        <v>0</v>
      </c>
      <c r="BC714">
        <f t="shared" si="226"/>
        <v>0</v>
      </c>
      <c r="BD714" t="str">
        <f t="shared" si="226"/>
        <v>Cole</v>
      </c>
      <c r="BE714">
        <f t="shared" si="226"/>
        <v>0</v>
      </c>
      <c r="BF714">
        <f t="shared" si="226"/>
        <v>0</v>
      </c>
      <c r="BG714">
        <f t="shared" si="226"/>
        <v>0</v>
      </c>
      <c r="BH714">
        <f t="shared" si="226"/>
        <v>0</v>
      </c>
      <c r="BI714">
        <f t="shared" si="227"/>
        <v>0</v>
      </c>
      <c r="BJ714">
        <f t="shared" si="227"/>
        <v>0</v>
      </c>
      <c r="BK714">
        <f t="shared" si="227"/>
        <v>0</v>
      </c>
      <c r="BL714">
        <f t="shared" si="227"/>
        <v>0</v>
      </c>
      <c r="BM714">
        <f t="shared" si="227"/>
        <v>0</v>
      </c>
      <c r="BN714">
        <f t="shared" si="227"/>
        <v>0</v>
      </c>
      <c r="BO714">
        <f t="shared" si="227"/>
        <v>0</v>
      </c>
      <c r="BP714">
        <f t="shared" si="227"/>
        <v>0</v>
      </c>
      <c r="BQ714">
        <f t="shared" si="227"/>
        <v>0</v>
      </c>
      <c r="BR714">
        <f t="shared" si="227"/>
        <v>0</v>
      </c>
      <c r="BS714">
        <f t="shared" si="227"/>
        <v>0</v>
      </c>
    </row>
    <row r="715" spans="2:71" ht="15" customHeight="1" x14ac:dyDescent="0.2">
      <c r="B715">
        <v>3</v>
      </c>
      <c r="C715">
        <v>3</v>
      </c>
      <c r="D715">
        <v>11</v>
      </c>
      <c r="E715" t="s">
        <v>532</v>
      </c>
      <c r="F715" t="s">
        <v>214</v>
      </c>
      <c r="G715" s="5">
        <v>45583</v>
      </c>
      <c r="H715" t="s">
        <v>73</v>
      </c>
      <c r="I715" t="s">
        <v>528</v>
      </c>
      <c r="J715" t="s">
        <v>168</v>
      </c>
      <c r="K715">
        <v>9</v>
      </c>
      <c r="L715" t="s">
        <v>76</v>
      </c>
      <c r="M715" t="s">
        <v>529</v>
      </c>
      <c r="N715" t="s">
        <v>78</v>
      </c>
      <c r="P715">
        <v>139</v>
      </c>
      <c r="Q715">
        <v>6307</v>
      </c>
      <c r="R715" t="s">
        <v>79</v>
      </c>
      <c r="S715" t="s">
        <v>80</v>
      </c>
      <c r="U715" t="s">
        <v>52</v>
      </c>
      <c r="V715" t="s">
        <v>52</v>
      </c>
      <c r="W715" t="s">
        <v>109</v>
      </c>
      <c r="Y715" t="s">
        <v>42</v>
      </c>
      <c r="AA715">
        <v>1</v>
      </c>
      <c r="AB715" t="s">
        <v>32</v>
      </c>
      <c r="AC715" t="s">
        <v>174</v>
      </c>
      <c r="AE715" t="str">
        <f t="shared" si="224"/>
        <v>ConnorsJackson</v>
      </c>
      <c r="AF715">
        <v>1</v>
      </c>
      <c r="AG715">
        <v>1</v>
      </c>
      <c r="AH715">
        <v>0</v>
      </c>
      <c r="AI715">
        <v>0</v>
      </c>
      <c r="AJ715">
        <v>1</v>
      </c>
      <c r="AK715" t="s">
        <v>45</v>
      </c>
      <c r="AL715">
        <v>0.59375</v>
      </c>
      <c r="AM715" t="s">
        <v>64</v>
      </c>
      <c r="AN715">
        <v>0.65909090909090895</v>
      </c>
      <c r="AO715">
        <f t="shared" si="225"/>
        <v>0</v>
      </c>
      <c r="AP715">
        <f t="shared" si="225"/>
        <v>0</v>
      </c>
      <c r="AQ715" t="str">
        <f t="shared" si="225"/>
        <v>Jackson</v>
      </c>
      <c r="AR715">
        <f t="shared" si="225"/>
        <v>0</v>
      </c>
      <c r="AS715">
        <f t="shared" si="225"/>
        <v>0</v>
      </c>
      <c r="AT715">
        <f t="shared" si="225"/>
        <v>0</v>
      </c>
      <c r="AU715">
        <f t="shared" si="225"/>
        <v>0</v>
      </c>
      <c r="AV715">
        <f t="shared" si="225"/>
        <v>0</v>
      </c>
      <c r="AW715">
        <f t="shared" si="225"/>
        <v>0</v>
      </c>
      <c r="AX715">
        <f t="shared" si="225"/>
        <v>0</v>
      </c>
      <c r="AY715">
        <f t="shared" si="226"/>
        <v>0</v>
      </c>
      <c r="AZ715">
        <f t="shared" si="226"/>
        <v>0</v>
      </c>
      <c r="BA715" t="str">
        <f t="shared" si="226"/>
        <v>Connors</v>
      </c>
      <c r="BB715">
        <f t="shared" si="226"/>
        <v>0</v>
      </c>
      <c r="BC715">
        <f t="shared" si="226"/>
        <v>0</v>
      </c>
      <c r="BD715">
        <f t="shared" si="226"/>
        <v>0</v>
      </c>
      <c r="BE715">
        <f t="shared" si="226"/>
        <v>0</v>
      </c>
      <c r="BF715">
        <f t="shared" si="226"/>
        <v>0</v>
      </c>
      <c r="BG715">
        <f t="shared" si="226"/>
        <v>0</v>
      </c>
      <c r="BH715">
        <f t="shared" si="226"/>
        <v>0</v>
      </c>
      <c r="BI715">
        <f t="shared" si="227"/>
        <v>0</v>
      </c>
      <c r="BJ715">
        <f t="shared" si="227"/>
        <v>0</v>
      </c>
      <c r="BK715">
        <f t="shared" si="227"/>
        <v>0</v>
      </c>
      <c r="BL715">
        <f t="shared" si="227"/>
        <v>0</v>
      </c>
      <c r="BM715">
        <f t="shared" si="227"/>
        <v>0</v>
      </c>
      <c r="BN715">
        <f t="shared" si="227"/>
        <v>0</v>
      </c>
      <c r="BO715">
        <f t="shared" si="227"/>
        <v>0</v>
      </c>
      <c r="BP715">
        <f t="shared" si="227"/>
        <v>0</v>
      </c>
      <c r="BQ715">
        <f t="shared" si="227"/>
        <v>0</v>
      </c>
      <c r="BR715">
        <f t="shared" si="227"/>
        <v>0</v>
      </c>
      <c r="BS715">
        <f t="shared" si="227"/>
        <v>0</v>
      </c>
    </row>
    <row r="716" spans="2:71" ht="15" customHeight="1" x14ac:dyDescent="0.2">
      <c r="B716">
        <v>3</v>
      </c>
      <c r="C716">
        <v>3</v>
      </c>
      <c r="D716">
        <v>11</v>
      </c>
      <c r="E716" t="s">
        <v>532</v>
      </c>
      <c r="F716" t="s">
        <v>214</v>
      </c>
      <c r="G716" s="5">
        <v>45583</v>
      </c>
      <c r="H716" t="s">
        <v>73</v>
      </c>
      <c r="I716" t="s">
        <v>528</v>
      </c>
      <c r="J716" t="s">
        <v>168</v>
      </c>
      <c r="K716">
        <v>9</v>
      </c>
      <c r="L716" t="s">
        <v>76</v>
      </c>
      <c r="M716" t="s">
        <v>529</v>
      </c>
      <c r="N716" t="s">
        <v>78</v>
      </c>
      <c r="P716">
        <v>139</v>
      </c>
      <c r="Q716">
        <v>6307</v>
      </c>
      <c r="R716" t="s">
        <v>79</v>
      </c>
      <c r="S716" t="s">
        <v>80</v>
      </c>
      <c r="U716" t="s">
        <v>64</v>
      </c>
      <c r="V716" t="s">
        <v>45</v>
      </c>
      <c r="W716" t="s">
        <v>109</v>
      </c>
      <c r="Y716" t="s">
        <v>64</v>
      </c>
      <c r="AA716">
        <v>1</v>
      </c>
      <c r="AB716" t="s">
        <v>33</v>
      </c>
      <c r="AC716" t="s">
        <v>174</v>
      </c>
      <c r="AE716" t="str">
        <f t="shared" si="224"/>
        <v>ConnollyDelneky</v>
      </c>
      <c r="AF716">
        <v>0</v>
      </c>
      <c r="AG716">
        <v>0</v>
      </c>
      <c r="AH716">
        <v>1</v>
      </c>
      <c r="AI716">
        <v>0</v>
      </c>
      <c r="AJ716">
        <v>0</v>
      </c>
      <c r="AK716" t="s">
        <v>52</v>
      </c>
      <c r="AL716">
        <v>0.34745762711864397</v>
      </c>
      <c r="AM716" t="s">
        <v>42</v>
      </c>
      <c r="AN716">
        <v>0.6171875</v>
      </c>
      <c r="AO716">
        <f t="shared" si="225"/>
        <v>0</v>
      </c>
      <c r="AP716">
        <f t="shared" si="225"/>
        <v>0</v>
      </c>
      <c r="AQ716">
        <f t="shared" si="225"/>
        <v>0</v>
      </c>
      <c r="AR716">
        <f t="shared" si="225"/>
        <v>0</v>
      </c>
      <c r="AS716">
        <f t="shared" si="225"/>
        <v>0</v>
      </c>
      <c r="AT716" t="str">
        <f t="shared" si="225"/>
        <v>Connolly</v>
      </c>
      <c r="AU716">
        <f t="shared" si="225"/>
        <v>0</v>
      </c>
      <c r="AV716">
        <f t="shared" si="225"/>
        <v>0</v>
      </c>
      <c r="AW716">
        <f t="shared" si="225"/>
        <v>0</v>
      </c>
      <c r="AX716">
        <f t="shared" si="225"/>
        <v>0</v>
      </c>
      <c r="AY716">
        <f t="shared" si="226"/>
        <v>0</v>
      </c>
      <c r="AZ716">
        <f t="shared" si="226"/>
        <v>0</v>
      </c>
      <c r="BA716">
        <f t="shared" si="226"/>
        <v>0</v>
      </c>
      <c r="BB716">
        <f t="shared" si="226"/>
        <v>0</v>
      </c>
      <c r="BC716">
        <f t="shared" si="226"/>
        <v>0</v>
      </c>
      <c r="BD716">
        <f t="shared" si="226"/>
        <v>0</v>
      </c>
      <c r="BE716">
        <f t="shared" si="226"/>
        <v>0</v>
      </c>
      <c r="BF716">
        <f t="shared" si="226"/>
        <v>0</v>
      </c>
      <c r="BG716">
        <f t="shared" si="226"/>
        <v>0</v>
      </c>
      <c r="BH716">
        <f t="shared" si="226"/>
        <v>0</v>
      </c>
      <c r="BI716">
        <f t="shared" si="227"/>
        <v>0</v>
      </c>
      <c r="BJ716">
        <f t="shared" si="227"/>
        <v>0</v>
      </c>
      <c r="BK716">
        <f t="shared" si="227"/>
        <v>0</v>
      </c>
      <c r="BL716">
        <f t="shared" si="227"/>
        <v>0</v>
      </c>
      <c r="BM716" t="str">
        <f t="shared" si="227"/>
        <v>Delneky</v>
      </c>
      <c r="BN716">
        <f t="shared" si="227"/>
        <v>0</v>
      </c>
      <c r="BO716">
        <f t="shared" si="227"/>
        <v>0</v>
      </c>
      <c r="BP716">
        <f t="shared" si="227"/>
        <v>0</v>
      </c>
      <c r="BQ716">
        <f t="shared" si="227"/>
        <v>0</v>
      </c>
      <c r="BR716">
        <f t="shared" si="227"/>
        <v>0</v>
      </c>
      <c r="BS716">
        <f t="shared" si="227"/>
        <v>0</v>
      </c>
    </row>
    <row r="717" spans="2:71" ht="15" customHeight="1" x14ac:dyDescent="0.2">
      <c r="B717">
        <v>4</v>
      </c>
      <c r="C717">
        <v>4</v>
      </c>
      <c r="D717">
        <v>11</v>
      </c>
      <c r="E717" t="s">
        <v>533</v>
      </c>
      <c r="F717" t="s">
        <v>214</v>
      </c>
      <c r="G717" s="5">
        <v>45583</v>
      </c>
      <c r="H717" t="s">
        <v>73</v>
      </c>
      <c r="I717" t="s">
        <v>528</v>
      </c>
      <c r="J717" t="s">
        <v>168</v>
      </c>
      <c r="K717">
        <v>9</v>
      </c>
      <c r="L717" t="s">
        <v>76</v>
      </c>
      <c r="M717" t="s">
        <v>529</v>
      </c>
      <c r="N717" t="s">
        <v>78</v>
      </c>
      <c r="P717">
        <v>139</v>
      </c>
      <c r="Q717">
        <v>6307</v>
      </c>
      <c r="R717" t="s">
        <v>79</v>
      </c>
      <c r="S717" t="s">
        <v>80</v>
      </c>
      <c r="U717" t="s">
        <v>64</v>
      </c>
      <c r="V717" t="s">
        <v>49</v>
      </c>
      <c r="W717" t="s">
        <v>109</v>
      </c>
      <c r="Y717" t="s">
        <v>60</v>
      </c>
      <c r="AA717">
        <v>1</v>
      </c>
      <c r="AB717" t="s">
        <v>33</v>
      </c>
      <c r="AC717" t="s">
        <v>534</v>
      </c>
      <c r="AE717" t="str">
        <f t="shared" si="224"/>
        <v>ShivelyZimmer</v>
      </c>
      <c r="AF717">
        <v>0</v>
      </c>
      <c r="AG717">
        <v>0</v>
      </c>
      <c r="AH717">
        <v>1</v>
      </c>
      <c r="AI717">
        <v>0</v>
      </c>
      <c r="AJ717">
        <v>0</v>
      </c>
      <c r="AK717" t="s">
        <v>63</v>
      </c>
      <c r="AL717">
        <v>0.46551724137931</v>
      </c>
      <c r="AM717" t="s">
        <v>41</v>
      </c>
      <c r="AN717">
        <v>0.47321428571428598</v>
      </c>
      <c r="AO717">
        <f t="shared" si="225"/>
        <v>0</v>
      </c>
      <c r="AP717">
        <f t="shared" si="225"/>
        <v>0</v>
      </c>
      <c r="AQ717">
        <f t="shared" si="225"/>
        <v>0</v>
      </c>
      <c r="AR717">
        <f t="shared" si="225"/>
        <v>0</v>
      </c>
      <c r="AS717">
        <f t="shared" si="225"/>
        <v>0</v>
      </c>
      <c r="AT717">
        <f t="shared" si="225"/>
        <v>0</v>
      </c>
      <c r="AU717">
        <f t="shared" si="225"/>
        <v>0</v>
      </c>
      <c r="AV717">
        <f t="shared" si="225"/>
        <v>0</v>
      </c>
      <c r="AW717">
        <f t="shared" si="225"/>
        <v>0</v>
      </c>
      <c r="AX717" t="str">
        <f t="shared" si="225"/>
        <v>Shively</v>
      </c>
      <c r="AY717">
        <f t="shared" si="226"/>
        <v>0</v>
      </c>
      <c r="AZ717">
        <f t="shared" si="226"/>
        <v>0</v>
      </c>
      <c r="BA717">
        <f t="shared" si="226"/>
        <v>0</v>
      </c>
      <c r="BB717">
        <f t="shared" si="226"/>
        <v>0</v>
      </c>
      <c r="BC717">
        <f t="shared" si="226"/>
        <v>0</v>
      </c>
      <c r="BD717">
        <f t="shared" si="226"/>
        <v>0</v>
      </c>
      <c r="BE717">
        <f t="shared" si="226"/>
        <v>0</v>
      </c>
      <c r="BF717">
        <f t="shared" si="226"/>
        <v>0</v>
      </c>
      <c r="BG717">
        <f t="shared" si="226"/>
        <v>0</v>
      </c>
      <c r="BH717">
        <f t="shared" si="226"/>
        <v>0</v>
      </c>
      <c r="BI717" t="str">
        <f t="shared" si="227"/>
        <v>Zimmer</v>
      </c>
      <c r="BJ717">
        <f t="shared" si="227"/>
        <v>0</v>
      </c>
      <c r="BK717">
        <f t="shared" si="227"/>
        <v>0</v>
      </c>
      <c r="BL717">
        <f t="shared" si="227"/>
        <v>0</v>
      </c>
      <c r="BM717">
        <f t="shared" si="227"/>
        <v>0</v>
      </c>
      <c r="BN717">
        <f t="shared" si="227"/>
        <v>0</v>
      </c>
      <c r="BO717">
        <f t="shared" si="227"/>
        <v>0</v>
      </c>
      <c r="BP717">
        <f t="shared" si="227"/>
        <v>0</v>
      </c>
      <c r="BQ717">
        <f t="shared" si="227"/>
        <v>0</v>
      </c>
      <c r="BR717">
        <f t="shared" si="227"/>
        <v>0</v>
      </c>
      <c r="BS717">
        <f t="shared" si="227"/>
        <v>0</v>
      </c>
    </row>
    <row r="718" spans="2:71" ht="15" customHeight="1" x14ac:dyDescent="0.2">
      <c r="B718">
        <v>4</v>
      </c>
      <c r="C718">
        <v>4</v>
      </c>
      <c r="D718">
        <v>11</v>
      </c>
      <c r="E718" t="s">
        <v>533</v>
      </c>
      <c r="F718" t="s">
        <v>214</v>
      </c>
      <c r="G718" s="5">
        <v>45583</v>
      </c>
      <c r="H718" t="s">
        <v>73</v>
      </c>
      <c r="I718" t="s">
        <v>528</v>
      </c>
      <c r="J718" t="s">
        <v>168</v>
      </c>
      <c r="K718">
        <v>9</v>
      </c>
      <c r="L718" t="s">
        <v>76</v>
      </c>
      <c r="M718" t="s">
        <v>529</v>
      </c>
      <c r="N718" t="s">
        <v>78</v>
      </c>
      <c r="P718">
        <v>139</v>
      </c>
      <c r="Q718">
        <v>6307</v>
      </c>
      <c r="R718" t="s">
        <v>79</v>
      </c>
      <c r="S718" t="s">
        <v>80</v>
      </c>
      <c r="U718" t="s">
        <v>52</v>
      </c>
      <c r="V718" t="s">
        <v>63</v>
      </c>
      <c r="W718" t="s">
        <v>109</v>
      </c>
      <c r="Y718" t="s">
        <v>41</v>
      </c>
      <c r="AA718">
        <v>1</v>
      </c>
      <c r="AB718" t="s">
        <v>32</v>
      </c>
      <c r="AC718" t="s">
        <v>371</v>
      </c>
      <c r="AE718" t="str">
        <f t="shared" si="224"/>
        <v>DelaneyHilts</v>
      </c>
      <c r="AF718">
        <v>1</v>
      </c>
      <c r="AG718">
        <v>1</v>
      </c>
      <c r="AH718">
        <v>0</v>
      </c>
      <c r="AI718">
        <v>0</v>
      </c>
      <c r="AJ718">
        <v>1</v>
      </c>
      <c r="AK718" t="s">
        <v>49</v>
      </c>
      <c r="AM718" t="s">
        <v>60</v>
      </c>
      <c r="AN718">
        <v>0.5</v>
      </c>
      <c r="AO718">
        <f t="shared" si="225"/>
        <v>0</v>
      </c>
      <c r="AP718" t="str">
        <f t="shared" si="225"/>
        <v>Hilts</v>
      </c>
      <c r="AQ718">
        <f t="shared" si="225"/>
        <v>0</v>
      </c>
      <c r="AR718">
        <f t="shared" si="225"/>
        <v>0</v>
      </c>
      <c r="AS718">
        <f t="shared" si="225"/>
        <v>0</v>
      </c>
      <c r="AT718">
        <f t="shared" si="225"/>
        <v>0</v>
      </c>
      <c r="AU718">
        <f t="shared" si="225"/>
        <v>0</v>
      </c>
      <c r="AV718">
        <f t="shared" si="225"/>
        <v>0</v>
      </c>
      <c r="AW718">
        <f t="shared" si="225"/>
        <v>0</v>
      </c>
      <c r="AX718">
        <f t="shared" si="225"/>
        <v>0</v>
      </c>
      <c r="AY718">
        <f t="shared" si="226"/>
        <v>0</v>
      </c>
      <c r="AZ718">
        <f t="shared" si="226"/>
        <v>0</v>
      </c>
      <c r="BA718">
        <f t="shared" si="226"/>
        <v>0</v>
      </c>
      <c r="BB718">
        <f t="shared" si="226"/>
        <v>0</v>
      </c>
      <c r="BC718">
        <f t="shared" si="226"/>
        <v>0</v>
      </c>
      <c r="BD718">
        <f t="shared" si="226"/>
        <v>0</v>
      </c>
      <c r="BE718">
        <f t="shared" si="226"/>
        <v>0</v>
      </c>
      <c r="BF718">
        <f t="shared" si="226"/>
        <v>0</v>
      </c>
      <c r="BG718">
        <f t="shared" si="226"/>
        <v>0</v>
      </c>
      <c r="BH718">
        <f t="shared" si="226"/>
        <v>0</v>
      </c>
      <c r="BI718">
        <f t="shared" si="227"/>
        <v>0</v>
      </c>
      <c r="BJ718">
        <f t="shared" si="227"/>
        <v>0</v>
      </c>
      <c r="BK718">
        <f t="shared" si="227"/>
        <v>0</v>
      </c>
      <c r="BL718" t="str">
        <f t="shared" si="227"/>
        <v>Delaney</v>
      </c>
      <c r="BM718">
        <f t="shared" si="227"/>
        <v>0</v>
      </c>
      <c r="BN718">
        <f t="shared" si="227"/>
        <v>0</v>
      </c>
      <c r="BO718">
        <f t="shared" si="227"/>
        <v>0</v>
      </c>
      <c r="BP718">
        <f t="shared" si="227"/>
        <v>0</v>
      </c>
      <c r="BQ718">
        <f t="shared" si="227"/>
        <v>0</v>
      </c>
      <c r="BR718">
        <f t="shared" si="227"/>
        <v>0</v>
      </c>
      <c r="BS718">
        <f t="shared" si="227"/>
        <v>0</v>
      </c>
    </row>
    <row r="719" spans="2:71" ht="15" customHeight="1" x14ac:dyDescent="0.2">
      <c r="B719">
        <v>5</v>
      </c>
      <c r="C719">
        <v>5</v>
      </c>
      <c r="D719">
        <v>11</v>
      </c>
      <c r="E719" t="s">
        <v>535</v>
      </c>
      <c r="F719" t="s">
        <v>214</v>
      </c>
      <c r="G719" s="5">
        <v>45583</v>
      </c>
      <c r="H719" t="s">
        <v>73</v>
      </c>
      <c r="I719" t="s">
        <v>528</v>
      </c>
      <c r="J719" t="s">
        <v>168</v>
      </c>
      <c r="K719">
        <v>9</v>
      </c>
      <c r="L719" t="s">
        <v>76</v>
      </c>
      <c r="M719" t="s">
        <v>529</v>
      </c>
      <c r="N719" t="s">
        <v>78</v>
      </c>
      <c r="P719">
        <v>139</v>
      </c>
      <c r="Q719">
        <v>6307</v>
      </c>
      <c r="R719" t="s">
        <v>79</v>
      </c>
      <c r="S719" t="s">
        <v>80</v>
      </c>
      <c r="U719" t="s">
        <v>52</v>
      </c>
      <c r="V719" t="s">
        <v>46</v>
      </c>
      <c r="W719" t="s">
        <v>109</v>
      </c>
      <c r="Y719" t="s">
        <v>62</v>
      </c>
      <c r="AA719">
        <v>1</v>
      </c>
      <c r="AB719" t="s">
        <v>34</v>
      </c>
      <c r="AC719" t="s">
        <v>92</v>
      </c>
      <c r="AE719" t="str">
        <f t="shared" si="224"/>
        <v>MangoldWelker</v>
      </c>
      <c r="AF719">
        <v>0.5</v>
      </c>
      <c r="AG719">
        <v>0</v>
      </c>
      <c r="AH719">
        <v>0</v>
      </c>
      <c r="AI719">
        <v>1</v>
      </c>
      <c r="AJ719">
        <v>0.5</v>
      </c>
      <c r="AK719" t="s">
        <v>50</v>
      </c>
      <c r="AL719">
        <v>0.59523809523809501</v>
      </c>
      <c r="AM719" t="s">
        <v>53</v>
      </c>
      <c r="AN719">
        <v>0.59649122807017496</v>
      </c>
      <c r="AO719">
        <f t="shared" si="225"/>
        <v>0</v>
      </c>
      <c r="AP719">
        <f t="shared" si="225"/>
        <v>0</v>
      </c>
      <c r="AQ719">
        <f t="shared" si="225"/>
        <v>0</v>
      </c>
      <c r="AR719">
        <f t="shared" si="225"/>
        <v>0</v>
      </c>
      <c r="AS719">
        <f t="shared" si="225"/>
        <v>0</v>
      </c>
      <c r="AT719">
        <f t="shared" si="225"/>
        <v>0</v>
      </c>
      <c r="AU719" t="str">
        <f t="shared" si="225"/>
        <v>Mangold</v>
      </c>
      <c r="AV719">
        <f t="shared" si="225"/>
        <v>0</v>
      </c>
      <c r="AW719">
        <f t="shared" si="225"/>
        <v>0</v>
      </c>
      <c r="AX719">
        <f t="shared" si="225"/>
        <v>0</v>
      </c>
      <c r="AY719">
        <f t="shared" si="226"/>
        <v>0</v>
      </c>
      <c r="AZ719">
        <f t="shared" si="226"/>
        <v>0</v>
      </c>
      <c r="BA719">
        <f t="shared" si="226"/>
        <v>0</v>
      </c>
      <c r="BB719">
        <f t="shared" si="226"/>
        <v>0</v>
      </c>
      <c r="BC719">
        <f t="shared" si="226"/>
        <v>0</v>
      </c>
      <c r="BD719">
        <f t="shared" si="226"/>
        <v>0</v>
      </c>
      <c r="BE719">
        <f t="shared" si="226"/>
        <v>0</v>
      </c>
      <c r="BF719">
        <f t="shared" si="226"/>
        <v>0</v>
      </c>
      <c r="BG719">
        <f t="shared" si="226"/>
        <v>0</v>
      </c>
      <c r="BH719">
        <f t="shared" si="226"/>
        <v>0</v>
      </c>
      <c r="BI719">
        <f t="shared" si="227"/>
        <v>0</v>
      </c>
      <c r="BJ719">
        <f t="shared" si="227"/>
        <v>0</v>
      </c>
      <c r="BK719" t="str">
        <f t="shared" si="227"/>
        <v>Welker</v>
      </c>
      <c r="BL719">
        <f t="shared" si="227"/>
        <v>0</v>
      </c>
      <c r="BM719">
        <f t="shared" si="227"/>
        <v>0</v>
      </c>
      <c r="BN719">
        <f t="shared" si="227"/>
        <v>0</v>
      </c>
      <c r="BO719">
        <f t="shared" si="227"/>
        <v>0</v>
      </c>
      <c r="BP719">
        <f t="shared" si="227"/>
        <v>0</v>
      </c>
      <c r="BQ719">
        <f t="shared" si="227"/>
        <v>0</v>
      </c>
      <c r="BR719">
        <f t="shared" si="227"/>
        <v>0</v>
      </c>
      <c r="BS719">
        <f t="shared" si="227"/>
        <v>0</v>
      </c>
    </row>
    <row r="720" spans="2:71" ht="15" customHeight="1" x14ac:dyDescent="0.2">
      <c r="B720">
        <v>5</v>
      </c>
      <c r="C720">
        <v>5</v>
      </c>
      <c r="D720">
        <v>11</v>
      </c>
      <c r="E720" t="s">
        <v>535</v>
      </c>
      <c r="F720" t="s">
        <v>214</v>
      </c>
      <c r="G720" s="5">
        <v>45583</v>
      </c>
      <c r="H720" t="s">
        <v>73</v>
      </c>
      <c r="I720" t="s">
        <v>528</v>
      </c>
      <c r="J720" t="s">
        <v>168</v>
      </c>
      <c r="K720">
        <v>9</v>
      </c>
      <c r="L720" t="s">
        <v>76</v>
      </c>
      <c r="M720" t="s">
        <v>529</v>
      </c>
      <c r="N720" t="s">
        <v>78</v>
      </c>
      <c r="P720">
        <v>139</v>
      </c>
      <c r="Q720">
        <v>6307</v>
      </c>
      <c r="R720" t="s">
        <v>79</v>
      </c>
      <c r="S720" t="s">
        <v>80</v>
      </c>
      <c r="U720" t="s">
        <v>64</v>
      </c>
      <c r="V720" t="s">
        <v>50</v>
      </c>
      <c r="W720" t="s">
        <v>109</v>
      </c>
      <c r="Y720" t="s">
        <v>53</v>
      </c>
      <c r="AA720">
        <v>1</v>
      </c>
      <c r="AB720" t="s">
        <v>34</v>
      </c>
      <c r="AC720" t="s">
        <v>92</v>
      </c>
      <c r="AE720" t="str">
        <f t="shared" si="224"/>
        <v>FerrinForster</v>
      </c>
      <c r="AF720">
        <v>0.5</v>
      </c>
      <c r="AG720">
        <v>0</v>
      </c>
      <c r="AH720">
        <v>0</v>
      </c>
      <c r="AI720">
        <v>1</v>
      </c>
      <c r="AJ720">
        <v>0.5</v>
      </c>
      <c r="AK720" t="s">
        <v>46</v>
      </c>
      <c r="AL720">
        <v>0.38392857142857201</v>
      </c>
      <c r="AM720" t="s">
        <v>62</v>
      </c>
      <c r="AN720">
        <v>0.51041666666666696</v>
      </c>
      <c r="AO720">
        <f t="shared" si="225"/>
        <v>0</v>
      </c>
      <c r="AP720">
        <f t="shared" si="225"/>
        <v>0</v>
      </c>
      <c r="AQ720">
        <f t="shared" si="225"/>
        <v>0</v>
      </c>
      <c r="AR720">
        <f t="shared" si="225"/>
        <v>0</v>
      </c>
      <c r="AS720">
        <f t="shared" si="225"/>
        <v>0</v>
      </c>
      <c r="AT720">
        <f t="shared" si="225"/>
        <v>0</v>
      </c>
      <c r="AU720">
        <f t="shared" si="225"/>
        <v>0</v>
      </c>
      <c r="AV720">
        <f t="shared" si="225"/>
        <v>0</v>
      </c>
      <c r="AW720">
        <f t="shared" si="225"/>
        <v>0</v>
      </c>
      <c r="AX720">
        <f t="shared" si="225"/>
        <v>0</v>
      </c>
      <c r="AY720" t="str">
        <f t="shared" si="226"/>
        <v>Ferrin</v>
      </c>
      <c r="AZ720">
        <f t="shared" si="226"/>
        <v>0</v>
      </c>
      <c r="BA720">
        <f t="shared" si="226"/>
        <v>0</v>
      </c>
      <c r="BB720" t="str">
        <f t="shared" si="226"/>
        <v>Forster</v>
      </c>
      <c r="BC720">
        <f t="shared" si="226"/>
        <v>0</v>
      </c>
      <c r="BD720">
        <f t="shared" si="226"/>
        <v>0</v>
      </c>
      <c r="BE720">
        <f t="shared" si="226"/>
        <v>0</v>
      </c>
      <c r="BF720">
        <f t="shared" si="226"/>
        <v>0</v>
      </c>
      <c r="BG720">
        <f t="shared" si="226"/>
        <v>0</v>
      </c>
      <c r="BH720">
        <f t="shared" si="226"/>
        <v>0</v>
      </c>
      <c r="BI720">
        <f t="shared" si="227"/>
        <v>0</v>
      </c>
      <c r="BJ720">
        <f t="shared" si="227"/>
        <v>0</v>
      </c>
      <c r="BK720">
        <f t="shared" si="227"/>
        <v>0</v>
      </c>
      <c r="BL720">
        <f t="shared" si="227"/>
        <v>0</v>
      </c>
      <c r="BM720">
        <f t="shared" si="227"/>
        <v>0</v>
      </c>
      <c r="BN720">
        <f t="shared" si="227"/>
        <v>0</v>
      </c>
      <c r="BO720">
        <f t="shared" si="227"/>
        <v>0</v>
      </c>
      <c r="BP720">
        <f t="shared" si="227"/>
        <v>0</v>
      </c>
      <c r="BQ720">
        <f t="shared" si="227"/>
        <v>0</v>
      </c>
      <c r="BR720">
        <f t="shared" si="227"/>
        <v>0</v>
      </c>
      <c r="BS720">
        <f t="shared" si="227"/>
        <v>0</v>
      </c>
    </row>
    <row r="721" spans="2:71" ht="15" customHeight="1" x14ac:dyDescent="0.2">
      <c r="B721">
        <v>6</v>
      </c>
      <c r="C721">
        <v>1</v>
      </c>
      <c r="D721">
        <v>11</v>
      </c>
      <c r="E721" t="s">
        <v>536</v>
      </c>
      <c r="F721" t="s">
        <v>214</v>
      </c>
      <c r="G721" s="5">
        <v>45583</v>
      </c>
      <c r="H721" t="s">
        <v>73</v>
      </c>
      <c r="I721" t="s">
        <v>528</v>
      </c>
      <c r="J721" t="s">
        <v>168</v>
      </c>
      <c r="K721">
        <v>9</v>
      </c>
      <c r="L721" t="s">
        <v>90</v>
      </c>
      <c r="M721" t="s">
        <v>529</v>
      </c>
      <c r="N721" t="s">
        <v>78</v>
      </c>
      <c r="P721">
        <v>139</v>
      </c>
      <c r="Q721">
        <v>6307</v>
      </c>
      <c r="R721" t="s">
        <v>313</v>
      </c>
      <c r="S721" t="s">
        <v>80</v>
      </c>
      <c r="U721" t="s">
        <v>52</v>
      </c>
      <c r="V721" t="s">
        <v>44</v>
      </c>
      <c r="W721" t="s">
        <v>109</v>
      </c>
      <c r="Y721" t="s">
        <v>40</v>
      </c>
      <c r="AA721">
        <v>1</v>
      </c>
      <c r="AB721" t="s">
        <v>33</v>
      </c>
      <c r="AC721" t="s">
        <v>530</v>
      </c>
      <c r="AE721" t="str">
        <f t="shared" si="224"/>
        <v>FlandersGrise</v>
      </c>
      <c r="AF721">
        <v>0</v>
      </c>
      <c r="AG721">
        <v>0</v>
      </c>
      <c r="AH721">
        <v>1</v>
      </c>
      <c r="AI721">
        <v>0</v>
      </c>
      <c r="AJ721">
        <v>0</v>
      </c>
      <c r="AK721" t="s">
        <v>54</v>
      </c>
      <c r="AL721">
        <v>0.37288135593220301</v>
      </c>
      <c r="AM721" t="s">
        <v>43</v>
      </c>
      <c r="AN721">
        <v>0.48611111111111099</v>
      </c>
      <c r="AO721" t="str">
        <f t="shared" si="225"/>
        <v>Grise</v>
      </c>
      <c r="AP721">
        <f t="shared" si="225"/>
        <v>0</v>
      </c>
      <c r="AQ721">
        <f t="shared" si="225"/>
        <v>0</v>
      </c>
      <c r="AR721">
        <f t="shared" si="225"/>
        <v>0</v>
      </c>
      <c r="AS721" t="str">
        <f t="shared" si="225"/>
        <v>Flanders</v>
      </c>
      <c r="AT721">
        <f t="shared" si="225"/>
        <v>0</v>
      </c>
      <c r="AU721">
        <f t="shared" si="225"/>
        <v>0</v>
      </c>
      <c r="AV721">
        <f t="shared" si="225"/>
        <v>0</v>
      </c>
      <c r="AW721">
        <f t="shared" si="225"/>
        <v>0</v>
      </c>
      <c r="AX721">
        <f t="shared" si="225"/>
        <v>0</v>
      </c>
      <c r="AY721">
        <f t="shared" si="226"/>
        <v>0</v>
      </c>
      <c r="AZ721">
        <f t="shared" si="226"/>
        <v>0</v>
      </c>
      <c r="BA721">
        <f t="shared" si="226"/>
        <v>0</v>
      </c>
      <c r="BB721">
        <f t="shared" si="226"/>
        <v>0</v>
      </c>
      <c r="BC721">
        <f t="shared" si="226"/>
        <v>0</v>
      </c>
      <c r="BD721">
        <f t="shared" si="226"/>
        <v>0</v>
      </c>
      <c r="BE721">
        <f t="shared" si="226"/>
        <v>0</v>
      </c>
      <c r="BF721">
        <f t="shared" si="226"/>
        <v>0</v>
      </c>
      <c r="BG721">
        <f t="shared" si="226"/>
        <v>0</v>
      </c>
      <c r="BH721">
        <f t="shared" si="226"/>
        <v>0</v>
      </c>
      <c r="BI721">
        <f t="shared" si="227"/>
        <v>0</v>
      </c>
      <c r="BJ721">
        <f t="shared" si="227"/>
        <v>0</v>
      </c>
      <c r="BK721">
        <f t="shared" si="227"/>
        <v>0</v>
      </c>
      <c r="BL721">
        <f t="shared" si="227"/>
        <v>0</v>
      </c>
      <c r="BM721">
        <f t="shared" si="227"/>
        <v>0</v>
      </c>
      <c r="BN721">
        <f t="shared" si="227"/>
        <v>0</v>
      </c>
      <c r="BO721">
        <f t="shared" si="227"/>
        <v>0</v>
      </c>
      <c r="BP721">
        <f t="shared" si="227"/>
        <v>0</v>
      </c>
      <c r="BQ721">
        <f t="shared" si="227"/>
        <v>0</v>
      </c>
      <c r="BR721">
        <f t="shared" si="227"/>
        <v>0</v>
      </c>
      <c r="BS721">
        <f t="shared" si="227"/>
        <v>0</v>
      </c>
    </row>
    <row r="722" spans="2:71" ht="15" customHeight="1" x14ac:dyDescent="0.2">
      <c r="B722">
        <v>6</v>
      </c>
      <c r="C722">
        <v>1</v>
      </c>
      <c r="D722">
        <v>11</v>
      </c>
      <c r="E722" t="s">
        <v>536</v>
      </c>
      <c r="F722" t="s">
        <v>214</v>
      </c>
      <c r="G722" s="5">
        <v>45583</v>
      </c>
      <c r="H722" t="s">
        <v>73</v>
      </c>
      <c r="I722" t="s">
        <v>528</v>
      </c>
      <c r="J722" t="s">
        <v>168</v>
      </c>
      <c r="K722">
        <v>9</v>
      </c>
      <c r="L722" t="s">
        <v>90</v>
      </c>
      <c r="M722" t="s">
        <v>529</v>
      </c>
      <c r="N722" t="s">
        <v>78</v>
      </c>
      <c r="P722">
        <v>139</v>
      </c>
      <c r="Q722">
        <v>6307</v>
      </c>
      <c r="R722" t="s">
        <v>313</v>
      </c>
      <c r="S722" t="s">
        <v>80</v>
      </c>
      <c r="U722" t="s">
        <v>64</v>
      </c>
      <c r="V722" t="s">
        <v>54</v>
      </c>
      <c r="W722" t="s">
        <v>109</v>
      </c>
      <c r="Y722" t="s">
        <v>43</v>
      </c>
      <c r="AA722">
        <v>1</v>
      </c>
      <c r="AB722" t="s">
        <v>32</v>
      </c>
      <c r="AC722" t="s">
        <v>209</v>
      </c>
      <c r="AE722" t="str">
        <f t="shared" si="224"/>
        <v>FoganPoirier</v>
      </c>
      <c r="AF722">
        <v>1</v>
      </c>
      <c r="AG722">
        <v>1</v>
      </c>
      <c r="AH722">
        <v>0</v>
      </c>
      <c r="AI722">
        <v>0</v>
      </c>
      <c r="AJ722">
        <v>1</v>
      </c>
      <c r="AK722" t="s">
        <v>44</v>
      </c>
      <c r="AL722">
        <v>0.4296875</v>
      </c>
      <c r="AM722" t="s">
        <v>40</v>
      </c>
      <c r="AN722">
        <v>0.546875</v>
      </c>
      <c r="AO722">
        <f t="shared" ref="AO722:AX731" si="228">IF(OR($V722=AO$1,$Y722=AO$1),AO$1,0)</f>
        <v>0</v>
      </c>
      <c r="AP722">
        <f t="shared" si="228"/>
        <v>0</v>
      </c>
      <c r="AQ722">
        <f t="shared" si="228"/>
        <v>0</v>
      </c>
      <c r="AR722" t="str">
        <f t="shared" si="228"/>
        <v>Poirier</v>
      </c>
      <c r="AS722">
        <f t="shared" si="228"/>
        <v>0</v>
      </c>
      <c r="AT722">
        <f t="shared" si="228"/>
        <v>0</v>
      </c>
      <c r="AU722">
        <f t="shared" si="228"/>
        <v>0</v>
      </c>
      <c r="AV722">
        <f t="shared" si="228"/>
        <v>0</v>
      </c>
      <c r="AW722">
        <f t="shared" si="228"/>
        <v>0</v>
      </c>
      <c r="AX722">
        <f t="shared" si="228"/>
        <v>0</v>
      </c>
      <c r="AY722">
        <f t="shared" ref="AY722:BH731" si="229">IF(OR($V722=AY$1,$Y722=AY$1),AY$1,0)</f>
        <v>0</v>
      </c>
      <c r="AZ722">
        <f t="shared" si="229"/>
        <v>0</v>
      </c>
      <c r="BA722">
        <f t="shared" si="229"/>
        <v>0</v>
      </c>
      <c r="BB722">
        <f t="shared" si="229"/>
        <v>0</v>
      </c>
      <c r="BC722" t="str">
        <f t="shared" si="229"/>
        <v>Fogan</v>
      </c>
      <c r="BD722">
        <f t="shared" si="229"/>
        <v>0</v>
      </c>
      <c r="BE722">
        <f t="shared" si="229"/>
        <v>0</v>
      </c>
      <c r="BF722">
        <f t="shared" si="229"/>
        <v>0</v>
      </c>
      <c r="BG722">
        <f t="shared" si="229"/>
        <v>0</v>
      </c>
      <c r="BH722">
        <f t="shared" si="229"/>
        <v>0</v>
      </c>
      <c r="BI722">
        <f t="shared" ref="BI722:BS731" si="230">IF(OR($V722=BI$1,$Y722=BI$1),BI$1,0)</f>
        <v>0</v>
      </c>
      <c r="BJ722">
        <f t="shared" si="230"/>
        <v>0</v>
      </c>
      <c r="BK722">
        <f t="shared" si="230"/>
        <v>0</v>
      </c>
      <c r="BL722">
        <f t="shared" si="230"/>
        <v>0</v>
      </c>
      <c r="BM722">
        <f t="shared" si="230"/>
        <v>0</v>
      </c>
      <c r="BN722">
        <f t="shared" si="230"/>
        <v>0</v>
      </c>
      <c r="BO722">
        <f t="shared" si="230"/>
        <v>0</v>
      </c>
      <c r="BP722">
        <f t="shared" si="230"/>
        <v>0</v>
      </c>
      <c r="BQ722">
        <f t="shared" si="230"/>
        <v>0</v>
      </c>
      <c r="BR722">
        <f t="shared" si="230"/>
        <v>0</v>
      </c>
      <c r="BS722">
        <f t="shared" si="230"/>
        <v>0</v>
      </c>
    </row>
    <row r="723" spans="2:71" ht="15" customHeight="1" x14ac:dyDescent="0.2">
      <c r="B723">
        <v>7</v>
      </c>
      <c r="C723">
        <v>2</v>
      </c>
      <c r="D723">
        <v>11</v>
      </c>
      <c r="E723" t="s">
        <v>537</v>
      </c>
      <c r="F723" t="s">
        <v>214</v>
      </c>
      <c r="G723" s="5">
        <v>45583</v>
      </c>
      <c r="H723" t="s">
        <v>73</v>
      </c>
      <c r="I723" t="s">
        <v>528</v>
      </c>
      <c r="J723" t="s">
        <v>168</v>
      </c>
      <c r="K723">
        <v>9</v>
      </c>
      <c r="L723" t="s">
        <v>90</v>
      </c>
      <c r="M723" t="s">
        <v>529</v>
      </c>
      <c r="N723" t="s">
        <v>78</v>
      </c>
      <c r="P723">
        <v>139</v>
      </c>
      <c r="Q723">
        <v>6307</v>
      </c>
      <c r="R723" t="s">
        <v>313</v>
      </c>
      <c r="S723" t="s">
        <v>80</v>
      </c>
      <c r="U723" t="s">
        <v>64</v>
      </c>
      <c r="V723" t="s">
        <v>58</v>
      </c>
      <c r="W723" t="s">
        <v>109</v>
      </c>
      <c r="Y723" t="s">
        <v>59</v>
      </c>
      <c r="AA723">
        <v>1</v>
      </c>
      <c r="AB723" t="s">
        <v>32</v>
      </c>
      <c r="AC723" t="s">
        <v>209</v>
      </c>
      <c r="AE723" t="str">
        <f t="shared" si="224"/>
        <v>GrayNorat</v>
      </c>
      <c r="AF723">
        <v>1</v>
      </c>
      <c r="AG723">
        <v>1</v>
      </c>
      <c r="AH723">
        <v>0</v>
      </c>
      <c r="AI723">
        <v>0</v>
      </c>
      <c r="AJ723">
        <v>1</v>
      </c>
      <c r="AK723" t="s">
        <v>55</v>
      </c>
      <c r="AL723">
        <v>0.44067796610169502</v>
      </c>
      <c r="AM723" t="s">
        <v>48</v>
      </c>
      <c r="AN723">
        <v>0.5546875</v>
      </c>
      <c r="AO723">
        <f t="shared" si="228"/>
        <v>0</v>
      </c>
      <c r="AP723">
        <f t="shared" si="228"/>
        <v>0</v>
      </c>
      <c r="AQ723">
        <f t="shared" si="228"/>
        <v>0</v>
      </c>
      <c r="AR723">
        <f t="shared" si="228"/>
        <v>0</v>
      </c>
      <c r="AS723">
        <f t="shared" si="228"/>
        <v>0</v>
      </c>
      <c r="AT723">
        <f t="shared" si="228"/>
        <v>0</v>
      </c>
      <c r="AU723">
        <f t="shared" si="228"/>
        <v>0</v>
      </c>
      <c r="AV723">
        <f t="shared" si="228"/>
        <v>0</v>
      </c>
      <c r="AW723">
        <f t="shared" si="228"/>
        <v>0</v>
      </c>
      <c r="AX723">
        <f t="shared" si="228"/>
        <v>0</v>
      </c>
      <c r="AY723">
        <f t="shared" si="229"/>
        <v>0</v>
      </c>
      <c r="AZ723">
        <f t="shared" si="229"/>
        <v>0</v>
      </c>
      <c r="BA723">
        <f t="shared" si="229"/>
        <v>0</v>
      </c>
      <c r="BB723">
        <f t="shared" si="229"/>
        <v>0</v>
      </c>
      <c r="BC723">
        <f t="shared" si="229"/>
        <v>0</v>
      </c>
      <c r="BD723">
        <f t="shared" si="229"/>
        <v>0</v>
      </c>
      <c r="BE723">
        <f t="shared" si="229"/>
        <v>0</v>
      </c>
      <c r="BF723">
        <f t="shared" si="229"/>
        <v>0</v>
      </c>
      <c r="BG723" t="str">
        <f t="shared" si="229"/>
        <v>Gray</v>
      </c>
      <c r="BH723" t="str">
        <f t="shared" si="229"/>
        <v>Norat</v>
      </c>
      <c r="BI723">
        <f t="shared" si="230"/>
        <v>0</v>
      </c>
      <c r="BJ723">
        <f t="shared" si="230"/>
        <v>0</v>
      </c>
      <c r="BK723">
        <f t="shared" si="230"/>
        <v>0</v>
      </c>
      <c r="BL723">
        <f t="shared" si="230"/>
        <v>0</v>
      </c>
      <c r="BM723">
        <f t="shared" si="230"/>
        <v>0</v>
      </c>
      <c r="BN723">
        <f t="shared" si="230"/>
        <v>0</v>
      </c>
      <c r="BO723">
        <f t="shared" si="230"/>
        <v>0</v>
      </c>
      <c r="BP723">
        <f t="shared" si="230"/>
        <v>0</v>
      </c>
      <c r="BQ723">
        <f t="shared" si="230"/>
        <v>0</v>
      </c>
      <c r="BR723">
        <f t="shared" si="230"/>
        <v>0</v>
      </c>
      <c r="BS723">
        <f t="shared" si="230"/>
        <v>0</v>
      </c>
    </row>
    <row r="724" spans="2:71" ht="15" customHeight="1" x14ac:dyDescent="0.2">
      <c r="B724">
        <v>7</v>
      </c>
      <c r="C724">
        <v>2</v>
      </c>
      <c r="D724">
        <v>11</v>
      </c>
      <c r="E724" t="s">
        <v>537</v>
      </c>
      <c r="F724" t="s">
        <v>214</v>
      </c>
      <c r="G724" s="5">
        <v>45583</v>
      </c>
      <c r="H724" t="s">
        <v>73</v>
      </c>
      <c r="I724" t="s">
        <v>528</v>
      </c>
      <c r="J724" t="s">
        <v>168</v>
      </c>
      <c r="K724">
        <v>9</v>
      </c>
      <c r="L724" t="s">
        <v>90</v>
      </c>
      <c r="M724" t="s">
        <v>529</v>
      </c>
      <c r="N724" t="s">
        <v>78</v>
      </c>
      <c r="P724">
        <v>139</v>
      </c>
      <c r="Q724">
        <v>6307</v>
      </c>
      <c r="R724" t="s">
        <v>313</v>
      </c>
      <c r="S724" t="s">
        <v>80</v>
      </c>
      <c r="U724" t="s">
        <v>52</v>
      </c>
      <c r="V724" t="s">
        <v>55</v>
      </c>
      <c r="W724" t="s">
        <v>109</v>
      </c>
      <c r="Y724" t="s">
        <v>48</v>
      </c>
      <c r="AA724">
        <v>1</v>
      </c>
      <c r="AB724" t="s">
        <v>33</v>
      </c>
      <c r="AC724" t="s">
        <v>530</v>
      </c>
      <c r="AE724" t="str">
        <f t="shared" si="224"/>
        <v>ColeLynch</v>
      </c>
      <c r="AF724">
        <v>0</v>
      </c>
      <c r="AG724">
        <v>0</v>
      </c>
      <c r="AH724">
        <v>1</v>
      </c>
      <c r="AI724">
        <v>0</v>
      </c>
      <c r="AJ724">
        <v>0</v>
      </c>
      <c r="AK724" t="s">
        <v>58</v>
      </c>
      <c r="AL724">
        <v>0.65476190476190499</v>
      </c>
      <c r="AM724" t="s">
        <v>59</v>
      </c>
      <c r="AN724">
        <v>0.52777777777777801</v>
      </c>
      <c r="AO724">
        <f t="shared" si="228"/>
        <v>0</v>
      </c>
      <c r="AP724">
        <f t="shared" si="228"/>
        <v>0</v>
      </c>
      <c r="AQ724">
        <f t="shared" si="228"/>
        <v>0</v>
      </c>
      <c r="AR724">
        <f t="shared" si="228"/>
        <v>0</v>
      </c>
      <c r="AS724">
        <f t="shared" si="228"/>
        <v>0</v>
      </c>
      <c r="AT724">
        <f t="shared" si="228"/>
        <v>0</v>
      </c>
      <c r="AU724">
        <f t="shared" si="228"/>
        <v>0</v>
      </c>
      <c r="AV724">
        <f t="shared" si="228"/>
        <v>0</v>
      </c>
      <c r="AW724" t="str">
        <f t="shared" si="228"/>
        <v>Lynch</v>
      </c>
      <c r="AX724">
        <f t="shared" si="228"/>
        <v>0</v>
      </c>
      <c r="AY724">
        <f t="shared" si="229"/>
        <v>0</v>
      </c>
      <c r="AZ724">
        <f t="shared" si="229"/>
        <v>0</v>
      </c>
      <c r="BA724">
        <f t="shared" si="229"/>
        <v>0</v>
      </c>
      <c r="BB724">
        <f t="shared" si="229"/>
        <v>0</v>
      </c>
      <c r="BC724">
        <f t="shared" si="229"/>
        <v>0</v>
      </c>
      <c r="BD724" t="str">
        <f t="shared" si="229"/>
        <v>Cole</v>
      </c>
      <c r="BE724">
        <f t="shared" si="229"/>
        <v>0</v>
      </c>
      <c r="BF724">
        <f t="shared" si="229"/>
        <v>0</v>
      </c>
      <c r="BG724">
        <f t="shared" si="229"/>
        <v>0</v>
      </c>
      <c r="BH724">
        <f t="shared" si="229"/>
        <v>0</v>
      </c>
      <c r="BI724">
        <f t="shared" si="230"/>
        <v>0</v>
      </c>
      <c r="BJ724">
        <f t="shared" si="230"/>
        <v>0</v>
      </c>
      <c r="BK724">
        <f t="shared" si="230"/>
        <v>0</v>
      </c>
      <c r="BL724">
        <f t="shared" si="230"/>
        <v>0</v>
      </c>
      <c r="BM724">
        <f t="shared" si="230"/>
        <v>0</v>
      </c>
      <c r="BN724">
        <f t="shared" si="230"/>
        <v>0</v>
      </c>
      <c r="BO724">
        <f t="shared" si="230"/>
        <v>0</v>
      </c>
      <c r="BP724">
        <f t="shared" si="230"/>
        <v>0</v>
      </c>
      <c r="BQ724">
        <f t="shared" si="230"/>
        <v>0</v>
      </c>
      <c r="BR724">
        <f t="shared" si="230"/>
        <v>0</v>
      </c>
      <c r="BS724">
        <f t="shared" si="230"/>
        <v>0</v>
      </c>
    </row>
    <row r="725" spans="2:71" ht="15" customHeight="1" x14ac:dyDescent="0.2">
      <c r="B725">
        <v>8</v>
      </c>
      <c r="C725">
        <v>3</v>
      </c>
      <c r="D725">
        <v>11</v>
      </c>
      <c r="E725" t="s">
        <v>538</v>
      </c>
      <c r="F725" t="s">
        <v>214</v>
      </c>
      <c r="G725" s="5">
        <v>45583</v>
      </c>
      <c r="H725" t="s">
        <v>73</v>
      </c>
      <c r="I725" t="s">
        <v>528</v>
      </c>
      <c r="J725" t="s">
        <v>168</v>
      </c>
      <c r="K725">
        <v>9</v>
      </c>
      <c r="L725" t="s">
        <v>90</v>
      </c>
      <c r="M725" t="s">
        <v>529</v>
      </c>
      <c r="N725" t="s">
        <v>78</v>
      </c>
      <c r="P725">
        <v>139</v>
      </c>
      <c r="Q725">
        <v>6307</v>
      </c>
      <c r="R725" t="s">
        <v>313</v>
      </c>
      <c r="S725" t="s">
        <v>80</v>
      </c>
      <c r="U725" t="s">
        <v>52</v>
      </c>
      <c r="V725" t="s">
        <v>52</v>
      </c>
      <c r="W725" t="s">
        <v>109</v>
      </c>
      <c r="Y725" t="s">
        <v>42</v>
      </c>
      <c r="AA725">
        <v>1</v>
      </c>
      <c r="AB725" t="s">
        <v>33</v>
      </c>
      <c r="AC725" t="s">
        <v>174</v>
      </c>
      <c r="AE725" t="str">
        <f t="shared" si="224"/>
        <v>ConnorsJackson</v>
      </c>
      <c r="AF725">
        <v>0</v>
      </c>
      <c r="AG725">
        <v>0</v>
      </c>
      <c r="AH725">
        <v>1</v>
      </c>
      <c r="AI725">
        <v>0</v>
      </c>
      <c r="AJ725">
        <v>0</v>
      </c>
      <c r="AK725" t="s">
        <v>45</v>
      </c>
      <c r="AL725">
        <v>0.59375</v>
      </c>
      <c r="AM725" t="s">
        <v>64</v>
      </c>
      <c r="AN725">
        <v>0.65909090909090895</v>
      </c>
      <c r="AO725">
        <f t="shared" si="228"/>
        <v>0</v>
      </c>
      <c r="AP725">
        <f t="shared" si="228"/>
        <v>0</v>
      </c>
      <c r="AQ725" t="str">
        <f t="shared" si="228"/>
        <v>Jackson</v>
      </c>
      <c r="AR725">
        <f t="shared" si="228"/>
        <v>0</v>
      </c>
      <c r="AS725">
        <f t="shared" si="228"/>
        <v>0</v>
      </c>
      <c r="AT725">
        <f t="shared" si="228"/>
        <v>0</v>
      </c>
      <c r="AU725">
        <f t="shared" si="228"/>
        <v>0</v>
      </c>
      <c r="AV725">
        <f t="shared" si="228"/>
        <v>0</v>
      </c>
      <c r="AW725">
        <f t="shared" si="228"/>
        <v>0</v>
      </c>
      <c r="AX725">
        <f t="shared" si="228"/>
        <v>0</v>
      </c>
      <c r="AY725">
        <f t="shared" si="229"/>
        <v>0</v>
      </c>
      <c r="AZ725">
        <f t="shared" si="229"/>
        <v>0</v>
      </c>
      <c r="BA725" t="str">
        <f t="shared" si="229"/>
        <v>Connors</v>
      </c>
      <c r="BB725">
        <f t="shared" si="229"/>
        <v>0</v>
      </c>
      <c r="BC725">
        <f t="shared" si="229"/>
        <v>0</v>
      </c>
      <c r="BD725">
        <f t="shared" si="229"/>
        <v>0</v>
      </c>
      <c r="BE725">
        <f t="shared" si="229"/>
        <v>0</v>
      </c>
      <c r="BF725">
        <f t="shared" si="229"/>
        <v>0</v>
      </c>
      <c r="BG725">
        <f t="shared" si="229"/>
        <v>0</v>
      </c>
      <c r="BH725">
        <f t="shared" si="229"/>
        <v>0</v>
      </c>
      <c r="BI725">
        <f t="shared" si="230"/>
        <v>0</v>
      </c>
      <c r="BJ725">
        <f t="shared" si="230"/>
        <v>0</v>
      </c>
      <c r="BK725">
        <f t="shared" si="230"/>
        <v>0</v>
      </c>
      <c r="BL725">
        <f t="shared" si="230"/>
        <v>0</v>
      </c>
      <c r="BM725">
        <f t="shared" si="230"/>
        <v>0</v>
      </c>
      <c r="BN725">
        <f t="shared" si="230"/>
        <v>0</v>
      </c>
      <c r="BO725">
        <f t="shared" si="230"/>
        <v>0</v>
      </c>
      <c r="BP725">
        <f t="shared" si="230"/>
        <v>0</v>
      </c>
      <c r="BQ725">
        <f t="shared" si="230"/>
        <v>0</v>
      </c>
      <c r="BR725">
        <f t="shared" si="230"/>
        <v>0</v>
      </c>
      <c r="BS725">
        <f t="shared" si="230"/>
        <v>0</v>
      </c>
    </row>
    <row r="726" spans="2:71" ht="15" customHeight="1" x14ac:dyDescent="0.2">
      <c r="B726">
        <v>8</v>
      </c>
      <c r="C726">
        <v>3</v>
      </c>
      <c r="D726">
        <v>11</v>
      </c>
      <c r="E726" t="s">
        <v>538</v>
      </c>
      <c r="F726" t="s">
        <v>214</v>
      </c>
      <c r="G726" s="5">
        <v>45583</v>
      </c>
      <c r="H726" t="s">
        <v>73</v>
      </c>
      <c r="I726" t="s">
        <v>528</v>
      </c>
      <c r="J726" t="s">
        <v>168</v>
      </c>
      <c r="K726">
        <v>9</v>
      </c>
      <c r="L726" t="s">
        <v>90</v>
      </c>
      <c r="M726" t="s">
        <v>529</v>
      </c>
      <c r="N726" t="s">
        <v>78</v>
      </c>
      <c r="P726">
        <v>139</v>
      </c>
      <c r="Q726">
        <v>6307</v>
      </c>
      <c r="R726" t="s">
        <v>313</v>
      </c>
      <c r="S726" t="s">
        <v>80</v>
      </c>
      <c r="U726" t="s">
        <v>64</v>
      </c>
      <c r="V726" t="s">
        <v>45</v>
      </c>
      <c r="W726" t="s">
        <v>109</v>
      </c>
      <c r="Y726" t="s">
        <v>64</v>
      </c>
      <c r="AA726">
        <v>1</v>
      </c>
      <c r="AB726" t="s">
        <v>32</v>
      </c>
      <c r="AC726" t="s">
        <v>174</v>
      </c>
      <c r="AE726" t="str">
        <f t="shared" si="224"/>
        <v>ConnollyDelneky</v>
      </c>
      <c r="AF726">
        <v>1</v>
      </c>
      <c r="AG726">
        <v>1</v>
      </c>
      <c r="AH726">
        <v>0</v>
      </c>
      <c r="AI726">
        <v>0</v>
      </c>
      <c r="AJ726">
        <v>1</v>
      </c>
      <c r="AK726" t="s">
        <v>52</v>
      </c>
      <c r="AL726">
        <v>0.34745762711864397</v>
      </c>
      <c r="AM726" t="s">
        <v>42</v>
      </c>
      <c r="AN726">
        <v>0.6171875</v>
      </c>
      <c r="AO726">
        <f t="shared" si="228"/>
        <v>0</v>
      </c>
      <c r="AP726">
        <f t="shared" si="228"/>
        <v>0</v>
      </c>
      <c r="AQ726">
        <f t="shared" si="228"/>
        <v>0</v>
      </c>
      <c r="AR726">
        <f t="shared" si="228"/>
        <v>0</v>
      </c>
      <c r="AS726">
        <f t="shared" si="228"/>
        <v>0</v>
      </c>
      <c r="AT726" t="str">
        <f t="shared" si="228"/>
        <v>Connolly</v>
      </c>
      <c r="AU726">
        <f t="shared" si="228"/>
        <v>0</v>
      </c>
      <c r="AV726">
        <f t="shared" si="228"/>
        <v>0</v>
      </c>
      <c r="AW726">
        <f t="shared" si="228"/>
        <v>0</v>
      </c>
      <c r="AX726">
        <f t="shared" si="228"/>
        <v>0</v>
      </c>
      <c r="AY726">
        <f t="shared" si="229"/>
        <v>0</v>
      </c>
      <c r="AZ726">
        <f t="shared" si="229"/>
        <v>0</v>
      </c>
      <c r="BA726">
        <f t="shared" si="229"/>
        <v>0</v>
      </c>
      <c r="BB726">
        <f t="shared" si="229"/>
        <v>0</v>
      </c>
      <c r="BC726">
        <f t="shared" si="229"/>
        <v>0</v>
      </c>
      <c r="BD726">
        <f t="shared" si="229"/>
        <v>0</v>
      </c>
      <c r="BE726">
        <f t="shared" si="229"/>
        <v>0</v>
      </c>
      <c r="BF726">
        <f t="shared" si="229"/>
        <v>0</v>
      </c>
      <c r="BG726">
        <f t="shared" si="229"/>
        <v>0</v>
      </c>
      <c r="BH726">
        <f t="shared" si="229"/>
        <v>0</v>
      </c>
      <c r="BI726">
        <f t="shared" si="230"/>
        <v>0</v>
      </c>
      <c r="BJ726">
        <f t="shared" si="230"/>
        <v>0</v>
      </c>
      <c r="BK726">
        <f t="shared" si="230"/>
        <v>0</v>
      </c>
      <c r="BL726">
        <f t="shared" si="230"/>
        <v>0</v>
      </c>
      <c r="BM726" t="str">
        <f t="shared" si="230"/>
        <v>Delneky</v>
      </c>
      <c r="BN726">
        <f t="shared" si="230"/>
        <v>0</v>
      </c>
      <c r="BO726">
        <f t="shared" si="230"/>
        <v>0</v>
      </c>
      <c r="BP726">
        <f t="shared" si="230"/>
        <v>0</v>
      </c>
      <c r="BQ726">
        <f t="shared" si="230"/>
        <v>0</v>
      </c>
      <c r="BR726">
        <f t="shared" si="230"/>
        <v>0</v>
      </c>
      <c r="BS726">
        <f t="shared" si="230"/>
        <v>0</v>
      </c>
    </row>
    <row r="727" spans="2:71" ht="15" customHeight="1" x14ac:dyDescent="0.2">
      <c r="B727">
        <v>9</v>
      </c>
      <c r="C727">
        <v>4</v>
      </c>
      <c r="D727">
        <v>11</v>
      </c>
      <c r="E727" t="s">
        <v>539</v>
      </c>
      <c r="F727" t="s">
        <v>214</v>
      </c>
      <c r="G727" s="5">
        <v>45583</v>
      </c>
      <c r="H727" t="s">
        <v>73</v>
      </c>
      <c r="I727" t="s">
        <v>528</v>
      </c>
      <c r="J727" t="s">
        <v>168</v>
      </c>
      <c r="K727">
        <v>9</v>
      </c>
      <c r="L727" t="s">
        <v>90</v>
      </c>
      <c r="M727" t="s">
        <v>529</v>
      </c>
      <c r="N727" t="s">
        <v>78</v>
      </c>
      <c r="P727">
        <v>139</v>
      </c>
      <c r="Q727">
        <v>6307</v>
      </c>
      <c r="R727" t="s">
        <v>313</v>
      </c>
      <c r="S727" t="s">
        <v>80</v>
      </c>
      <c r="U727" t="s">
        <v>64</v>
      </c>
      <c r="V727" t="s">
        <v>49</v>
      </c>
      <c r="W727" t="s">
        <v>109</v>
      </c>
      <c r="Y727" t="s">
        <v>60</v>
      </c>
      <c r="AA727">
        <v>1</v>
      </c>
      <c r="AB727" t="s">
        <v>34</v>
      </c>
      <c r="AC727" t="s">
        <v>92</v>
      </c>
      <c r="AE727" t="str">
        <f t="shared" si="224"/>
        <v>ShivelyZimmer</v>
      </c>
      <c r="AF727">
        <v>0.5</v>
      </c>
      <c r="AG727">
        <v>0</v>
      </c>
      <c r="AH727">
        <v>0</v>
      </c>
      <c r="AI727">
        <v>1</v>
      </c>
      <c r="AJ727">
        <v>0.5</v>
      </c>
      <c r="AK727" t="s">
        <v>63</v>
      </c>
      <c r="AL727">
        <v>0.46551724137931</v>
      </c>
      <c r="AM727" t="s">
        <v>41</v>
      </c>
      <c r="AN727">
        <v>0.47321428571428598</v>
      </c>
      <c r="AO727">
        <f t="shared" si="228"/>
        <v>0</v>
      </c>
      <c r="AP727">
        <f t="shared" si="228"/>
        <v>0</v>
      </c>
      <c r="AQ727">
        <f t="shared" si="228"/>
        <v>0</v>
      </c>
      <c r="AR727">
        <f t="shared" si="228"/>
        <v>0</v>
      </c>
      <c r="AS727">
        <f t="shared" si="228"/>
        <v>0</v>
      </c>
      <c r="AT727">
        <f t="shared" si="228"/>
        <v>0</v>
      </c>
      <c r="AU727">
        <f t="shared" si="228"/>
        <v>0</v>
      </c>
      <c r="AV727">
        <f t="shared" si="228"/>
        <v>0</v>
      </c>
      <c r="AW727">
        <f t="shared" si="228"/>
        <v>0</v>
      </c>
      <c r="AX727" t="str">
        <f t="shared" si="228"/>
        <v>Shively</v>
      </c>
      <c r="AY727">
        <f t="shared" si="229"/>
        <v>0</v>
      </c>
      <c r="AZ727">
        <f t="shared" si="229"/>
        <v>0</v>
      </c>
      <c r="BA727">
        <f t="shared" si="229"/>
        <v>0</v>
      </c>
      <c r="BB727">
        <f t="shared" si="229"/>
        <v>0</v>
      </c>
      <c r="BC727">
        <f t="shared" si="229"/>
        <v>0</v>
      </c>
      <c r="BD727">
        <f t="shared" si="229"/>
        <v>0</v>
      </c>
      <c r="BE727">
        <f t="shared" si="229"/>
        <v>0</v>
      </c>
      <c r="BF727">
        <f t="shared" si="229"/>
        <v>0</v>
      </c>
      <c r="BG727">
        <f t="shared" si="229"/>
        <v>0</v>
      </c>
      <c r="BH727">
        <f t="shared" si="229"/>
        <v>0</v>
      </c>
      <c r="BI727" t="str">
        <f t="shared" si="230"/>
        <v>Zimmer</v>
      </c>
      <c r="BJ727">
        <f t="shared" si="230"/>
        <v>0</v>
      </c>
      <c r="BK727">
        <f t="shared" si="230"/>
        <v>0</v>
      </c>
      <c r="BL727">
        <f t="shared" si="230"/>
        <v>0</v>
      </c>
      <c r="BM727">
        <f t="shared" si="230"/>
        <v>0</v>
      </c>
      <c r="BN727">
        <f t="shared" si="230"/>
        <v>0</v>
      </c>
      <c r="BO727">
        <f t="shared" si="230"/>
        <v>0</v>
      </c>
      <c r="BP727">
        <f t="shared" si="230"/>
        <v>0</v>
      </c>
      <c r="BQ727">
        <f t="shared" si="230"/>
        <v>0</v>
      </c>
      <c r="BR727">
        <f t="shared" si="230"/>
        <v>0</v>
      </c>
      <c r="BS727">
        <f t="shared" si="230"/>
        <v>0</v>
      </c>
    </row>
    <row r="728" spans="2:71" ht="15" customHeight="1" x14ac:dyDescent="0.2">
      <c r="B728">
        <v>9</v>
      </c>
      <c r="C728">
        <v>4</v>
      </c>
      <c r="D728">
        <v>11</v>
      </c>
      <c r="E728" t="s">
        <v>539</v>
      </c>
      <c r="F728" t="s">
        <v>214</v>
      </c>
      <c r="G728" s="5">
        <v>45583</v>
      </c>
      <c r="H728" t="s">
        <v>73</v>
      </c>
      <c r="I728" t="s">
        <v>528</v>
      </c>
      <c r="J728" t="s">
        <v>168</v>
      </c>
      <c r="K728">
        <v>9</v>
      </c>
      <c r="L728" t="s">
        <v>90</v>
      </c>
      <c r="M728" t="s">
        <v>529</v>
      </c>
      <c r="N728" t="s">
        <v>78</v>
      </c>
      <c r="P728">
        <v>139</v>
      </c>
      <c r="Q728">
        <v>6307</v>
      </c>
      <c r="R728" t="s">
        <v>313</v>
      </c>
      <c r="S728" t="s">
        <v>80</v>
      </c>
      <c r="U728" t="s">
        <v>52</v>
      </c>
      <c r="V728" t="s">
        <v>63</v>
      </c>
      <c r="W728" t="s">
        <v>109</v>
      </c>
      <c r="Y728" t="s">
        <v>41</v>
      </c>
      <c r="AA728">
        <v>1</v>
      </c>
      <c r="AB728" t="s">
        <v>34</v>
      </c>
      <c r="AC728" t="s">
        <v>92</v>
      </c>
      <c r="AE728" t="str">
        <f t="shared" si="224"/>
        <v>DelaneyHilts</v>
      </c>
      <c r="AF728">
        <v>0.5</v>
      </c>
      <c r="AG728">
        <v>0</v>
      </c>
      <c r="AH728">
        <v>0</v>
      </c>
      <c r="AI728">
        <v>1</v>
      </c>
      <c r="AJ728">
        <v>0.5</v>
      </c>
      <c r="AK728" t="s">
        <v>49</v>
      </c>
      <c r="AM728" t="s">
        <v>60</v>
      </c>
      <c r="AN728">
        <v>0.5</v>
      </c>
      <c r="AO728">
        <f t="shared" si="228"/>
        <v>0</v>
      </c>
      <c r="AP728" t="str">
        <f t="shared" si="228"/>
        <v>Hilts</v>
      </c>
      <c r="AQ728">
        <f t="shared" si="228"/>
        <v>0</v>
      </c>
      <c r="AR728">
        <f t="shared" si="228"/>
        <v>0</v>
      </c>
      <c r="AS728">
        <f t="shared" si="228"/>
        <v>0</v>
      </c>
      <c r="AT728">
        <f t="shared" si="228"/>
        <v>0</v>
      </c>
      <c r="AU728">
        <f t="shared" si="228"/>
        <v>0</v>
      </c>
      <c r="AV728">
        <f t="shared" si="228"/>
        <v>0</v>
      </c>
      <c r="AW728">
        <f t="shared" si="228"/>
        <v>0</v>
      </c>
      <c r="AX728">
        <f t="shared" si="228"/>
        <v>0</v>
      </c>
      <c r="AY728">
        <f t="shared" si="229"/>
        <v>0</v>
      </c>
      <c r="AZ728">
        <f t="shared" si="229"/>
        <v>0</v>
      </c>
      <c r="BA728">
        <f t="shared" si="229"/>
        <v>0</v>
      </c>
      <c r="BB728">
        <f t="shared" si="229"/>
        <v>0</v>
      </c>
      <c r="BC728">
        <f t="shared" si="229"/>
        <v>0</v>
      </c>
      <c r="BD728">
        <f t="shared" si="229"/>
        <v>0</v>
      </c>
      <c r="BE728">
        <f t="shared" si="229"/>
        <v>0</v>
      </c>
      <c r="BF728">
        <f t="shared" si="229"/>
        <v>0</v>
      </c>
      <c r="BG728">
        <f t="shared" si="229"/>
        <v>0</v>
      </c>
      <c r="BH728">
        <f t="shared" si="229"/>
        <v>0</v>
      </c>
      <c r="BI728">
        <f t="shared" si="230"/>
        <v>0</v>
      </c>
      <c r="BJ728">
        <f t="shared" si="230"/>
        <v>0</v>
      </c>
      <c r="BK728">
        <f t="shared" si="230"/>
        <v>0</v>
      </c>
      <c r="BL728" t="str">
        <f t="shared" si="230"/>
        <v>Delaney</v>
      </c>
      <c r="BM728">
        <f t="shared" si="230"/>
        <v>0</v>
      </c>
      <c r="BN728">
        <f t="shared" si="230"/>
        <v>0</v>
      </c>
      <c r="BO728">
        <f t="shared" si="230"/>
        <v>0</v>
      </c>
      <c r="BP728">
        <f t="shared" si="230"/>
        <v>0</v>
      </c>
      <c r="BQ728">
        <f t="shared" si="230"/>
        <v>0</v>
      </c>
      <c r="BR728">
        <f t="shared" si="230"/>
        <v>0</v>
      </c>
      <c r="BS728">
        <f t="shared" si="230"/>
        <v>0</v>
      </c>
    </row>
    <row r="729" spans="2:71" ht="15" customHeight="1" x14ac:dyDescent="0.2">
      <c r="B729">
        <v>10</v>
      </c>
      <c r="C729">
        <v>5</v>
      </c>
      <c r="D729">
        <v>11</v>
      </c>
      <c r="E729" t="s">
        <v>540</v>
      </c>
      <c r="F729" t="s">
        <v>214</v>
      </c>
      <c r="G729" s="5">
        <v>45583</v>
      </c>
      <c r="H729" t="s">
        <v>73</v>
      </c>
      <c r="I729" t="s">
        <v>528</v>
      </c>
      <c r="J729" t="s">
        <v>168</v>
      </c>
      <c r="K729">
        <v>9</v>
      </c>
      <c r="L729" t="s">
        <v>90</v>
      </c>
      <c r="M729" t="s">
        <v>529</v>
      </c>
      <c r="N729" t="s">
        <v>78</v>
      </c>
      <c r="P729">
        <v>139</v>
      </c>
      <c r="Q729">
        <v>6307</v>
      </c>
      <c r="R729" t="s">
        <v>313</v>
      </c>
      <c r="S729" t="s">
        <v>80</v>
      </c>
      <c r="U729" t="s">
        <v>52</v>
      </c>
      <c r="V729" t="s">
        <v>46</v>
      </c>
      <c r="W729" t="s">
        <v>109</v>
      </c>
      <c r="Y729" t="s">
        <v>62</v>
      </c>
      <c r="AA729">
        <v>1</v>
      </c>
      <c r="AB729" t="s">
        <v>33</v>
      </c>
      <c r="AC729" t="s">
        <v>174</v>
      </c>
      <c r="AE729" t="str">
        <f t="shared" si="224"/>
        <v>MangoldWelker</v>
      </c>
      <c r="AF729">
        <v>0</v>
      </c>
      <c r="AG729">
        <v>0</v>
      </c>
      <c r="AH729">
        <v>1</v>
      </c>
      <c r="AI729">
        <v>0</v>
      </c>
      <c r="AJ729">
        <v>0</v>
      </c>
      <c r="AK729" t="s">
        <v>50</v>
      </c>
      <c r="AL729">
        <v>0.59523809523809501</v>
      </c>
      <c r="AM729" t="s">
        <v>53</v>
      </c>
      <c r="AN729">
        <v>0.59649122807017496</v>
      </c>
      <c r="AO729">
        <f t="shared" si="228"/>
        <v>0</v>
      </c>
      <c r="AP729">
        <f t="shared" si="228"/>
        <v>0</v>
      </c>
      <c r="AQ729">
        <f t="shared" si="228"/>
        <v>0</v>
      </c>
      <c r="AR729">
        <f t="shared" si="228"/>
        <v>0</v>
      </c>
      <c r="AS729">
        <f t="shared" si="228"/>
        <v>0</v>
      </c>
      <c r="AT729">
        <f t="shared" si="228"/>
        <v>0</v>
      </c>
      <c r="AU729" t="str">
        <f t="shared" si="228"/>
        <v>Mangold</v>
      </c>
      <c r="AV729">
        <f t="shared" si="228"/>
        <v>0</v>
      </c>
      <c r="AW729">
        <f t="shared" si="228"/>
        <v>0</v>
      </c>
      <c r="AX729">
        <f t="shared" si="228"/>
        <v>0</v>
      </c>
      <c r="AY729">
        <f t="shared" si="229"/>
        <v>0</v>
      </c>
      <c r="AZ729">
        <f t="shared" si="229"/>
        <v>0</v>
      </c>
      <c r="BA729">
        <f t="shared" si="229"/>
        <v>0</v>
      </c>
      <c r="BB729">
        <f t="shared" si="229"/>
        <v>0</v>
      </c>
      <c r="BC729">
        <f t="shared" si="229"/>
        <v>0</v>
      </c>
      <c r="BD729">
        <f t="shared" si="229"/>
        <v>0</v>
      </c>
      <c r="BE729">
        <f t="shared" si="229"/>
        <v>0</v>
      </c>
      <c r="BF729">
        <f t="shared" si="229"/>
        <v>0</v>
      </c>
      <c r="BG729">
        <f t="shared" si="229"/>
        <v>0</v>
      </c>
      <c r="BH729">
        <f t="shared" si="229"/>
        <v>0</v>
      </c>
      <c r="BI729">
        <f t="shared" si="230"/>
        <v>0</v>
      </c>
      <c r="BJ729">
        <f t="shared" si="230"/>
        <v>0</v>
      </c>
      <c r="BK729" t="str">
        <f t="shared" si="230"/>
        <v>Welker</v>
      </c>
      <c r="BL729">
        <f t="shared" si="230"/>
        <v>0</v>
      </c>
      <c r="BM729">
        <f t="shared" si="230"/>
        <v>0</v>
      </c>
      <c r="BN729">
        <f t="shared" si="230"/>
        <v>0</v>
      </c>
      <c r="BO729">
        <f t="shared" si="230"/>
        <v>0</v>
      </c>
      <c r="BP729">
        <f t="shared" si="230"/>
        <v>0</v>
      </c>
      <c r="BQ729">
        <f t="shared" si="230"/>
        <v>0</v>
      </c>
      <c r="BR729">
        <f t="shared" si="230"/>
        <v>0</v>
      </c>
      <c r="BS729">
        <f t="shared" si="230"/>
        <v>0</v>
      </c>
    </row>
    <row r="730" spans="2:71" ht="15" customHeight="1" x14ac:dyDescent="0.2">
      <c r="B730">
        <v>10</v>
      </c>
      <c r="C730">
        <v>5</v>
      </c>
      <c r="D730">
        <v>11</v>
      </c>
      <c r="E730" t="s">
        <v>540</v>
      </c>
      <c r="F730" t="s">
        <v>214</v>
      </c>
      <c r="G730" s="5">
        <v>45583</v>
      </c>
      <c r="H730" t="s">
        <v>73</v>
      </c>
      <c r="I730" t="s">
        <v>528</v>
      </c>
      <c r="J730" t="s">
        <v>168</v>
      </c>
      <c r="K730">
        <v>9</v>
      </c>
      <c r="L730" t="s">
        <v>90</v>
      </c>
      <c r="M730" t="s">
        <v>529</v>
      </c>
      <c r="N730" t="s">
        <v>78</v>
      </c>
      <c r="P730">
        <v>139</v>
      </c>
      <c r="Q730">
        <v>6307</v>
      </c>
      <c r="R730" t="s">
        <v>313</v>
      </c>
      <c r="S730" t="s">
        <v>80</v>
      </c>
      <c r="U730" t="s">
        <v>64</v>
      </c>
      <c r="V730" t="s">
        <v>50</v>
      </c>
      <c r="W730" t="s">
        <v>109</v>
      </c>
      <c r="Y730" t="s">
        <v>53</v>
      </c>
      <c r="AA730">
        <v>1</v>
      </c>
      <c r="AB730" t="s">
        <v>32</v>
      </c>
      <c r="AC730" t="s">
        <v>174</v>
      </c>
      <c r="AE730" t="str">
        <f t="shared" si="224"/>
        <v>FerrinForster</v>
      </c>
      <c r="AF730">
        <v>1</v>
      </c>
      <c r="AG730">
        <v>1</v>
      </c>
      <c r="AH730">
        <v>0</v>
      </c>
      <c r="AI730">
        <v>0</v>
      </c>
      <c r="AJ730">
        <v>1</v>
      </c>
      <c r="AK730" t="s">
        <v>46</v>
      </c>
      <c r="AL730">
        <v>0.38392857142857201</v>
      </c>
      <c r="AM730" t="s">
        <v>62</v>
      </c>
      <c r="AN730">
        <v>0.51041666666666696</v>
      </c>
      <c r="AO730">
        <f t="shared" si="228"/>
        <v>0</v>
      </c>
      <c r="AP730">
        <f t="shared" si="228"/>
        <v>0</v>
      </c>
      <c r="AQ730">
        <f t="shared" si="228"/>
        <v>0</v>
      </c>
      <c r="AR730">
        <f t="shared" si="228"/>
        <v>0</v>
      </c>
      <c r="AS730">
        <f t="shared" si="228"/>
        <v>0</v>
      </c>
      <c r="AT730">
        <f t="shared" si="228"/>
        <v>0</v>
      </c>
      <c r="AU730">
        <f t="shared" si="228"/>
        <v>0</v>
      </c>
      <c r="AV730">
        <f t="shared" si="228"/>
        <v>0</v>
      </c>
      <c r="AW730">
        <f t="shared" si="228"/>
        <v>0</v>
      </c>
      <c r="AX730">
        <f t="shared" si="228"/>
        <v>0</v>
      </c>
      <c r="AY730" t="str">
        <f t="shared" si="229"/>
        <v>Ferrin</v>
      </c>
      <c r="AZ730">
        <f t="shared" si="229"/>
        <v>0</v>
      </c>
      <c r="BA730">
        <f t="shared" si="229"/>
        <v>0</v>
      </c>
      <c r="BB730" t="str">
        <f t="shared" si="229"/>
        <v>Forster</v>
      </c>
      <c r="BC730">
        <f t="shared" si="229"/>
        <v>0</v>
      </c>
      <c r="BD730">
        <f t="shared" si="229"/>
        <v>0</v>
      </c>
      <c r="BE730">
        <f t="shared" si="229"/>
        <v>0</v>
      </c>
      <c r="BF730">
        <f t="shared" si="229"/>
        <v>0</v>
      </c>
      <c r="BG730">
        <f t="shared" si="229"/>
        <v>0</v>
      </c>
      <c r="BH730">
        <f t="shared" si="229"/>
        <v>0</v>
      </c>
      <c r="BI730">
        <f t="shared" si="230"/>
        <v>0</v>
      </c>
      <c r="BJ730">
        <f t="shared" si="230"/>
        <v>0</v>
      </c>
      <c r="BK730">
        <f t="shared" si="230"/>
        <v>0</v>
      </c>
      <c r="BL730">
        <f t="shared" si="230"/>
        <v>0</v>
      </c>
      <c r="BM730">
        <f t="shared" si="230"/>
        <v>0</v>
      </c>
      <c r="BN730">
        <f t="shared" si="230"/>
        <v>0</v>
      </c>
      <c r="BO730">
        <f t="shared" si="230"/>
        <v>0</v>
      </c>
      <c r="BP730">
        <f t="shared" si="230"/>
        <v>0</v>
      </c>
      <c r="BQ730">
        <f t="shared" si="230"/>
        <v>0</v>
      </c>
      <c r="BR730">
        <f t="shared" si="230"/>
        <v>0</v>
      </c>
      <c r="BS730">
        <f t="shared" si="230"/>
        <v>0</v>
      </c>
    </row>
    <row r="731" spans="2:71" ht="15" customHeight="1" x14ac:dyDescent="0.2">
      <c r="B731">
        <v>11</v>
      </c>
      <c r="C731">
        <v>1</v>
      </c>
      <c r="D731">
        <v>11</v>
      </c>
      <c r="E731" t="s">
        <v>541</v>
      </c>
      <c r="F731" t="s">
        <v>214</v>
      </c>
      <c r="G731" s="5">
        <v>45583</v>
      </c>
      <c r="H731" t="s">
        <v>97</v>
      </c>
      <c r="I731" t="s">
        <v>528</v>
      </c>
      <c r="J731" t="s">
        <v>168</v>
      </c>
      <c r="K731">
        <v>9</v>
      </c>
      <c r="L731" t="s">
        <v>76</v>
      </c>
      <c r="M731" t="s">
        <v>542</v>
      </c>
      <c r="N731" t="s">
        <v>78</v>
      </c>
      <c r="P731">
        <v>123</v>
      </c>
      <c r="Q731">
        <v>5155</v>
      </c>
      <c r="R731" t="s">
        <v>98</v>
      </c>
      <c r="S731" t="s">
        <v>80</v>
      </c>
      <c r="U731" t="s">
        <v>52</v>
      </c>
      <c r="V731" t="s">
        <v>40</v>
      </c>
      <c r="Y731" t="s">
        <v>42</v>
      </c>
      <c r="AA731">
        <v>1</v>
      </c>
      <c r="AB731" t="s">
        <v>34</v>
      </c>
      <c r="AC731" t="s">
        <v>92</v>
      </c>
      <c r="AE731" t="str">
        <f t="shared" si="224"/>
        <v>GriseJackson</v>
      </c>
      <c r="AF731">
        <v>0.5</v>
      </c>
      <c r="AG731">
        <v>0</v>
      </c>
      <c r="AH731">
        <v>0</v>
      </c>
      <c r="AI731">
        <v>1</v>
      </c>
      <c r="AJ731">
        <v>0.5</v>
      </c>
      <c r="AK731" t="s">
        <v>45</v>
      </c>
      <c r="AL731">
        <v>0.59375</v>
      </c>
      <c r="AM731" t="s">
        <v>53</v>
      </c>
      <c r="AN731">
        <v>0.59649122807017496</v>
      </c>
      <c r="AO731" t="str">
        <f t="shared" si="228"/>
        <v>Grise</v>
      </c>
      <c r="AP731">
        <f t="shared" si="228"/>
        <v>0</v>
      </c>
      <c r="AQ731" t="str">
        <f t="shared" si="228"/>
        <v>Jackson</v>
      </c>
      <c r="AR731">
        <f t="shared" si="228"/>
        <v>0</v>
      </c>
      <c r="AS731">
        <f t="shared" si="228"/>
        <v>0</v>
      </c>
      <c r="AT731">
        <f t="shared" si="228"/>
        <v>0</v>
      </c>
      <c r="AU731">
        <f t="shared" si="228"/>
        <v>0</v>
      </c>
      <c r="AV731">
        <f t="shared" si="228"/>
        <v>0</v>
      </c>
      <c r="AW731">
        <f t="shared" si="228"/>
        <v>0</v>
      </c>
      <c r="AX731">
        <f t="shared" si="228"/>
        <v>0</v>
      </c>
      <c r="AY731">
        <f t="shared" si="229"/>
        <v>0</v>
      </c>
      <c r="AZ731">
        <f t="shared" si="229"/>
        <v>0</v>
      </c>
      <c r="BA731">
        <f t="shared" si="229"/>
        <v>0</v>
      </c>
      <c r="BB731">
        <f t="shared" si="229"/>
        <v>0</v>
      </c>
      <c r="BC731">
        <f t="shared" si="229"/>
        <v>0</v>
      </c>
      <c r="BD731">
        <f t="shared" si="229"/>
        <v>0</v>
      </c>
      <c r="BE731">
        <f t="shared" si="229"/>
        <v>0</v>
      </c>
      <c r="BF731">
        <f t="shared" si="229"/>
        <v>0</v>
      </c>
      <c r="BG731">
        <f t="shared" si="229"/>
        <v>0</v>
      </c>
      <c r="BH731">
        <f t="shared" si="229"/>
        <v>0</v>
      </c>
      <c r="BI731">
        <f t="shared" si="230"/>
        <v>0</v>
      </c>
      <c r="BJ731">
        <f t="shared" si="230"/>
        <v>0</v>
      </c>
      <c r="BK731">
        <f t="shared" si="230"/>
        <v>0</v>
      </c>
      <c r="BL731">
        <f t="shared" si="230"/>
        <v>0</v>
      </c>
      <c r="BM731">
        <f t="shared" si="230"/>
        <v>0</v>
      </c>
      <c r="BN731">
        <f t="shared" si="230"/>
        <v>0</v>
      </c>
      <c r="BO731">
        <f t="shared" si="230"/>
        <v>0</v>
      </c>
      <c r="BP731">
        <f t="shared" si="230"/>
        <v>0</v>
      </c>
      <c r="BQ731">
        <f t="shared" si="230"/>
        <v>0</v>
      </c>
      <c r="BR731">
        <f t="shared" si="230"/>
        <v>0</v>
      </c>
      <c r="BS731">
        <f t="shared" si="230"/>
        <v>0</v>
      </c>
    </row>
    <row r="732" spans="2:71" ht="15" customHeight="1" x14ac:dyDescent="0.2">
      <c r="B732">
        <v>11</v>
      </c>
      <c r="C732">
        <v>1</v>
      </c>
      <c r="D732">
        <v>11</v>
      </c>
      <c r="E732" t="s">
        <v>541</v>
      </c>
      <c r="F732" t="s">
        <v>214</v>
      </c>
      <c r="G732" s="5">
        <v>45583</v>
      </c>
      <c r="H732" t="s">
        <v>97</v>
      </c>
      <c r="I732" t="s">
        <v>528</v>
      </c>
      <c r="J732" t="s">
        <v>168</v>
      </c>
      <c r="K732">
        <v>9</v>
      </c>
      <c r="L732" t="s">
        <v>76</v>
      </c>
      <c r="M732" t="s">
        <v>542</v>
      </c>
      <c r="N732" t="s">
        <v>78</v>
      </c>
      <c r="P732">
        <v>123</v>
      </c>
      <c r="Q732">
        <v>5155</v>
      </c>
      <c r="R732" t="s">
        <v>98</v>
      </c>
      <c r="S732" t="s">
        <v>80</v>
      </c>
      <c r="U732" t="s">
        <v>64</v>
      </c>
      <c r="V732" t="s">
        <v>45</v>
      </c>
      <c r="Y732" t="s">
        <v>53</v>
      </c>
      <c r="AA732">
        <v>1</v>
      </c>
      <c r="AB732" t="s">
        <v>34</v>
      </c>
      <c r="AC732" t="s">
        <v>92</v>
      </c>
      <c r="AE732" t="str">
        <f t="shared" si="224"/>
        <v>ConnollyForster</v>
      </c>
      <c r="AF732">
        <v>0.5</v>
      </c>
      <c r="AG732">
        <v>0</v>
      </c>
      <c r="AH732">
        <v>0</v>
      </c>
      <c r="AI732">
        <v>1</v>
      </c>
      <c r="AJ732">
        <v>0.5</v>
      </c>
      <c r="AK732" t="s">
        <v>40</v>
      </c>
      <c r="AL732">
        <v>0.546875</v>
      </c>
      <c r="AM732" t="s">
        <v>42</v>
      </c>
      <c r="AN732">
        <v>0.6171875</v>
      </c>
      <c r="AO732">
        <f t="shared" ref="AO732:AX741" si="231">IF(OR($V732=AO$1,$Y732=AO$1),AO$1,0)</f>
        <v>0</v>
      </c>
      <c r="AP732">
        <f t="shared" si="231"/>
        <v>0</v>
      </c>
      <c r="AQ732">
        <f t="shared" si="231"/>
        <v>0</v>
      </c>
      <c r="AR732">
        <f t="shared" si="231"/>
        <v>0</v>
      </c>
      <c r="AS732">
        <f t="shared" si="231"/>
        <v>0</v>
      </c>
      <c r="AT732" t="str">
        <f t="shared" si="231"/>
        <v>Connolly</v>
      </c>
      <c r="AU732">
        <f t="shared" si="231"/>
        <v>0</v>
      </c>
      <c r="AV732">
        <f t="shared" si="231"/>
        <v>0</v>
      </c>
      <c r="AW732">
        <f t="shared" si="231"/>
        <v>0</v>
      </c>
      <c r="AX732">
        <f t="shared" si="231"/>
        <v>0</v>
      </c>
      <c r="AY732">
        <f t="shared" ref="AY732:BH741" si="232">IF(OR($V732=AY$1,$Y732=AY$1),AY$1,0)</f>
        <v>0</v>
      </c>
      <c r="AZ732">
        <f t="shared" si="232"/>
        <v>0</v>
      </c>
      <c r="BA732">
        <f t="shared" si="232"/>
        <v>0</v>
      </c>
      <c r="BB732" t="str">
        <f t="shared" si="232"/>
        <v>Forster</v>
      </c>
      <c r="BC732">
        <f t="shared" si="232"/>
        <v>0</v>
      </c>
      <c r="BD732">
        <f t="shared" si="232"/>
        <v>0</v>
      </c>
      <c r="BE732">
        <f t="shared" si="232"/>
        <v>0</v>
      </c>
      <c r="BF732">
        <f t="shared" si="232"/>
        <v>0</v>
      </c>
      <c r="BG732">
        <f t="shared" si="232"/>
        <v>0</v>
      </c>
      <c r="BH732">
        <f t="shared" si="232"/>
        <v>0</v>
      </c>
      <c r="BI732">
        <f t="shared" ref="BI732:BS741" si="233">IF(OR($V732=BI$1,$Y732=BI$1),BI$1,0)</f>
        <v>0</v>
      </c>
      <c r="BJ732">
        <f t="shared" si="233"/>
        <v>0</v>
      </c>
      <c r="BK732">
        <f t="shared" si="233"/>
        <v>0</v>
      </c>
      <c r="BL732">
        <f t="shared" si="233"/>
        <v>0</v>
      </c>
      <c r="BM732">
        <f t="shared" si="233"/>
        <v>0</v>
      </c>
      <c r="BN732">
        <f t="shared" si="233"/>
        <v>0</v>
      </c>
      <c r="BO732">
        <f t="shared" si="233"/>
        <v>0</v>
      </c>
      <c r="BP732">
        <f t="shared" si="233"/>
        <v>0</v>
      </c>
      <c r="BQ732">
        <f t="shared" si="233"/>
        <v>0</v>
      </c>
      <c r="BR732">
        <f t="shared" si="233"/>
        <v>0</v>
      </c>
      <c r="BS732">
        <f t="shared" si="233"/>
        <v>0</v>
      </c>
    </row>
    <row r="733" spans="2:71" ht="15" customHeight="1" x14ac:dyDescent="0.2">
      <c r="B733">
        <v>12</v>
      </c>
      <c r="C733">
        <v>2</v>
      </c>
      <c r="D733">
        <v>11</v>
      </c>
      <c r="E733" t="s">
        <v>543</v>
      </c>
      <c r="F733" t="s">
        <v>214</v>
      </c>
      <c r="G733" s="5">
        <v>45583</v>
      </c>
      <c r="H733" t="s">
        <v>97</v>
      </c>
      <c r="I733" t="s">
        <v>528</v>
      </c>
      <c r="J733" t="s">
        <v>168</v>
      </c>
      <c r="K733">
        <v>9</v>
      </c>
      <c r="L733" t="s">
        <v>76</v>
      </c>
      <c r="M733" t="s">
        <v>542</v>
      </c>
      <c r="N733" t="s">
        <v>78</v>
      </c>
      <c r="P733">
        <v>123</v>
      </c>
      <c r="Q733">
        <v>5155</v>
      </c>
      <c r="R733" t="s">
        <v>98</v>
      </c>
      <c r="S733" t="s">
        <v>80</v>
      </c>
      <c r="U733" t="s">
        <v>64</v>
      </c>
      <c r="V733" t="s">
        <v>43</v>
      </c>
      <c r="Y733" t="s">
        <v>49</v>
      </c>
      <c r="AA733">
        <v>1</v>
      </c>
      <c r="AB733" t="s">
        <v>33</v>
      </c>
      <c r="AC733" t="s">
        <v>174</v>
      </c>
      <c r="AE733" t="str">
        <f t="shared" si="224"/>
        <v>PoirierShively</v>
      </c>
      <c r="AF733">
        <v>0</v>
      </c>
      <c r="AG733">
        <v>0</v>
      </c>
      <c r="AH733">
        <v>1</v>
      </c>
      <c r="AI733">
        <v>0</v>
      </c>
      <c r="AJ733">
        <v>0</v>
      </c>
      <c r="AK733" t="s">
        <v>52</v>
      </c>
      <c r="AL733">
        <v>0.34745762711864397</v>
      </c>
      <c r="AM733" t="s">
        <v>44</v>
      </c>
      <c r="AN733">
        <v>0.4296875</v>
      </c>
      <c r="AO733">
        <f t="shared" si="231"/>
        <v>0</v>
      </c>
      <c r="AP733">
        <f t="shared" si="231"/>
        <v>0</v>
      </c>
      <c r="AQ733">
        <f t="shared" si="231"/>
        <v>0</v>
      </c>
      <c r="AR733" t="str">
        <f t="shared" si="231"/>
        <v>Poirier</v>
      </c>
      <c r="AS733">
        <f t="shared" si="231"/>
        <v>0</v>
      </c>
      <c r="AT733">
        <f t="shared" si="231"/>
        <v>0</v>
      </c>
      <c r="AU733">
        <f t="shared" si="231"/>
        <v>0</v>
      </c>
      <c r="AV733">
        <f t="shared" si="231"/>
        <v>0</v>
      </c>
      <c r="AW733">
        <f t="shared" si="231"/>
        <v>0</v>
      </c>
      <c r="AX733" t="str">
        <f t="shared" si="231"/>
        <v>Shively</v>
      </c>
      <c r="AY733">
        <f t="shared" si="232"/>
        <v>0</v>
      </c>
      <c r="AZ733">
        <f t="shared" si="232"/>
        <v>0</v>
      </c>
      <c r="BA733">
        <f t="shared" si="232"/>
        <v>0</v>
      </c>
      <c r="BB733">
        <f t="shared" si="232"/>
        <v>0</v>
      </c>
      <c r="BC733">
        <f t="shared" si="232"/>
        <v>0</v>
      </c>
      <c r="BD733">
        <f t="shared" si="232"/>
        <v>0</v>
      </c>
      <c r="BE733">
        <f t="shared" si="232"/>
        <v>0</v>
      </c>
      <c r="BF733">
        <f t="shared" si="232"/>
        <v>0</v>
      </c>
      <c r="BG733">
        <f t="shared" si="232"/>
        <v>0</v>
      </c>
      <c r="BH733">
        <f t="shared" si="232"/>
        <v>0</v>
      </c>
      <c r="BI733">
        <f t="shared" si="233"/>
        <v>0</v>
      </c>
      <c r="BJ733">
        <f t="shared" si="233"/>
        <v>0</v>
      </c>
      <c r="BK733">
        <f t="shared" si="233"/>
        <v>0</v>
      </c>
      <c r="BL733">
        <f t="shared" si="233"/>
        <v>0</v>
      </c>
      <c r="BM733">
        <f t="shared" si="233"/>
        <v>0</v>
      </c>
      <c r="BN733">
        <f t="shared" si="233"/>
        <v>0</v>
      </c>
      <c r="BO733">
        <f t="shared" si="233"/>
        <v>0</v>
      </c>
      <c r="BP733">
        <f t="shared" si="233"/>
        <v>0</v>
      </c>
      <c r="BQ733">
        <f t="shared" si="233"/>
        <v>0</v>
      </c>
      <c r="BR733">
        <f t="shared" si="233"/>
        <v>0</v>
      </c>
      <c r="BS733">
        <f t="shared" si="233"/>
        <v>0</v>
      </c>
    </row>
    <row r="734" spans="2:71" ht="15" customHeight="1" x14ac:dyDescent="0.2">
      <c r="B734">
        <v>12</v>
      </c>
      <c r="C734">
        <v>2</v>
      </c>
      <c r="D734">
        <v>11</v>
      </c>
      <c r="E734" t="s">
        <v>543</v>
      </c>
      <c r="F734" t="s">
        <v>214</v>
      </c>
      <c r="G734" s="5">
        <v>45583</v>
      </c>
      <c r="H734" t="s">
        <v>97</v>
      </c>
      <c r="I734" t="s">
        <v>528</v>
      </c>
      <c r="J734" t="s">
        <v>168</v>
      </c>
      <c r="K734">
        <v>9</v>
      </c>
      <c r="L734" t="s">
        <v>76</v>
      </c>
      <c r="M734" t="s">
        <v>542</v>
      </c>
      <c r="N734" t="s">
        <v>78</v>
      </c>
      <c r="P734">
        <v>123</v>
      </c>
      <c r="Q734">
        <v>5155</v>
      </c>
      <c r="R734" t="s">
        <v>98</v>
      </c>
      <c r="S734" t="s">
        <v>80</v>
      </c>
      <c r="U734" t="s">
        <v>52</v>
      </c>
      <c r="V734" t="s">
        <v>52</v>
      </c>
      <c r="Y734" t="s">
        <v>44</v>
      </c>
      <c r="AA734">
        <v>1</v>
      </c>
      <c r="AB734" t="s">
        <v>32</v>
      </c>
      <c r="AC734" t="s">
        <v>174</v>
      </c>
      <c r="AE734" t="str">
        <f t="shared" si="224"/>
        <v>ConnorsFlanders</v>
      </c>
      <c r="AF734">
        <v>1</v>
      </c>
      <c r="AG734">
        <v>1</v>
      </c>
      <c r="AH734">
        <v>0</v>
      </c>
      <c r="AI734">
        <v>0</v>
      </c>
      <c r="AJ734">
        <v>1</v>
      </c>
      <c r="AK734" t="s">
        <v>43</v>
      </c>
      <c r="AL734">
        <v>0.48611111111111099</v>
      </c>
      <c r="AM734" t="s">
        <v>49</v>
      </c>
      <c r="AO734">
        <f t="shared" si="231"/>
        <v>0</v>
      </c>
      <c r="AP734">
        <f t="shared" si="231"/>
        <v>0</v>
      </c>
      <c r="AQ734">
        <f t="shared" si="231"/>
        <v>0</v>
      </c>
      <c r="AR734">
        <f t="shared" si="231"/>
        <v>0</v>
      </c>
      <c r="AS734" t="str">
        <f t="shared" si="231"/>
        <v>Flanders</v>
      </c>
      <c r="AT734">
        <f t="shared" si="231"/>
        <v>0</v>
      </c>
      <c r="AU734">
        <f t="shared" si="231"/>
        <v>0</v>
      </c>
      <c r="AV734">
        <f t="shared" si="231"/>
        <v>0</v>
      </c>
      <c r="AW734">
        <f t="shared" si="231"/>
        <v>0</v>
      </c>
      <c r="AX734">
        <f t="shared" si="231"/>
        <v>0</v>
      </c>
      <c r="AY734">
        <f t="shared" si="232"/>
        <v>0</v>
      </c>
      <c r="AZ734">
        <f t="shared" si="232"/>
        <v>0</v>
      </c>
      <c r="BA734" t="str">
        <f t="shared" si="232"/>
        <v>Connors</v>
      </c>
      <c r="BB734">
        <f t="shared" si="232"/>
        <v>0</v>
      </c>
      <c r="BC734">
        <f t="shared" si="232"/>
        <v>0</v>
      </c>
      <c r="BD734">
        <f t="shared" si="232"/>
        <v>0</v>
      </c>
      <c r="BE734">
        <f t="shared" si="232"/>
        <v>0</v>
      </c>
      <c r="BF734">
        <f t="shared" si="232"/>
        <v>0</v>
      </c>
      <c r="BG734">
        <f t="shared" si="232"/>
        <v>0</v>
      </c>
      <c r="BH734">
        <f t="shared" si="232"/>
        <v>0</v>
      </c>
      <c r="BI734">
        <f t="shared" si="233"/>
        <v>0</v>
      </c>
      <c r="BJ734">
        <f t="shared" si="233"/>
        <v>0</v>
      </c>
      <c r="BK734">
        <f t="shared" si="233"/>
        <v>0</v>
      </c>
      <c r="BL734">
        <f t="shared" si="233"/>
        <v>0</v>
      </c>
      <c r="BM734">
        <f t="shared" si="233"/>
        <v>0</v>
      </c>
      <c r="BN734">
        <f t="shared" si="233"/>
        <v>0</v>
      </c>
      <c r="BO734">
        <f t="shared" si="233"/>
        <v>0</v>
      </c>
      <c r="BP734">
        <f t="shared" si="233"/>
        <v>0</v>
      </c>
      <c r="BQ734">
        <f t="shared" si="233"/>
        <v>0</v>
      </c>
      <c r="BR734">
        <f t="shared" si="233"/>
        <v>0</v>
      </c>
      <c r="BS734">
        <f t="shared" si="233"/>
        <v>0</v>
      </c>
    </row>
    <row r="735" spans="2:71" ht="15" customHeight="1" x14ac:dyDescent="0.2">
      <c r="B735">
        <v>13</v>
      </c>
      <c r="C735">
        <v>3</v>
      </c>
      <c r="D735">
        <v>11</v>
      </c>
      <c r="E735" t="s">
        <v>544</v>
      </c>
      <c r="F735" t="s">
        <v>214</v>
      </c>
      <c r="G735" s="5">
        <v>45583</v>
      </c>
      <c r="H735" t="s">
        <v>97</v>
      </c>
      <c r="I735" t="s">
        <v>528</v>
      </c>
      <c r="J735" t="s">
        <v>168</v>
      </c>
      <c r="K735">
        <v>9</v>
      </c>
      <c r="L735" t="s">
        <v>76</v>
      </c>
      <c r="M735" t="s">
        <v>542</v>
      </c>
      <c r="N735" t="s">
        <v>78</v>
      </c>
      <c r="P735">
        <v>123</v>
      </c>
      <c r="Q735">
        <v>5155</v>
      </c>
      <c r="R735" t="s">
        <v>98</v>
      </c>
      <c r="S735" t="s">
        <v>80</v>
      </c>
      <c r="U735" t="s">
        <v>52</v>
      </c>
      <c r="V735" t="s">
        <v>41</v>
      </c>
      <c r="Y735" t="s">
        <v>48</v>
      </c>
      <c r="AA735">
        <v>1</v>
      </c>
      <c r="AB735" t="s">
        <v>32</v>
      </c>
      <c r="AC735" t="s">
        <v>174</v>
      </c>
      <c r="AE735" t="str">
        <f t="shared" si="224"/>
        <v>HiltsLynch</v>
      </c>
      <c r="AF735">
        <v>1</v>
      </c>
      <c r="AG735">
        <v>1</v>
      </c>
      <c r="AH735">
        <v>0</v>
      </c>
      <c r="AI735">
        <v>0</v>
      </c>
      <c r="AJ735">
        <v>1</v>
      </c>
      <c r="AK735" t="s">
        <v>54</v>
      </c>
      <c r="AL735">
        <v>0.37288135593220301</v>
      </c>
      <c r="AM735" t="s">
        <v>58</v>
      </c>
      <c r="AN735">
        <v>0.65476190476190499</v>
      </c>
      <c r="AO735">
        <f t="shared" si="231"/>
        <v>0</v>
      </c>
      <c r="AP735" t="str">
        <f t="shared" si="231"/>
        <v>Hilts</v>
      </c>
      <c r="AQ735">
        <f t="shared" si="231"/>
        <v>0</v>
      </c>
      <c r="AR735">
        <f t="shared" si="231"/>
        <v>0</v>
      </c>
      <c r="AS735">
        <f t="shared" si="231"/>
        <v>0</v>
      </c>
      <c r="AT735">
        <f t="shared" si="231"/>
        <v>0</v>
      </c>
      <c r="AU735">
        <f t="shared" si="231"/>
        <v>0</v>
      </c>
      <c r="AV735">
        <f t="shared" si="231"/>
        <v>0</v>
      </c>
      <c r="AW735" t="str">
        <f t="shared" si="231"/>
        <v>Lynch</v>
      </c>
      <c r="AX735">
        <f t="shared" si="231"/>
        <v>0</v>
      </c>
      <c r="AY735">
        <f t="shared" si="232"/>
        <v>0</v>
      </c>
      <c r="AZ735">
        <f t="shared" si="232"/>
        <v>0</v>
      </c>
      <c r="BA735">
        <f t="shared" si="232"/>
        <v>0</v>
      </c>
      <c r="BB735">
        <f t="shared" si="232"/>
        <v>0</v>
      </c>
      <c r="BC735">
        <f t="shared" si="232"/>
        <v>0</v>
      </c>
      <c r="BD735">
        <f t="shared" si="232"/>
        <v>0</v>
      </c>
      <c r="BE735">
        <f t="shared" si="232"/>
        <v>0</v>
      </c>
      <c r="BF735">
        <f t="shared" si="232"/>
        <v>0</v>
      </c>
      <c r="BG735">
        <f t="shared" si="232"/>
        <v>0</v>
      </c>
      <c r="BH735">
        <f t="shared" si="232"/>
        <v>0</v>
      </c>
      <c r="BI735">
        <f t="shared" si="233"/>
        <v>0</v>
      </c>
      <c r="BJ735">
        <f t="shared" si="233"/>
        <v>0</v>
      </c>
      <c r="BK735">
        <f t="shared" si="233"/>
        <v>0</v>
      </c>
      <c r="BL735">
        <f t="shared" si="233"/>
        <v>0</v>
      </c>
      <c r="BM735">
        <f t="shared" si="233"/>
        <v>0</v>
      </c>
      <c r="BN735">
        <f t="shared" si="233"/>
        <v>0</v>
      </c>
      <c r="BO735">
        <f t="shared" si="233"/>
        <v>0</v>
      </c>
      <c r="BP735">
        <f t="shared" si="233"/>
        <v>0</v>
      </c>
      <c r="BQ735">
        <f t="shared" si="233"/>
        <v>0</v>
      </c>
      <c r="BR735">
        <f t="shared" si="233"/>
        <v>0</v>
      </c>
      <c r="BS735">
        <f t="shared" si="233"/>
        <v>0</v>
      </c>
    </row>
    <row r="736" spans="2:71" ht="15" customHeight="1" x14ac:dyDescent="0.2">
      <c r="B736">
        <v>13</v>
      </c>
      <c r="C736">
        <v>3</v>
      </c>
      <c r="D736">
        <v>11</v>
      </c>
      <c r="E736" t="s">
        <v>544</v>
      </c>
      <c r="F736" t="s">
        <v>214</v>
      </c>
      <c r="G736" s="5">
        <v>45583</v>
      </c>
      <c r="H736" t="s">
        <v>97</v>
      </c>
      <c r="I736" t="s">
        <v>528</v>
      </c>
      <c r="J736" t="s">
        <v>168</v>
      </c>
      <c r="K736">
        <v>9</v>
      </c>
      <c r="L736" t="s">
        <v>76</v>
      </c>
      <c r="M736" t="s">
        <v>542</v>
      </c>
      <c r="N736" t="s">
        <v>78</v>
      </c>
      <c r="P736">
        <v>123</v>
      </c>
      <c r="Q736">
        <v>5155</v>
      </c>
      <c r="R736" t="s">
        <v>98</v>
      </c>
      <c r="S736" t="s">
        <v>80</v>
      </c>
      <c r="U736" t="s">
        <v>64</v>
      </c>
      <c r="V736" t="s">
        <v>54</v>
      </c>
      <c r="Y736" t="s">
        <v>58</v>
      </c>
      <c r="AA736">
        <v>1</v>
      </c>
      <c r="AB736" t="s">
        <v>33</v>
      </c>
      <c r="AC736" t="s">
        <v>174</v>
      </c>
      <c r="AE736" t="str">
        <f t="shared" si="224"/>
        <v>FoganGray</v>
      </c>
      <c r="AF736">
        <v>0</v>
      </c>
      <c r="AG736">
        <v>0</v>
      </c>
      <c r="AH736">
        <v>1</v>
      </c>
      <c r="AI736">
        <v>0</v>
      </c>
      <c r="AJ736">
        <v>0</v>
      </c>
      <c r="AK736" t="s">
        <v>41</v>
      </c>
      <c r="AL736">
        <v>0.47321428571428598</v>
      </c>
      <c r="AM736" t="s">
        <v>48</v>
      </c>
      <c r="AN736">
        <v>0.5546875</v>
      </c>
      <c r="AO736">
        <f t="shared" si="231"/>
        <v>0</v>
      </c>
      <c r="AP736">
        <f t="shared" si="231"/>
        <v>0</v>
      </c>
      <c r="AQ736">
        <f t="shared" si="231"/>
        <v>0</v>
      </c>
      <c r="AR736">
        <f t="shared" si="231"/>
        <v>0</v>
      </c>
      <c r="AS736">
        <f t="shared" si="231"/>
        <v>0</v>
      </c>
      <c r="AT736">
        <f t="shared" si="231"/>
        <v>0</v>
      </c>
      <c r="AU736">
        <f t="shared" si="231"/>
        <v>0</v>
      </c>
      <c r="AV736">
        <f t="shared" si="231"/>
        <v>0</v>
      </c>
      <c r="AW736">
        <f t="shared" si="231"/>
        <v>0</v>
      </c>
      <c r="AX736">
        <f t="shared" si="231"/>
        <v>0</v>
      </c>
      <c r="AY736">
        <f t="shared" si="232"/>
        <v>0</v>
      </c>
      <c r="AZ736">
        <f t="shared" si="232"/>
        <v>0</v>
      </c>
      <c r="BA736">
        <f t="shared" si="232"/>
        <v>0</v>
      </c>
      <c r="BB736">
        <f t="shared" si="232"/>
        <v>0</v>
      </c>
      <c r="BC736" t="str">
        <f t="shared" si="232"/>
        <v>Fogan</v>
      </c>
      <c r="BD736">
        <f t="shared" si="232"/>
        <v>0</v>
      </c>
      <c r="BE736">
        <f t="shared" si="232"/>
        <v>0</v>
      </c>
      <c r="BF736">
        <f t="shared" si="232"/>
        <v>0</v>
      </c>
      <c r="BG736" t="str">
        <f t="shared" si="232"/>
        <v>Gray</v>
      </c>
      <c r="BH736">
        <f t="shared" si="232"/>
        <v>0</v>
      </c>
      <c r="BI736">
        <f t="shared" si="233"/>
        <v>0</v>
      </c>
      <c r="BJ736">
        <f t="shared" si="233"/>
        <v>0</v>
      </c>
      <c r="BK736">
        <f t="shared" si="233"/>
        <v>0</v>
      </c>
      <c r="BL736">
        <f t="shared" si="233"/>
        <v>0</v>
      </c>
      <c r="BM736">
        <f t="shared" si="233"/>
        <v>0</v>
      </c>
      <c r="BN736">
        <f t="shared" si="233"/>
        <v>0</v>
      </c>
      <c r="BO736">
        <f t="shared" si="233"/>
        <v>0</v>
      </c>
      <c r="BP736">
        <f t="shared" si="233"/>
        <v>0</v>
      </c>
      <c r="BQ736">
        <f t="shared" si="233"/>
        <v>0</v>
      </c>
      <c r="BR736">
        <f t="shared" si="233"/>
        <v>0</v>
      </c>
      <c r="BS736">
        <f t="shared" si="233"/>
        <v>0</v>
      </c>
    </row>
    <row r="737" spans="2:71" ht="15" customHeight="1" x14ac:dyDescent="0.2">
      <c r="B737">
        <v>14</v>
      </c>
      <c r="C737">
        <v>4</v>
      </c>
      <c r="D737">
        <v>11</v>
      </c>
      <c r="E737" t="s">
        <v>545</v>
      </c>
      <c r="F737" t="s">
        <v>214</v>
      </c>
      <c r="G737" s="5">
        <v>45583</v>
      </c>
      <c r="H737" t="s">
        <v>97</v>
      </c>
      <c r="I737" t="s">
        <v>528</v>
      </c>
      <c r="J737" t="s">
        <v>168</v>
      </c>
      <c r="K737">
        <v>9</v>
      </c>
      <c r="L737" t="s">
        <v>76</v>
      </c>
      <c r="M737" t="s">
        <v>542</v>
      </c>
      <c r="N737" t="s">
        <v>78</v>
      </c>
      <c r="P737">
        <v>123</v>
      </c>
      <c r="Q737">
        <v>5155</v>
      </c>
      <c r="R737" t="s">
        <v>98</v>
      </c>
      <c r="S737" t="s">
        <v>80</v>
      </c>
      <c r="U737" t="s">
        <v>64</v>
      </c>
      <c r="V737" t="s">
        <v>64</v>
      </c>
      <c r="Y737" t="s">
        <v>50</v>
      </c>
      <c r="AA737">
        <v>1</v>
      </c>
      <c r="AB737" t="s">
        <v>32</v>
      </c>
      <c r="AC737" t="s">
        <v>371</v>
      </c>
      <c r="AE737" t="str">
        <f t="shared" si="224"/>
        <v>DelnekyFerrin</v>
      </c>
      <c r="AF737">
        <v>1</v>
      </c>
      <c r="AG737">
        <v>1</v>
      </c>
      <c r="AH737">
        <v>0</v>
      </c>
      <c r="AI737">
        <v>0</v>
      </c>
      <c r="AJ737">
        <v>1</v>
      </c>
      <c r="AK737" t="s">
        <v>63</v>
      </c>
      <c r="AL737">
        <v>0.46551724137931</v>
      </c>
      <c r="AM737" t="s">
        <v>46</v>
      </c>
      <c r="AN737">
        <v>0.38392857142857201</v>
      </c>
      <c r="AO737">
        <f t="shared" si="231"/>
        <v>0</v>
      </c>
      <c r="AP737">
        <f t="shared" si="231"/>
        <v>0</v>
      </c>
      <c r="AQ737">
        <f t="shared" si="231"/>
        <v>0</v>
      </c>
      <c r="AR737">
        <f t="shared" si="231"/>
        <v>0</v>
      </c>
      <c r="AS737">
        <f t="shared" si="231"/>
        <v>0</v>
      </c>
      <c r="AT737">
        <f t="shared" si="231"/>
        <v>0</v>
      </c>
      <c r="AU737">
        <f t="shared" si="231"/>
        <v>0</v>
      </c>
      <c r="AV737">
        <f t="shared" si="231"/>
        <v>0</v>
      </c>
      <c r="AW737">
        <f t="shared" si="231"/>
        <v>0</v>
      </c>
      <c r="AX737">
        <f t="shared" si="231"/>
        <v>0</v>
      </c>
      <c r="AY737" t="str">
        <f t="shared" si="232"/>
        <v>Ferrin</v>
      </c>
      <c r="AZ737">
        <f t="shared" si="232"/>
        <v>0</v>
      </c>
      <c r="BA737">
        <f t="shared" si="232"/>
        <v>0</v>
      </c>
      <c r="BB737">
        <f t="shared" si="232"/>
        <v>0</v>
      </c>
      <c r="BC737">
        <f t="shared" si="232"/>
        <v>0</v>
      </c>
      <c r="BD737">
        <f t="shared" si="232"/>
        <v>0</v>
      </c>
      <c r="BE737">
        <f t="shared" si="232"/>
        <v>0</v>
      </c>
      <c r="BF737">
        <f t="shared" si="232"/>
        <v>0</v>
      </c>
      <c r="BG737">
        <f t="shared" si="232"/>
        <v>0</v>
      </c>
      <c r="BH737">
        <f t="shared" si="232"/>
        <v>0</v>
      </c>
      <c r="BI737">
        <f t="shared" si="233"/>
        <v>0</v>
      </c>
      <c r="BJ737">
        <f t="shared" si="233"/>
        <v>0</v>
      </c>
      <c r="BK737">
        <f t="shared" si="233"/>
        <v>0</v>
      </c>
      <c r="BL737">
        <f t="shared" si="233"/>
        <v>0</v>
      </c>
      <c r="BM737" t="str">
        <f t="shared" si="233"/>
        <v>Delneky</v>
      </c>
      <c r="BN737">
        <f t="shared" si="233"/>
        <v>0</v>
      </c>
      <c r="BO737">
        <f t="shared" si="233"/>
        <v>0</v>
      </c>
      <c r="BP737">
        <f t="shared" si="233"/>
        <v>0</v>
      </c>
      <c r="BQ737">
        <f t="shared" si="233"/>
        <v>0</v>
      </c>
      <c r="BR737">
        <f t="shared" si="233"/>
        <v>0</v>
      </c>
      <c r="BS737">
        <f t="shared" si="233"/>
        <v>0</v>
      </c>
    </row>
    <row r="738" spans="2:71" ht="15" customHeight="1" x14ac:dyDescent="0.2">
      <c r="B738">
        <v>14</v>
      </c>
      <c r="C738">
        <v>4</v>
      </c>
      <c r="D738">
        <v>11</v>
      </c>
      <c r="E738" t="s">
        <v>545</v>
      </c>
      <c r="F738" t="s">
        <v>214</v>
      </c>
      <c r="G738" s="5">
        <v>45583</v>
      </c>
      <c r="H738" t="s">
        <v>97</v>
      </c>
      <c r="I738" t="s">
        <v>528</v>
      </c>
      <c r="J738" t="s">
        <v>168</v>
      </c>
      <c r="K738">
        <v>9</v>
      </c>
      <c r="L738" t="s">
        <v>76</v>
      </c>
      <c r="M738" t="s">
        <v>542</v>
      </c>
      <c r="N738" t="s">
        <v>78</v>
      </c>
      <c r="P738">
        <v>123</v>
      </c>
      <c r="Q738">
        <v>5155</v>
      </c>
      <c r="R738" t="s">
        <v>98</v>
      </c>
      <c r="S738" t="s">
        <v>80</v>
      </c>
      <c r="U738" t="s">
        <v>52</v>
      </c>
      <c r="V738" t="s">
        <v>63</v>
      </c>
      <c r="Y738" t="s">
        <v>46</v>
      </c>
      <c r="AA738">
        <v>1</v>
      </c>
      <c r="AB738" t="s">
        <v>33</v>
      </c>
      <c r="AC738" t="s">
        <v>530</v>
      </c>
      <c r="AE738" t="str">
        <f t="shared" si="224"/>
        <v>DelaneyMangold</v>
      </c>
      <c r="AF738">
        <v>0</v>
      </c>
      <c r="AG738">
        <v>0</v>
      </c>
      <c r="AH738">
        <v>1</v>
      </c>
      <c r="AI738">
        <v>0</v>
      </c>
      <c r="AJ738">
        <v>0</v>
      </c>
      <c r="AK738" t="s">
        <v>64</v>
      </c>
      <c r="AL738">
        <v>0.65909090909090895</v>
      </c>
      <c r="AM738" t="s">
        <v>50</v>
      </c>
      <c r="AN738">
        <v>0.59523809523809501</v>
      </c>
      <c r="AO738">
        <f t="shared" si="231"/>
        <v>0</v>
      </c>
      <c r="AP738">
        <f t="shared" si="231"/>
        <v>0</v>
      </c>
      <c r="AQ738">
        <f t="shared" si="231"/>
        <v>0</v>
      </c>
      <c r="AR738">
        <f t="shared" si="231"/>
        <v>0</v>
      </c>
      <c r="AS738">
        <f t="shared" si="231"/>
        <v>0</v>
      </c>
      <c r="AT738">
        <f t="shared" si="231"/>
        <v>0</v>
      </c>
      <c r="AU738" t="str">
        <f t="shared" si="231"/>
        <v>Mangold</v>
      </c>
      <c r="AV738">
        <f t="shared" si="231"/>
        <v>0</v>
      </c>
      <c r="AW738">
        <f t="shared" si="231"/>
        <v>0</v>
      </c>
      <c r="AX738">
        <f t="shared" si="231"/>
        <v>0</v>
      </c>
      <c r="AY738">
        <f t="shared" si="232"/>
        <v>0</v>
      </c>
      <c r="AZ738">
        <f t="shared" si="232"/>
        <v>0</v>
      </c>
      <c r="BA738">
        <f t="shared" si="232"/>
        <v>0</v>
      </c>
      <c r="BB738">
        <f t="shared" si="232"/>
        <v>0</v>
      </c>
      <c r="BC738">
        <f t="shared" si="232"/>
        <v>0</v>
      </c>
      <c r="BD738">
        <f t="shared" si="232"/>
        <v>0</v>
      </c>
      <c r="BE738">
        <f t="shared" si="232"/>
        <v>0</v>
      </c>
      <c r="BF738">
        <f t="shared" si="232"/>
        <v>0</v>
      </c>
      <c r="BG738">
        <f t="shared" si="232"/>
        <v>0</v>
      </c>
      <c r="BH738">
        <f t="shared" si="232"/>
        <v>0</v>
      </c>
      <c r="BI738">
        <f t="shared" si="233"/>
        <v>0</v>
      </c>
      <c r="BJ738">
        <f t="shared" si="233"/>
        <v>0</v>
      </c>
      <c r="BK738">
        <f t="shared" si="233"/>
        <v>0</v>
      </c>
      <c r="BL738" t="str">
        <f t="shared" si="233"/>
        <v>Delaney</v>
      </c>
      <c r="BM738">
        <f t="shared" si="233"/>
        <v>0</v>
      </c>
      <c r="BN738">
        <f t="shared" si="233"/>
        <v>0</v>
      </c>
      <c r="BO738">
        <f t="shared" si="233"/>
        <v>0</v>
      </c>
      <c r="BP738">
        <f t="shared" si="233"/>
        <v>0</v>
      </c>
      <c r="BQ738">
        <f t="shared" si="233"/>
        <v>0</v>
      </c>
      <c r="BR738">
        <f t="shared" si="233"/>
        <v>0</v>
      </c>
      <c r="BS738">
        <f t="shared" si="233"/>
        <v>0</v>
      </c>
    </row>
    <row r="739" spans="2:71" ht="15" customHeight="1" x14ac:dyDescent="0.2">
      <c r="B739">
        <v>15</v>
      </c>
      <c r="C739">
        <v>5</v>
      </c>
      <c r="D739">
        <v>11</v>
      </c>
      <c r="E739" t="s">
        <v>546</v>
      </c>
      <c r="F739" t="s">
        <v>214</v>
      </c>
      <c r="G739" s="5">
        <v>45583</v>
      </c>
      <c r="H739" t="s">
        <v>97</v>
      </c>
      <c r="I739" t="s">
        <v>528</v>
      </c>
      <c r="J739" t="s">
        <v>168</v>
      </c>
      <c r="K739">
        <v>9</v>
      </c>
      <c r="L739" t="s">
        <v>76</v>
      </c>
      <c r="M739" t="s">
        <v>542</v>
      </c>
      <c r="N739" t="s">
        <v>78</v>
      </c>
      <c r="P739">
        <v>123</v>
      </c>
      <c r="Q739">
        <v>5155</v>
      </c>
      <c r="R739" t="s">
        <v>98</v>
      </c>
      <c r="S739" t="s">
        <v>80</v>
      </c>
      <c r="U739" t="s">
        <v>52</v>
      </c>
      <c r="V739" t="s">
        <v>55</v>
      </c>
      <c r="Y739" t="s">
        <v>62</v>
      </c>
      <c r="AA739">
        <v>1</v>
      </c>
      <c r="AB739" t="s">
        <v>32</v>
      </c>
      <c r="AC739" t="s">
        <v>174</v>
      </c>
      <c r="AE739" t="str">
        <f t="shared" si="224"/>
        <v>ColeWelker</v>
      </c>
      <c r="AF739">
        <v>1</v>
      </c>
      <c r="AG739">
        <v>1</v>
      </c>
      <c r="AH739">
        <v>0</v>
      </c>
      <c r="AI739">
        <v>0</v>
      </c>
      <c r="AJ739">
        <v>1</v>
      </c>
      <c r="AK739" t="s">
        <v>59</v>
      </c>
      <c r="AL739">
        <v>0.52777777777777801</v>
      </c>
      <c r="AM739" t="s">
        <v>60</v>
      </c>
      <c r="AN739">
        <v>0.5</v>
      </c>
      <c r="AO739">
        <f t="shared" si="231"/>
        <v>0</v>
      </c>
      <c r="AP739">
        <f t="shared" si="231"/>
        <v>0</v>
      </c>
      <c r="AQ739">
        <f t="shared" si="231"/>
        <v>0</v>
      </c>
      <c r="AR739">
        <f t="shared" si="231"/>
        <v>0</v>
      </c>
      <c r="AS739">
        <f t="shared" si="231"/>
        <v>0</v>
      </c>
      <c r="AT739">
        <f t="shared" si="231"/>
        <v>0</v>
      </c>
      <c r="AU739">
        <f t="shared" si="231"/>
        <v>0</v>
      </c>
      <c r="AV739">
        <f t="shared" si="231"/>
        <v>0</v>
      </c>
      <c r="AW739">
        <f t="shared" si="231"/>
        <v>0</v>
      </c>
      <c r="AX739">
        <f t="shared" si="231"/>
        <v>0</v>
      </c>
      <c r="AY739">
        <f t="shared" si="232"/>
        <v>0</v>
      </c>
      <c r="AZ739">
        <f t="shared" si="232"/>
        <v>0</v>
      </c>
      <c r="BA739">
        <f t="shared" si="232"/>
        <v>0</v>
      </c>
      <c r="BB739">
        <f t="shared" si="232"/>
        <v>0</v>
      </c>
      <c r="BC739">
        <f t="shared" si="232"/>
        <v>0</v>
      </c>
      <c r="BD739" t="str">
        <f t="shared" si="232"/>
        <v>Cole</v>
      </c>
      <c r="BE739">
        <f t="shared" si="232"/>
        <v>0</v>
      </c>
      <c r="BF739">
        <f t="shared" si="232"/>
        <v>0</v>
      </c>
      <c r="BG739">
        <f t="shared" si="232"/>
        <v>0</v>
      </c>
      <c r="BH739">
        <f t="shared" si="232"/>
        <v>0</v>
      </c>
      <c r="BI739">
        <f t="shared" si="233"/>
        <v>0</v>
      </c>
      <c r="BJ739">
        <f t="shared" si="233"/>
        <v>0</v>
      </c>
      <c r="BK739" t="str">
        <f t="shared" si="233"/>
        <v>Welker</v>
      </c>
      <c r="BL739">
        <f t="shared" si="233"/>
        <v>0</v>
      </c>
      <c r="BM739">
        <f t="shared" si="233"/>
        <v>0</v>
      </c>
      <c r="BN739">
        <f t="shared" si="233"/>
        <v>0</v>
      </c>
      <c r="BO739">
        <f t="shared" si="233"/>
        <v>0</v>
      </c>
      <c r="BP739">
        <f t="shared" si="233"/>
        <v>0</v>
      </c>
      <c r="BQ739">
        <f t="shared" si="233"/>
        <v>0</v>
      </c>
      <c r="BR739">
        <f t="shared" si="233"/>
        <v>0</v>
      </c>
      <c r="BS739">
        <f t="shared" si="233"/>
        <v>0</v>
      </c>
    </row>
    <row r="740" spans="2:71" ht="15" customHeight="1" x14ac:dyDescent="0.2">
      <c r="B740">
        <v>15</v>
      </c>
      <c r="C740">
        <v>5</v>
      </c>
      <c r="D740">
        <v>11</v>
      </c>
      <c r="E740" t="s">
        <v>546</v>
      </c>
      <c r="F740" t="s">
        <v>214</v>
      </c>
      <c r="G740" s="5">
        <v>45583</v>
      </c>
      <c r="H740" t="s">
        <v>97</v>
      </c>
      <c r="I740" t="s">
        <v>528</v>
      </c>
      <c r="J740" t="s">
        <v>168</v>
      </c>
      <c r="K740">
        <v>9</v>
      </c>
      <c r="L740" t="s">
        <v>76</v>
      </c>
      <c r="M740" t="s">
        <v>542</v>
      </c>
      <c r="N740" t="s">
        <v>78</v>
      </c>
      <c r="P740">
        <v>123</v>
      </c>
      <c r="Q740">
        <v>5155</v>
      </c>
      <c r="R740" t="s">
        <v>98</v>
      </c>
      <c r="S740" t="s">
        <v>80</v>
      </c>
      <c r="U740" t="s">
        <v>64</v>
      </c>
      <c r="V740" t="s">
        <v>59</v>
      </c>
      <c r="Y740" t="s">
        <v>60</v>
      </c>
      <c r="AA740">
        <v>1</v>
      </c>
      <c r="AB740" t="s">
        <v>33</v>
      </c>
      <c r="AC740" t="s">
        <v>174</v>
      </c>
      <c r="AE740" t="str">
        <f t="shared" si="224"/>
        <v>NoratZimmer</v>
      </c>
      <c r="AF740">
        <v>0</v>
      </c>
      <c r="AG740">
        <v>0</v>
      </c>
      <c r="AH740">
        <v>1</v>
      </c>
      <c r="AI740">
        <v>0</v>
      </c>
      <c r="AJ740">
        <v>0</v>
      </c>
      <c r="AK740" t="s">
        <v>55</v>
      </c>
      <c r="AL740">
        <v>0.44067796610169502</v>
      </c>
      <c r="AM740" t="s">
        <v>62</v>
      </c>
      <c r="AN740">
        <v>0.51041666666666696</v>
      </c>
      <c r="AO740">
        <f t="shared" si="231"/>
        <v>0</v>
      </c>
      <c r="AP740">
        <f t="shared" si="231"/>
        <v>0</v>
      </c>
      <c r="AQ740">
        <f t="shared" si="231"/>
        <v>0</v>
      </c>
      <c r="AR740">
        <f t="shared" si="231"/>
        <v>0</v>
      </c>
      <c r="AS740">
        <f t="shared" si="231"/>
        <v>0</v>
      </c>
      <c r="AT740">
        <f t="shared" si="231"/>
        <v>0</v>
      </c>
      <c r="AU740">
        <f t="shared" si="231"/>
        <v>0</v>
      </c>
      <c r="AV740">
        <f t="shared" si="231"/>
        <v>0</v>
      </c>
      <c r="AW740">
        <f t="shared" si="231"/>
        <v>0</v>
      </c>
      <c r="AX740">
        <f t="shared" si="231"/>
        <v>0</v>
      </c>
      <c r="AY740">
        <f t="shared" si="232"/>
        <v>0</v>
      </c>
      <c r="AZ740">
        <f t="shared" si="232"/>
        <v>0</v>
      </c>
      <c r="BA740">
        <f t="shared" si="232"/>
        <v>0</v>
      </c>
      <c r="BB740">
        <f t="shared" si="232"/>
        <v>0</v>
      </c>
      <c r="BC740">
        <f t="shared" si="232"/>
        <v>0</v>
      </c>
      <c r="BD740">
        <f t="shared" si="232"/>
        <v>0</v>
      </c>
      <c r="BE740">
        <f t="shared" si="232"/>
        <v>0</v>
      </c>
      <c r="BF740">
        <f t="shared" si="232"/>
        <v>0</v>
      </c>
      <c r="BG740">
        <f t="shared" si="232"/>
        <v>0</v>
      </c>
      <c r="BH740" t="str">
        <f t="shared" si="232"/>
        <v>Norat</v>
      </c>
      <c r="BI740" t="str">
        <f t="shared" si="233"/>
        <v>Zimmer</v>
      </c>
      <c r="BJ740">
        <f t="shared" si="233"/>
        <v>0</v>
      </c>
      <c r="BK740">
        <f t="shared" si="233"/>
        <v>0</v>
      </c>
      <c r="BL740">
        <f t="shared" si="233"/>
        <v>0</v>
      </c>
      <c r="BM740">
        <f t="shared" si="233"/>
        <v>0</v>
      </c>
      <c r="BN740">
        <f t="shared" si="233"/>
        <v>0</v>
      </c>
      <c r="BO740">
        <f t="shared" si="233"/>
        <v>0</v>
      </c>
      <c r="BP740">
        <f t="shared" si="233"/>
        <v>0</v>
      </c>
      <c r="BQ740">
        <f t="shared" si="233"/>
        <v>0</v>
      </c>
      <c r="BR740">
        <f t="shared" si="233"/>
        <v>0</v>
      </c>
      <c r="BS740">
        <f t="shared" si="233"/>
        <v>0</v>
      </c>
    </row>
    <row r="741" spans="2:71" ht="15" customHeight="1" x14ac:dyDescent="0.2">
      <c r="B741">
        <v>16</v>
      </c>
      <c r="C741">
        <v>1</v>
      </c>
      <c r="D741">
        <v>11</v>
      </c>
      <c r="E741" t="s">
        <v>547</v>
      </c>
      <c r="F741" t="s">
        <v>214</v>
      </c>
      <c r="G741" s="5">
        <v>45583</v>
      </c>
      <c r="H741" t="s">
        <v>97</v>
      </c>
      <c r="I741" t="s">
        <v>528</v>
      </c>
      <c r="J741" t="s">
        <v>168</v>
      </c>
      <c r="K741">
        <v>9</v>
      </c>
      <c r="L741" t="s">
        <v>90</v>
      </c>
      <c r="M741" t="s">
        <v>542</v>
      </c>
      <c r="N741" t="s">
        <v>78</v>
      </c>
      <c r="P741">
        <v>123</v>
      </c>
      <c r="Q741">
        <v>5155</v>
      </c>
      <c r="R741" t="s">
        <v>91</v>
      </c>
      <c r="S741" t="s">
        <v>80</v>
      </c>
      <c r="U741" t="s">
        <v>52</v>
      </c>
      <c r="V741" t="s">
        <v>40</v>
      </c>
      <c r="Y741" t="s">
        <v>42</v>
      </c>
      <c r="AA741">
        <v>1</v>
      </c>
      <c r="AB741" t="s">
        <v>33</v>
      </c>
      <c r="AC741" t="s">
        <v>174</v>
      </c>
      <c r="AE741" t="str">
        <f t="shared" si="224"/>
        <v>GriseJackson</v>
      </c>
      <c r="AF741">
        <v>0</v>
      </c>
      <c r="AG741">
        <v>0</v>
      </c>
      <c r="AH741">
        <v>1</v>
      </c>
      <c r="AI741">
        <v>0</v>
      </c>
      <c r="AJ741">
        <v>0</v>
      </c>
      <c r="AK741" t="s">
        <v>45</v>
      </c>
      <c r="AL741">
        <v>0.59375</v>
      </c>
      <c r="AM741" t="s">
        <v>53</v>
      </c>
      <c r="AN741">
        <v>0.59649122807017496</v>
      </c>
      <c r="AO741" t="str">
        <f t="shared" si="231"/>
        <v>Grise</v>
      </c>
      <c r="AP741">
        <f t="shared" si="231"/>
        <v>0</v>
      </c>
      <c r="AQ741" t="str">
        <f t="shared" si="231"/>
        <v>Jackson</v>
      </c>
      <c r="AR741">
        <f t="shared" si="231"/>
        <v>0</v>
      </c>
      <c r="AS741">
        <f t="shared" si="231"/>
        <v>0</v>
      </c>
      <c r="AT741">
        <f t="shared" si="231"/>
        <v>0</v>
      </c>
      <c r="AU741">
        <f t="shared" si="231"/>
        <v>0</v>
      </c>
      <c r="AV741">
        <f t="shared" si="231"/>
        <v>0</v>
      </c>
      <c r="AW741">
        <f t="shared" si="231"/>
        <v>0</v>
      </c>
      <c r="AX741">
        <f t="shared" si="231"/>
        <v>0</v>
      </c>
      <c r="AY741">
        <f t="shared" si="232"/>
        <v>0</v>
      </c>
      <c r="AZ741">
        <f t="shared" si="232"/>
        <v>0</v>
      </c>
      <c r="BA741">
        <f t="shared" si="232"/>
        <v>0</v>
      </c>
      <c r="BB741">
        <f t="shared" si="232"/>
        <v>0</v>
      </c>
      <c r="BC741">
        <f t="shared" si="232"/>
        <v>0</v>
      </c>
      <c r="BD741">
        <f t="shared" si="232"/>
        <v>0</v>
      </c>
      <c r="BE741">
        <f t="shared" si="232"/>
        <v>0</v>
      </c>
      <c r="BF741">
        <f t="shared" si="232"/>
        <v>0</v>
      </c>
      <c r="BG741">
        <f t="shared" si="232"/>
        <v>0</v>
      </c>
      <c r="BH741">
        <f t="shared" si="232"/>
        <v>0</v>
      </c>
      <c r="BI741">
        <f t="shared" si="233"/>
        <v>0</v>
      </c>
      <c r="BJ741">
        <f t="shared" si="233"/>
        <v>0</v>
      </c>
      <c r="BK741">
        <f t="shared" si="233"/>
        <v>0</v>
      </c>
      <c r="BL741">
        <f t="shared" si="233"/>
        <v>0</v>
      </c>
      <c r="BM741">
        <f t="shared" si="233"/>
        <v>0</v>
      </c>
      <c r="BN741">
        <f t="shared" si="233"/>
        <v>0</v>
      </c>
      <c r="BO741">
        <f t="shared" si="233"/>
        <v>0</v>
      </c>
      <c r="BP741">
        <f t="shared" si="233"/>
        <v>0</v>
      </c>
      <c r="BQ741">
        <f t="shared" si="233"/>
        <v>0</v>
      </c>
      <c r="BR741">
        <f t="shared" si="233"/>
        <v>0</v>
      </c>
      <c r="BS741">
        <f t="shared" si="233"/>
        <v>0</v>
      </c>
    </row>
    <row r="742" spans="2:71" ht="15" customHeight="1" x14ac:dyDescent="0.2">
      <c r="B742">
        <v>16</v>
      </c>
      <c r="C742">
        <v>1</v>
      </c>
      <c r="D742">
        <v>11</v>
      </c>
      <c r="E742" t="s">
        <v>547</v>
      </c>
      <c r="F742" t="s">
        <v>214</v>
      </c>
      <c r="G742" s="5">
        <v>45583</v>
      </c>
      <c r="H742" t="s">
        <v>97</v>
      </c>
      <c r="I742" t="s">
        <v>528</v>
      </c>
      <c r="J742" t="s">
        <v>168</v>
      </c>
      <c r="K742">
        <v>9</v>
      </c>
      <c r="L742" t="s">
        <v>90</v>
      </c>
      <c r="M742" t="s">
        <v>542</v>
      </c>
      <c r="N742" t="s">
        <v>78</v>
      </c>
      <c r="P742">
        <v>123</v>
      </c>
      <c r="Q742">
        <v>5155</v>
      </c>
      <c r="R742" t="s">
        <v>91</v>
      </c>
      <c r="S742" t="s">
        <v>80</v>
      </c>
      <c r="U742" t="s">
        <v>64</v>
      </c>
      <c r="V742" t="s">
        <v>45</v>
      </c>
      <c r="Y742" t="s">
        <v>53</v>
      </c>
      <c r="AA742">
        <v>1</v>
      </c>
      <c r="AB742" t="s">
        <v>32</v>
      </c>
      <c r="AC742" t="s">
        <v>174</v>
      </c>
      <c r="AE742" t="str">
        <f t="shared" si="224"/>
        <v>ConnollyForster</v>
      </c>
      <c r="AF742">
        <v>1</v>
      </c>
      <c r="AG742">
        <v>1</v>
      </c>
      <c r="AH742">
        <v>0</v>
      </c>
      <c r="AI742">
        <v>0</v>
      </c>
      <c r="AJ742">
        <v>1</v>
      </c>
      <c r="AK742" t="s">
        <v>40</v>
      </c>
      <c r="AL742">
        <v>0.546875</v>
      </c>
      <c r="AM742" t="s">
        <v>42</v>
      </c>
      <c r="AN742">
        <v>0.6171875</v>
      </c>
      <c r="AO742">
        <f t="shared" ref="AO742:AX751" si="234">IF(OR($V742=AO$1,$Y742=AO$1),AO$1,0)</f>
        <v>0</v>
      </c>
      <c r="AP742">
        <f t="shared" si="234"/>
        <v>0</v>
      </c>
      <c r="AQ742">
        <f t="shared" si="234"/>
        <v>0</v>
      </c>
      <c r="AR742">
        <f t="shared" si="234"/>
        <v>0</v>
      </c>
      <c r="AS742">
        <f t="shared" si="234"/>
        <v>0</v>
      </c>
      <c r="AT742" t="str">
        <f t="shared" si="234"/>
        <v>Connolly</v>
      </c>
      <c r="AU742">
        <f t="shared" si="234"/>
        <v>0</v>
      </c>
      <c r="AV742">
        <f t="shared" si="234"/>
        <v>0</v>
      </c>
      <c r="AW742">
        <f t="shared" si="234"/>
        <v>0</v>
      </c>
      <c r="AX742">
        <f t="shared" si="234"/>
        <v>0</v>
      </c>
      <c r="AY742">
        <f t="shared" ref="AY742:BH751" si="235">IF(OR($V742=AY$1,$Y742=AY$1),AY$1,0)</f>
        <v>0</v>
      </c>
      <c r="AZ742">
        <f t="shared" si="235"/>
        <v>0</v>
      </c>
      <c r="BA742">
        <f t="shared" si="235"/>
        <v>0</v>
      </c>
      <c r="BB742" t="str">
        <f t="shared" si="235"/>
        <v>Forster</v>
      </c>
      <c r="BC742">
        <f t="shared" si="235"/>
        <v>0</v>
      </c>
      <c r="BD742">
        <f t="shared" si="235"/>
        <v>0</v>
      </c>
      <c r="BE742">
        <f t="shared" si="235"/>
        <v>0</v>
      </c>
      <c r="BF742">
        <f t="shared" si="235"/>
        <v>0</v>
      </c>
      <c r="BG742">
        <f t="shared" si="235"/>
        <v>0</v>
      </c>
      <c r="BH742">
        <f t="shared" si="235"/>
        <v>0</v>
      </c>
      <c r="BI742">
        <f t="shared" ref="BI742:BS751" si="236">IF(OR($V742=BI$1,$Y742=BI$1),BI$1,0)</f>
        <v>0</v>
      </c>
      <c r="BJ742">
        <f t="shared" si="236"/>
        <v>0</v>
      </c>
      <c r="BK742">
        <f t="shared" si="236"/>
        <v>0</v>
      </c>
      <c r="BL742">
        <f t="shared" si="236"/>
        <v>0</v>
      </c>
      <c r="BM742">
        <f t="shared" si="236"/>
        <v>0</v>
      </c>
      <c r="BN742">
        <f t="shared" si="236"/>
        <v>0</v>
      </c>
      <c r="BO742">
        <f t="shared" si="236"/>
        <v>0</v>
      </c>
      <c r="BP742">
        <f t="shared" si="236"/>
        <v>0</v>
      </c>
      <c r="BQ742">
        <f t="shared" si="236"/>
        <v>0</v>
      </c>
      <c r="BR742">
        <f t="shared" si="236"/>
        <v>0</v>
      </c>
      <c r="BS742">
        <f t="shared" si="236"/>
        <v>0</v>
      </c>
    </row>
    <row r="743" spans="2:71" ht="15" customHeight="1" x14ac:dyDescent="0.2">
      <c r="B743">
        <v>17</v>
      </c>
      <c r="C743">
        <v>2</v>
      </c>
      <c r="D743">
        <v>11</v>
      </c>
      <c r="E743" t="s">
        <v>548</v>
      </c>
      <c r="F743" t="s">
        <v>214</v>
      </c>
      <c r="G743" s="5">
        <v>45583</v>
      </c>
      <c r="H743" t="s">
        <v>97</v>
      </c>
      <c r="I743" t="s">
        <v>528</v>
      </c>
      <c r="J743" t="s">
        <v>168</v>
      </c>
      <c r="K743">
        <v>9</v>
      </c>
      <c r="L743" t="s">
        <v>90</v>
      </c>
      <c r="M743" t="s">
        <v>542</v>
      </c>
      <c r="N743" t="s">
        <v>78</v>
      </c>
      <c r="P743">
        <v>123</v>
      </c>
      <c r="Q743">
        <v>5155</v>
      </c>
      <c r="R743" t="s">
        <v>91</v>
      </c>
      <c r="S743" t="s">
        <v>80</v>
      </c>
      <c r="U743" t="s">
        <v>64</v>
      </c>
      <c r="V743" t="s">
        <v>43</v>
      </c>
      <c r="Y743" t="s">
        <v>49</v>
      </c>
      <c r="AA743">
        <v>1</v>
      </c>
      <c r="AB743" t="s">
        <v>34</v>
      </c>
      <c r="AC743" t="s">
        <v>92</v>
      </c>
      <c r="AE743" t="str">
        <f t="shared" si="224"/>
        <v>PoirierShively</v>
      </c>
      <c r="AF743">
        <v>0.5</v>
      </c>
      <c r="AG743">
        <v>0</v>
      </c>
      <c r="AH743">
        <v>0</v>
      </c>
      <c r="AI743">
        <v>1</v>
      </c>
      <c r="AJ743">
        <v>0.5</v>
      </c>
      <c r="AK743" t="s">
        <v>52</v>
      </c>
      <c r="AL743">
        <v>0.34745762711864397</v>
      </c>
      <c r="AM743" t="s">
        <v>44</v>
      </c>
      <c r="AN743">
        <v>0.4296875</v>
      </c>
      <c r="AO743">
        <f t="shared" si="234"/>
        <v>0</v>
      </c>
      <c r="AP743">
        <f t="shared" si="234"/>
        <v>0</v>
      </c>
      <c r="AQ743">
        <f t="shared" si="234"/>
        <v>0</v>
      </c>
      <c r="AR743" t="str">
        <f t="shared" si="234"/>
        <v>Poirier</v>
      </c>
      <c r="AS743">
        <f t="shared" si="234"/>
        <v>0</v>
      </c>
      <c r="AT743">
        <f t="shared" si="234"/>
        <v>0</v>
      </c>
      <c r="AU743">
        <f t="shared" si="234"/>
        <v>0</v>
      </c>
      <c r="AV743">
        <f t="shared" si="234"/>
        <v>0</v>
      </c>
      <c r="AW743">
        <f t="shared" si="234"/>
        <v>0</v>
      </c>
      <c r="AX743" t="str">
        <f t="shared" si="234"/>
        <v>Shively</v>
      </c>
      <c r="AY743">
        <f t="shared" si="235"/>
        <v>0</v>
      </c>
      <c r="AZ743">
        <f t="shared" si="235"/>
        <v>0</v>
      </c>
      <c r="BA743">
        <f t="shared" si="235"/>
        <v>0</v>
      </c>
      <c r="BB743">
        <f t="shared" si="235"/>
        <v>0</v>
      </c>
      <c r="BC743">
        <f t="shared" si="235"/>
        <v>0</v>
      </c>
      <c r="BD743">
        <f t="shared" si="235"/>
        <v>0</v>
      </c>
      <c r="BE743">
        <f t="shared" si="235"/>
        <v>0</v>
      </c>
      <c r="BF743">
        <f t="shared" si="235"/>
        <v>0</v>
      </c>
      <c r="BG743">
        <f t="shared" si="235"/>
        <v>0</v>
      </c>
      <c r="BH743">
        <f t="shared" si="235"/>
        <v>0</v>
      </c>
      <c r="BI743">
        <f t="shared" si="236"/>
        <v>0</v>
      </c>
      <c r="BJ743">
        <f t="shared" si="236"/>
        <v>0</v>
      </c>
      <c r="BK743">
        <f t="shared" si="236"/>
        <v>0</v>
      </c>
      <c r="BL743">
        <f t="shared" si="236"/>
        <v>0</v>
      </c>
      <c r="BM743">
        <f t="shared" si="236"/>
        <v>0</v>
      </c>
      <c r="BN743">
        <f t="shared" si="236"/>
        <v>0</v>
      </c>
      <c r="BO743">
        <f t="shared" si="236"/>
        <v>0</v>
      </c>
      <c r="BP743">
        <f t="shared" si="236"/>
        <v>0</v>
      </c>
      <c r="BQ743">
        <f t="shared" si="236"/>
        <v>0</v>
      </c>
      <c r="BR743">
        <f t="shared" si="236"/>
        <v>0</v>
      </c>
      <c r="BS743">
        <f t="shared" si="236"/>
        <v>0</v>
      </c>
    </row>
    <row r="744" spans="2:71" ht="15" customHeight="1" x14ac:dyDescent="0.2">
      <c r="B744">
        <v>17</v>
      </c>
      <c r="C744">
        <v>2</v>
      </c>
      <c r="D744">
        <v>11</v>
      </c>
      <c r="E744" t="s">
        <v>548</v>
      </c>
      <c r="F744" t="s">
        <v>214</v>
      </c>
      <c r="G744" s="5">
        <v>45583</v>
      </c>
      <c r="H744" t="s">
        <v>97</v>
      </c>
      <c r="I744" t="s">
        <v>528</v>
      </c>
      <c r="J744" t="s">
        <v>168</v>
      </c>
      <c r="K744">
        <v>9</v>
      </c>
      <c r="L744" t="s">
        <v>90</v>
      </c>
      <c r="M744" t="s">
        <v>542</v>
      </c>
      <c r="N744" t="s">
        <v>78</v>
      </c>
      <c r="P744">
        <v>123</v>
      </c>
      <c r="Q744">
        <v>5155</v>
      </c>
      <c r="R744" t="s">
        <v>91</v>
      </c>
      <c r="S744" t="s">
        <v>80</v>
      </c>
      <c r="U744" t="s">
        <v>52</v>
      </c>
      <c r="V744" t="s">
        <v>52</v>
      </c>
      <c r="Y744" t="s">
        <v>44</v>
      </c>
      <c r="AA744">
        <v>1</v>
      </c>
      <c r="AB744" t="s">
        <v>34</v>
      </c>
      <c r="AC744" t="s">
        <v>92</v>
      </c>
      <c r="AE744" t="str">
        <f t="shared" si="224"/>
        <v>ConnorsFlanders</v>
      </c>
      <c r="AF744">
        <v>0.5</v>
      </c>
      <c r="AG744">
        <v>0</v>
      </c>
      <c r="AH744">
        <v>0</v>
      </c>
      <c r="AI744">
        <v>1</v>
      </c>
      <c r="AJ744">
        <v>0.5</v>
      </c>
      <c r="AK744" t="s">
        <v>43</v>
      </c>
      <c r="AL744">
        <v>0.48611111111111099</v>
      </c>
      <c r="AM744" t="s">
        <v>49</v>
      </c>
      <c r="AO744">
        <f t="shared" si="234"/>
        <v>0</v>
      </c>
      <c r="AP744">
        <f t="shared" si="234"/>
        <v>0</v>
      </c>
      <c r="AQ744">
        <f t="shared" si="234"/>
        <v>0</v>
      </c>
      <c r="AR744">
        <f t="shared" si="234"/>
        <v>0</v>
      </c>
      <c r="AS744" t="str">
        <f t="shared" si="234"/>
        <v>Flanders</v>
      </c>
      <c r="AT744">
        <f t="shared" si="234"/>
        <v>0</v>
      </c>
      <c r="AU744">
        <f t="shared" si="234"/>
        <v>0</v>
      </c>
      <c r="AV744">
        <f t="shared" si="234"/>
        <v>0</v>
      </c>
      <c r="AW744">
        <f t="shared" si="234"/>
        <v>0</v>
      </c>
      <c r="AX744">
        <f t="shared" si="234"/>
        <v>0</v>
      </c>
      <c r="AY744">
        <f t="shared" si="235"/>
        <v>0</v>
      </c>
      <c r="AZ744">
        <f t="shared" si="235"/>
        <v>0</v>
      </c>
      <c r="BA744" t="str">
        <f t="shared" si="235"/>
        <v>Connors</v>
      </c>
      <c r="BB744">
        <f t="shared" si="235"/>
        <v>0</v>
      </c>
      <c r="BC744">
        <f t="shared" si="235"/>
        <v>0</v>
      </c>
      <c r="BD744">
        <f t="shared" si="235"/>
        <v>0</v>
      </c>
      <c r="BE744">
        <f t="shared" si="235"/>
        <v>0</v>
      </c>
      <c r="BF744">
        <f t="shared" si="235"/>
        <v>0</v>
      </c>
      <c r="BG744">
        <f t="shared" si="235"/>
        <v>0</v>
      </c>
      <c r="BH744">
        <f t="shared" si="235"/>
        <v>0</v>
      </c>
      <c r="BI744">
        <f t="shared" si="236"/>
        <v>0</v>
      </c>
      <c r="BJ744">
        <f t="shared" si="236"/>
        <v>0</v>
      </c>
      <c r="BK744">
        <f t="shared" si="236"/>
        <v>0</v>
      </c>
      <c r="BL744">
        <f t="shared" si="236"/>
        <v>0</v>
      </c>
      <c r="BM744">
        <f t="shared" si="236"/>
        <v>0</v>
      </c>
      <c r="BN744">
        <f t="shared" si="236"/>
        <v>0</v>
      </c>
      <c r="BO744">
        <f t="shared" si="236"/>
        <v>0</v>
      </c>
      <c r="BP744">
        <f t="shared" si="236"/>
        <v>0</v>
      </c>
      <c r="BQ744">
        <f t="shared" si="236"/>
        <v>0</v>
      </c>
      <c r="BR744">
        <f t="shared" si="236"/>
        <v>0</v>
      </c>
      <c r="BS744">
        <f t="shared" si="236"/>
        <v>0</v>
      </c>
    </row>
    <row r="745" spans="2:71" ht="15" customHeight="1" x14ac:dyDescent="0.2">
      <c r="B745">
        <v>18</v>
      </c>
      <c r="C745">
        <v>3</v>
      </c>
      <c r="D745">
        <v>11</v>
      </c>
      <c r="E745" t="s">
        <v>549</v>
      </c>
      <c r="F745" t="s">
        <v>214</v>
      </c>
      <c r="G745" s="5">
        <v>45583</v>
      </c>
      <c r="H745" t="s">
        <v>97</v>
      </c>
      <c r="I745" t="s">
        <v>528</v>
      </c>
      <c r="J745" t="s">
        <v>168</v>
      </c>
      <c r="K745">
        <v>9</v>
      </c>
      <c r="L745" t="s">
        <v>90</v>
      </c>
      <c r="M745" t="s">
        <v>542</v>
      </c>
      <c r="N745" t="s">
        <v>78</v>
      </c>
      <c r="P745">
        <v>123</v>
      </c>
      <c r="Q745">
        <v>5155</v>
      </c>
      <c r="R745" t="s">
        <v>91</v>
      </c>
      <c r="S745" t="s">
        <v>80</v>
      </c>
      <c r="U745" t="s">
        <v>52</v>
      </c>
      <c r="V745" t="s">
        <v>41</v>
      </c>
      <c r="Y745" t="s">
        <v>48</v>
      </c>
      <c r="AA745">
        <v>1</v>
      </c>
      <c r="AB745" t="s">
        <v>32</v>
      </c>
      <c r="AC745" t="s">
        <v>174</v>
      </c>
      <c r="AE745" t="str">
        <f t="shared" si="224"/>
        <v>HiltsLynch</v>
      </c>
      <c r="AF745">
        <v>1</v>
      </c>
      <c r="AG745">
        <v>1</v>
      </c>
      <c r="AH745">
        <v>0</v>
      </c>
      <c r="AI745">
        <v>0</v>
      </c>
      <c r="AJ745">
        <v>1</v>
      </c>
      <c r="AK745" t="s">
        <v>54</v>
      </c>
      <c r="AL745">
        <v>0.37288135593220301</v>
      </c>
      <c r="AM745" t="s">
        <v>58</v>
      </c>
      <c r="AN745">
        <v>0.65476190476190499</v>
      </c>
      <c r="AO745">
        <f t="shared" si="234"/>
        <v>0</v>
      </c>
      <c r="AP745" t="str">
        <f t="shared" si="234"/>
        <v>Hilts</v>
      </c>
      <c r="AQ745">
        <f t="shared" si="234"/>
        <v>0</v>
      </c>
      <c r="AR745">
        <f t="shared" si="234"/>
        <v>0</v>
      </c>
      <c r="AS745">
        <f t="shared" si="234"/>
        <v>0</v>
      </c>
      <c r="AT745">
        <f t="shared" si="234"/>
        <v>0</v>
      </c>
      <c r="AU745">
        <f t="shared" si="234"/>
        <v>0</v>
      </c>
      <c r="AV745">
        <f t="shared" si="234"/>
        <v>0</v>
      </c>
      <c r="AW745" t="str">
        <f t="shared" si="234"/>
        <v>Lynch</v>
      </c>
      <c r="AX745">
        <f t="shared" si="234"/>
        <v>0</v>
      </c>
      <c r="AY745">
        <f t="shared" si="235"/>
        <v>0</v>
      </c>
      <c r="AZ745">
        <f t="shared" si="235"/>
        <v>0</v>
      </c>
      <c r="BA745">
        <f t="shared" si="235"/>
        <v>0</v>
      </c>
      <c r="BB745">
        <f t="shared" si="235"/>
        <v>0</v>
      </c>
      <c r="BC745">
        <f t="shared" si="235"/>
        <v>0</v>
      </c>
      <c r="BD745">
        <f t="shared" si="235"/>
        <v>0</v>
      </c>
      <c r="BE745">
        <f t="shared" si="235"/>
        <v>0</v>
      </c>
      <c r="BF745">
        <f t="shared" si="235"/>
        <v>0</v>
      </c>
      <c r="BG745">
        <f t="shared" si="235"/>
        <v>0</v>
      </c>
      <c r="BH745">
        <f t="shared" si="235"/>
        <v>0</v>
      </c>
      <c r="BI745">
        <f t="shared" si="236"/>
        <v>0</v>
      </c>
      <c r="BJ745">
        <f t="shared" si="236"/>
        <v>0</v>
      </c>
      <c r="BK745">
        <f t="shared" si="236"/>
        <v>0</v>
      </c>
      <c r="BL745">
        <f t="shared" si="236"/>
        <v>0</v>
      </c>
      <c r="BM745">
        <f t="shared" si="236"/>
        <v>0</v>
      </c>
      <c r="BN745">
        <f t="shared" si="236"/>
        <v>0</v>
      </c>
      <c r="BO745">
        <f t="shared" si="236"/>
        <v>0</v>
      </c>
      <c r="BP745">
        <f t="shared" si="236"/>
        <v>0</v>
      </c>
      <c r="BQ745">
        <f t="shared" si="236"/>
        <v>0</v>
      </c>
      <c r="BR745">
        <f t="shared" si="236"/>
        <v>0</v>
      </c>
      <c r="BS745">
        <f t="shared" si="236"/>
        <v>0</v>
      </c>
    </row>
    <row r="746" spans="2:71" ht="15" customHeight="1" x14ac:dyDescent="0.2">
      <c r="B746">
        <v>18</v>
      </c>
      <c r="C746">
        <v>3</v>
      </c>
      <c r="D746">
        <v>11</v>
      </c>
      <c r="E746" t="s">
        <v>549</v>
      </c>
      <c r="F746" t="s">
        <v>214</v>
      </c>
      <c r="G746" s="5">
        <v>45583</v>
      </c>
      <c r="H746" t="s">
        <v>97</v>
      </c>
      <c r="I746" t="s">
        <v>528</v>
      </c>
      <c r="J746" t="s">
        <v>168</v>
      </c>
      <c r="K746">
        <v>9</v>
      </c>
      <c r="L746" t="s">
        <v>90</v>
      </c>
      <c r="M746" t="s">
        <v>542</v>
      </c>
      <c r="N746" t="s">
        <v>78</v>
      </c>
      <c r="P746">
        <v>123</v>
      </c>
      <c r="Q746">
        <v>5155</v>
      </c>
      <c r="R746" t="s">
        <v>91</v>
      </c>
      <c r="S746" t="s">
        <v>80</v>
      </c>
      <c r="U746" t="s">
        <v>64</v>
      </c>
      <c r="V746" t="s">
        <v>54</v>
      </c>
      <c r="Y746" t="s">
        <v>58</v>
      </c>
      <c r="AA746">
        <v>1</v>
      </c>
      <c r="AB746" t="s">
        <v>33</v>
      </c>
      <c r="AC746" t="s">
        <v>174</v>
      </c>
      <c r="AE746" t="str">
        <f t="shared" si="224"/>
        <v>FoganGray</v>
      </c>
      <c r="AF746">
        <v>0</v>
      </c>
      <c r="AG746">
        <v>0</v>
      </c>
      <c r="AH746">
        <v>1</v>
      </c>
      <c r="AI746">
        <v>0</v>
      </c>
      <c r="AJ746">
        <v>0</v>
      </c>
      <c r="AK746" t="s">
        <v>41</v>
      </c>
      <c r="AL746">
        <v>0.47321428571428598</v>
      </c>
      <c r="AM746" t="s">
        <v>48</v>
      </c>
      <c r="AN746">
        <v>0.5546875</v>
      </c>
      <c r="AO746">
        <f t="shared" si="234"/>
        <v>0</v>
      </c>
      <c r="AP746">
        <f t="shared" si="234"/>
        <v>0</v>
      </c>
      <c r="AQ746">
        <f t="shared" si="234"/>
        <v>0</v>
      </c>
      <c r="AR746">
        <f t="shared" si="234"/>
        <v>0</v>
      </c>
      <c r="AS746">
        <f t="shared" si="234"/>
        <v>0</v>
      </c>
      <c r="AT746">
        <f t="shared" si="234"/>
        <v>0</v>
      </c>
      <c r="AU746">
        <f t="shared" si="234"/>
        <v>0</v>
      </c>
      <c r="AV746">
        <f t="shared" si="234"/>
        <v>0</v>
      </c>
      <c r="AW746">
        <f t="shared" si="234"/>
        <v>0</v>
      </c>
      <c r="AX746">
        <f t="shared" si="234"/>
        <v>0</v>
      </c>
      <c r="AY746">
        <f t="shared" si="235"/>
        <v>0</v>
      </c>
      <c r="AZ746">
        <f t="shared" si="235"/>
        <v>0</v>
      </c>
      <c r="BA746">
        <f t="shared" si="235"/>
        <v>0</v>
      </c>
      <c r="BB746">
        <f t="shared" si="235"/>
        <v>0</v>
      </c>
      <c r="BC746" t="str">
        <f t="shared" si="235"/>
        <v>Fogan</v>
      </c>
      <c r="BD746">
        <f t="shared" si="235"/>
        <v>0</v>
      </c>
      <c r="BE746">
        <f t="shared" si="235"/>
        <v>0</v>
      </c>
      <c r="BF746">
        <f t="shared" si="235"/>
        <v>0</v>
      </c>
      <c r="BG746" t="str">
        <f t="shared" si="235"/>
        <v>Gray</v>
      </c>
      <c r="BH746">
        <f t="shared" si="235"/>
        <v>0</v>
      </c>
      <c r="BI746">
        <f t="shared" si="236"/>
        <v>0</v>
      </c>
      <c r="BJ746">
        <f t="shared" si="236"/>
        <v>0</v>
      </c>
      <c r="BK746">
        <f t="shared" si="236"/>
        <v>0</v>
      </c>
      <c r="BL746">
        <f t="shared" si="236"/>
        <v>0</v>
      </c>
      <c r="BM746">
        <f t="shared" si="236"/>
        <v>0</v>
      </c>
      <c r="BN746">
        <f t="shared" si="236"/>
        <v>0</v>
      </c>
      <c r="BO746">
        <f t="shared" si="236"/>
        <v>0</v>
      </c>
      <c r="BP746">
        <f t="shared" si="236"/>
        <v>0</v>
      </c>
      <c r="BQ746">
        <f t="shared" si="236"/>
        <v>0</v>
      </c>
      <c r="BR746">
        <f t="shared" si="236"/>
        <v>0</v>
      </c>
      <c r="BS746">
        <f t="shared" si="236"/>
        <v>0</v>
      </c>
    </row>
    <row r="747" spans="2:71" ht="15" customHeight="1" x14ac:dyDescent="0.2">
      <c r="B747">
        <v>19</v>
      </c>
      <c r="C747">
        <v>4</v>
      </c>
      <c r="D747">
        <v>11</v>
      </c>
      <c r="E747" t="s">
        <v>550</v>
      </c>
      <c r="F747" t="s">
        <v>214</v>
      </c>
      <c r="G747" s="5">
        <v>45583</v>
      </c>
      <c r="H747" t="s">
        <v>97</v>
      </c>
      <c r="I747" t="s">
        <v>528</v>
      </c>
      <c r="J747" t="s">
        <v>168</v>
      </c>
      <c r="K747">
        <v>9</v>
      </c>
      <c r="L747" t="s">
        <v>90</v>
      </c>
      <c r="M747" t="s">
        <v>542</v>
      </c>
      <c r="N747" t="s">
        <v>78</v>
      </c>
      <c r="P747">
        <v>123</v>
      </c>
      <c r="Q747">
        <v>5155</v>
      </c>
      <c r="R747" t="s">
        <v>91</v>
      </c>
      <c r="S747" t="s">
        <v>80</v>
      </c>
      <c r="U747" t="s">
        <v>64</v>
      </c>
      <c r="V747" t="s">
        <v>64</v>
      </c>
      <c r="Y747" t="s">
        <v>50</v>
      </c>
      <c r="AA747">
        <v>1</v>
      </c>
      <c r="AB747" t="s">
        <v>33</v>
      </c>
      <c r="AC747" t="s">
        <v>534</v>
      </c>
      <c r="AE747" t="str">
        <f t="shared" si="224"/>
        <v>DelnekyFerrin</v>
      </c>
      <c r="AF747">
        <v>0</v>
      </c>
      <c r="AG747">
        <v>0</v>
      </c>
      <c r="AH747">
        <v>1</v>
      </c>
      <c r="AI747">
        <v>0</v>
      </c>
      <c r="AJ747">
        <v>0</v>
      </c>
      <c r="AK747" t="s">
        <v>63</v>
      </c>
      <c r="AL747">
        <v>0.46551724137931</v>
      </c>
      <c r="AM747" t="s">
        <v>46</v>
      </c>
      <c r="AN747">
        <v>0.38392857142857201</v>
      </c>
      <c r="AO747">
        <f t="shared" si="234"/>
        <v>0</v>
      </c>
      <c r="AP747">
        <f t="shared" si="234"/>
        <v>0</v>
      </c>
      <c r="AQ747">
        <f t="shared" si="234"/>
        <v>0</v>
      </c>
      <c r="AR747">
        <f t="shared" si="234"/>
        <v>0</v>
      </c>
      <c r="AS747">
        <f t="shared" si="234"/>
        <v>0</v>
      </c>
      <c r="AT747">
        <f t="shared" si="234"/>
        <v>0</v>
      </c>
      <c r="AU747">
        <f t="shared" si="234"/>
        <v>0</v>
      </c>
      <c r="AV747">
        <f t="shared" si="234"/>
        <v>0</v>
      </c>
      <c r="AW747">
        <f t="shared" si="234"/>
        <v>0</v>
      </c>
      <c r="AX747">
        <f t="shared" si="234"/>
        <v>0</v>
      </c>
      <c r="AY747" t="str">
        <f t="shared" si="235"/>
        <v>Ferrin</v>
      </c>
      <c r="AZ747">
        <f t="shared" si="235"/>
        <v>0</v>
      </c>
      <c r="BA747">
        <f t="shared" si="235"/>
        <v>0</v>
      </c>
      <c r="BB747">
        <f t="shared" si="235"/>
        <v>0</v>
      </c>
      <c r="BC747">
        <f t="shared" si="235"/>
        <v>0</v>
      </c>
      <c r="BD747">
        <f t="shared" si="235"/>
        <v>0</v>
      </c>
      <c r="BE747">
        <f t="shared" si="235"/>
        <v>0</v>
      </c>
      <c r="BF747">
        <f t="shared" si="235"/>
        <v>0</v>
      </c>
      <c r="BG747">
        <f t="shared" si="235"/>
        <v>0</v>
      </c>
      <c r="BH747">
        <f t="shared" si="235"/>
        <v>0</v>
      </c>
      <c r="BI747">
        <f t="shared" si="236"/>
        <v>0</v>
      </c>
      <c r="BJ747">
        <f t="shared" si="236"/>
        <v>0</v>
      </c>
      <c r="BK747">
        <f t="shared" si="236"/>
        <v>0</v>
      </c>
      <c r="BL747">
        <f t="shared" si="236"/>
        <v>0</v>
      </c>
      <c r="BM747" t="str">
        <f t="shared" si="236"/>
        <v>Delneky</v>
      </c>
      <c r="BN747">
        <f t="shared" si="236"/>
        <v>0</v>
      </c>
      <c r="BO747">
        <f t="shared" si="236"/>
        <v>0</v>
      </c>
      <c r="BP747">
        <f t="shared" si="236"/>
        <v>0</v>
      </c>
      <c r="BQ747">
        <f t="shared" si="236"/>
        <v>0</v>
      </c>
      <c r="BR747">
        <f t="shared" si="236"/>
        <v>0</v>
      </c>
      <c r="BS747">
        <f t="shared" si="236"/>
        <v>0</v>
      </c>
    </row>
    <row r="748" spans="2:71" ht="15" customHeight="1" x14ac:dyDescent="0.2">
      <c r="B748">
        <v>19</v>
      </c>
      <c r="C748">
        <v>4</v>
      </c>
      <c r="D748">
        <v>11</v>
      </c>
      <c r="E748" t="s">
        <v>550</v>
      </c>
      <c r="F748" t="s">
        <v>214</v>
      </c>
      <c r="G748" s="5">
        <v>45583</v>
      </c>
      <c r="H748" t="s">
        <v>97</v>
      </c>
      <c r="I748" t="s">
        <v>528</v>
      </c>
      <c r="J748" t="s">
        <v>168</v>
      </c>
      <c r="K748">
        <v>9</v>
      </c>
      <c r="L748" t="s">
        <v>90</v>
      </c>
      <c r="M748" t="s">
        <v>542</v>
      </c>
      <c r="N748" t="s">
        <v>78</v>
      </c>
      <c r="P748">
        <v>123</v>
      </c>
      <c r="Q748">
        <v>5155</v>
      </c>
      <c r="R748" t="s">
        <v>91</v>
      </c>
      <c r="S748" t="s">
        <v>80</v>
      </c>
      <c r="U748" t="s">
        <v>52</v>
      </c>
      <c r="V748" t="s">
        <v>63</v>
      </c>
      <c r="Y748" t="s">
        <v>46</v>
      </c>
      <c r="AA748">
        <v>1</v>
      </c>
      <c r="AB748" t="s">
        <v>32</v>
      </c>
      <c r="AC748" t="s">
        <v>371</v>
      </c>
      <c r="AE748" t="str">
        <f t="shared" si="224"/>
        <v>DelaneyMangold</v>
      </c>
      <c r="AF748">
        <v>1</v>
      </c>
      <c r="AG748">
        <v>1</v>
      </c>
      <c r="AH748">
        <v>0</v>
      </c>
      <c r="AI748">
        <v>0</v>
      </c>
      <c r="AJ748">
        <v>1</v>
      </c>
      <c r="AK748" t="s">
        <v>64</v>
      </c>
      <c r="AL748">
        <v>0.65909090909090895</v>
      </c>
      <c r="AM748" t="s">
        <v>50</v>
      </c>
      <c r="AN748">
        <v>0.59523809523809501</v>
      </c>
      <c r="AO748">
        <f t="shared" si="234"/>
        <v>0</v>
      </c>
      <c r="AP748">
        <f t="shared" si="234"/>
        <v>0</v>
      </c>
      <c r="AQ748">
        <f t="shared" si="234"/>
        <v>0</v>
      </c>
      <c r="AR748">
        <f t="shared" si="234"/>
        <v>0</v>
      </c>
      <c r="AS748">
        <f t="shared" si="234"/>
        <v>0</v>
      </c>
      <c r="AT748">
        <f t="shared" si="234"/>
        <v>0</v>
      </c>
      <c r="AU748" t="str">
        <f t="shared" si="234"/>
        <v>Mangold</v>
      </c>
      <c r="AV748">
        <f t="shared" si="234"/>
        <v>0</v>
      </c>
      <c r="AW748">
        <f t="shared" si="234"/>
        <v>0</v>
      </c>
      <c r="AX748">
        <f t="shared" si="234"/>
        <v>0</v>
      </c>
      <c r="AY748">
        <f t="shared" si="235"/>
        <v>0</v>
      </c>
      <c r="AZ748">
        <f t="shared" si="235"/>
        <v>0</v>
      </c>
      <c r="BA748">
        <f t="shared" si="235"/>
        <v>0</v>
      </c>
      <c r="BB748">
        <f t="shared" si="235"/>
        <v>0</v>
      </c>
      <c r="BC748">
        <f t="shared" si="235"/>
        <v>0</v>
      </c>
      <c r="BD748">
        <f t="shared" si="235"/>
        <v>0</v>
      </c>
      <c r="BE748">
        <f t="shared" si="235"/>
        <v>0</v>
      </c>
      <c r="BF748">
        <f t="shared" si="235"/>
        <v>0</v>
      </c>
      <c r="BG748">
        <f t="shared" si="235"/>
        <v>0</v>
      </c>
      <c r="BH748">
        <f t="shared" si="235"/>
        <v>0</v>
      </c>
      <c r="BI748">
        <f t="shared" si="236"/>
        <v>0</v>
      </c>
      <c r="BJ748">
        <f t="shared" si="236"/>
        <v>0</v>
      </c>
      <c r="BK748">
        <f t="shared" si="236"/>
        <v>0</v>
      </c>
      <c r="BL748" t="str">
        <f t="shared" si="236"/>
        <v>Delaney</v>
      </c>
      <c r="BM748">
        <f t="shared" si="236"/>
        <v>0</v>
      </c>
      <c r="BN748">
        <f t="shared" si="236"/>
        <v>0</v>
      </c>
      <c r="BO748">
        <f t="shared" si="236"/>
        <v>0</v>
      </c>
      <c r="BP748">
        <f t="shared" si="236"/>
        <v>0</v>
      </c>
      <c r="BQ748">
        <f t="shared" si="236"/>
        <v>0</v>
      </c>
      <c r="BR748">
        <f t="shared" si="236"/>
        <v>0</v>
      </c>
      <c r="BS748">
        <f t="shared" si="236"/>
        <v>0</v>
      </c>
    </row>
    <row r="749" spans="2:71" ht="15" customHeight="1" x14ac:dyDescent="0.2">
      <c r="B749">
        <v>20</v>
      </c>
      <c r="C749">
        <v>5</v>
      </c>
      <c r="D749">
        <v>11</v>
      </c>
      <c r="E749" t="s">
        <v>551</v>
      </c>
      <c r="F749" t="s">
        <v>214</v>
      </c>
      <c r="G749" s="5">
        <v>45583</v>
      </c>
      <c r="H749" t="s">
        <v>97</v>
      </c>
      <c r="I749" t="s">
        <v>528</v>
      </c>
      <c r="J749" t="s">
        <v>168</v>
      </c>
      <c r="K749">
        <v>9</v>
      </c>
      <c r="L749" t="s">
        <v>90</v>
      </c>
      <c r="M749" t="s">
        <v>542</v>
      </c>
      <c r="N749" t="s">
        <v>78</v>
      </c>
      <c r="P749">
        <v>123</v>
      </c>
      <c r="Q749">
        <v>5155</v>
      </c>
      <c r="R749" t="s">
        <v>91</v>
      </c>
      <c r="S749" t="s">
        <v>80</v>
      </c>
      <c r="U749" t="s">
        <v>52</v>
      </c>
      <c r="V749" t="s">
        <v>55</v>
      </c>
      <c r="Y749" t="s">
        <v>62</v>
      </c>
      <c r="AA749">
        <v>1</v>
      </c>
      <c r="AB749" t="s">
        <v>34</v>
      </c>
      <c r="AC749" t="s">
        <v>92</v>
      </c>
      <c r="AE749" t="str">
        <f t="shared" si="224"/>
        <v>ColeWelker</v>
      </c>
      <c r="AF749">
        <v>0.5</v>
      </c>
      <c r="AG749">
        <v>0</v>
      </c>
      <c r="AH749">
        <v>0</v>
      </c>
      <c r="AI749">
        <v>1</v>
      </c>
      <c r="AJ749">
        <v>0.5</v>
      </c>
      <c r="AK749" t="s">
        <v>59</v>
      </c>
      <c r="AL749">
        <v>0.52777777777777801</v>
      </c>
      <c r="AM749" t="s">
        <v>60</v>
      </c>
      <c r="AN749">
        <v>0.5</v>
      </c>
      <c r="AO749">
        <f t="shared" si="234"/>
        <v>0</v>
      </c>
      <c r="AP749">
        <f t="shared" si="234"/>
        <v>0</v>
      </c>
      <c r="AQ749">
        <f t="shared" si="234"/>
        <v>0</v>
      </c>
      <c r="AR749">
        <f t="shared" si="234"/>
        <v>0</v>
      </c>
      <c r="AS749">
        <f t="shared" si="234"/>
        <v>0</v>
      </c>
      <c r="AT749">
        <f t="shared" si="234"/>
        <v>0</v>
      </c>
      <c r="AU749">
        <f t="shared" si="234"/>
        <v>0</v>
      </c>
      <c r="AV749">
        <f t="shared" si="234"/>
        <v>0</v>
      </c>
      <c r="AW749">
        <f t="shared" si="234"/>
        <v>0</v>
      </c>
      <c r="AX749">
        <f t="shared" si="234"/>
        <v>0</v>
      </c>
      <c r="AY749">
        <f t="shared" si="235"/>
        <v>0</v>
      </c>
      <c r="AZ749">
        <f t="shared" si="235"/>
        <v>0</v>
      </c>
      <c r="BA749">
        <f t="shared" si="235"/>
        <v>0</v>
      </c>
      <c r="BB749">
        <f t="shared" si="235"/>
        <v>0</v>
      </c>
      <c r="BC749">
        <f t="shared" si="235"/>
        <v>0</v>
      </c>
      <c r="BD749" t="str">
        <f t="shared" si="235"/>
        <v>Cole</v>
      </c>
      <c r="BE749">
        <f t="shared" si="235"/>
        <v>0</v>
      </c>
      <c r="BF749">
        <f t="shared" si="235"/>
        <v>0</v>
      </c>
      <c r="BG749">
        <f t="shared" si="235"/>
        <v>0</v>
      </c>
      <c r="BH749">
        <f t="shared" si="235"/>
        <v>0</v>
      </c>
      <c r="BI749">
        <f t="shared" si="236"/>
        <v>0</v>
      </c>
      <c r="BJ749">
        <f t="shared" si="236"/>
        <v>0</v>
      </c>
      <c r="BK749" t="str">
        <f t="shared" si="236"/>
        <v>Welker</v>
      </c>
      <c r="BL749">
        <f t="shared" si="236"/>
        <v>0</v>
      </c>
      <c r="BM749">
        <f t="shared" si="236"/>
        <v>0</v>
      </c>
      <c r="BN749">
        <f t="shared" si="236"/>
        <v>0</v>
      </c>
      <c r="BO749">
        <f t="shared" si="236"/>
        <v>0</v>
      </c>
      <c r="BP749">
        <f t="shared" si="236"/>
        <v>0</v>
      </c>
      <c r="BQ749">
        <f t="shared" si="236"/>
        <v>0</v>
      </c>
      <c r="BR749">
        <f t="shared" si="236"/>
        <v>0</v>
      </c>
      <c r="BS749">
        <f t="shared" si="236"/>
        <v>0</v>
      </c>
    </row>
    <row r="750" spans="2:71" ht="15" customHeight="1" x14ac:dyDescent="0.2">
      <c r="B750">
        <v>20</v>
      </c>
      <c r="C750">
        <v>5</v>
      </c>
      <c r="D750">
        <v>11</v>
      </c>
      <c r="E750" t="s">
        <v>551</v>
      </c>
      <c r="F750" t="s">
        <v>214</v>
      </c>
      <c r="G750" s="5">
        <v>45583</v>
      </c>
      <c r="H750" t="s">
        <v>97</v>
      </c>
      <c r="I750" t="s">
        <v>528</v>
      </c>
      <c r="J750" t="s">
        <v>168</v>
      </c>
      <c r="K750">
        <v>9</v>
      </c>
      <c r="L750" t="s">
        <v>90</v>
      </c>
      <c r="M750" t="s">
        <v>542</v>
      </c>
      <c r="N750" t="s">
        <v>78</v>
      </c>
      <c r="P750">
        <v>123</v>
      </c>
      <c r="Q750">
        <v>5155</v>
      </c>
      <c r="R750" t="s">
        <v>91</v>
      </c>
      <c r="S750" t="s">
        <v>80</v>
      </c>
      <c r="U750" t="s">
        <v>64</v>
      </c>
      <c r="V750" t="s">
        <v>59</v>
      </c>
      <c r="Y750" t="s">
        <v>60</v>
      </c>
      <c r="AA750">
        <v>1</v>
      </c>
      <c r="AB750" t="s">
        <v>552</v>
      </c>
      <c r="AC750" t="s">
        <v>92</v>
      </c>
      <c r="AE750" t="str">
        <f t="shared" si="224"/>
        <v>NoratZimmer</v>
      </c>
      <c r="AF750">
        <v>0.5</v>
      </c>
      <c r="AG750">
        <v>0</v>
      </c>
      <c r="AH750">
        <v>0</v>
      </c>
      <c r="AI750">
        <v>1</v>
      </c>
      <c r="AJ750">
        <v>0.5</v>
      </c>
      <c r="AK750" t="s">
        <v>55</v>
      </c>
      <c r="AL750">
        <v>0.44067796610169502</v>
      </c>
      <c r="AM750" t="s">
        <v>62</v>
      </c>
      <c r="AN750">
        <v>0.51041666666666696</v>
      </c>
      <c r="AO750">
        <f t="shared" si="234"/>
        <v>0</v>
      </c>
      <c r="AP750">
        <f t="shared" si="234"/>
        <v>0</v>
      </c>
      <c r="AQ750">
        <f t="shared" si="234"/>
        <v>0</v>
      </c>
      <c r="AR750">
        <f t="shared" si="234"/>
        <v>0</v>
      </c>
      <c r="AS750">
        <f t="shared" si="234"/>
        <v>0</v>
      </c>
      <c r="AT750">
        <f t="shared" si="234"/>
        <v>0</v>
      </c>
      <c r="AU750">
        <f t="shared" si="234"/>
        <v>0</v>
      </c>
      <c r="AV750">
        <f t="shared" si="234"/>
        <v>0</v>
      </c>
      <c r="AW750">
        <f t="shared" si="234"/>
        <v>0</v>
      </c>
      <c r="AX750">
        <f t="shared" si="234"/>
        <v>0</v>
      </c>
      <c r="AY750">
        <f t="shared" si="235"/>
        <v>0</v>
      </c>
      <c r="AZ750">
        <f t="shared" si="235"/>
        <v>0</v>
      </c>
      <c r="BA750">
        <f t="shared" si="235"/>
        <v>0</v>
      </c>
      <c r="BB750">
        <f t="shared" si="235"/>
        <v>0</v>
      </c>
      <c r="BC750">
        <f t="shared" si="235"/>
        <v>0</v>
      </c>
      <c r="BD750">
        <f t="shared" si="235"/>
        <v>0</v>
      </c>
      <c r="BE750">
        <f t="shared" si="235"/>
        <v>0</v>
      </c>
      <c r="BF750">
        <f t="shared" si="235"/>
        <v>0</v>
      </c>
      <c r="BG750">
        <f t="shared" si="235"/>
        <v>0</v>
      </c>
      <c r="BH750" t="str">
        <f t="shared" si="235"/>
        <v>Norat</v>
      </c>
      <c r="BI750" t="str">
        <f t="shared" si="236"/>
        <v>Zimmer</v>
      </c>
      <c r="BJ750">
        <f t="shared" si="236"/>
        <v>0</v>
      </c>
      <c r="BK750">
        <f t="shared" si="236"/>
        <v>0</v>
      </c>
      <c r="BL750">
        <f t="shared" si="236"/>
        <v>0</v>
      </c>
      <c r="BM750">
        <f t="shared" si="236"/>
        <v>0</v>
      </c>
      <c r="BN750">
        <f t="shared" si="236"/>
        <v>0</v>
      </c>
      <c r="BO750">
        <f t="shared" si="236"/>
        <v>0</v>
      </c>
      <c r="BP750">
        <f t="shared" si="236"/>
        <v>0</v>
      </c>
      <c r="BQ750">
        <f t="shared" si="236"/>
        <v>0</v>
      </c>
      <c r="BR750">
        <f t="shared" si="236"/>
        <v>0</v>
      </c>
      <c r="BS750">
        <f t="shared" si="236"/>
        <v>0</v>
      </c>
    </row>
    <row r="751" spans="2:71" ht="15" customHeight="1" x14ac:dyDescent="0.2">
      <c r="B751" t="s">
        <v>245</v>
      </c>
      <c r="D751">
        <v>11</v>
      </c>
      <c r="E751" t="s">
        <v>553</v>
      </c>
      <c r="F751" t="s">
        <v>214</v>
      </c>
      <c r="G751" s="5">
        <v>45584</v>
      </c>
      <c r="H751" t="s">
        <v>97</v>
      </c>
      <c r="I751" t="s">
        <v>528</v>
      </c>
      <c r="J751" t="s">
        <v>168</v>
      </c>
      <c r="K751">
        <v>9</v>
      </c>
      <c r="L751" t="s">
        <v>76</v>
      </c>
      <c r="M751" t="s">
        <v>554</v>
      </c>
      <c r="N751" t="s">
        <v>78</v>
      </c>
      <c r="R751" t="s">
        <v>248</v>
      </c>
      <c r="S751" t="s">
        <v>248</v>
      </c>
      <c r="U751" t="s">
        <v>52</v>
      </c>
      <c r="V751" t="s">
        <v>44</v>
      </c>
      <c r="W751" t="s">
        <v>555</v>
      </c>
      <c r="AA751">
        <v>0.5</v>
      </c>
      <c r="AB751" t="s">
        <v>33</v>
      </c>
      <c r="AE751" t="str">
        <f t="shared" si="224"/>
        <v>Flanders</v>
      </c>
      <c r="AF751">
        <v>0</v>
      </c>
      <c r="AG751">
        <v>0</v>
      </c>
      <c r="AH751">
        <v>1</v>
      </c>
      <c r="AI751">
        <v>0</v>
      </c>
      <c r="AJ751">
        <v>0</v>
      </c>
      <c r="AO751">
        <f t="shared" si="234"/>
        <v>0</v>
      </c>
      <c r="AP751">
        <f t="shared" si="234"/>
        <v>0</v>
      </c>
      <c r="AQ751">
        <f t="shared" si="234"/>
        <v>0</v>
      </c>
      <c r="AR751">
        <f t="shared" si="234"/>
        <v>0</v>
      </c>
      <c r="AS751" t="str">
        <f t="shared" si="234"/>
        <v>Flanders</v>
      </c>
      <c r="AT751">
        <f t="shared" si="234"/>
        <v>0</v>
      </c>
      <c r="AU751">
        <f t="shared" si="234"/>
        <v>0</v>
      </c>
      <c r="AV751">
        <f t="shared" si="234"/>
        <v>0</v>
      </c>
      <c r="AW751">
        <f t="shared" si="234"/>
        <v>0</v>
      </c>
      <c r="AX751">
        <f t="shared" si="234"/>
        <v>0</v>
      </c>
      <c r="AY751">
        <f t="shared" si="235"/>
        <v>0</v>
      </c>
      <c r="AZ751">
        <f t="shared" si="235"/>
        <v>0</v>
      </c>
      <c r="BA751">
        <f t="shared" si="235"/>
        <v>0</v>
      </c>
      <c r="BB751">
        <f t="shared" si="235"/>
        <v>0</v>
      </c>
      <c r="BC751">
        <f t="shared" si="235"/>
        <v>0</v>
      </c>
      <c r="BD751">
        <f t="shared" si="235"/>
        <v>0</v>
      </c>
      <c r="BE751">
        <f t="shared" si="235"/>
        <v>0</v>
      </c>
      <c r="BF751">
        <f t="shared" si="235"/>
        <v>0</v>
      </c>
      <c r="BG751">
        <f t="shared" si="235"/>
        <v>0</v>
      </c>
      <c r="BH751">
        <f t="shared" si="235"/>
        <v>0</v>
      </c>
      <c r="BI751">
        <f t="shared" si="236"/>
        <v>0</v>
      </c>
      <c r="BJ751">
        <f t="shared" si="236"/>
        <v>0</v>
      </c>
      <c r="BK751">
        <f t="shared" si="236"/>
        <v>0</v>
      </c>
      <c r="BL751">
        <f t="shared" si="236"/>
        <v>0</v>
      </c>
      <c r="BM751">
        <f t="shared" si="236"/>
        <v>0</v>
      </c>
      <c r="BN751">
        <f t="shared" si="236"/>
        <v>0</v>
      </c>
      <c r="BO751">
        <f t="shared" si="236"/>
        <v>0</v>
      </c>
      <c r="BP751">
        <f t="shared" si="236"/>
        <v>0</v>
      </c>
      <c r="BQ751">
        <f t="shared" si="236"/>
        <v>0</v>
      </c>
      <c r="BR751">
        <f t="shared" si="236"/>
        <v>0</v>
      </c>
      <c r="BS751">
        <f t="shared" si="236"/>
        <v>0</v>
      </c>
    </row>
    <row r="752" spans="2:71" ht="15" customHeight="1" x14ac:dyDescent="0.2">
      <c r="B752" t="s">
        <v>245</v>
      </c>
      <c r="D752">
        <v>11</v>
      </c>
      <c r="E752" t="s">
        <v>553</v>
      </c>
      <c r="F752" t="s">
        <v>214</v>
      </c>
      <c r="G752" s="5">
        <v>45584</v>
      </c>
      <c r="H752" t="s">
        <v>97</v>
      </c>
      <c r="I752" t="s">
        <v>528</v>
      </c>
      <c r="J752" t="s">
        <v>168</v>
      </c>
      <c r="K752">
        <v>9</v>
      </c>
      <c r="L752" t="s">
        <v>76</v>
      </c>
      <c r="M752" t="s">
        <v>554</v>
      </c>
      <c r="N752" t="s">
        <v>78</v>
      </c>
      <c r="R752" t="s">
        <v>248</v>
      </c>
      <c r="S752" t="s">
        <v>248</v>
      </c>
      <c r="U752" t="s">
        <v>52</v>
      </c>
      <c r="V752" t="s">
        <v>40</v>
      </c>
      <c r="W752" t="s">
        <v>555</v>
      </c>
      <c r="AA752">
        <v>0.5</v>
      </c>
      <c r="AB752" t="s">
        <v>33</v>
      </c>
      <c r="AE752" t="str">
        <f t="shared" si="224"/>
        <v>Grise</v>
      </c>
      <c r="AF752">
        <v>0</v>
      </c>
      <c r="AG752">
        <v>0</v>
      </c>
      <c r="AH752">
        <v>1</v>
      </c>
      <c r="AI752">
        <v>0</v>
      </c>
      <c r="AJ752">
        <v>0</v>
      </c>
      <c r="AO752" t="str">
        <f t="shared" ref="AO752:AX761" si="237">IF(OR($V752=AO$1,$Y752=AO$1),AO$1,0)</f>
        <v>Grise</v>
      </c>
      <c r="AP752">
        <f t="shared" si="237"/>
        <v>0</v>
      </c>
      <c r="AQ752">
        <f t="shared" si="237"/>
        <v>0</v>
      </c>
      <c r="AR752">
        <f t="shared" si="237"/>
        <v>0</v>
      </c>
      <c r="AS752">
        <f t="shared" si="237"/>
        <v>0</v>
      </c>
      <c r="AT752">
        <f t="shared" si="237"/>
        <v>0</v>
      </c>
      <c r="AU752">
        <f t="shared" si="237"/>
        <v>0</v>
      </c>
      <c r="AV752">
        <f t="shared" si="237"/>
        <v>0</v>
      </c>
      <c r="AW752">
        <f t="shared" si="237"/>
        <v>0</v>
      </c>
      <c r="AX752">
        <f t="shared" si="237"/>
        <v>0</v>
      </c>
      <c r="AY752">
        <f t="shared" ref="AY752:BH761" si="238">IF(OR($V752=AY$1,$Y752=AY$1),AY$1,0)</f>
        <v>0</v>
      </c>
      <c r="AZ752">
        <f t="shared" si="238"/>
        <v>0</v>
      </c>
      <c r="BA752">
        <f t="shared" si="238"/>
        <v>0</v>
      </c>
      <c r="BB752">
        <f t="shared" si="238"/>
        <v>0</v>
      </c>
      <c r="BC752">
        <f t="shared" si="238"/>
        <v>0</v>
      </c>
      <c r="BD752">
        <f t="shared" si="238"/>
        <v>0</v>
      </c>
      <c r="BE752">
        <f t="shared" si="238"/>
        <v>0</v>
      </c>
      <c r="BF752">
        <f t="shared" si="238"/>
        <v>0</v>
      </c>
      <c r="BG752">
        <f t="shared" si="238"/>
        <v>0</v>
      </c>
      <c r="BH752">
        <f t="shared" si="238"/>
        <v>0</v>
      </c>
      <c r="BI752">
        <f t="shared" ref="BI752:BS761" si="239">IF(OR($V752=BI$1,$Y752=BI$1),BI$1,0)</f>
        <v>0</v>
      </c>
      <c r="BJ752">
        <f t="shared" si="239"/>
        <v>0</v>
      </c>
      <c r="BK752">
        <f t="shared" si="239"/>
        <v>0</v>
      </c>
      <c r="BL752">
        <f t="shared" si="239"/>
        <v>0</v>
      </c>
      <c r="BM752">
        <f t="shared" si="239"/>
        <v>0</v>
      </c>
      <c r="BN752">
        <f t="shared" si="239"/>
        <v>0</v>
      </c>
      <c r="BO752">
        <f t="shared" si="239"/>
        <v>0</v>
      </c>
      <c r="BP752">
        <f t="shared" si="239"/>
        <v>0</v>
      </c>
      <c r="BQ752">
        <f t="shared" si="239"/>
        <v>0</v>
      </c>
      <c r="BR752">
        <f t="shared" si="239"/>
        <v>0</v>
      </c>
      <c r="BS752">
        <f t="shared" si="239"/>
        <v>0</v>
      </c>
    </row>
    <row r="753" spans="2:71" ht="15" customHeight="1" x14ac:dyDescent="0.2">
      <c r="B753" t="s">
        <v>245</v>
      </c>
      <c r="D753">
        <v>11</v>
      </c>
      <c r="E753" t="s">
        <v>553</v>
      </c>
      <c r="F753" t="s">
        <v>214</v>
      </c>
      <c r="G753" s="5">
        <v>45584</v>
      </c>
      <c r="H753" t="s">
        <v>97</v>
      </c>
      <c r="I753" t="s">
        <v>528</v>
      </c>
      <c r="J753" t="s">
        <v>168</v>
      </c>
      <c r="K753">
        <v>9</v>
      </c>
      <c r="L753" t="s">
        <v>76</v>
      </c>
      <c r="M753" t="s">
        <v>554</v>
      </c>
      <c r="N753" t="s">
        <v>78</v>
      </c>
      <c r="R753" t="s">
        <v>248</v>
      </c>
      <c r="S753" t="s">
        <v>248</v>
      </c>
      <c r="U753" t="s">
        <v>52</v>
      </c>
      <c r="V753" t="s">
        <v>55</v>
      </c>
      <c r="W753" t="s">
        <v>555</v>
      </c>
      <c r="AA753">
        <v>0.5</v>
      </c>
      <c r="AB753" t="s">
        <v>33</v>
      </c>
      <c r="AE753" t="str">
        <f t="shared" si="224"/>
        <v>Cole</v>
      </c>
      <c r="AF753">
        <v>0</v>
      </c>
      <c r="AG753">
        <v>0</v>
      </c>
      <c r="AH753">
        <v>1</v>
      </c>
      <c r="AI753">
        <v>0</v>
      </c>
      <c r="AJ753">
        <v>0</v>
      </c>
      <c r="AO753">
        <f t="shared" si="237"/>
        <v>0</v>
      </c>
      <c r="AP753">
        <f t="shared" si="237"/>
        <v>0</v>
      </c>
      <c r="AQ753">
        <f t="shared" si="237"/>
        <v>0</v>
      </c>
      <c r="AR753">
        <f t="shared" si="237"/>
        <v>0</v>
      </c>
      <c r="AS753">
        <f t="shared" si="237"/>
        <v>0</v>
      </c>
      <c r="AT753">
        <f t="shared" si="237"/>
        <v>0</v>
      </c>
      <c r="AU753">
        <f t="shared" si="237"/>
        <v>0</v>
      </c>
      <c r="AV753">
        <f t="shared" si="237"/>
        <v>0</v>
      </c>
      <c r="AW753">
        <f t="shared" si="237"/>
        <v>0</v>
      </c>
      <c r="AX753">
        <f t="shared" si="237"/>
        <v>0</v>
      </c>
      <c r="AY753">
        <f t="shared" si="238"/>
        <v>0</v>
      </c>
      <c r="AZ753">
        <f t="shared" si="238"/>
        <v>0</v>
      </c>
      <c r="BA753">
        <f t="shared" si="238"/>
        <v>0</v>
      </c>
      <c r="BB753">
        <f t="shared" si="238"/>
        <v>0</v>
      </c>
      <c r="BC753">
        <f t="shared" si="238"/>
        <v>0</v>
      </c>
      <c r="BD753" t="str">
        <f t="shared" si="238"/>
        <v>Cole</v>
      </c>
      <c r="BE753">
        <f t="shared" si="238"/>
        <v>0</v>
      </c>
      <c r="BF753">
        <f t="shared" si="238"/>
        <v>0</v>
      </c>
      <c r="BG753">
        <f t="shared" si="238"/>
        <v>0</v>
      </c>
      <c r="BH753">
        <f t="shared" si="238"/>
        <v>0</v>
      </c>
      <c r="BI753">
        <f t="shared" si="239"/>
        <v>0</v>
      </c>
      <c r="BJ753">
        <f t="shared" si="239"/>
        <v>0</v>
      </c>
      <c r="BK753">
        <f t="shared" si="239"/>
        <v>0</v>
      </c>
      <c r="BL753">
        <f t="shared" si="239"/>
        <v>0</v>
      </c>
      <c r="BM753">
        <f t="shared" si="239"/>
        <v>0</v>
      </c>
      <c r="BN753">
        <f t="shared" si="239"/>
        <v>0</v>
      </c>
      <c r="BO753">
        <f t="shared" si="239"/>
        <v>0</v>
      </c>
      <c r="BP753">
        <f t="shared" si="239"/>
        <v>0</v>
      </c>
      <c r="BQ753">
        <f t="shared" si="239"/>
        <v>0</v>
      </c>
      <c r="BR753">
        <f t="shared" si="239"/>
        <v>0</v>
      </c>
      <c r="BS753">
        <f t="shared" si="239"/>
        <v>0</v>
      </c>
    </row>
    <row r="754" spans="2:71" ht="15" customHeight="1" x14ac:dyDescent="0.2">
      <c r="B754" t="s">
        <v>245</v>
      </c>
      <c r="D754">
        <v>11</v>
      </c>
      <c r="E754" t="s">
        <v>553</v>
      </c>
      <c r="F754" t="s">
        <v>214</v>
      </c>
      <c r="G754" s="5">
        <v>45584</v>
      </c>
      <c r="H754" t="s">
        <v>97</v>
      </c>
      <c r="I754" t="s">
        <v>528</v>
      </c>
      <c r="J754" t="s">
        <v>168</v>
      </c>
      <c r="K754">
        <v>9</v>
      </c>
      <c r="L754" t="s">
        <v>76</v>
      </c>
      <c r="M754" t="s">
        <v>554</v>
      </c>
      <c r="N754" t="s">
        <v>78</v>
      </c>
      <c r="R754" t="s">
        <v>248</v>
      </c>
      <c r="S754" t="s">
        <v>248</v>
      </c>
      <c r="U754" t="s">
        <v>52</v>
      </c>
      <c r="V754" t="s">
        <v>48</v>
      </c>
      <c r="W754" t="s">
        <v>555</v>
      </c>
      <c r="AA754">
        <v>0.5</v>
      </c>
      <c r="AB754" t="s">
        <v>33</v>
      </c>
      <c r="AE754" t="str">
        <f t="shared" si="224"/>
        <v>Lynch</v>
      </c>
      <c r="AF754">
        <v>0</v>
      </c>
      <c r="AG754">
        <v>0</v>
      </c>
      <c r="AH754">
        <v>1</v>
      </c>
      <c r="AI754">
        <v>0</v>
      </c>
      <c r="AJ754">
        <v>0</v>
      </c>
      <c r="AO754">
        <f t="shared" si="237"/>
        <v>0</v>
      </c>
      <c r="AP754">
        <f t="shared" si="237"/>
        <v>0</v>
      </c>
      <c r="AQ754">
        <f t="shared" si="237"/>
        <v>0</v>
      </c>
      <c r="AR754">
        <f t="shared" si="237"/>
        <v>0</v>
      </c>
      <c r="AS754">
        <f t="shared" si="237"/>
        <v>0</v>
      </c>
      <c r="AT754">
        <f t="shared" si="237"/>
        <v>0</v>
      </c>
      <c r="AU754">
        <f t="shared" si="237"/>
        <v>0</v>
      </c>
      <c r="AV754">
        <f t="shared" si="237"/>
        <v>0</v>
      </c>
      <c r="AW754" t="str">
        <f t="shared" si="237"/>
        <v>Lynch</v>
      </c>
      <c r="AX754">
        <f t="shared" si="237"/>
        <v>0</v>
      </c>
      <c r="AY754">
        <f t="shared" si="238"/>
        <v>0</v>
      </c>
      <c r="AZ754">
        <f t="shared" si="238"/>
        <v>0</v>
      </c>
      <c r="BA754">
        <f t="shared" si="238"/>
        <v>0</v>
      </c>
      <c r="BB754">
        <f t="shared" si="238"/>
        <v>0</v>
      </c>
      <c r="BC754">
        <f t="shared" si="238"/>
        <v>0</v>
      </c>
      <c r="BD754">
        <f t="shared" si="238"/>
        <v>0</v>
      </c>
      <c r="BE754">
        <f t="shared" si="238"/>
        <v>0</v>
      </c>
      <c r="BF754">
        <f t="shared" si="238"/>
        <v>0</v>
      </c>
      <c r="BG754">
        <f t="shared" si="238"/>
        <v>0</v>
      </c>
      <c r="BH754">
        <f t="shared" si="238"/>
        <v>0</v>
      </c>
      <c r="BI754">
        <f t="shared" si="239"/>
        <v>0</v>
      </c>
      <c r="BJ754">
        <f t="shared" si="239"/>
        <v>0</v>
      </c>
      <c r="BK754">
        <f t="shared" si="239"/>
        <v>0</v>
      </c>
      <c r="BL754">
        <f t="shared" si="239"/>
        <v>0</v>
      </c>
      <c r="BM754">
        <f t="shared" si="239"/>
        <v>0</v>
      </c>
      <c r="BN754">
        <f t="shared" si="239"/>
        <v>0</v>
      </c>
      <c r="BO754">
        <f t="shared" si="239"/>
        <v>0</v>
      </c>
      <c r="BP754">
        <f t="shared" si="239"/>
        <v>0</v>
      </c>
      <c r="BQ754">
        <f t="shared" si="239"/>
        <v>0</v>
      </c>
      <c r="BR754">
        <f t="shared" si="239"/>
        <v>0</v>
      </c>
      <c r="BS754">
        <f t="shared" si="239"/>
        <v>0</v>
      </c>
    </row>
    <row r="755" spans="2:71" ht="15" customHeight="1" x14ac:dyDescent="0.2">
      <c r="B755" t="s">
        <v>245</v>
      </c>
      <c r="D755">
        <v>11</v>
      </c>
      <c r="E755" t="s">
        <v>553</v>
      </c>
      <c r="F755" t="s">
        <v>214</v>
      </c>
      <c r="G755" s="5">
        <v>45584</v>
      </c>
      <c r="H755" t="s">
        <v>97</v>
      </c>
      <c r="I755" t="s">
        <v>528</v>
      </c>
      <c r="J755" t="s">
        <v>168</v>
      </c>
      <c r="K755">
        <v>9</v>
      </c>
      <c r="L755" t="s">
        <v>76</v>
      </c>
      <c r="M755" t="s">
        <v>554</v>
      </c>
      <c r="N755" t="s">
        <v>78</v>
      </c>
      <c r="R755" t="s">
        <v>248</v>
      </c>
      <c r="S755" t="s">
        <v>248</v>
      </c>
      <c r="U755" t="s">
        <v>52</v>
      </c>
      <c r="V755" t="s">
        <v>52</v>
      </c>
      <c r="W755" t="s">
        <v>555</v>
      </c>
      <c r="AA755">
        <v>0.5</v>
      </c>
      <c r="AB755" t="s">
        <v>33</v>
      </c>
      <c r="AE755" t="str">
        <f t="shared" si="224"/>
        <v>Connors</v>
      </c>
      <c r="AF755">
        <v>0</v>
      </c>
      <c r="AG755">
        <v>0</v>
      </c>
      <c r="AH755">
        <v>1</v>
      </c>
      <c r="AI755">
        <v>0</v>
      </c>
      <c r="AJ755">
        <v>0</v>
      </c>
      <c r="AO755">
        <f t="shared" si="237"/>
        <v>0</v>
      </c>
      <c r="AP755">
        <f t="shared" si="237"/>
        <v>0</v>
      </c>
      <c r="AQ755">
        <f t="shared" si="237"/>
        <v>0</v>
      </c>
      <c r="AR755">
        <f t="shared" si="237"/>
        <v>0</v>
      </c>
      <c r="AS755">
        <f t="shared" si="237"/>
        <v>0</v>
      </c>
      <c r="AT755">
        <f t="shared" si="237"/>
        <v>0</v>
      </c>
      <c r="AU755">
        <f t="shared" si="237"/>
        <v>0</v>
      </c>
      <c r="AV755">
        <f t="shared" si="237"/>
        <v>0</v>
      </c>
      <c r="AW755">
        <f t="shared" si="237"/>
        <v>0</v>
      </c>
      <c r="AX755">
        <f t="shared" si="237"/>
        <v>0</v>
      </c>
      <c r="AY755">
        <f t="shared" si="238"/>
        <v>0</v>
      </c>
      <c r="AZ755">
        <f t="shared" si="238"/>
        <v>0</v>
      </c>
      <c r="BA755" t="str">
        <f t="shared" si="238"/>
        <v>Connors</v>
      </c>
      <c r="BB755">
        <f t="shared" si="238"/>
        <v>0</v>
      </c>
      <c r="BC755">
        <f t="shared" si="238"/>
        <v>0</v>
      </c>
      <c r="BD755">
        <f t="shared" si="238"/>
        <v>0</v>
      </c>
      <c r="BE755">
        <f t="shared" si="238"/>
        <v>0</v>
      </c>
      <c r="BF755">
        <f t="shared" si="238"/>
        <v>0</v>
      </c>
      <c r="BG755">
        <f t="shared" si="238"/>
        <v>0</v>
      </c>
      <c r="BH755">
        <f t="shared" si="238"/>
        <v>0</v>
      </c>
      <c r="BI755">
        <f t="shared" si="239"/>
        <v>0</v>
      </c>
      <c r="BJ755">
        <f t="shared" si="239"/>
        <v>0</v>
      </c>
      <c r="BK755">
        <f t="shared" si="239"/>
        <v>0</v>
      </c>
      <c r="BL755">
        <f t="shared" si="239"/>
        <v>0</v>
      </c>
      <c r="BM755">
        <f t="shared" si="239"/>
        <v>0</v>
      </c>
      <c r="BN755">
        <f t="shared" si="239"/>
        <v>0</v>
      </c>
      <c r="BO755">
        <f t="shared" si="239"/>
        <v>0</v>
      </c>
      <c r="BP755">
        <f t="shared" si="239"/>
        <v>0</v>
      </c>
      <c r="BQ755">
        <f t="shared" si="239"/>
        <v>0</v>
      </c>
      <c r="BR755">
        <f t="shared" si="239"/>
        <v>0</v>
      </c>
      <c r="BS755">
        <f t="shared" si="239"/>
        <v>0</v>
      </c>
    </row>
    <row r="756" spans="2:71" ht="15" customHeight="1" x14ac:dyDescent="0.2">
      <c r="B756" t="s">
        <v>245</v>
      </c>
      <c r="D756">
        <v>11</v>
      </c>
      <c r="E756" t="s">
        <v>553</v>
      </c>
      <c r="F756" t="s">
        <v>214</v>
      </c>
      <c r="G756" s="5">
        <v>45584</v>
      </c>
      <c r="H756" t="s">
        <v>97</v>
      </c>
      <c r="I756" t="s">
        <v>528</v>
      </c>
      <c r="J756" t="s">
        <v>168</v>
      </c>
      <c r="K756">
        <v>9</v>
      </c>
      <c r="L756" t="s">
        <v>76</v>
      </c>
      <c r="M756" t="s">
        <v>554</v>
      </c>
      <c r="N756" t="s">
        <v>78</v>
      </c>
      <c r="R756" t="s">
        <v>248</v>
      </c>
      <c r="S756" t="s">
        <v>248</v>
      </c>
      <c r="U756" t="s">
        <v>52</v>
      </c>
      <c r="V756" t="s">
        <v>42</v>
      </c>
      <c r="W756" t="s">
        <v>555</v>
      </c>
      <c r="AA756">
        <v>0.5</v>
      </c>
      <c r="AB756" t="s">
        <v>33</v>
      </c>
      <c r="AE756" t="str">
        <f t="shared" si="224"/>
        <v>Jackson</v>
      </c>
      <c r="AF756">
        <v>0</v>
      </c>
      <c r="AG756">
        <v>0</v>
      </c>
      <c r="AH756">
        <v>1</v>
      </c>
      <c r="AI756">
        <v>0</v>
      </c>
      <c r="AJ756">
        <v>0</v>
      </c>
      <c r="AO756">
        <f t="shared" si="237"/>
        <v>0</v>
      </c>
      <c r="AP756">
        <f t="shared" si="237"/>
        <v>0</v>
      </c>
      <c r="AQ756" t="str">
        <f t="shared" si="237"/>
        <v>Jackson</v>
      </c>
      <c r="AR756">
        <f t="shared" si="237"/>
        <v>0</v>
      </c>
      <c r="AS756">
        <f t="shared" si="237"/>
        <v>0</v>
      </c>
      <c r="AT756">
        <f t="shared" si="237"/>
        <v>0</v>
      </c>
      <c r="AU756">
        <f t="shared" si="237"/>
        <v>0</v>
      </c>
      <c r="AV756">
        <f t="shared" si="237"/>
        <v>0</v>
      </c>
      <c r="AW756">
        <f t="shared" si="237"/>
        <v>0</v>
      </c>
      <c r="AX756">
        <f t="shared" si="237"/>
        <v>0</v>
      </c>
      <c r="AY756">
        <f t="shared" si="238"/>
        <v>0</v>
      </c>
      <c r="AZ756">
        <f t="shared" si="238"/>
        <v>0</v>
      </c>
      <c r="BA756">
        <f t="shared" si="238"/>
        <v>0</v>
      </c>
      <c r="BB756">
        <f t="shared" si="238"/>
        <v>0</v>
      </c>
      <c r="BC756">
        <f t="shared" si="238"/>
        <v>0</v>
      </c>
      <c r="BD756">
        <f t="shared" si="238"/>
        <v>0</v>
      </c>
      <c r="BE756">
        <f t="shared" si="238"/>
        <v>0</v>
      </c>
      <c r="BF756">
        <f t="shared" si="238"/>
        <v>0</v>
      </c>
      <c r="BG756">
        <f t="shared" si="238"/>
        <v>0</v>
      </c>
      <c r="BH756">
        <f t="shared" si="238"/>
        <v>0</v>
      </c>
      <c r="BI756">
        <f t="shared" si="239"/>
        <v>0</v>
      </c>
      <c r="BJ756">
        <f t="shared" si="239"/>
        <v>0</v>
      </c>
      <c r="BK756">
        <f t="shared" si="239"/>
        <v>0</v>
      </c>
      <c r="BL756">
        <f t="shared" si="239"/>
        <v>0</v>
      </c>
      <c r="BM756">
        <f t="shared" si="239"/>
        <v>0</v>
      </c>
      <c r="BN756">
        <f t="shared" si="239"/>
        <v>0</v>
      </c>
      <c r="BO756">
        <f t="shared" si="239"/>
        <v>0</v>
      </c>
      <c r="BP756">
        <f t="shared" si="239"/>
        <v>0</v>
      </c>
      <c r="BQ756">
        <f t="shared" si="239"/>
        <v>0</v>
      </c>
      <c r="BR756">
        <f t="shared" si="239"/>
        <v>0</v>
      </c>
      <c r="BS756">
        <f t="shared" si="239"/>
        <v>0</v>
      </c>
    </row>
    <row r="757" spans="2:71" ht="15" customHeight="1" x14ac:dyDescent="0.2">
      <c r="B757" t="s">
        <v>245</v>
      </c>
      <c r="D757">
        <v>11</v>
      </c>
      <c r="E757" t="s">
        <v>553</v>
      </c>
      <c r="F757" t="s">
        <v>214</v>
      </c>
      <c r="G757" s="5">
        <v>45584</v>
      </c>
      <c r="H757" t="s">
        <v>97</v>
      </c>
      <c r="I757" t="s">
        <v>528</v>
      </c>
      <c r="J757" t="s">
        <v>168</v>
      </c>
      <c r="K757">
        <v>9</v>
      </c>
      <c r="L757" t="s">
        <v>76</v>
      </c>
      <c r="M757" t="s">
        <v>554</v>
      </c>
      <c r="N757" t="s">
        <v>78</v>
      </c>
      <c r="R757" t="s">
        <v>248</v>
      </c>
      <c r="S757" t="s">
        <v>248</v>
      </c>
      <c r="U757" t="s">
        <v>52</v>
      </c>
      <c r="V757" t="s">
        <v>63</v>
      </c>
      <c r="W757" t="s">
        <v>555</v>
      </c>
      <c r="AA757">
        <v>0.5</v>
      </c>
      <c r="AB757" t="s">
        <v>33</v>
      </c>
      <c r="AE757" t="str">
        <f t="shared" si="224"/>
        <v>Delaney</v>
      </c>
      <c r="AF757">
        <v>0</v>
      </c>
      <c r="AG757">
        <v>0</v>
      </c>
      <c r="AH757">
        <v>1</v>
      </c>
      <c r="AI757">
        <v>0</v>
      </c>
      <c r="AJ757">
        <v>0</v>
      </c>
      <c r="AO757">
        <f t="shared" si="237"/>
        <v>0</v>
      </c>
      <c r="AP757">
        <f t="shared" si="237"/>
        <v>0</v>
      </c>
      <c r="AQ757">
        <f t="shared" si="237"/>
        <v>0</v>
      </c>
      <c r="AR757">
        <f t="shared" si="237"/>
        <v>0</v>
      </c>
      <c r="AS757">
        <f t="shared" si="237"/>
        <v>0</v>
      </c>
      <c r="AT757">
        <f t="shared" si="237"/>
        <v>0</v>
      </c>
      <c r="AU757">
        <f t="shared" si="237"/>
        <v>0</v>
      </c>
      <c r="AV757">
        <f t="shared" si="237"/>
        <v>0</v>
      </c>
      <c r="AW757">
        <f t="shared" si="237"/>
        <v>0</v>
      </c>
      <c r="AX757">
        <f t="shared" si="237"/>
        <v>0</v>
      </c>
      <c r="AY757">
        <f t="shared" si="238"/>
        <v>0</v>
      </c>
      <c r="AZ757">
        <f t="shared" si="238"/>
        <v>0</v>
      </c>
      <c r="BA757">
        <f t="shared" si="238"/>
        <v>0</v>
      </c>
      <c r="BB757">
        <f t="shared" si="238"/>
        <v>0</v>
      </c>
      <c r="BC757">
        <f t="shared" si="238"/>
        <v>0</v>
      </c>
      <c r="BD757">
        <f t="shared" si="238"/>
        <v>0</v>
      </c>
      <c r="BE757">
        <f t="shared" si="238"/>
        <v>0</v>
      </c>
      <c r="BF757">
        <f t="shared" si="238"/>
        <v>0</v>
      </c>
      <c r="BG757">
        <f t="shared" si="238"/>
        <v>0</v>
      </c>
      <c r="BH757">
        <f t="shared" si="238"/>
        <v>0</v>
      </c>
      <c r="BI757">
        <f t="shared" si="239"/>
        <v>0</v>
      </c>
      <c r="BJ757">
        <f t="shared" si="239"/>
        <v>0</v>
      </c>
      <c r="BK757">
        <f t="shared" si="239"/>
        <v>0</v>
      </c>
      <c r="BL757" t="str">
        <f t="shared" si="239"/>
        <v>Delaney</v>
      </c>
      <c r="BM757">
        <f t="shared" si="239"/>
        <v>0</v>
      </c>
      <c r="BN757">
        <f t="shared" si="239"/>
        <v>0</v>
      </c>
      <c r="BO757">
        <f t="shared" si="239"/>
        <v>0</v>
      </c>
      <c r="BP757">
        <f t="shared" si="239"/>
        <v>0</v>
      </c>
      <c r="BQ757">
        <f t="shared" si="239"/>
        <v>0</v>
      </c>
      <c r="BR757">
        <f t="shared" si="239"/>
        <v>0</v>
      </c>
      <c r="BS757">
        <f t="shared" si="239"/>
        <v>0</v>
      </c>
    </row>
    <row r="758" spans="2:71" ht="15" customHeight="1" x14ac:dyDescent="0.2">
      <c r="B758" t="s">
        <v>245</v>
      </c>
      <c r="D758">
        <v>11</v>
      </c>
      <c r="E758" t="s">
        <v>553</v>
      </c>
      <c r="F758" t="s">
        <v>214</v>
      </c>
      <c r="G758" s="5">
        <v>45584</v>
      </c>
      <c r="H758" t="s">
        <v>97</v>
      </c>
      <c r="I758" t="s">
        <v>528</v>
      </c>
      <c r="J758" t="s">
        <v>168</v>
      </c>
      <c r="K758">
        <v>9</v>
      </c>
      <c r="L758" t="s">
        <v>76</v>
      </c>
      <c r="M758" t="s">
        <v>554</v>
      </c>
      <c r="N758" t="s">
        <v>78</v>
      </c>
      <c r="R758" t="s">
        <v>248</v>
      </c>
      <c r="S758" t="s">
        <v>248</v>
      </c>
      <c r="U758" t="s">
        <v>52</v>
      </c>
      <c r="V758" t="s">
        <v>41</v>
      </c>
      <c r="W758" t="s">
        <v>555</v>
      </c>
      <c r="AA758">
        <v>0.5</v>
      </c>
      <c r="AB758" t="s">
        <v>33</v>
      </c>
      <c r="AE758" t="str">
        <f t="shared" si="224"/>
        <v>Hilts</v>
      </c>
      <c r="AF758">
        <v>0</v>
      </c>
      <c r="AG758">
        <v>0</v>
      </c>
      <c r="AH758">
        <v>1</v>
      </c>
      <c r="AI758">
        <v>0</v>
      </c>
      <c r="AJ758">
        <v>0</v>
      </c>
      <c r="AO758">
        <f t="shared" si="237"/>
        <v>0</v>
      </c>
      <c r="AP758" t="str">
        <f t="shared" si="237"/>
        <v>Hilts</v>
      </c>
      <c r="AQ758">
        <f t="shared" si="237"/>
        <v>0</v>
      </c>
      <c r="AR758">
        <f t="shared" si="237"/>
        <v>0</v>
      </c>
      <c r="AS758">
        <f t="shared" si="237"/>
        <v>0</v>
      </c>
      <c r="AT758">
        <f t="shared" si="237"/>
        <v>0</v>
      </c>
      <c r="AU758">
        <f t="shared" si="237"/>
        <v>0</v>
      </c>
      <c r="AV758">
        <f t="shared" si="237"/>
        <v>0</v>
      </c>
      <c r="AW758">
        <f t="shared" si="237"/>
        <v>0</v>
      </c>
      <c r="AX758">
        <f t="shared" si="237"/>
        <v>0</v>
      </c>
      <c r="AY758">
        <f t="shared" si="238"/>
        <v>0</v>
      </c>
      <c r="AZ758">
        <f t="shared" si="238"/>
        <v>0</v>
      </c>
      <c r="BA758">
        <f t="shared" si="238"/>
        <v>0</v>
      </c>
      <c r="BB758">
        <f t="shared" si="238"/>
        <v>0</v>
      </c>
      <c r="BC758">
        <f t="shared" si="238"/>
        <v>0</v>
      </c>
      <c r="BD758">
        <f t="shared" si="238"/>
        <v>0</v>
      </c>
      <c r="BE758">
        <f t="shared" si="238"/>
        <v>0</v>
      </c>
      <c r="BF758">
        <f t="shared" si="238"/>
        <v>0</v>
      </c>
      <c r="BG758">
        <f t="shared" si="238"/>
        <v>0</v>
      </c>
      <c r="BH758">
        <f t="shared" si="238"/>
        <v>0</v>
      </c>
      <c r="BI758">
        <f t="shared" si="239"/>
        <v>0</v>
      </c>
      <c r="BJ758">
        <f t="shared" si="239"/>
        <v>0</v>
      </c>
      <c r="BK758">
        <f t="shared" si="239"/>
        <v>0</v>
      </c>
      <c r="BL758">
        <f t="shared" si="239"/>
        <v>0</v>
      </c>
      <c r="BM758">
        <f t="shared" si="239"/>
        <v>0</v>
      </c>
      <c r="BN758">
        <f t="shared" si="239"/>
        <v>0</v>
      </c>
      <c r="BO758">
        <f t="shared" si="239"/>
        <v>0</v>
      </c>
      <c r="BP758">
        <f t="shared" si="239"/>
        <v>0</v>
      </c>
      <c r="BQ758">
        <f t="shared" si="239"/>
        <v>0</v>
      </c>
      <c r="BR758">
        <f t="shared" si="239"/>
        <v>0</v>
      </c>
      <c r="BS758">
        <f t="shared" si="239"/>
        <v>0</v>
      </c>
    </row>
    <row r="759" spans="2:71" ht="15" customHeight="1" x14ac:dyDescent="0.2">
      <c r="B759" t="s">
        <v>245</v>
      </c>
      <c r="D759">
        <v>11</v>
      </c>
      <c r="E759" t="s">
        <v>553</v>
      </c>
      <c r="F759" t="s">
        <v>214</v>
      </c>
      <c r="G759" s="5">
        <v>45584</v>
      </c>
      <c r="H759" t="s">
        <v>97</v>
      </c>
      <c r="I759" t="s">
        <v>528</v>
      </c>
      <c r="J759" t="s">
        <v>168</v>
      </c>
      <c r="K759">
        <v>9</v>
      </c>
      <c r="L759" t="s">
        <v>76</v>
      </c>
      <c r="M759" t="s">
        <v>554</v>
      </c>
      <c r="N759" t="s">
        <v>78</v>
      </c>
      <c r="R759" t="s">
        <v>248</v>
      </c>
      <c r="S759" t="s">
        <v>248</v>
      </c>
      <c r="U759" t="s">
        <v>52</v>
      </c>
      <c r="V759" t="s">
        <v>46</v>
      </c>
      <c r="W759" t="s">
        <v>555</v>
      </c>
      <c r="AA759">
        <v>0.5</v>
      </c>
      <c r="AB759" t="s">
        <v>33</v>
      </c>
      <c r="AE759" t="str">
        <f t="shared" si="224"/>
        <v>Mangold</v>
      </c>
      <c r="AF759">
        <v>0</v>
      </c>
      <c r="AG759">
        <v>0</v>
      </c>
      <c r="AH759">
        <v>1</v>
      </c>
      <c r="AI759">
        <v>0</v>
      </c>
      <c r="AJ759">
        <v>0</v>
      </c>
      <c r="AO759">
        <f t="shared" si="237"/>
        <v>0</v>
      </c>
      <c r="AP759">
        <f t="shared" si="237"/>
        <v>0</v>
      </c>
      <c r="AQ759">
        <f t="shared" si="237"/>
        <v>0</v>
      </c>
      <c r="AR759">
        <f t="shared" si="237"/>
        <v>0</v>
      </c>
      <c r="AS759">
        <f t="shared" si="237"/>
        <v>0</v>
      </c>
      <c r="AT759">
        <f t="shared" si="237"/>
        <v>0</v>
      </c>
      <c r="AU759" t="str">
        <f t="shared" si="237"/>
        <v>Mangold</v>
      </c>
      <c r="AV759">
        <f t="shared" si="237"/>
        <v>0</v>
      </c>
      <c r="AW759">
        <f t="shared" si="237"/>
        <v>0</v>
      </c>
      <c r="AX759">
        <f t="shared" si="237"/>
        <v>0</v>
      </c>
      <c r="AY759">
        <f t="shared" si="238"/>
        <v>0</v>
      </c>
      <c r="AZ759">
        <f t="shared" si="238"/>
        <v>0</v>
      </c>
      <c r="BA759">
        <f t="shared" si="238"/>
        <v>0</v>
      </c>
      <c r="BB759">
        <f t="shared" si="238"/>
        <v>0</v>
      </c>
      <c r="BC759">
        <f t="shared" si="238"/>
        <v>0</v>
      </c>
      <c r="BD759">
        <f t="shared" si="238"/>
        <v>0</v>
      </c>
      <c r="BE759">
        <f t="shared" si="238"/>
        <v>0</v>
      </c>
      <c r="BF759">
        <f t="shared" si="238"/>
        <v>0</v>
      </c>
      <c r="BG759">
        <f t="shared" si="238"/>
        <v>0</v>
      </c>
      <c r="BH759">
        <f t="shared" si="238"/>
        <v>0</v>
      </c>
      <c r="BI759">
        <f t="shared" si="239"/>
        <v>0</v>
      </c>
      <c r="BJ759">
        <f t="shared" si="239"/>
        <v>0</v>
      </c>
      <c r="BK759">
        <f t="shared" si="239"/>
        <v>0</v>
      </c>
      <c r="BL759">
        <f t="shared" si="239"/>
        <v>0</v>
      </c>
      <c r="BM759">
        <f t="shared" si="239"/>
        <v>0</v>
      </c>
      <c r="BN759">
        <f t="shared" si="239"/>
        <v>0</v>
      </c>
      <c r="BO759">
        <f t="shared" si="239"/>
        <v>0</v>
      </c>
      <c r="BP759">
        <f t="shared" si="239"/>
        <v>0</v>
      </c>
      <c r="BQ759">
        <f t="shared" si="239"/>
        <v>0</v>
      </c>
      <c r="BR759">
        <f t="shared" si="239"/>
        <v>0</v>
      </c>
      <c r="BS759">
        <f t="shared" si="239"/>
        <v>0</v>
      </c>
    </row>
    <row r="760" spans="2:71" ht="15" customHeight="1" x14ac:dyDescent="0.2">
      <c r="B760" t="s">
        <v>245</v>
      </c>
      <c r="D760">
        <v>11</v>
      </c>
      <c r="E760" t="s">
        <v>553</v>
      </c>
      <c r="F760" t="s">
        <v>214</v>
      </c>
      <c r="G760" s="5">
        <v>45584</v>
      </c>
      <c r="H760" t="s">
        <v>97</v>
      </c>
      <c r="I760" t="s">
        <v>528</v>
      </c>
      <c r="J760" t="s">
        <v>168</v>
      </c>
      <c r="K760">
        <v>9</v>
      </c>
      <c r="L760" t="s">
        <v>76</v>
      </c>
      <c r="M760" t="s">
        <v>554</v>
      </c>
      <c r="N760" t="s">
        <v>78</v>
      </c>
      <c r="R760" t="s">
        <v>248</v>
      </c>
      <c r="S760" t="s">
        <v>248</v>
      </c>
      <c r="U760" t="s">
        <v>52</v>
      </c>
      <c r="V760" t="s">
        <v>62</v>
      </c>
      <c r="W760" t="s">
        <v>555</v>
      </c>
      <c r="AA760">
        <v>0.5</v>
      </c>
      <c r="AB760" t="s">
        <v>33</v>
      </c>
      <c r="AE760" t="str">
        <f t="shared" si="224"/>
        <v>Welker</v>
      </c>
      <c r="AF760">
        <v>0</v>
      </c>
      <c r="AG760">
        <v>0</v>
      </c>
      <c r="AH760">
        <v>1</v>
      </c>
      <c r="AI760">
        <v>0</v>
      </c>
      <c r="AJ760">
        <v>0</v>
      </c>
      <c r="AO760">
        <f t="shared" si="237"/>
        <v>0</v>
      </c>
      <c r="AP760">
        <f t="shared" si="237"/>
        <v>0</v>
      </c>
      <c r="AQ760">
        <f t="shared" si="237"/>
        <v>0</v>
      </c>
      <c r="AR760">
        <f t="shared" si="237"/>
        <v>0</v>
      </c>
      <c r="AS760">
        <f t="shared" si="237"/>
        <v>0</v>
      </c>
      <c r="AT760">
        <f t="shared" si="237"/>
        <v>0</v>
      </c>
      <c r="AU760">
        <f t="shared" si="237"/>
        <v>0</v>
      </c>
      <c r="AV760">
        <f t="shared" si="237"/>
        <v>0</v>
      </c>
      <c r="AW760">
        <f t="shared" si="237"/>
        <v>0</v>
      </c>
      <c r="AX760">
        <f t="shared" si="237"/>
        <v>0</v>
      </c>
      <c r="AY760">
        <f t="shared" si="238"/>
        <v>0</v>
      </c>
      <c r="AZ760">
        <f t="shared" si="238"/>
        <v>0</v>
      </c>
      <c r="BA760">
        <f t="shared" si="238"/>
        <v>0</v>
      </c>
      <c r="BB760">
        <f t="shared" si="238"/>
        <v>0</v>
      </c>
      <c r="BC760">
        <f t="shared" si="238"/>
        <v>0</v>
      </c>
      <c r="BD760">
        <f t="shared" si="238"/>
        <v>0</v>
      </c>
      <c r="BE760">
        <f t="shared" si="238"/>
        <v>0</v>
      </c>
      <c r="BF760">
        <f t="shared" si="238"/>
        <v>0</v>
      </c>
      <c r="BG760">
        <f t="shared" si="238"/>
        <v>0</v>
      </c>
      <c r="BH760">
        <f t="shared" si="238"/>
        <v>0</v>
      </c>
      <c r="BI760">
        <f t="shared" si="239"/>
        <v>0</v>
      </c>
      <c r="BJ760">
        <f t="shared" si="239"/>
        <v>0</v>
      </c>
      <c r="BK760" t="str">
        <f t="shared" si="239"/>
        <v>Welker</v>
      </c>
      <c r="BL760">
        <f t="shared" si="239"/>
        <v>0</v>
      </c>
      <c r="BM760">
        <f t="shared" si="239"/>
        <v>0</v>
      </c>
      <c r="BN760">
        <f t="shared" si="239"/>
        <v>0</v>
      </c>
      <c r="BO760">
        <f t="shared" si="239"/>
        <v>0</v>
      </c>
      <c r="BP760">
        <f t="shared" si="239"/>
        <v>0</v>
      </c>
      <c r="BQ760">
        <f t="shared" si="239"/>
        <v>0</v>
      </c>
      <c r="BR760">
        <f t="shared" si="239"/>
        <v>0</v>
      </c>
      <c r="BS760">
        <f t="shared" si="239"/>
        <v>0</v>
      </c>
    </row>
    <row r="761" spans="2:71" ht="15" customHeight="1" x14ac:dyDescent="0.2">
      <c r="B761" t="s">
        <v>245</v>
      </c>
      <c r="D761">
        <v>11</v>
      </c>
      <c r="E761" t="s">
        <v>553</v>
      </c>
      <c r="F761" t="s">
        <v>214</v>
      </c>
      <c r="G761" s="5">
        <v>45584</v>
      </c>
      <c r="H761" t="s">
        <v>97</v>
      </c>
      <c r="I761" t="s">
        <v>528</v>
      </c>
      <c r="J761" t="s">
        <v>168</v>
      </c>
      <c r="K761">
        <v>9</v>
      </c>
      <c r="L761" t="s">
        <v>76</v>
      </c>
      <c r="M761" t="s">
        <v>554</v>
      </c>
      <c r="N761" t="s">
        <v>78</v>
      </c>
      <c r="R761" t="s">
        <v>248</v>
      </c>
      <c r="S761" t="s">
        <v>248</v>
      </c>
      <c r="U761" t="s">
        <v>64</v>
      </c>
      <c r="V761" t="s">
        <v>54</v>
      </c>
      <c r="W761" t="s">
        <v>556</v>
      </c>
      <c r="AA761">
        <v>0.5</v>
      </c>
      <c r="AB761" t="s">
        <v>32</v>
      </c>
      <c r="AE761" t="str">
        <f t="shared" si="224"/>
        <v>Fogan</v>
      </c>
      <c r="AF761">
        <v>0.5</v>
      </c>
      <c r="AG761">
        <v>1</v>
      </c>
      <c r="AH761">
        <v>0</v>
      </c>
      <c r="AI761">
        <v>0</v>
      </c>
      <c r="AJ761">
        <v>1</v>
      </c>
      <c r="AO761">
        <f t="shared" si="237"/>
        <v>0</v>
      </c>
      <c r="AP761">
        <f t="shared" si="237"/>
        <v>0</v>
      </c>
      <c r="AQ761">
        <f t="shared" si="237"/>
        <v>0</v>
      </c>
      <c r="AR761">
        <f t="shared" si="237"/>
        <v>0</v>
      </c>
      <c r="AS761">
        <f t="shared" si="237"/>
        <v>0</v>
      </c>
      <c r="AT761">
        <f t="shared" si="237"/>
        <v>0</v>
      </c>
      <c r="AU761">
        <f t="shared" si="237"/>
        <v>0</v>
      </c>
      <c r="AV761">
        <f t="shared" si="237"/>
        <v>0</v>
      </c>
      <c r="AW761">
        <f t="shared" si="237"/>
        <v>0</v>
      </c>
      <c r="AX761">
        <f t="shared" si="237"/>
        <v>0</v>
      </c>
      <c r="AY761">
        <f t="shared" si="238"/>
        <v>0</v>
      </c>
      <c r="AZ761">
        <f t="shared" si="238"/>
        <v>0</v>
      </c>
      <c r="BA761">
        <f t="shared" si="238"/>
        <v>0</v>
      </c>
      <c r="BB761">
        <f t="shared" si="238"/>
        <v>0</v>
      </c>
      <c r="BC761" t="str">
        <f t="shared" si="238"/>
        <v>Fogan</v>
      </c>
      <c r="BD761">
        <f t="shared" si="238"/>
        <v>0</v>
      </c>
      <c r="BE761">
        <f t="shared" si="238"/>
        <v>0</v>
      </c>
      <c r="BF761">
        <f t="shared" si="238"/>
        <v>0</v>
      </c>
      <c r="BG761">
        <f t="shared" si="238"/>
        <v>0</v>
      </c>
      <c r="BH761">
        <f t="shared" si="238"/>
        <v>0</v>
      </c>
      <c r="BI761">
        <f t="shared" si="239"/>
        <v>0</v>
      </c>
      <c r="BJ761">
        <f t="shared" si="239"/>
        <v>0</v>
      </c>
      <c r="BK761">
        <f t="shared" si="239"/>
        <v>0</v>
      </c>
      <c r="BL761">
        <f t="shared" si="239"/>
        <v>0</v>
      </c>
      <c r="BM761">
        <f t="shared" si="239"/>
        <v>0</v>
      </c>
      <c r="BN761">
        <f t="shared" si="239"/>
        <v>0</v>
      </c>
      <c r="BO761">
        <f t="shared" si="239"/>
        <v>0</v>
      </c>
      <c r="BP761">
        <f t="shared" si="239"/>
        <v>0</v>
      </c>
      <c r="BQ761">
        <f t="shared" si="239"/>
        <v>0</v>
      </c>
      <c r="BR761">
        <f t="shared" si="239"/>
        <v>0</v>
      </c>
      <c r="BS761">
        <f t="shared" si="239"/>
        <v>0</v>
      </c>
    </row>
    <row r="762" spans="2:71" ht="15" customHeight="1" x14ac:dyDescent="0.2">
      <c r="B762" t="s">
        <v>245</v>
      </c>
      <c r="D762">
        <v>11</v>
      </c>
      <c r="E762" t="s">
        <v>553</v>
      </c>
      <c r="F762" t="s">
        <v>214</v>
      </c>
      <c r="G762" s="5">
        <v>45584</v>
      </c>
      <c r="H762" t="s">
        <v>97</v>
      </c>
      <c r="I762" t="s">
        <v>528</v>
      </c>
      <c r="J762" t="s">
        <v>168</v>
      </c>
      <c r="K762">
        <v>9</v>
      </c>
      <c r="L762" t="s">
        <v>76</v>
      </c>
      <c r="M762" t="s">
        <v>554</v>
      </c>
      <c r="N762" t="s">
        <v>78</v>
      </c>
      <c r="R762" t="s">
        <v>248</v>
      </c>
      <c r="S762" t="s">
        <v>248</v>
      </c>
      <c r="U762" t="s">
        <v>64</v>
      </c>
      <c r="V762" t="s">
        <v>43</v>
      </c>
      <c r="W762" t="s">
        <v>556</v>
      </c>
      <c r="AA762">
        <v>0.5</v>
      </c>
      <c r="AB762" t="s">
        <v>32</v>
      </c>
      <c r="AE762" t="str">
        <f t="shared" si="224"/>
        <v>Poirier</v>
      </c>
      <c r="AF762">
        <v>0.5</v>
      </c>
      <c r="AG762">
        <v>1</v>
      </c>
      <c r="AH762">
        <v>0</v>
      </c>
      <c r="AI762">
        <v>0</v>
      </c>
      <c r="AJ762">
        <v>1</v>
      </c>
      <c r="AO762">
        <f t="shared" ref="AO762:AX771" si="240">IF(OR($V762=AO$1,$Y762=AO$1),AO$1,0)</f>
        <v>0</v>
      </c>
      <c r="AP762">
        <f t="shared" si="240"/>
        <v>0</v>
      </c>
      <c r="AQ762">
        <f t="shared" si="240"/>
        <v>0</v>
      </c>
      <c r="AR762" t="str">
        <f t="shared" si="240"/>
        <v>Poirier</v>
      </c>
      <c r="AS762">
        <f t="shared" si="240"/>
        <v>0</v>
      </c>
      <c r="AT762">
        <f t="shared" si="240"/>
        <v>0</v>
      </c>
      <c r="AU762">
        <f t="shared" si="240"/>
        <v>0</v>
      </c>
      <c r="AV762">
        <f t="shared" si="240"/>
        <v>0</v>
      </c>
      <c r="AW762">
        <f t="shared" si="240"/>
        <v>0</v>
      </c>
      <c r="AX762">
        <f t="shared" si="240"/>
        <v>0</v>
      </c>
      <c r="AY762">
        <f t="shared" ref="AY762:BH771" si="241">IF(OR($V762=AY$1,$Y762=AY$1),AY$1,0)</f>
        <v>0</v>
      </c>
      <c r="AZ762">
        <f t="shared" si="241"/>
        <v>0</v>
      </c>
      <c r="BA762">
        <f t="shared" si="241"/>
        <v>0</v>
      </c>
      <c r="BB762">
        <f t="shared" si="241"/>
        <v>0</v>
      </c>
      <c r="BC762">
        <f t="shared" si="241"/>
        <v>0</v>
      </c>
      <c r="BD762">
        <f t="shared" si="241"/>
        <v>0</v>
      </c>
      <c r="BE762">
        <f t="shared" si="241"/>
        <v>0</v>
      </c>
      <c r="BF762">
        <f t="shared" si="241"/>
        <v>0</v>
      </c>
      <c r="BG762">
        <f t="shared" si="241"/>
        <v>0</v>
      </c>
      <c r="BH762">
        <f t="shared" si="241"/>
        <v>0</v>
      </c>
      <c r="BI762">
        <f t="shared" ref="BI762:BS771" si="242">IF(OR($V762=BI$1,$Y762=BI$1),BI$1,0)</f>
        <v>0</v>
      </c>
      <c r="BJ762">
        <f t="shared" si="242"/>
        <v>0</v>
      </c>
      <c r="BK762">
        <f t="shared" si="242"/>
        <v>0</v>
      </c>
      <c r="BL762">
        <f t="shared" si="242"/>
        <v>0</v>
      </c>
      <c r="BM762">
        <f t="shared" si="242"/>
        <v>0</v>
      </c>
      <c r="BN762">
        <f t="shared" si="242"/>
        <v>0</v>
      </c>
      <c r="BO762">
        <f t="shared" si="242"/>
        <v>0</v>
      </c>
      <c r="BP762">
        <f t="shared" si="242"/>
        <v>0</v>
      </c>
      <c r="BQ762">
        <f t="shared" si="242"/>
        <v>0</v>
      </c>
      <c r="BR762">
        <f t="shared" si="242"/>
        <v>0</v>
      </c>
      <c r="BS762">
        <f t="shared" si="242"/>
        <v>0</v>
      </c>
    </row>
    <row r="763" spans="2:71" ht="15" customHeight="1" x14ac:dyDescent="0.2">
      <c r="B763" t="s">
        <v>245</v>
      </c>
      <c r="D763">
        <v>11</v>
      </c>
      <c r="E763" t="s">
        <v>553</v>
      </c>
      <c r="F763" t="s">
        <v>214</v>
      </c>
      <c r="G763" s="5">
        <v>45584</v>
      </c>
      <c r="H763" t="s">
        <v>97</v>
      </c>
      <c r="I763" t="s">
        <v>528</v>
      </c>
      <c r="J763" t="s">
        <v>168</v>
      </c>
      <c r="K763">
        <v>9</v>
      </c>
      <c r="L763" t="s">
        <v>76</v>
      </c>
      <c r="M763" t="s">
        <v>554</v>
      </c>
      <c r="N763" t="s">
        <v>78</v>
      </c>
      <c r="R763" t="s">
        <v>248</v>
      </c>
      <c r="S763" t="s">
        <v>248</v>
      </c>
      <c r="U763" t="s">
        <v>64</v>
      </c>
      <c r="V763" t="s">
        <v>58</v>
      </c>
      <c r="W763" t="s">
        <v>556</v>
      </c>
      <c r="AA763">
        <v>0.5</v>
      </c>
      <c r="AB763" t="s">
        <v>32</v>
      </c>
      <c r="AE763" t="str">
        <f t="shared" si="224"/>
        <v>Gray</v>
      </c>
      <c r="AF763">
        <v>0.5</v>
      </c>
      <c r="AG763">
        <v>1</v>
      </c>
      <c r="AH763">
        <v>0</v>
      </c>
      <c r="AI763">
        <v>0</v>
      </c>
      <c r="AJ763">
        <v>1</v>
      </c>
      <c r="AO763">
        <f t="shared" si="240"/>
        <v>0</v>
      </c>
      <c r="AP763">
        <f t="shared" si="240"/>
        <v>0</v>
      </c>
      <c r="AQ763">
        <f t="shared" si="240"/>
        <v>0</v>
      </c>
      <c r="AR763">
        <f t="shared" si="240"/>
        <v>0</v>
      </c>
      <c r="AS763">
        <f t="shared" si="240"/>
        <v>0</v>
      </c>
      <c r="AT763">
        <f t="shared" si="240"/>
        <v>0</v>
      </c>
      <c r="AU763">
        <f t="shared" si="240"/>
        <v>0</v>
      </c>
      <c r="AV763">
        <f t="shared" si="240"/>
        <v>0</v>
      </c>
      <c r="AW763">
        <f t="shared" si="240"/>
        <v>0</v>
      </c>
      <c r="AX763">
        <f t="shared" si="240"/>
        <v>0</v>
      </c>
      <c r="AY763">
        <f t="shared" si="241"/>
        <v>0</v>
      </c>
      <c r="AZ763">
        <f t="shared" si="241"/>
        <v>0</v>
      </c>
      <c r="BA763">
        <f t="shared" si="241"/>
        <v>0</v>
      </c>
      <c r="BB763">
        <f t="shared" si="241"/>
        <v>0</v>
      </c>
      <c r="BC763">
        <f t="shared" si="241"/>
        <v>0</v>
      </c>
      <c r="BD763">
        <f t="shared" si="241"/>
        <v>0</v>
      </c>
      <c r="BE763">
        <f t="shared" si="241"/>
        <v>0</v>
      </c>
      <c r="BF763">
        <f t="shared" si="241"/>
        <v>0</v>
      </c>
      <c r="BG763" t="str">
        <f t="shared" si="241"/>
        <v>Gray</v>
      </c>
      <c r="BH763">
        <f t="shared" si="241"/>
        <v>0</v>
      </c>
      <c r="BI763">
        <f t="shared" si="242"/>
        <v>0</v>
      </c>
      <c r="BJ763">
        <f t="shared" si="242"/>
        <v>0</v>
      </c>
      <c r="BK763">
        <f t="shared" si="242"/>
        <v>0</v>
      </c>
      <c r="BL763">
        <f t="shared" si="242"/>
        <v>0</v>
      </c>
      <c r="BM763">
        <f t="shared" si="242"/>
        <v>0</v>
      </c>
      <c r="BN763">
        <f t="shared" si="242"/>
        <v>0</v>
      </c>
      <c r="BO763">
        <f t="shared" si="242"/>
        <v>0</v>
      </c>
      <c r="BP763">
        <f t="shared" si="242"/>
        <v>0</v>
      </c>
      <c r="BQ763">
        <f t="shared" si="242"/>
        <v>0</v>
      </c>
      <c r="BR763">
        <f t="shared" si="242"/>
        <v>0</v>
      </c>
      <c r="BS763">
        <f t="shared" si="242"/>
        <v>0</v>
      </c>
    </row>
    <row r="764" spans="2:71" ht="15" customHeight="1" x14ac:dyDescent="0.2">
      <c r="B764" t="s">
        <v>245</v>
      </c>
      <c r="D764">
        <v>11</v>
      </c>
      <c r="E764" t="s">
        <v>553</v>
      </c>
      <c r="F764" t="s">
        <v>214</v>
      </c>
      <c r="G764" s="5">
        <v>45584</v>
      </c>
      <c r="H764" t="s">
        <v>97</v>
      </c>
      <c r="I764" t="s">
        <v>528</v>
      </c>
      <c r="J764" t="s">
        <v>168</v>
      </c>
      <c r="K764">
        <v>9</v>
      </c>
      <c r="L764" t="s">
        <v>76</v>
      </c>
      <c r="M764" t="s">
        <v>554</v>
      </c>
      <c r="N764" t="s">
        <v>78</v>
      </c>
      <c r="R764" t="s">
        <v>248</v>
      </c>
      <c r="S764" t="s">
        <v>248</v>
      </c>
      <c r="U764" t="s">
        <v>64</v>
      </c>
      <c r="V764" t="s">
        <v>59</v>
      </c>
      <c r="W764" t="s">
        <v>556</v>
      </c>
      <c r="AA764">
        <v>0.5</v>
      </c>
      <c r="AB764" t="s">
        <v>32</v>
      </c>
      <c r="AE764" t="str">
        <f t="shared" si="224"/>
        <v>Norat</v>
      </c>
      <c r="AF764">
        <v>0.5</v>
      </c>
      <c r="AG764">
        <v>1</v>
      </c>
      <c r="AH764">
        <v>0</v>
      </c>
      <c r="AI764">
        <v>0</v>
      </c>
      <c r="AJ764">
        <v>1</v>
      </c>
      <c r="AO764">
        <f t="shared" si="240"/>
        <v>0</v>
      </c>
      <c r="AP764">
        <f t="shared" si="240"/>
        <v>0</v>
      </c>
      <c r="AQ764">
        <f t="shared" si="240"/>
        <v>0</v>
      </c>
      <c r="AR764">
        <f t="shared" si="240"/>
        <v>0</v>
      </c>
      <c r="AS764">
        <f t="shared" si="240"/>
        <v>0</v>
      </c>
      <c r="AT764">
        <f t="shared" si="240"/>
        <v>0</v>
      </c>
      <c r="AU764">
        <f t="shared" si="240"/>
        <v>0</v>
      </c>
      <c r="AV764">
        <f t="shared" si="240"/>
        <v>0</v>
      </c>
      <c r="AW764">
        <f t="shared" si="240"/>
        <v>0</v>
      </c>
      <c r="AX764">
        <f t="shared" si="240"/>
        <v>0</v>
      </c>
      <c r="AY764">
        <f t="shared" si="241"/>
        <v>0</v>
      </c>
      <c r="AZ764">
        <f t="shared" si="241"/>
        <v>0</v>
      </c>
      <c r="BA764">
        <f t="shared" si="241"/>
        <v>0</v>
      </c>
      <c r="BB764">
        <f t="shared" si="241"/>
        <v>0</v>
      </c>
      <c r="BC764">
        <f t="shared" si="241"/>
        <v>0</v>
      </c>
      <c r="BD764">
        <f t="shared" si="241"/>
        <v>0</v>
      </c>
      <c r="BE764">
        <f t="shared" si="241"/>
        <v>0</v>
      </c>
      <c r="BF764">
        <f t="shared" si="241"/>
        <v>0</v>
      </c>
      <c r="BG764">
        <f t="shared" si="241"/>
        <v>0</v>
      </c>
      <c r="BH764" t="str">
        <f t="shared" si="241"/>
        <v>Norat</v>
      </c>
      <c r="BI764">
        <f t="shared" si="242"/>
        <v>0</v>
      </c>
      <c r="BJ764">
        <f t="shared" si="242"/>
        <v>0</v>
      </c>
      <c r="BK764">
        <f t="shared" si="242"/>
        <v>0</v>
      </c>
      <c r="BL764">
        <f t="shared" si="242"/>
        <v>0</v>
      </c>
      <c r="BM764">
        <f t="shared" si="242"/>
        <v>0</v>
      </c>
      <c r="BN764">
        <f t="shared" si="242"/>
        <v>0</v>
      </c>
      <c r="BO764">
        <f t="shared" si="242"/>
        <v>0</v>
      </c>
      <c r="BP764">
        <f t="shared" si="242"/>
        <v>0</v>
      </c>
      <c r="BQ764">
        <f t="shared" si="242"/>
        <v>0</v>
      </c>
      <c r="BR764">
        <f t="shared" si="242"/>
        <v>0</v>
      </c>
      <c r="BS764">
        <f t="shared" si="242"/>
        <v>0</v>
      </c>
    </row>
    <row r="765" spans="2:71" ht="15" customHeight="1" x14ac:dyDescent="0.2">
      <c r="B765" t="s">
        <v>245</v>
      </c>
      <c r="D765">
        <v>11</v>
      </c>
      <c r="E765" t="s">
        <v>553</v>
      </c>
      <c r="F765" t="s">
        <v>214</v>
      </c>
      <c r="G765" s="5">
        <v>45584</v>
      </c>
      <c r="H765" t="s">
        <v>97</v>
      </c>
      <c r="I765" t="s">
        <v>528</v>
      </c>
      <c r="J765" t="s">
        <v>168</v>
      </c>
      <c r="K765">
        <v>9</v>
      </c>
      <c r="L765" t="s">
        <v>76</v>
      </c>
      <c r="M765" t="s">
        <v>554</v>
      </c>
      <c r="N765" t="s">
        <v>78</v>
      </c>
      <c r="R765" t="s">
        <v>248</v>
      </c>
      <c r="S765" t="s">
        <v>248</v>
      </c>
      <c r="U765" t="s">
        <v>64</v>
      </c>
      <c r="V765" t="s">
        <v>45</v>
      </c>
      <c r="W765" t="s">
        <v>556</v>
      </c>
      <c r="AA765">
        <v>0.5</v>
      </c>
      <c r="AB765" t="s">
        <v>32</v>
      </c>
      <c r="AE765" t="str">
        <f t="shared" si="224"/>
        <v>Connolly</v>
      </c>
      <c r="AF765">
        <v>0.5</v>
      </c>
      <c r="AG765">
        <v>1</v>
      </c>
      <c r="AH765">
        <v>0</v>
      </c>
      <c r="AI765">
        <v>0</v>
      </c>
      <c r="AJ765">
        <v>1</v>
      </c>
      <c r="AO765">
        <f t="shared" si="240"/>
        <v>0</v>
      </c>
      <c r="AP765">
        <f t="shared" si="240"/>
        <v>0</v>
      </c>
      <c r="AQ765">
        <f t="shared" si="240"/>
        <v>0</v>
      </c>
      <c r="AR765">
        <f t="shared" si="240"/>
        <v>0</v>
      </c>
      <c r="AS765">
        <f t="shared" si="240"/>
        <v>0</v>
      </c>
      <c r="AT765" t="str">
        <f t="shared" si="240"/>
        <v>Connolly</v>
      </c>
      <c r="AU765">
        <f t="shared" si="240"/>
        <v>0</v>
      </c>
      <c r="AV765">
        <f t="shared" si="240"/>
        <v>0</v>
      </c>
      <c r="AW765">
        <f t="shared" si="240"/>
        <v>0</v>
      </c>
      <c r="AX765">
        <f t="shared" si="240"/>
        <v>0</v>
      </c>
      <c r="AY765">
        <f t="shared" si="241"/>
        <v>0</v>
      </c>
      <c r="AZ765">
        <f t="shared" si="241"/>
        <v>0</v>
      </c>
      <c r="BA765">
        <f t="shared" si="241"/>
        <v>0</v>
      </c>
      <c r="BB765">
        <f t="shared" si="241"/>
        <v>0</v>
      </c>
      <c r="BC765">
        <f t="shared" si="241"/>
        <v>0</v>
      </c>
      <c r="BD765">
        <f t="shared" si="241"/>
        <v>0</v>
      </c>
      <c r="BE765">
        <f t="shared" si="241"/>
        <v>0</v>
      </c>
      <c r="BF765">
        <f t="shared" si="241"/>
        <v>0</v>
      </c>
      <c r="BG765">
        <f t="shared" si="241"/>
        <v>0</v>
      </c>
      <c r="BH765">
        <f t="shared" si="241"/>
        <v>0</v>
      </c>
      <c r="BI765">
        <f t="shared" si="242"/>
        <v>0</v>
      </c>
      <c r="BJ765">
        <f t="shared" si="242"/>
        <v>0</v>
      </c>
      <c r="BK765">
        <f t="shared" si="242"/>
        <v>0</v>
      </c>
      <c r="BL765">
        <f t="shared" si="242"/>
        <v>0</v>
      </c>
      <c r="BM765">
        <f t="shared" si="242"/>
        <v>0</v>
      </c>
      <c r="BN765">
        <f t="shared" si="242"/>
        <v>0</v>
      </c>
      <c r="BO765">
        <f t="shared" si="242"/>
        <v>0</v>
      </c>
      <c r="BP765">
        <f t="shared" si="242"/>
        <v>0</v>
      </c>
      <c r="BQ765">
        <f t="shared" si="242"/>
        <v>0</v>
      </c>
      <c r="BR765">
        <f t="shared" si="242"/>
        <v>0</v>
      </c>
      <c r="BS765">
        <f t="shared" si="242"/>
        <v>0</v>
      </c>
    </row>
    <row r="766" spans="2:71" ht="15" customHeight="1" x14ac:dyDescent="0.2">
      <c r="B766" t="s">
        <v>245</v>
      </c>
      <c r="D766">
        <v>11</v>
      </c>
      <c r="E766" t="s">
        <v>553</v>
      </c>
      <c r="F766" t="s">
        <v>214</v>
      </c>
      <c r="G766" s="5">
        <v>45584</v>
      </c>
      <c r="H766" t="s">
        <v>97</v>
      </c>
      <c r="I766" t="s">
        <v>528</v>
      </c>
      <c r="J766" t="s">
        <v>168</v>
      </c>
      <c r="K766">
        <v>9</v>
      </c>
      <c r="L766" t="s">
        <v>76</v>
      </c>
      <c r="M766" t="s">
        <v>554</v>
      </c>
      <c r="N766" t="s">
        <v>78</v>
      </c>
      <c r="R766" t="s">
        <v>248</v>
      </c>
      <c r="S766" t="s">
        <v>248</v>
      </c>
      <c r="U766" t="s">
        <v>64</v>
      </c>
      <c r="V766" t="s">
        <v>64</v>
      </c>
      <c r="W766" t="s">
        <v>556</v>
      </c>
      <c r="AA766">
        <v>0.5</v>
      </c>
      <c r="AB766" t="s">
        <v>32</v>
      </c>
      <c r="AE766" t="str">
        <f t="shared" si="224"/>
        <v>Delneky</v>
      </c>
      <c r="AF766">
        <v>0.5</v>
      </c>
      <c r="AG766">
        <v>1</v>
      </c>
      <c r="AH766">
        <v>0</v>
      </c>
      <c r="AI766">
        <v>0</v>
      </c>
      <c r="AJ766">
        <v>1</v>
      </c>
      <c r="AO766">
        <f t="shared" si="240"/>
        <v>0</v>
      </c>
      <c r="AP766">
        <f t="shared" si="240"/>
        <v>0</v>
      </c>
      <c r="AQ766">
        <f t="shared" si="240"/>
        <v>0</v>
      </c>
      <c r="AR766">
        <f t="shared" si="240"/>
        <v>0</v>
      </c>
      <c r="AS766">
        <f t="shared" si="240"/>
        <v>0</v>
      </c>
      <c r="AT766">
        <f t="shared" si="240"/>
        <v>0</v>
      </c>
      <c r="AU766">
        <f t="shared" si="240"/>
        <v>0</v>
      </c>
      <c r="AV766">
        <f t="shared" si="240"/>
        <v>0</v>
      </c>
      <c r="AW766">
        <f t="shared" si="240"/>
        <v>0</v>
      </c>
      <c r="AX766">
        <f t="shared" si="240"/>
        <v>0</v>
      </c>
      <c r="AY766">
        <f t="shared" si="241"/>
        <v>0</v>
      </c>
      <c r="AZ766">
        <f t="shared" si="241"/>
        <v>0</v>
      </c>
      <c r="BA766">
        <f t="shared" si="241"/>
        <v>0</v>
      </c>
      <c r="BB766">
        <f t="shared" si="241"/>
        <v>0</v>
      </c>
      <c r="BC766">
        <f t="shared" si="241"/>
        <v>0</v>
      </c>
      <c r="BD766">
        <f t="shared" si="241"/>
        <v>0</v>
      </c>
      <c r="BE766">
        <f t="shared" si="241"/>
        <v>0</v>
      </c>
      <c r="BF766">
        <f t="shared" si="241"/>
        <v>0</v>
      </c>
      <c r="BG766">
        <f t="shared" si="241"/>
        <v>0</v>
      </c>
      <c r="BH766">
        <f t="shared" si="241"/>
        <v>0</v>
      </c>
      <c r="BI766">
        <f t="shared" si="242"/>
        <v>0</v>
      </c>
      <c r="BJ766">
        <f t="shared" si="242"/>
        <v>0</v>
      </c>
      <c r="BK766">
        <f t="shared" si="242"/>
        <v>0</v>
      </c>
      <c r="BL766">
        <f t="shared" si="242"/>
        <v>0</v>
      </c>
      <c r="BM766" t="str">
        <f t="shared" si="242"/>
        <v>Delneky</v>
      </c>
      <c r="BN766">
        <f t="shared" si="242"/>
        <v>0</v>
      </c>
      <c r="BO766">
        <f t="shared" si="242"/>
        <v>0</v>
      </c>
      <c r="BP766">
        <f t="shared" si="242"/>
        <v>0</v>
      </c>
      <c r="BQ766">
        <f t="shared" si="242"/>
        <v>0</v>
      </c>
      <c r="BR766">
        <f t="shared" si="242"/>
        <v>0</v>
      </c>
      <c r="BS766">
        <f t="shared" si="242"/>
        <v>0</v>
      </c>
    </row>
    <row r="767" spans="2:71" ht="15" customHeight="1" x14ac:dyDescent="0.2">
      <c r="B767" t="s">
        <v>245</v>
      </c>
      <c r="D767">
        <v>11</v>
      </c>
      <c r="E767" t="s">
        <v>553</v>
      </c>
      <c r="F767" t="s">
        <v>214</v>
      </c>
      <c r="G767" s="5">
        <v>45584</v>
      </c>
      <c r="H767" t="s">
        <v>97</v>
      </c>
      <c r="I767" t="s">
        <v>528</v>
      </c>
      <c r="J767" t="s">
        <v>168</v>
      </c>
      <c r="K767">
        <v>9</v>
      </c>
      <c r="L767" t="s">
        <v>76</v>
      </c>
      <c r="M767" t="s">
        <v>554</v>
      </c>
      <c r="N767" t="s">
        <v>78</v>
      </c>
      <c r="R767" t="s">
        <v>248</v>
      </c>
      <c r="S767" t="s">
        <v>248</v>
      </c>
      <c r="U767" t="s">
        <v>64</v>
      </c>
      <c r="V767" t="s">
        <v>49</v>
      </c>
      <c r="W767" t="s">
        <v>556</v>
      </c>
      <c r="AA767">
        <v>0.5</v>
      </c>
      <c r="AB767" t="s">
        <v>32</v>
      </c>
      <c r="AE767" t="str">
        <f t="shared" si="224"/>
        <v>Shively</v>
      </c>
      <c r="AF767">
        <v>0.5</v>
      </c>
      <c r="AG767">
        <v>1</v>
      </c>
      <c r="AH767">
        <v>0</v>
      </c>
      <c r="AI767">
        <v>0</v>
      </c>
      <c r="AJ767">
        <v>1</v>
      </c>
      <c r="AO767">
        <f t="shared" si="240"/>
        <v>0</v>
      </c>
      <c r="AP767">
        <f t="shared" si="240"/>
        <v>0</v>
      </c>
      <c r="AQ767">
        <f t="shared" si="240"/>
        <v>0</v>
      </c>
      <c r="AR767">
        <f t="shared" si="240"/>
        <v>0</v>
      </c>
      <c r="AS767">
        <f t="shared" si="240"/>
        <v>0</v>
      </c>
      <c r="AT767">
        <f t="shared" si="240"/>
        <v>0</v>
      </c>
      <c r="AU767">
        <f t="shared" si="240"/>
        <v>0</v>
      </c>
      <c r="AV767">
        <f t="shared" si="240"/>
        <v>0</v>
      </c>
      <c r="AW767">
        <f t="shared" si="240"/>
        <v>0</v>
      </c>
      <c r="AX767" t="str">
        <f t="shared" si="240"/>
        <v>Shively</v>
      </c>
      <c r="AY767">
        <f t="shared" si="241"/>
        <v>0</v>
      </c>
      <c r="AZ767">
        <f t="shared" si="241"/>
        <v>0</v>
      </c>
      <c r="BA767">
        <f t="shared" si="241"/>
        <v>0</v>
      </c>
      <c r="BB767">
        <f t="shared" si="241"/>
        <v>0</v>
      </c>
      <c r="BC767">
        <f t="shared" si="241"/>
        <v>0</v>
      </c>
      <c r="BD767">
        <f t="shared" si="241"/>
        <v>0</v>
      </c>
      <c r="BE767">
        <f t="shared" si="241"/>
        <v>0</v>
      </c>
      <c r="BF767">
        <f t="shared" si="241"/>
        <v>0</v>
      </c>
      <c r="BG767">
        <f t="shared" si="241"/>
        <v>0</v>
      </c>
      <c r="BH767">
        <f t="shared" si="241"/>
        <v>0</v>
      </c>
      <c r="BI767">
        <f t="shared" si="242"/>
        <v>0</v>
      </c>
      <c r="BJ767">
        <f t="shared" si="242"/>
        <v>0</v>
      </c>
      <c r="BK767">
        <f t="shared" si="242"/>
        <v>0</v>
      </c>
      <c r="BL767">
        <f t="shared" si="242"/>
        <v>0</v>
      </c>
      <c r="BM767">
        <f t="shared" si="242"/>
        <v>0</v>
      </c>
      <c r="BN767">
        <f t="shared" si="242"/>
        <v>0</v>
      </c>
      <c r="BO767">
        <f t="shared" si="242"/>
        <v>0</v>
      </c>
      <c r="BP767">
        <f t="shared" si="242"/>
        <v>0</v>
      </c>
      <c r="BQ767">
        <f t="shared" si="242"/>
        <v>0</v>
      </c>
      <c r="BR767">
        <f t="shared" si="242"/>
        <v>0</v>
      </c>
      <c r="BS767">
        <f t="shared" si="242"/>
        <v>0</v>
      </c>
    </row>
    <row r="768" spans="2:71" ht="15" customHeight="1" x14ac:dyDescent="0.2">
      <c r="B768" t="s">
        <v>245</v>
      </c>
      <c r="D768">
        <v>11</v>
      </c>
      <c r="E768" t="s">
        <v>553</v>
      </c>
      <c r="F768" t="s">
        <v>214</v>
      </c>
      <c r="G768" s="5">
        <v>45584</v>
      </c>
      <c r="H768" t="s">
        <v>97</v>
      </c>
      <c r="I768" t="s">
        <v>528</v>
      </c>
      <c r="J768" t="s">
        <v>168</v>
      </c>
      <c r="K768">
        <v>9</v>
      </c>
      <c r="L768" t="s">
        <v>76</v>
      </c>
      <c r="M768" t="s">
        <v>554</v>
      </c>
      <c r="N768" t="s">
        <v>78</v>
      </c>
      <c r="R768" t="s">
        <v>248</v>
      </c>
      <c r="S768" t="s">
        <v>248</v>
      </c>
      <c r="U768" t="s">
        <v>64</v>
      </c>
      <c r="V768" t="s">
        <v>60</v>
      </c>
      <c r="W768" t="s">
        <v>556</v>
      </c>
      <c r="AA768">
        <v>0.5</v>
      </c>
      <c r="AB768" t="s">
        <v>32</v>
      </c>
      <c r="AE768" t="str">
        <f t="shared" si="224"/>
        <v>Zimmer</v>
      </c>
      <c r="AF768">
        <v>0.5</v>
      </c>
      <c r="AG768">
        <v>1</v>
      </c>
      <c r="AH768">
        <v>0</v>
      </c>
      <c r="AI768">
        <v>0</v>
      </c>
      <c r="AJ768">
        <v>1</v>
      </c>
      <c r="AO768">
        <f t="shared" si="240"/>
        <v>0</v>
      </c>
      <c r="AP768">
        <f t="shared" si="240"/>
        <v>0</v>
      </c>
      <c r="AQ768">
        <f t="shared" si="240"/>
        <v>0</v>
      </c>
      <c r="AR768">
        <f t="shared" si="240"/>
        <v>0</v>
      </c>
      <c r="AS768">
        <f t="shared" si="240"/>
        <v>0</v>
      </c>
      <c r="AT768">
        <f t="shared" si="240"/>
        <v>0</v>
      </c>
      <c r="AU768">
        <f t="shared" si="240"/>
        <v>0</v>
      </c>
      <c r="AV768">
        <f t="shared" si="240"/>
        <v>0</v>
      </c>
      <c r="AW768">
        <f t="shared" si="240"/>
        <v>0</v>
      </c>
      <c r="AX768">
        <f t="shared" si="240"/>
        <v>0</v>
      </c>
      <c r="AY768">
        <f t="shared" si="241"/>
        <v>0</v>
      </c>
      <c r="AZ768">
        <f t="shared" si="241"/>
        <v>0</v>
      </c>
      <c r="BA768">
        <f t="shared" si="241"/>
        <v>0</v>
      </c>
      <c r="BB768">
        <f t="shared" si="241"/>
        <v>0</v>
      </c>
      <c r="BC768">
        <f t="shared" si="241"/>
        <v>0</v>
      </c>
      <c r="BD768">
        <f t="shared" si="241"/>
        <v>0</v>
      </c>
      <c r="BE768">
        <f t="shared" si="241"/>
        <v>0</v>
      </c>
      <c r="BF768">
        <f t="shared" si="241"/>
        <v>0</v>
      </c>
      <c r="BG768">
        <f t="shared" si="241"/>
        <v>0</v>
      </c>
      <c r="BH768">
        <f t="shared" si="241"/>
        <v>0</v>
      </c>
      <c r="BI768" t="str">
        <f t="shared" si="242"/>
        <v>Zimmer</v>
      </c>
      <c r="BJ768">
        <f t="shared" si="242"/>
        <v>0</v>
      </c>
      <c r="BK768">
        <f t="shared" si="242"/>
        <v>0</v>
      </c>
      <c r="BL768">
        <f t="shared" si="242"/>
        <v>0</v>
      </c>
      <c r="BM768">
        <f t="shared" si="242"/>
        <v>0</v>
      </c>
      <c r="BN768">
        <f t="shared" si="242"/>
        <v>0</v>
      </c>
      <c r="BO768">
        <f t="shared" si="242"/>
        <v>0</v>
      </c>
      <c r="BP768">
        <f t="shared" si="242"/>
        <v>0</v>
      </c>
      <c r="BQ768">
        <f t="shared" si="242"/>
        <v>0</v>
      </c>
      <c r="BR768">
        <f t="shared" si="242"/>
        <v>0</v>
      </c>
      <c r="BS768">
        <f t="shared" si="242"/>
        <v>0</v>
      </c>
    </row>
    <row r="769" spans="2:71" ht="15" customHeight="1" x14ac:dyDescent="0.2">
      <c r="B769" t="s">
        <v>245</v>
      </c>
      <c r="D769">
        <v>11</v>
      </c>
      <c r="E769" t="s">
        <v>553</v>
      </c>
      <c r="F769" t="s">
        <v>214</v>
      </c>
      <c r="G769" s="5">
        <v>45584</v>
      </c>
      <c r="H769" t="s">
        <v>97</v>
      </c>
      <c r="I769" t="s">
        <v>528</v>
      </c>
      <c r="J769" t="s">
        <v>168</v>
      </c>
      <c r="K769">
        <v>9</v>
      </c>
      <c r="L769" t="s">
        <v>76</v>
      </c>
      <c r="M769" t="s">
        <v>554</v>
      </c>
      <c r="N769" t="s">
        <v>78</v>
      </c>
      <c r="R769" t="s">
        <v>248</v>
      </c>
      <c r="S769" t="s">
        <v>248</v>
      </c>
      <c r="U769" t="s">
        <v>64</v>
      </c>
      <c r="V769" t="s">
        <v>50</v>
      </c>
      <c r="W769" t="s">
        <v>556</v>
      </c>
      <c r="AA769">
        <v>0.5</v>
      </c>
      <c r="AB769" t="s">
        <v>32</v>
      </c>
      <c r="AE769" t="str">
        <f t="shared" si="224"/>
        <v>Ferrin</v>
      </c>
      <c r="AF769">
        <v>0.5</v>
      </c>
      <c r="AG769">
        <v>1</v>
      </c>
      <c r="AH769">
        <v>0</v>
      </c>
      <c r="AI769">
        <v>0</v>
      </c>
      <c r="AJ769">
        <v>1</v>
      </c>
      <c r="AO769">
        <f t="shared" si="240"/>
        <v>0</v>
      </c>
      <c r="AP769">
        <f t="shared" si="240"/>
        <v>0</v>
      </c>
      <c r="AQ769">
        <f t="shared" si="240"/>
        <v>0</v>
      </c>
      <c r="AR769">
        <f t="shared" si="240"/>
        <v>0</v>
      </c>
      <c r="AS769">
        <f t="shared" si="240"/>
        <v>0</v>
      </c>
      <c r="AT769">
        <f t="shared" si="240"/>
        <v>0</v>
      </c>
      <c r="AU769">
        <f t="shared" si="240"/>
        <v>0</v>
      </c>
      <c r="AV769">
        <f t="shared" si="240"/>
        <v>0</v>
      </c>
      <c r="AW769">
        <f t="shared" si="240"/>
        <v>0</v>
      </c>
      <c r="AX769">
        <f t="shared" si="240"/>
        <v>0</v>
      </c>
      <c r="AY769" t="str">
        <f t="shared" si="241"/>
        <v>Ferrin</v>
      </c>
      <c r="AZ769">
        <f t="shared" si="241"/>
        <v>0</v>
      </c>
      <c r="BA769">
        <f t="shared" si="241"/>
        <v>0</v>
      </c>
      <c r="BB769">
        <f t="shared" si="241"/>
        <v>0</v>
      </c>
      <c r="BC769">
        <f t="shared" si="241"/>
        <v>0</v>
      </c>
      <c r="BD769">
        <f t="shared" si="241"/>
        <v>0</v>
      </c>
      <c r="BE769">
        <f t="shared" si="241"/>
        <v>0</v>
      </c>
      <c r="BF769">
        <f t="shared" si="241"/>
        <v>0</v>
      </c>
      <c r="BG769">
        <f t="shared" si="241"/>
        <v>0</v>
      </c>
      <c r="BH769">
        <f t="shared" si="241"/>
        <v>0</v>
      </c>
      <c r="BI769">
        <f t="shared" si="242"/>
        <v>0</v>
      </c>
      <c r="BJ769">
        <f t="shared" si="242"/>
        <v>0</v>
      </c>
      <c r="BK769">
        <f t="shared" si="242"/>
        <v>0</v>
      </c>
      <c r="BL769">
        <f t="shared" si="242"/>
        <v>0</v>
      </c>
      <c r="BM769">
        <f t="shared" si="242"/>
        <v>0</v>
      </c>
      <c r="BN769">
        <f t="shared" si="242"/>
        <v>0</v>
      </c>
      <c r="BO769">
        <f t="shared" si="242"/>
        <v>0</v>
      </c>
      <c r="BP769">
        <f t="shared" si="242"/>
        <v>0</v>
      </c>
      <c r="BQ769">
        <f t="shared" si="242"/>
        <v>0</v>
      </c>
      <c r="BR769">
        <f t="shared" si="242"/>
        <v>0</v>
      </c>
      <c r="BS769">
        <f t="shared" si="242"/>
        <v>0</v>
      </c>
    </row>
    <row r="770" spans="2:71" ht="15" customHeight="1" x14ac:dyDescent="0.2">
      <c r="B770" t="s">
        <v>245</v>
      </c>
      <c r="D770">
        <v>11</v>
      </c>
      <c r="E770" t="s">
        <v>553</v>
      </c>
      <c r="F770" t="s">
        <v>214</v>
      </c>
      <c r="G770" s="5">
        <v>45584</v>
      </c>
      <c r="H770" t="s">
        <v>97</v>
      </c>
      <c r="I770" t="s">
        <v>528</v>
      </c>
      <c r="J770" t="s">
        <v>168</v>
      </c>
      <c r="K770">
        <v>9</v>
      </c>
      <c r="L770" t="s">
        <v>76</v>
      </c>
      <c r="M770" t="s">
        <v>554</v>
      </c>
      <c r="N770" t="s">
        <v>78</v>
      </c>
      <c r="R770" t="s">
        <v>248</v>
      </c>
      <c r="S770" t="s">
        <v>248</v>
      </c>
      <c r="U770" t="s">
        <v>64</v>
      </c>
      <c r="V770" t="s">
        <v>53</v>
      </c>
      <c r="W770" t="s">
        <v>556</v>
      </c>
      <c r="AA770">
        <v>0.5</v>
      </c>
      <c r="AB770" t="s">
        <v>32</v>
      </c>
      <c r="AE770" t="str">
        <f t="shared" ref="AE770:AE833" si="243">$V770&amp;$Y770</f>
        <v>Forster</v>
      </c>
      <c r="AF770">
        <v>0.5</v>
      </c>
      <c r="AG770">
        <v>1</v>
      </c>
      <c r="AH770">
        <v>0</v>
      </c>
      <c r="AI770">
        <v>0</v>
      </c>
      <c r="AJ770">
        <v>1</v>
      </c>
      <c r="AO770">
        <f t="shared" si="240"/>
        <v>0</v>
      </c>
      <c r="AP770">
        <f t="shared" si="240"/>
        <v>0</v>
      </c>
      <c r="AQ770">
        <f t="shared" si="240"/>
        <v>0</v>
      </c>
      <c r="AR770">
        <f t="shared" si="240"/>
        <v>0</v>
      </c>
      <c r="AS770">
        <f t="shared" si="240"/>
        <v>0</v>
      </c>
      <c r="AT770">
        <f t="shared" si="240"/>
        <v>0</v>
      </c>
      <c r="AU770">
        <f t="shared" si="240"/>
        <v>0</v>
      </c>
      <c r="AV770">
        <f t="shared" si="240"/>
        <v>0</v>
      </c>
      <c r="AW770">
        <f t="shared" si="240"/>
        <v>0</v>
      </c>
      <c r="AX770">
        <f t="shared" si="240"/>
        <v>0</v>
      </c>
      <c r="AY770">
        <f t="shared" si="241"/>
        <v>0</v>
      </c>
      <c r="AZ770">
        <f t="shared" si="241"/>
        <v>0</v>
      </c>
      <c r="BA770">
        <f t="shared" si="241"/>
        <v>0</v>
      </c>
      <c r="BB770" t="str">
        <f t="shared" si="241"/>
        <v>Forster</v>
      </c>
      <c r="BC770">
        <f t="shared" si="241"/>
        <v>0</v>
      </c>
      <c r="BD770">
        <f t="shared" si="241"/>
        <v>0</v>
      </c>
      <c r="BE770">
        <f t="shared" si="241"/>
        <v>0</v>
      </c>
      <c r="BF770">
        <f t="shared" si="241"/>
        <v>0</v>
      </c>
      <c r="BG770">
        <f t="shared" si="241"/>
        <v>0</v>
      </c>
      <c r="BH770">
        <f t="shared" si="241"/>
        <v>0</v>
      </c>
      <c r="BI770">
        <f t="shared" si="242"/>
        <v>0</v>
      </c>
      <c r="BJ770">
        <f t="shared" si="242"/>
        <v>0</v>
      </c>
      <c r="BK770">
        <f t="shared" si="242"/>
        <v>0</v>
      </c>
      <c r="BL770">
        <f t="shared" si="242"/>
        <v>0</v>
      </c>
      <c r="BM770">
        <f t="shared" si="242"/>
        <v>0</v>
      </c>
      <c r="BN770">
        <f t="shared" si="242"/>
        <v>0</v>
      </c>
      <c r="BO770">
        <f t="shared" si="242"/>
        <v>0</v>
      </c>
      <c r="BP770">
        <f t="shared" si="242"/>
        <v>0</v>
      </c>
      <c r="BQ770">
        <f t="shared" si="242"/>
        <v>0</v>
      </c>
      <c r="BR770">
        <f t="shared" si="242"/>
        <v>0</v>
      </c>
      <c r="BS770">
        <f t="shared" si="242"/>
        <v>0</v>
      </c>
    </row>
    <row r="771" spans="2:71" ht="15" customHeight="1" x14ac:dyDescent="0.2">
      <c r="B771">
        <v>21</v>
      </c>
      <c r="C771">
        <v>1</v>
      </c>
      <c r="D771">
        <v>11</v>
      </c>
      <c r="E771" t="s">
        <v>557</v>
      </c>
      <c r="F771" t="s">
        <v>72</v>
      </c>
      <c r="G771" s="5">
        <v>45584</v>
      </c>
      <c r="H771" t="s">
        <v>73</v>
      </c>
      <c r="I771" t="s">
        <v>528</v>
      </c>
      <c r="J771" t="s">
        <v>168</v>
      </c>
      <c r="K771">
        <v>18</v>
      </c>
      <c r="L771" t="s">
        <v>107</v>
      </c>
      <c r="M771" t="s">
        <v>558</v>
      </c>
      <c r="N771" t="s">
        <v>78</v>
      </c>
      <c r="P771">
        <v>137</v>
      </c>
      <c r="Q771">
        <v>6439</v>
      </c>
      <c r="R771" t="s">
        <v>110</v>
      </c>
      <c r="S771" t="s">
        <v>111</v>
      </c>
      <c r="U771" t="s">
        <v>52</v>
      </c>
      <c r="V771" t="s">
        <v>48</v>
      </c>
      <c r="W771" t="s">
        <v>555</v>
      </c>
      <c r="AA771">
        <v>2</v>
      </c>
      <c r="AB771" t="s">
        <v>33</v>
      </c>
      <c r="AD771" t="s">
        <v>43</v>
      </c>
      <c r="AE771" t="str">
        <f t="shared" si="243"/>
        <v>Lynch</v>
      </c>
      <c r="AF771">
        <v>0</v>
      </c>
      <c r="AG771">
        <v>0</v>
      </c>
      <c r="AH771">
        <v>1</v>
      </c>
      <c r="AI771">
        <v>0</v>
      </c>
      <c r="AJ771">
        <v>0</v>
      </c>
      <c r="AK771" t="s">
        <v>43</v>
      </c>
      <c r="AL771">
        <v>0.48611111111111099</v>
      </c>
      <c r="AO771">
        <f t="shared" si="240"/>
        <v>0</v>
      </c>
      <c r="AP771">
        <f t="shared" si="240"/>
        <v>0</v>
      </c>
      <c r="AQ771">
        <f t="shared" si="240"/>
        <v>0</v>
      </c>
      <c r="AR771">
        <f t="shared" si="240"/>
        <v>0</v>
      </c>
      <c r="AS771">
        <f t="shared" si="240"/>
        <v>0</v>
      </c>
      <c r="AT771">
        <f t="shared" si="240"/>
        <v>0</v>
      </c>
      <c r="AU771">
        <f t="shared" si="240"/>
        <v>0</v>
      </c>
      <c r="AV771">
        <f t="shared" si="240"/>
        <v>0</v>
      </c>
      <c r="AW771" t="str">
        <f t="shared" si="240"/>
        <v>Lynch</v>
      </c>
      <c r="AX771">
        <f t="shared" si="240"/>
        <v>0</v>
      </c>
      <c r="AY771">
        <f t="shared" si="241"/>
        <v>0</v>
      </c>
      <c r="AZ771">
        <f t="shared" si="241"/>
        <v>0</v>
      </c>
      <c r="BA771">
        <f t="shared" si="241"/>
        <v>0</v>
      </c>
      <c r="BB771">
        <f t="shared" si="241"/>
        <v>0</v>
      </c>
      <c r="BC771">
        <f t="shared" si="241"/>
        <v>0</v>
      </c>
      <c r="BD771">
        <f t="shared" si="241"/>
        <v>0</v>
      </c>
      <c r="BE771">
        <f t="shared" si="241"/>
        <v>0</v>
      </c>
      <c r="BF771">
        <f t="shared" si="241"/>
        <v>0</v>
      </c>
      <c r="BG771">
        <f t="shared" si="241"/>
        <v>0</v>
      </c>
      <c r="BH771">
        <f t="shared" si="241"/>
        <v>0</v>
      </c>
      <c r="BI771">
        <f t="shared" si="242"/>
        <v>0</v>
      </c>
      <c r="BJ771">
        <f t="shared" si="242"/>
        <v>0</v>
      </c>
      <c r="BK771">
        <f t="shared" si="242"/>
        <v>0</v>
      </c>
      <c r="BL771">
        <f t="shared" si="242"/>
        <v>0</v>
      </c>
      <c r="BM771">
        <f t="shared" si="242"/>
        <v>0</v>
      </c>
      <c r="BN771">
        <f t="shared" si="242"/>
        <v>0</v>
      </c>
      <c r="BO771">
        <f t="shared" si="242"/>
        <v>0</v>
      </c>
      <c r="BP771">
        <f t="shared" si="242"/>
        <v>0</v>
      </c>
      <c r="BQ771">
        <f t="shared" si="242"/>
        <v>0</v>
      </c>
      <c r="BR771">
        <f t="shared" si="242"/>
        <v>0</v>
      </c>
      <c r="BS771">
        <f t="shared" si="242"/>
        <v>0</v>
      </c>
    </row>
    <row r="772" spans="2:71" ht="15" customHeight="1" x14ac:dyDescent="0.2">
      <c r="B772">
        <v>21</v>
      </c>
      <c r="C772">
        <v>2</v>
      </c>
      <c r="D772">
        <v>11</v>
      </c>
      <c r="E772" t="s">
        <v>559</v>
      </c>
      <c r="F772" t="s">
        <v>72</v>
      </c>
      <c r="G772" s="5">
        <v>45584</v>
      </c>
      <c r="H772" t="s">
        <v>73</v>
      </c>
      <c r="I772" t="s">
        <v>528</v>
      </c>
      <c r="J772" t="s">
        <v>168</v>
      </c>
      <c r="K772">
        <v>18</v>
      </c>
      <c r="L772" t="s">
        <v>107</v>
      </c>
      <c r="M772" t="s">
        <v>558</v>
      </c>
      <c r="N772" t="s">
        <v>78</v>
      </c>
      <c r="P772">
        <v>137</v>
      </c>
      <c r="Q772">
        <v>6439</v>
      </c>
      <c r="R772" t="s">
        <v>110</v>
      </c>
      <c r="S772" t="s">
        <v>111</v>
      </c>
      <c r="U772" t="s">
        <v>52</v>
      </c>
      <c r="V772" t="s">
        <v>41</v>
      </c>
      <c r="W772" t="s">
        <v>555</v>
      </c>
      <c r="AA772">
        <v>2</v>
      </c>
      <c r="AB772" t="s">
        <v>32</v>
      </c>
      <c r="AD772" t="s">
        <v>58</v>
      </c>
      <c r="AE772" t="str">
        <f t="shared" si="243"/>
        <v>Hilts</v>
      </c>
      <c r="AF772">
        <v>2</v>
      </c>
      <c r="AG772">
        <v>1</v>
      </c>
      <c r="AH772">
        <v>0</v>
      </c>
      <c r="AI772">
        <v>0</v>
      </c>
      <c r="AJ772">
        <v>1</v>
      </c>
      <c r="AK772" t="s">
        <v>58</v>
      </c>
      <c r="AL772">
        <v>0.65476190476190499</v>
      </c>
      <c r="AO772">
        <f t="shared" ref="AO772:AX781" si="244">IF(OR($V772=AO$1,$Y772=AO$1),AO$1,0)</f>
        <v>0</v>
      </c>
      <c r="AP772" t="str">
        <f t="shared" si="244"/>
        <v>Hilts</v>
      </c>
      <c r="AQ772">
        <f t="shared" si="244"/>
        <v>0</v>
      </c>
      <c r="AR772">
        <f t="shared" si="244"/>
        <v>0</v>
      </c>
      <c r="AS772">
        <f t="shared" si="244"/>
        <v>0</v>
      </c>
      <c r="AT772">
        <f t="shared" si="244"/>
        <v>0</v>
      </c>
      <c r="AU772">
        <f t="shared" si="244"/>
        <v>0</v>
      </c>
      <c r="AV772">
        <f t="shared" si="244"/>
        <v>0</v>
      </c>
      <c r="AW772">
        <f t="shared" si="244"/>
        <v>0</v>
      </c>
      <c r="AX772">
        <f t="shared" si="244"/>
        <v>0</v>
      </c>
      <c r="AY772">
        <f t="shared" ref="AY772:BH781" si="245">IF(OR($V772=AY$1,$Y772=AY$1),AY$1,0)</f>
        <v>0</v>
      </c>
      <c r="AZ772">
        <f t="shared" si="245"/>
        <v>0</v>
      </c>
      <c r="BA772">
        <f t="shared" si="245"/>
        <v>0</v>
      </c>
      <c r="BB772">
        <f t="shared" si="245"/>
        <v>0</v>
      </c>
      <c r="BC772">
        <f t="shared" si="245"/>
        <v>0</v>
      </c>
      <c r="BD772">
        <f t="shared" si="245"/>
        <v>0</v>
      </c>
      <c r="BE772">
        <f t="shared" si="245"/>
        <v>0</v>
      </c>
      <c r="BF772">
        <f t="shared" si="245"/>
        <v>0</v>
      </c>
      <c r="BG772">
        <f t="shared" si="245"/>
        <v>0</v>
      </c>
      <c r="BH772">
        <f t="shared" si="245"/>
        <v>0</v>
      </c>
      <c r="BI772">
        <f t="shared" ref="BI772:BS781" si="246">IF(OR($V772=BI$1,$Y772=BI$1),BI$1,0)</f>
        <v>0</v>
      </c>
      <c r="BJ772">
        <f t="shared" si="246"/>
        <v>0</v>
      </c>
      <c r="BK772">
        <f t="shared" si="246"/>
        <v>0</v>
      </c>
      <c r="BL772">
        <f t="shared" si="246"/>
        <v>0</v>
      </c>
      <c r="BM772">
        <f t="shared" si="246"/>
        <v>0</v>
      </c>
      <c r="BN772">
        <f t="shared" si="246"/>
        <v>0</v>
      </c>
      <c r="BO772">
        <f t="shared" si="246"/>
        <v>0</v>
      </c>
      <c r="BP772">
        <f t="shared" si="246"/>
        <v>0</v>
      </c>
      <c r="BQ772">
        <f t="shared" si="246"/>
        <v>0</v>
      </c>
      <c r="BR772">
        <f t="shared" si="246"/>
        <v>0</v>
      </c>
      <c r="BS772">
        <f t="shared" si="246"/>
        <v>0</v>
      </c>
    </row>
    <row r="773" spans="2:71" ht="15" customHeight="1" x14ac:dyDescent="0.2">
      <c r="B773">
        <v>22</v>
      </c>
      <c r="C773">
        <v>3</v>
      </c>
      <c r="D773">
        <v>11</v>
      </c>
      <c r="E773" t="s">
        <v>560</v>
      </c>
      <c r="F773" t="s">
        <v>72</v>
      </c>
      <c r="G773" s="5">
        <v>45584</v>
      </c>
      <c r="H773" t="s">
        <v>73</v>
      </c>
      <c r="I773" t="s">
        <v>528</v>
      </c>
      <c r="J773" t="s">
        <v>168</v>
      </c>
      <c r="K773">
        <v>18</v>
      </c>
      <c r="L773" t="s">
        <v>107</v>
      </c>
      <c r="M773" t="s">
        <v>558</v>
      </c>
      <c r="N773" t="s">
        <v>78</v>
      </c>
      <c r="P773">
        <v>137</v>
      </c>
      <c r="Q773">
        <v>6439</v>
      </c>
      <c r="R773" t="s">
        <v>110</v>
      </c>
      <c r="S773" t="s">
        <v>111</v>
      </c>
      <c r="U773" t="s">
        <v>52</v>
      </c>
      <c r="V773" t="s">
        <v>40</v>
      </c>
      <c r="W773" t="s">
        <v>555</v>
      </c>
      <c r="AA773">
        <v>2</v>
      </c>
      <c r="AB773" t="s">
        <v>33</v>
      </c>
      <c r="AD773" t="s">
        <v>50</v>
      </c>
      <c r="AE773" t="str">
        <f t="shared" si="243"/>
        <v>Grise</v>
      </c>
      <c r="AF773">
        <v>0</v>
      </c>
      <c r="AG773">
        <v>0</v>
      </c>
      <c r="AH773">
        <v>1</v>
      </c>
      <c r="AI773">
        <v>0</v>
      </c>
      <c r="AJ773">
        <v>0</v>
      </c>
      <c r="AK773" t="s">
        <v>50</v>
      </c>
      <c r="AL773">
        <v>0.59523809523809501</v>
      </c>
      <c r="AO773" t="str">
        <f t="shared" si="244"/>
        <v>Grise</v>
      </c>
      <c r="AP773">
        <f t="shared" si="244"/>
        <v>0</v>
      </c>
      <c r="AQ773">
        <f t="shared" si="244"/>
        <v>0</v>
      </c>
      <c r="AR773">
        <f t="shared" si="244"/>
        <v>0</v>
      </c>
      <c r="AS773">
        <f t="shared" si="244"/>
        <v>0</v>
      </c>
      <c r="AT773">
        <f t="shared" si="244"/>
        <v>0</v>
      </c>
      <c r="AU773">
        <f t="shared" si="244"/>
        <v>0</v>
      </c>
      <c r="AV773">
        <f t="shared" si="244"/>
        <v>0</v>
      </c>
      <c r="AW773">
        <f t="shared" si="244"/>
        <v>0</v>
      </c>
      <c r="AX773">
        <f t="shared" si="244"/>
        <v>0</v>
      </c>
      <c r="AY773">
        <f t="shared" si="245"/>
        <v>0</v>
      </c>
      <c r="AZ773">
        <f t="shared" si="245"/>
        <v>0</v>
      </c>
      <c r="BA773">
        <f t="shared" si="245"/>
        <v>0</v>
      </c>
      <c r="BB773">
        <f t="shared" si="245"/>
        <v>0</v>
      </c>
      <c r="BC773">
        <f t="shared" si="245"/>
        <v>0</v>
      </c>
      <c r="BD773">
        <f t="shared" si="245"/>
        <v>0</v>
      </c>
      <c r="BE773">
        <f t="shared" si="245"/>
        <v>0</v>
      </c>
      <c r="BF773">
        <f t="shared" si="245"/>
        <v>0</v>
      </c>
      <c r="BG773">
        <f t="shared" si="245"/>
        <v>0</v>
      </c>
      <c r="BH773">
        <f t="shared" si="245"/>
        <v>0</v>
      </c>
      <c r="BI773">
        <f t="shared" si="246"/>
        <v>0</v>
      </c>
      <c r="BJ773">
        <f t="shared" si="246"/>
        <v>0</v>
      </c>
      <c r="BK773">
        <f t="shared" si="246"/>
        <v>0</v>
      </c>
      <c r="BL773">
        <f t="shared" si="246"/>
        <v>0</v>
      </c>
      <c r="BM773">
        <f t="shared" si="246"/>
        <v>0</v>
      </c>
      <c r="BN773">
        <f t="shared" si="246"/>
        <v>0</v>
      </c>
      <c r="BO773">
        <f t="shared" si="246"/>
        <v>0</v>
      </c>
      <c r="BP773">
        <f t="shared" si="246"/>
        <v>0</v>
      </c>
      <c r="BQ773">
        <f t="shared" si="246"/>
        <v>0</v>
      </c>
      <c r="BR773">
        <f t="shared" si="246"/>
        <v>0</v>
      </c>
      <c r="BS773">
        <f t="shared" si="246"/>
        <v>0</v>
      </c>
    </row>
    <row r="774" spans="2:71" ht="15" customHeight="1" x14ac:dyDescent="0.2">
      <c r="B774">
        <v>22</v>
      </c>
      <c r="C774">
        <v>4</v>
      </c>
      <c r="D774">
        <v>11</v>
      </c>
      <c r="E774" t="s">
        <v>561</v>
      </c>
      <c r="F774" t="s">
        <v>72</v>
      </c>
      <c r="G774" s="5">
        <v>45584</v>
      </c>
      <c r="H774" t="s">
        <v>73</v>
      </c>
      <c r="I774" t="s">
        <v>528</v>
      </c>
      <c r="J774" t="s">
        <v>168</v>
      </c>
      <c r="K774">
        <v>18</v>
      </c>
      <c r="L774" t="s">
        <v>107</v>
      </c>
      <c r="M774" t="s">
        <v>558</v>
      </c>
      <c r="N774" t="s">
        <v>78</v>
      </c>
      <c r="P774">
        <v>137</v>
      </c>
      <c r="Q774">
        <v>6439</v>
      </c>
      <c r="R774" t="s">
        <v>110</v>
      </c>
      <c r="S774" t="s">
        <v>111</v>
      </c>
      <c r="U774" t="s">
        <v>52</v>
      </c>
      <c r="V774" t="s">
        <v>42</v>
      </c>
      <c r="W774" t="s">
        <v>555</v>
      </c>
      <c r="AA774">
        <v>2</v>
      </c>
      <c r="AB774" t="s">
        <v>34</v>
      </c>
      <c r="AD774" t="s">
        <v>60</v>
      </c>
      <c r="AE774" t="str">
        <f t="shared" si="243"/>
        <v>Jackson</v>
      </c>
      <c r="AF774">
        <v>1</v>
      </c>
      <c r="AG774">
        <v>0</v>
      </c>
      <c r="AH774">
        <v>0</v>
      </c>
      <c r="AI774">
        <v>1</v>
      </c>
      <c r="AJ774">
        <v>0.5</v>
      </c>
      <c r="AK774" t="s">
        <v>60</v>
      </c>
      <c r="AL774">
        <v>0.5</v>
      </c>
      <c r="AO774">
        <f t="shared" si="244"/>
        <v>0</v>
      </c>
      <c r="AP774">
        <f t="shared" si="244"/>
        <v>0</v>
      </c>
      <c r="AQ774" t="str">
        <f t="shared" si="244"/>
        <v>Jackson</v>
      </c>
      <c r="AR774">
        <f t="shared" si="244"/>
        <v>0</v>
      </c>
      <c r="AS774">
        <f t="shared" si="244"/>
        <v>0</v>
      </c>
      <c r="AT774">
        <f t="shared" si="244"/>
        <v>0</v>
      </c>
      <c r="AU774">
        <f t="shared" si="244"/>
        <v>0</v>
      </c>
      <c r="AV774">
        <f t="shared" si="244"/>
        <v>0</v>
      </c>
      <c r="AW774">
        <f t="shared" si="244"/>
        <v>0</v>
      </c>
      <c r="AX774">
        <f t="shared" si="244"/>
        <v>0</v>
      </c>
      <c r="AY774">
        <f t="shared" si="245"/>
        <v>0</v>
      </c>
      <c r="AZ774">
        <f t="shared" si="245"/>
        <v>0</v>
      </c>
      <c r="BA774">
        <f t="shared" si="245"/>
        <v>0</v>
      </c>
      <c r="BB774">
        <f t="shared" si="245"/>
        <v>0</v>
      </c>
      <c r="BC774">
        <f t="shared" si="245"/>
        <v>0</v>
      </c>
      <c r="BD774">
        <f t="shared" si="245"/>
        <v>0</v>
      </c>
      <c r="BE774">
        <f t="shared" si="245"/>
        <v>0</v>
      </c>
      <c r="BF774">
        <f t="shared" si="245"/>
        <v>0</v>
      </c>
      <c r="BG774">
        <f t="shared" si="245"/>
        <v>0</v>
      </c>
      <c r="BH774">
        <f t="shared" si="245"/>
        <v>0</v>
      </c>
      <c r="BI774">
        <f t="shared" si="246"/>
        <v>0</v>
      </c>
      <c r="BJ774">
        <f t="shared" si="246"/>
        <v>0</v>
      </c>
      <c r="BK774">
        <f t="shared" si="246"/>
        <v>0</v>
      </c>
      <c r="BL774">
        <f t="shared" si="246"/>
        <v>0</v>
      </c>
      <c r="BM774">
        <f t="shared" si="246"/>
        <v>0</v>
      </c>
      <c r="BN774">
        <f t="shared" si="246"/>
        <v>0</v>
      </c>
      <c r="BO774">
        <f t="shared" si="246"/>
        <v>0</v>
      </c>
      <c r="BP774">
        <f t="shared" si="246"/>
        <v>0</v>
      </c>
      <c r="BQ774">
        <f t="shared" si="246"/>
        <v>0</v>
      </c>
      <c r="BR774">
        <f t="shared" si="246"/>
        <v>0</v>
      </c>
      <c r="BS774">
        <f t="shared" si="246"/>
        <v>0</v>
      </c>
    </row>
    <row r="775" spans="2:71" ht="15" customHeight="1" x14ac:dyDescent="0.2">
      <c r="B775">
        <v>23</v>
      </c>
      <c r="C775">
        <v>5</v>
      </c>
      <c r="D775">
        <v>11</v>
      </c>
      <c r="E775" t="s">
        <v>562</v>
      </c>
      <c r="F775" t="s">
        <v>72</v>
      </c>
      <c r="G775" s="5">
        <v>45584</v>
      </c>
      <c r="H775" t="s">
        <v>73</v>
      </c>
      <c r="I775" t="s">
        <v>528</v>
      </c>
      <c r="J775" t="s">
        <v>168</v>
      </c>
      <c r="K775">
        <v>18</v>
      </c>
      <c r="L775" t="s">
        <v>107</v>
      </c>
      <c r="M775" t="s">
        <v>558</v>
      </c>
      <c r="N775" t="s">
        <v>78</v>
      </c>
      <c r="P775">
        <v>137</v>
      </c>
      <c r="Q775">
        <v>6439</v>
      </c>
      <c r="R775" t="s">
        <v>110</v>
      </c>
      <c r="S775" t="s">
        <v>111</v>
      </c>
      <c r="U775" t="s">
        <v>52</v>
      </c>
      <c r="V775" t="s">
        <v>52</v>
      </c>
      <c r="W775" t="s">
        <v>555</v>
      </c>
      <c r="AA775">
        <v>2</v>
      </c>
      <c r="AB775" t="s">
        <v>33</v>
      </c>
      <c r="AD775" t="s">
        <v>54</v>
      </c>
      <c r="AE775" t="str">
        <f t="shared" si="243"/>
        <v>Connors</v>
      </c>
      <c r="AF775">
        <v>0</v>
      </c>
      <c r="AG775">
        <v>0</v>
      </c>
      <c r="AH775">
        <v>1</v>
      </c>
      <c r="AI775">
        <v>0</v>
      </c>
      <c r="AJ775">
        <v>0</v>
      </c>
      <c r="AK775" t="s">
        <v>54</v>
      </c>
      <c r="AL775">
        <v>0.37288135593220301</v>
      </c>
      <c r="AO775">
        <f t="shared" si="244"/>
        <v>0</v>
      </c>
      <c r="AP775">
        <f t="shared" si="244"/>
        <v>0</v>
      </c>
      <c r="AQ775">
        <f t="shared" si="244"/>
        <v>0</v>
      </c>
      <c r="AR775">
        <f t="shared" si="244"/>
        <v>0</v>
      </c>
      <c r="AS775">
        <f t="shared" si="244"/>
        <v>0</v>
      </c>
      <c r="AT775">
        <f t="shared" si="244"/>
        <v>0</v>
      </c>
      <c r="AU775">
        <f t="shared" si="244"/>
        <v>0</v>
      </c>
      <c r="AV775">
        <f t="shared" si="244"/>
        <v>0</v>
      </c>
      <c r="AW775">
        <f t="shared" si="244"/>
        <v>0</v>
      </c>
      <c r="AX775">
        <f t="shared" si="244"/>
        <v>0</v>
      </c>
      <c r="AY775">
        <f t="shared" si="245"/>
        <v>0</v>
      </c>
      <c r="AZ775">
        <f t="shared" si="245"/>
        <v>0</v>
      </c>
      <c r="BA775" t="str">
        <f t="shared" si="245"/>
        <v>Connors</v>
      </c>
      <c r="BB775">
        <f t="shared" si="245"/>
        <v>0</v>
      </c>
      <c r="BC775">
        <f t="shared" si="245"/>
        <v>0</v>
      </c>
      <c r="BD775">
        <f t="shared" si="245"/>
        <v>0</v>
      </c>
      <c r="BE775">
        <f t="shared" si="245"/>
        <v>0</v>
      </c>
      <c r="BF775">
        <f t="shared" si="245"/>
        <v>0</v>
      </c>
      <c r="BG775">
        <f t="shared" si="245"/>
        <v>0</v>
      </c>
      <c r="BH775">
        <f t="shared" si="245"/>
        <v>0</v>
      </c>
      <c r="BI775">
        <f t="shared" si="246"/>
        <v>0</v>
      </c>
      <c r="BJ775">
        <f t="shared" si="246"/>
        <v>0</v>
      </c>
      <c r="BK775">
        <f t="shared" si="246"/>
        <v>0</v>
      </c>
      <c r="BL775">
        <f t="shared" si="246"/>
        <v>0</v>
      </c>
      <c r="BM775">
        <f t="shared" si="246"/>
        <v>0</v>
      </c>
      <c r="BN775">
        <f t="shared" si="246"/>
        <v>0</v>
      </c>
      <c r="BO775">
        <f t="shared" si="246"/>
        <v>0</v>
      </c>
      <c r="BP775">
        <f t="shared" si="246"/>
        <v>0</v>
      </c>
      <c r="BQ775">
        <f t="shared" si="246"/>
        <v>0</v>
      </c>
      <c r="BR775">
        <f t="shared" si="246"/>
        <v>0</v>
      </c>
      <c r="BS775">
        <f t="shared" si="246"/>
        <v>0</v>
      </c>
    </row>
    <row r="776" spans="2:71" ht="15" customHeight="1" x14ac:dyDescent="0.2">
      <c r="B776">
        <v>23</v>
      </c>
      <c r="C776">
        <v>6</v>
      </c>
      <c r="D776">
        <v>11</v>
      </c>
      <c r="E776" t="s">
        <v>563</v>
      </c>
      <c r="F776" t="s">
        <v>72</v>
      </c>
      <c r="G776" s="5">
        <v>45584</v>
      </c>
      <c r="H776" t="s">
        <v>73</v>
      </c>
      <c r="I776" t="s">
        <v>528</v>
      </c>
      <c r="J776" t="s">
        <v>168</v>
      </c>
      <c r="K776">
        <v>18</v>
      </c>
      <c r="L776" t="s">
        <v>107</v>
      </c>
      <c r="M776" t="s">
        <v>558</v>
      </c>
      <c r="N776" t="s">
        <v>78</v>
      </c>
      <c r="P776">
        <v>137</v>
      </c>
      <c r="Q776">
        <v>6439</v>
      </c>
      <c r="R776" t="s">
        <v>110</v>
      </c>
      <c r="S776" t="s">
        <v>111</v>
      </c>
      <c r="U776" t="s">
        <v>52</v>
      </c>
      <c r="V776" t="s">
        <v>62</v>
      </c>
      <c r="W776" t="s">
        <v>555</v>
      </c>
      <c r="AA776">
        <v>2</v>
      </c>
      <c r="AB776" t="s">
        <v>32</v>
      </c>
      <c r="AD776" t="s">
        <v>53</v>
      </c>
      <c r="AE776" t="str">
        <f t="shared" si="243"/>
        <v>Welker</v>
      </c>
      <c r="AF776">
        <v>2</v>
      </c>
      <c r="AG776">
        <v>1</v>
      </c>
      <c r="AH776">
        <v>0</v>
      </c>
      <c r="AI776">
        <v>0</v>
      </c>
      <c r="AJ776">
        <v>1</v>
      </c>
      <c r="AK776" t="s">
        <v>53</v>
      </c>
      <c r="AL776">
        <v>0.59649122807017496</v>
      </c>
      <c r="AO776">
        <f t="shared" si="244"/>
        <v>0</v>
      </c>
      <c r="AP776">
        <f t="shared" si="244"/>
        <v>0</v>
      </c>
      <c r="AQ776">
        <f t="shared" si="244"/>
        <v>0</v>
      </c>
      <c r="AR776">
        <f t="shared" si="244"/>
        <v>0</v>
      </c>
      <c r="AS776">
        <f t="shared" si="244"/>
        <v>0</v>
      </c>
      <c r="AT776">
        <f t="shared" si="244"/>
        <v>0</v>
      </c>
      <c r="AU776">
        <f t="shared" si="244"/>
        <v>0</v>
      </c>
      <c r="AV776">
        <f t="shared" si="244"/>
        <v>0</v>
      </c>
      <c r="AW776">
        <f t="shared" si="244"/>
        <v>0</v>
      </c>
      <c r="AX776">
        <f t="shared" si="244"/>
        <v>0</v>
      </c>
      <c r="AY776">
        <f t="shared" si="245"/>
        <v>0</v>
      </c>
      <c r="AZ776">
        <f t="shared" si="245"/>
        <v>0</v>
      </c>
      <c r="BA776">
        <f t="shared" si="245"/>
        <v>0</v>
      </c>
      <c r="BB776">
        <f t="shared" si="245"/>
        <v>0</v>
      </c>
      <c r="BC776">
        <f t="shared" si="245"/>
        <v>0</v>
      </c>
      <c r="BD776">
        <f t="shared" si="245"/>
        <v>0</v>
      </c>
      <c r="BE776">
        <f t="shared" si="245"/>
        <v>0</v>
      </c>
      <c r="BF776">
        <f t="shared" si="245"/>
        <v>0</v>
      </c>
      <c r="BG776">
        <f t="shared" si="245"/>
        <v>0</v>
      </c>
      <c r="BH776">
        <f t="shared" si="245"/>
        <v>0</v>
      </c>
      <c r="BI776">
        <f t="shared" si="246"/>
        <v>0</v>
      </c>
      <c r="BJ776">
        <f t="shared" si="246"/>
        <v>0</v>
      </c>
      <c r="BK776" t="str">
        <f t="shared" si="246"/>
        <v>Welker</v>
      </c>
      <c r="BL776">
        <f t="shared" si="246"/>
        <v>0</v>
      </c>
      <c r="BM776">
        <f t="shared" si="246"/>
        <v>0</v>
      </c>
      <c r="BN776">
        <f t="shared" si="246"/>
        <v>0</v>
      </c>
      <c r="BO776">
        <f t="shared" si="246"/>
        <v>0</v>
      </c>
      <c r="BP776">
        <f t="shared" si="246"/>
        <v>0</v>
      </c>
      <c r="BQ776">
        <f t="shared" si="246"/>
        <v>0</v>
      </c>
      <c r="BR776">
        <f t="shared" si="246"/>
        <v>0</v>
      </c>
      <c r="BS776">
        <f t="shared" si="246"/>
        <v>0</v>
      </c>
    </row>
    <row r="777" spans="2:71" ht="15" customHeight="1" x14ac:dyDescent="0.2">
      <c r="B777">
        <v>24</v>
      </c>
      <c r="C777">
        <v>7</v>
      </c>
      <c r="D777">
        <v>11</v>
      </c>
      <c r="E777" t="s">
        <v>564</v>
      </c>
      <c r="F777" t="s">
        <v>72</v>
      </c>
      <c r="G777" s="5">
        <v>45584</v>
      </c>
      <c r="H777" t="s">
        <v>73</v>
      </c>
      <c r="I777" t="s">
        <v>528</v>
      </c>
      <c r="J777" t="s">
        <v>168</v>
      </c>
      <c r="K777">
        <v>18</v>
      </c>
      <c r="L777" t="s">
        <v>107</v>
      </c>
      <c r="M777" t="s">
        <v>558</v>
      </c>
      <c r="N777" t="s">
        <v>78</v>
      </c>
      <c r="P777">
        <v>137</v>
      </c>
      <c r="Q777">
        <v>6439</v>
      </c>
      <c r="R777" t="s">
        <v>110</v>
      </c>
      <c r="S777" t="s">
        <v>111</v>
      </c>
      <c r="U777" t="s">
        <v>52</v>
      </c>
      <c r="V777" t="s">
        <v>55</v>
      </c>
      <c r="W777" t="s">
        <v>555</v>
      </c>
      <c r="AA777">
        <v>2</v>
      </c>
      <c r="AB777" t="s">
        <v>32</v>
      </c>
      <c r="AD777" t="s">
        <v>49</v>
      </c>
      <c r="AE777" t="str">
        <f t="shared" si="243"/>
        <v>Cole</v>
      </c>
      <c r="AF777">
        <v>2</v>
      </c>
      <c r="AG777">
        <v>1</v>
      </c>
      <c r="AH777">
        <v>0</v>
      </c>
      <c r="AI777">
        <v>0</v>
      </c>
      <c r="AJ777">
        <v>1</v>
      </c>
      <c r="AK777" t="s">
        <v>49</v>
      </c>
      <c r="AO777">
        <f t="shared" si="244"/>
        <v>0</v>
      </c>
      <c r="AP777">
        <f t="shared" si="244"/>
        <v>0</v>
      </c>
      <c r="AQ777">
        <f t="shared" si="244"/>
        <v>0</v>
      </c>
      <c r="AR777">
        <f t="shared" si="244"/>
        <v>0</v>
      </c>
      <c r="AS777">
        <f t="shared" si="244"/>
        <v>0</v>
      </c>
      <c r="AT777">
        <f t="shared" si="244"/>
        <v>0</v>
      </c>
      <c r="AU777">
        <f t="shared" si="244"/>
        <v>0</v>
      </c>
      <c r="AV777">
        <f t="shared" si="244"/>
        <v>0</v>
      </c>
      <c r="AW777">
        <f t="shared" si="244"/>
        <v>0</v>
      </c>
      <c r="AX777">
        <f t="shared" si="244"/>
        <v>0</v>
      </c>
      <c r="AY777">
        <f t="shared" si="245"/>
        <v>0</v>
      </c>
      <c r="AZ777">
        <f t="shared" si="245"/>
        <v>0</v>
      </c>
      <c r="BA777">
        <f t="shared" si="245"/>
        <v>0</v>
      </c>
      <c r="BB777">
        <f t="shared" si="245"/>
        <v>0</v>
      </c>
      <c r="BC777">
        <f t="shared" si="245"/>
        <v>0</v>
      </c>
      <c r="BD777" t="str">
        <f t="shared" si="245"/>
        <v>Cole</v>
      </c>
      <c r="BE777">
        <f t="shared" si="245"/>
        <v>0</v>
      </c>
      <c r="BF777">
        <f t="shared" si="245"/>
        <v>0</v>
      </c>
      <c r="BG777">
        <f t="shared" si="245"/>
        <v>0</v>
      </c>
      <c r="BH777">
        <f t="shared" si="245"/>
        <v>0</v>
      </c>
      <c r="BI777">
        <f t="shared" si="246"/>
        <v>0</v>
      </c>
      <c r="BJ777">
        <f t="shared" si="246"/>
        <v>0</v>
      </c>
      <c r="BK777">
        <f t="shared" si="246"/>
        <v>0</v>
      </c>
      <c r="BL777">
        <f t="shared" si="246"/>
        <v>0</v>
      </c>
      <c r="BM777">
        <f t="shared" si="246"/>
        <v>0</v>
      </c>
      <c r="BN777">
        <f t="shared" si="246"/>
        <v>0</v>
      </c>
      <c r="BO777">
        <f t="shared" si="246"/>
        <v>0</v>
      </c>
      <c r="BP777">
        <f t="shared" si="246"/>
        <v>0</v>
      </c>
      <c r="BQ777">
        <f t="shared" si="246"/>
        <v>0</v>
      </c>
      <c r="BR777">
        <f t="shared" si="246"/>
        <v>0</v>
      </c>
      <c r="BS777">
        <f t="shared" si="246"/>
        <v>0</v>
      </c>
    </row>
    <row r="778" spans="2:71" ht="15" customHeight="1" x14ac:dyDescent="0.2">
      <c r="B778">
        <v>24</v>
      </c>
      <c r="C778">
        <v>8</v>
      </c>
      <c r="D778">
        <v>11</v>
      </c>
      <c r="E778" t="s">
        <v>565</v>
      </c>
      <c r="F778" t="s">
        <v>72</v>
      </c>
      <c r="G778" s="5">
        <v>45584</v>
      </c>
      <c r="H778" t="s">
        <v>73</v>
      </c>
      <c r="I778" t="s">
        <v>528</v>
      </c>
      <c r="J778" t="s">
        <v>168</v>
      </c>
      <c r="K778">
        <v>18</v>
      </c>
      <c r="L778" t="s">
        <v>107</v>
      </c>
      <c r="M778" t="s">
        <v>558</v>
      </c>
      <c r="N778" t="s">
        <v>78</v>
      </c>
      <c r="P778">
        <v>137</v>
      </c>
      <c r="Q778">
        <v>6439</v>
      </c>
      <c r="R778" t="s">
        <v>110</v>
      </c>
      <c r="S778" t="s">
        <v>111</v>
      </c>
      <c r="U778" t="s">
        <v>52</v>
      </c>
      <c r="V778" t="s">
        <v>46</v>
      </c>
      <c r="W778" t="s">
        <v>555</v>
      </c>
      <c r="AA778">
        <v>2</v>
      </c>
      <c r="AB778" t="s">
        <v>33</v>
      </c>
      <c r="AD778" t="s">
        <v>64</v>
      </c>
      <c r="AE778" t="str">
        <f t="shared" si="243"/>
        <v>Mangold</v>
      </c>
      <c r="AF778">
        <v>0</v>
      </c>
      <c r="AG778">
        <v>0</v>
      </c>
      <c r="AH778">
        <v>1</v>
      </c>
      <c r="AI778">
        <v>0</v>
      </c>
      <c r="AJ778">
        <v>0</v>
      </c>
      <c r="AK778" t="s">
        <v>64</v>
      </c>
      <c r="AL778">
        <v>0.65909090909090895</v>
      </c>
      <c r="AO778">
        <f t="shared" si="244"/>
        <v>0</v>
      </c>
      <c r="AP778">
        <f t="shared" si="244"/>
        <v>0</v>
      </c>
      <c r="AQ778">
        <f t="shared" si="244"/>
        <v>0</v>
      </c>
      <c r="AR778">
        <f t="shared" si="244"/>
        <v>0</v>
      </c>
      <c r="AS778">
        <f t="shared" si="244"/>
        <v>0</v>
      </c>
      <c r="AT778">
        <f t="shared" si="244"/>
        <v>0</v>
      </c>
      <c r="AU778" t="str">
        <f t="shared" si="244"/>
        <v>Mangold</v>
      </c>
      <c r="AV778">
        <f t="shared" si="244"/>
        <v>0</v>
      </c>
      <c r="AW778">
        <f t="shared" si="244"/>
        <v>0</v>
      </c>
      <c r="AX778">
        <f t="shared" si="244"/>
        <v>0</v>
      </c>
      <c r="AY778">
        <f t="shared" si="245"/>
        <v>0</v>
      </c>
      <c r="AZ778">
        <f t="shared" si="245"/>
        <v>0</v>
      </c>
      <c r="BA778">
        <f t="shared" si="245"/>
        <v>0</v>
      </c>
      <c r="BB778">
        <f t="shared" si="245"/>
        <v>0</v>
      </c>
      <c r="BC778">
        <f t="shared" si="245"/>
        <v>0</v>
      </c>
      <c r="BD778">
        <f t="shared" si="245"/>
        <v>0</v>
      </c>
      <c r="BE778">
        <f t="shared" si="245"/>
        <v>0</v>
      </c>
      <c r="BF778">
        <f t="shared" si="245"/>
        <v>0</v>
      </c>
      <c r="BG778">
        <f t="shared" si="245"/>
        <v>0</v>
      </c>
      <c r="BH778">
        <f t="shared" si="245"/>
        <v>0</v>
      </c>
      <c r="BI778">
        <f t="shared" si="246"/>
        <v>0</v>
      </c>
      <c r="BJ778">
        <f t="shared" si="246"/>
        <v>0</v>
      </c>
      <c r="BK778">
        <f t="shared" si="246"/>
        <v>0</v>
      </c>
      <c r="BL778">
        <f t="shared" si="246"/>
        <v>0</v>
      </c>
      <c r="BM778">
        <f t="shared" si="246"/>
        <v>0</v>
      </c>
      <c r="BN778">
        <f t="shared" si="246"/>
        <v>0</v>
      </c>
      <c r="BO778">
        <f t="shared" si="246"/>
        <v>0</v>
      </c>
      <c r="BP778">
        <f t="shared" si="246"/>
        <v>0</v>
      </c>
      <c r="BQ778">
        <f t="shared" si="246"/>
        <v>0</v>
      </c>
      <c r="BR778">
        <f t="shared" si="246"/>
        <v>0</v>
      </c>
      <c r="BS778">
        <f t="shared" si="246"/>
        <v>0</v>
      </c>
    </row>
    <row r="779" spans="2:71" ht="15" customHeight="1" x14ac:dyDescent="0.2">
      <c r="B779">
        <v>25</v>
      </c>
      <c r="C779">
        <v>9</v>
      </c>
      <c r="D779">
        <v>11</v>
      </c>
      <c r="E779" t="s">
        <v>566</v>
      </c>
      <c r="F779" t="s">
        <v>72</v>
      </c>
      <c r="G779" s="5">
        <v>45584</v>
      </c>
      <c r="H779" t="s">
        <v>73</v>
      </c>
      <c r="I779" t="s">
        <v>528</v>
      </c>
      <c r="J779" t="s">
        <v>168</v>
      </c>
      <c r="K779">
        <v>18</v>
      </c>
      <c r="L779" t="s">
        <v>107</v>
      </c>
      <c r="M779" t="s">
        <v>558</v>
      </c>
      <c r="N779" t="s">
        <v>78</v>
      </c>
      <c r="P779">
        <v>137</v>
      </c>
      <c r="Q779">
        <v>6439</v>
      </c>
      <c r="R779" t="s">
        <v>110</v>
      </c>
      <c r="S779" t="s">
        <v>111</v>
      </c>
      <c r="U779" t="s">
        <v>52</v>
      </c>
      <c r="V779" t="s">
        <v>44</v>
      </c>
      <c r="W779" t="s">
        <v>555</v>
      </c>
      <c r="AA779">
        <v>2</v>
      </c>
      <c r="AB779" t="s">
        <v>33</v>
      </c>
      <c r="AD779" t="s">
        <v>59</v>
      </c>
      <c r="AE779" t="str">
        <f t="shared" si="243"/>
        <v>Flanders</v>
      </c>
      <c r="AF779">
        <v>0</v>
      </c>
      <c r="AG779">
        <v>0</v>
      </c>
      <c r="AH779">
        <v>1</v>
      </c>
      <c r="AI779">
        <v>0</v>
      </c>
      <c r="AJ779">
        <v>0</v>
      </c>
      <c r="AK779" t="s">
        <v>59</v>
      </c>
      <c r="AL779">
        <v>0.52777777777777801</v>
      </c>
      <c r="AO779">
        <f t="shared" si="244"/>
        <v>0</v>
      </c>
      <c r="AP779">
        <f t="shared" si="244"/>
        <v>0</v>
      </c>
      <c r="AQ779">
        <f t="shared" si="244"/>
        <v>0</v>
      </c>
      <c r="AR779">
        <f t="shared" si="244"/>
        <v>0</v>
      </c>
      <c r="AS779" t="str">
        <f t="shared" si="244"/>
        <v>Flanders</v>
      </c>
      <c r="AT779">
        <f t="shared" si="244"/>
        <v>0</v>
      </c>
      <c r="AU779">
        <f t="shared" si="244"/>
        <v>0</v>
      </c>
      <c r="AV779">
        <f t="shared" si="244"/>
        <v>0</v>
      </c>
      <c r="AW779">
        <f t="shared" si="244"/>
        <v>0</v>
      </c>
      <c r="AX779">
        <f t="shared" si="244"/>
        <v>0</v>
      </c>
      <c r="AY779">
        <f t="shared" si="245"/>
        <v>0</v>
      </c>
      <c r="AZ779">
        <f t="shared" si="245"/>
        <v>0</v>
      </c>
      <c r="BA779">
        <f t="shared" si="245"/>
        <v>0</v>
      </c>
      <c r="BB779">
        <f t="shared" si="245"/>
        <v>0</v>
      </c>
      <c r="BC779">
        <f t="shared" si="245"/>
        <v>0</v>
      </c>
      <c r="BD779">
        <f t="shared" si="245"/>
        <v>0</v>
      </c>
      <c r="BE779">
        <f t="shared" si="245"/>
        <v>0</v>
      </c>
      <c r="BF779">
        <f t="shared" si="245"/>
        <v>0</v>
      </c>
      <c r="BG779">
        <f t="shared" si="245"/>
        <v>0</v>
      </c>
      <c r="BH779">
        <f t="shared" si="245"/>
        <v>0</v>
      </c>
      <c r="BI779">
        <f t="shared" si="246"/>
        <v>0</v>
      </c>
      <c r="BJ779">
        <f t="shared" si="246"/>
        <v>0</v>
      </c>
      <c r="BK779">
        <f t="shared" si="246"/>
        <v>0</v>
      </c>
      <c r="BL779">
        <f t="shared" si="246"/>
        <v>0</v>
      </c>
      <c r="BM779">
        <f t="shared" si="246"/>
        <v>0</v>
      </c>
      <c r="BN779">
        <f t="shared" si="246"/>
        <v>0</v>
      </c>
      <c r="BO779">
        <f t="shared" si="246"/>
        <v>0</v>
      </c>
      <c r="BP779">
        <f t="shared" si="246"/>
        <v>0</v>
      </c>
      <c r="BQ779">
        <f t="shared" si="246"/>
        <v>0</v>
      </c>
      <c r="BR779">
        <f t="shared" si="246"/>
        <v>0</v>
      </c>
      <c r="BS779">
        <f t="shared" si="246"/>
        <v>0</v>
      </c>
    </row>
    <row r="780" spans="2:71" ht="15" customHeight="1" x14ac:dyDescent="0.2">
      <c r="B780">
        <v>25</v>
      </c>
      <c r="C780">
        <v>10</v>
      </c>
      <c r="D780">
        <v>11</v>
      </c>
      <c r="E780" t="s">
        <v>567</v>
      </c>
      <c r="F780" t="s">
        <v>72</v>
      </c>
      <c r="G780" s="5">
        <v>45584</v>
      </c>
      <c r="H780" t="s">
        <v>73</v>
      </c>
      <c r="I780" t="s">
        <v>528</v>
      </c>
      <c r="J780" t="s">
        <v>168</v>
      </c>
      <c r="K780">
        <v>18</v>
      </c>
      <c r="L780" t="s">
        <v>107</v>
      </c>
      <c r="M780" t="s">
        <v>558</v>
      </c>
      <c r="N780" t="s">
        <v>78</v>
      </c>
      <c r="P780">
        <v>137</v>
      </c>
      <c r="Q780">
        <v>6439</v>
      </c>
      <c r="R780" t="s">
        <v>110</v>
      </c>
      <c r="S780" t="s">
        <v>111</v>
      </c>
      <c r="U780" t="s">
        <v>52</v>
      </c>
      <c r="V780" t="s">
        <v>63</v>
      </c>
      <c r="W780" t="s">
        <v>555</v>
      </c>
      <c r="AA780">
        <v>2</v>
      </c>
      <c r="AB780" t="s">
        <v>33</v>
      </c>
      <c r="AD780" t="s">
        <v>45</v>
      </c>
      <c r="AE780" t="str">
        <f t="shared" si="243"/>
        <v>Delaney</v>
      </c>
      <c r="AF780">
        <v>0</v>
      </c>
      <c r="AG780">
        <v>0</v>
      </c>
      <c r="AH780">
        <v>1</v>
      </c>
      <c r="AI780">
        <v>0</v>
      </c>
      <c r="AJ780">
        <v>0</v>
      </c>
      <c r="AK780" t="s">
        <v>45</v>
      </c>
      <c r="AL780">
        <v>0.59375</v>
      </c>
      <c r="AO780">
        <f t="shared" si="244"/>
        <v>0</v>
      </c>
      <c r="AP780">
        <f t="shared" si="244"/>
        <v>0</v>
      </c>
      <c r="AQ780">
        <f t="shared" si="244"/>
        <v>0</v>
      </c>
      <c r="AR780">
        <f t="shared" si="244"/>
        <v>0</v>
      </c>
      <c r="AS780">
        <f t="shared" si="244"/>
        <v>0</v>
      </c>
      <c r="AT780">
        <f t="shared" si="244"/>
        <v>0</v>
      </c>
      <c r="AU780">
        <f t="shared" si="244"/>
        <v>0</v>
      </c>
      <c r="AV780">
        <f t="shared" si="244"/>
        <v>0</v>
      </c>
      <c r="AW780">
        <f t="shared" si="244"/>
        <v>0</v>
      </c>
      <c r="AX780">
        <f t="shared" si="244"/>
        <v>0</v>
      </c>
      <c r="AY780">
        <f t="shared" si="245"/>
        <v>0</v>
      </c>
      <c r="AZ780">
        <f t="shared" si="245"/>
        <v>0</v>
      </c>
      <c r="BA780">
        <f t="shared" si="245"/>
        <v>0</v>
      </c>
      <c r="BB780">
        <f t="shared" si="245"/>
        <v>0</v>
      </c>
      <c r="BC780">
        <f t="shared" si="245"/>
        <v>0</v>
      </c>
      <c r="BD780">
        <f t="shared" si="245"/>
        <v>0</v>
      </c>
      <c r="BE780">
        <f t="shared" si="245"/>
        <v>0</v>
      </c>
      <c r="BF780">
        <f t="shared" si="245"/>
        <v>0</v>
      </c>
      <c r="BG780">
        <f t="shared" si="245"/>
        <v>0</v>
      </c>
      <c r="BH780">
        <f t="shared" si="245"/>
        <v>0</v>
      </c>
      <c r="BI780">
        <f t="shared" si="246"/>
        <v>0</v>
      </c>
      <c r="BJ780">
        <f t="shared" si="246"/>
        <v>0</v>
      </c>
      <c r="BK780">
        <f t="shared" si="246"/>
        <v>0</v>
      </c>
      <c r="BL780" t="str">
        <f t="shared" si="246"/>
        <v>Delaney</v>
      </c>
      <c r="BM780">
        <f t="shared" si="246"/>
        <v>0</v>
      </c>
      <c r="BN780">
        <f t="shared" si="246"/>
        <v>0</v>
      </c>
      <c r="BO780">
        <f t="shared" si="246"/>
        <v>0</v>
      </c>
      <c r="BP780">
        <f t="shared" si="246"/>
        <v>0</v>
      </c>
      <c r="BQ780">
        <f t="shared" si="246"/>
        <v>0</v>
      </c>
      <c r="BR780">
        <f t="shared" si="246"/>
        <v>0</v>
      </c>
      <c r="BS780">
        <f t="shared" si="246"/>
        <v>0</v>
      </c>
    </row>
    <row r="781" spans="2:71" ht="15" customHeight="1" x14ac:dyDescent="0.2">
      <c r="B781">
        <v>26</v>
      </c>
      <c r="C781">
        <v>1</v>
      </c>
      <c r="D781">
        <v>11</v>
      </c>
      <c r="E781" t="s">
        <v>557</v>
      </c>
      <c r="F781" t="s">
        <v>72</v>
      </c>
      <c r="G781" s="5">
        <v>45584</v>
      </c>
      <c r="H781" t="s">
        <v>73</v>
      </c>
      <c r="I781" t="s">
        <v>528</v>
      </c>
      <c r="J781" t="s">
        <v>168</v>
      </c>
      <c r="K781">
        <v>18</v>
      </c>
      <c r="L781" t="s">
        <v>107</v>
      </c>
      <c r="M781" t="s">
        <v>558</v>
      </c>
      <c r="N781" t="s">
        <v>78</v>
      </c>
      <c r="P781">
        <v>137</v>
      </c>
      <c r="Q781">
        <v>6439</v>
      </c>
      <c r="R781" t="s">
        <v>110</v>
      </c>
      <c r="S781" t="s">
        <v>111</v>
      </c>
      <c r="U781" t="s">
        <v>64</v>
      </c>
      <c r="V781" t="s">
        <v>43</v>
      </c>
      <c r="W781" t="s">
        <v>556</v>
      </c>
      <c r="AA781">
        <v>2</v>
      </c>
      <c r="AB781" t="s">
        <v>32</v>
      </c>
      <c r="AD781" t="s">
        <v>48</v>
      </c>
      <c r="AE781" t="str">
        <f t="shared" si="243"/>
        <v>Poirier</v>
      </c>
      <c r="AF781">
        <v>2</v>
      </c>
      <c r="AG781">
        <v>1</v>
      </c>
      <c r="AH781">
        <v>0</v>
      </c>
      <c r="AI781">
        <v>0</v>
      </c>
      <c r="AJ781">
        <v>1</v>
      </c>
      <c r="AK781" t="s">
        <v>48</v>
      </c>
      <c r="AL781">
        <v>0.5546875</v>
      </c>
      <c r="AO781">
        <f t="shared" si="244"/>
        <v>0</v>
      </c>
      <c r="AP781">
        <f t="shared" si="244"/>
        <v>0</v>
      </c>
      <c r="AQ781">
        <f t="shared" si="244"/>
        <v>0</v>
      </c>
      <c r="AR781" t="str">
        <f t="shared" si="244"/>
        <v>Poirier</v>
      </c>
      <c r="AS781">
        <f t="shared" si="244"/>
        <v>0</v>
      </c>
      <c r="AT781">
        <f t="shared" si="244"/>
        <v>0</v>
      </c>
      <c r="AU781">
        <f t="shared" si="244"/>
        <v>0</v>
      </c>
      <c r="AV781">
        <f t="shared" si="244"/>
        <v>0</v>
      </c>
      <c r="AW781">
        <f t="shared" si="244"/>
        <v>0</v>
      </c>
      <c r="AX781">
        <f t="shared" si="244"/>
        <v>0</v>
      </c>
      <c r="AY781">
        <f t="shared" si="245"/>
        <v>0</v>
      </c>
      <c r="AZ781">
        <f t="shared" si="245"/>
        <v>0</v>
      </c>
      <c r="BA781">
        <f t="shared" si="245"/>
        <v>0</v>
      </c>
      <c r="BB781">
        <f t="shared" si="245"/>
        <v>0</v>
      </c>
      <c r="BC781">
        <f t="shared" si="245"/>
        <v>0</v>
      </c>
      <c r="BD781">
        <f t="shared" si="245"/>
        <v>0</v>
      </c>
      <c r="BE781">
        <f t="shared" si="245"/>
        <v>0</v>
      </c>
      <c r="BF781">
        <f t="shared" si="245"/>
        <v>0</v>
      </c>
      <c r="BG781">
        <f t="shared" si="245"/>
        <v>0</v>
      </c>
      <c r="BH781">
        <f t="shared" si="245"/>
        <v>0</v>
      </c>
      <c r="BI781">
        <f t="shared" si="246"/>
        <v>0</v>
      </c>
      <c r="BJ781">
        <f t="shared" si="246"/>
        <v>0</v>
      </c>
      <c r="BK781">
        <f t="shared" si="246"/>
        <v>0</v>
      </c>
      <c r="BL781">
        <f t="shared" si="246"/>
        <v>0</v>
      </c>
      <c r="BM781">
        <f t="shared" si="246"/>
        <v>0</v>
      </c>
      <c r="BN781">
        <f t="shared" si="246"/>
        <v>0</v>
      </c>
      <c r="BO781">
        <f t="shared" si="246"/>
        <v>0</v>
      </c>
      <c r="BP781">
        <f t="shared" si="246"/>
        <v>0</v>
      </c>
      <c r="BQ781">
        <f t="shared" si="246"/>
        <v>0</v>
      </c>
      <c r="BR781">
        <f t="shared" si="246"/>
        <v>0</v>
      </c>
      <c r="BS781">
        <f t="shared" si="246"/>
        <v>0</v>
      </c>
    </row>
    <row r="782" spans="2:71" ht="15" customHeight="1" x14ac:dyDescent="0.2">
      <c r="B782">
        <v>26</v>
      </c>
      <c r="C782">
        <v>2</v>
      </c>
      <c r="D782">
        <v>11</v>
      </c>
      <c r="E782" t="s">
        <v>559</v>
      </c>
      <c r="F782" t="s">
        <v>72</v>
      </c>
      <c r="G782" s="5">
        <v>45584</v>
      </c>
      <c r="H782" t="s">
        <v>73</v>
      </c>
      <c r="I782" t="s">
        <v>528</v>
      </c>
      <c r="J782" t="s">
        <v>168</v>
      </c>
      <c r="K782">
        <v>18</v>
      </c>
      <c r="L782" t="s">
        <v>107</v>
      </c>
      <c r="M782" t="s">
        <v>558</v>
      </c>
      <c r="N782" t="s">
        <v>78</v>
      </c>
      <c r="P782">
        <v>137</v>
      </c>
      <c r="Q782">
        <v>6439</v>
      </c>
      <c r="R782" t="s">
        <v>110</v>
      </c>
      <c r="S782" t="s">
        <v>111</v>
      </c>
      <c r="U782" t="s">
        <v>64</v>
      </c>
      <c r="V782" t="s">
        <v>58</v>
      </c>
      <c r="W782" t="s">
        <v>556</v>
      </c>
      <c r="AA782">
        <v>2</v>
      </c>
      <c r="AB782" t="s">
        <v>33</v>
      </c>
      <c r="AD782" t="s">
        <v>41</v>
      </c>
      <c r="AE782" t="str">
        <f t="shared" si="243"/>
        <v>Gray</v>
      </c>
      <c r="AF782">
        <v>0</v>
      </c>
      <c r="AG782">
        <v>0</v>
      </c>
      <c r="AH782">
        <v>1</v>
      </c>
      <c r="AI782">
        <v>0</v>
      </c>
      <c r="AJ782">
        <v>0</v>
      </c>
      <c r="AK782" t="s">
        <v>41</v>
      </c>
      <c r="AL782">
        <v>0.47321428571428598</v>
      </c>
      <c r="AO782">
        <f t="shared" ref="AO782:AX791" si="247">IF(OR($V782=AO$1,$Y782=AO$1),AO$1,0)</f>
        <v>0</v>
      </c>
      <c r="AP782">
        <f t="shared" si="247"/>
        <v>0</v>
      </c>
      <c r="AQ782">
        <f t="shared" si="247"/>
        <v>0</v>
      </c>
      <c r="AR782">
        <f t="shared" si="247"/>
        <v>0</v>
      </c>
      <c r="AS782">
        <f t="shared" si="247"/>
        <v>0</v>
      </c>
      <c r="AT782">
        <f t="shared" si="247"/>
        <v>0</v>
      </c>
      <c r="AU782">
        <f t="shared" si="247"/>
        <v>0</v>
      </c>
      <c r="AV782">
        <f t="shared" si="247"/>
        <v>0</v>
      </c>
      <c r="AW782">
        <f t="shared" si="247"/>
        <v>0</v>
      </c>
      <c r="AX782">
        <f t="shared" si="247"/>
        <v>0</v>
      </c>
      <c r="AY782">
        <f t="shared" ref="AY782:BH791" si="248">IF(OR($V782=AY$1,$Y782=AY$1),AY$1,0)</f>
        <v>0</v>
      </c>
      <c r="AZ782">
        <f t="shared" si="248"/>
        <v>0</v>
      </c>
      <c r="BA782">
        <f t="shared" si="248"/>
        <v>0</v>
      </c>
      <c r="BB782">
        <f t="shared" si="248"/>
        <v>0</v>
      </c>
      <c r="BC782">
        <f t="shared" si="248"/>
        <v>0</v>
      </c>
      <c r="BD782">
        <f t="shared" si="248"/>
        <v>0</v>
      </c>
      <c r="BE782">
        <f t="shared" si="248"/>
        <v>0</v>
      </c>
      <c r="BF782">
        <f t="shared" si="248"/>
        <v>0</v>
      </c>
      <c r="BG782" t="str">
        <f t="shared" si="248"/>
        <v>Gray</v>
      </c>
      <c r="BH782">
        <f t="shared" si="248"/>
        <v>0</v>
      </c>
      <c r="BI782">
        <f t="shared" ref="BI782:BS791" si="249">IF(OR($V782=BI$1,$Y782=BI$1),BI$1,0)</f>
        <v>0</v>
      </c>
      <c r="BJ782">
        <f t="shared" si="249"/>
        <v>0</v>
      </c>
      <c r="BK782">
        <f t="shared" si="249"/>
        <v>0</v>
      </c>
      <c r="BL782">
        <f t="shared" si="249"/>
        <v>0</v>
      </c>
      <c r="BM782">
        <f t="shared" si="249"/>
        <v>0</v>
      </c>
      <c r="BN782">
        <f t="shared" si="249"/>
        <v>0</v>
      </c>
      <c r="BO782">
        <f t="shared" si="249"/>
        <v>0</v>
      </c>
      <c r="BP782">
        <f t="shared" si="249"/>
        <v>0</v>
      </c>
      <c r="BQ782">
        <f t="shared" si="249"/>
        <v>0</v>
      </c>
      <c r="BR782">
        <f t="shared" si="249"/>
        <v>0</v>
      </c>
      <c r="BS782">
        <f t="shared" si="249"/>
        <v>0</v>
      </c>
    </row>
    <row r="783" spans="2:71" ht="15" customHeight="1" x14ac:dyDescent="0.2">
      <c r="B783">
        <v>27</v>
      </c>
      <c r="C783">
        <v>3</v>
      </c>
      <c r="D783">
        <v>11</v>
      </c>
      <c r="E783" t="s">
        <v>560</v>
      </c>
      <c r="F783" t="s">
        <v>72</v>
      </c>
      <c r="G783" s="5">
        <v>45584</v>
      </c>
      <c r="H783" t="s">
        <v>73</v>
      </c>
      <c r="I783" t="s">
        <v>528</v>
      </c>
      <c r="J783" t="s">
        <v>168</v>
      </c>
      <c r="K783">
        <v>18</v>
      </c>
      <c r="L783" t="s">
        <v>107</v>
      </c>
      <c r="M783" t="s">
        <v>558</v>
      </c>
      <c r="N783" t="s">
        <v>78</v>
      </c>
      <c r="P783">
        <v>137</v>
      </c>
      <c r="Q783">
        <v>6439</v>
      </c>
      <c r="R783" t="s">
        <v>110</v>
      </c>
      <c r="S783" t="s">
        <v>111</v>
      </c>
      <c r="U783" t="s">
        <v>64</v>
      </c>
      <c r="V783" t="s">
        <v>50</v>
      </c>
      <c r="W783" t="s">
        <v>556</v>
      </c>
      <c r="AA783">
        <v>2</v>
      </c>
      <c r="AB783" t="s">
        <v>32</v>
      </c>
      <c r="AD783" t="s">
        <v>40</v>
      </c>
      <c r="AE783" t="str">
        <f t="shared" si="243"/>
        <v>Ferrin</v>
      </c>
      <c r="AF783">
        <v>2</v>
      </c>
      <c r="AG783">
        <v>1</v>
      </c>
      <c r="AH783">
        <v>0</v>
      </c>
      <c r="AI783">
        <v>0</v>
      </c>
      <c r="AJ783">
        <v>1</v>
      </c>
      <c r="AK783" t="s">
        <v>40</v>
      </c>
      <c r="AL783">
        <v>0.546875</v>
      </c>
      <c r="AO783">
        <f t="shared" si="247"/>
        <v>0</v>
      </c>
      <c r="AP783">
        <f t="shared" si="247"/>
        <v>0</v>
      </c>
      <c r="AQ783">
        <f t="shared" si="247"/>
        <v>0</v>
      </c>
      <c r="AR783">
        <f t="shared" si="247"/>
        <v>0</v>
      </c>
      <c r="AS783">
        <f t="shared" si="247"/>
        <v>0</v>
      </c>
      <c r="AT783">
        <f t="shared" si="247"/>
        <v>0</v>
      </c>
      <c r="AU783">
        <f t="shared" si="247"/>
        <v>0</v>
      </c>
      <c r="AV783">
        <f t="shared" si="247"/>
        <v>0</v>
      </c>
      <c r="AW783">
        <f t="shared" si="247"/>
        <v>0</v>
      </c>
      <c r="AX783">
        <f t="shared" si="247"/>
        <v>0</v>
      </c>
      <c r="AY783" t="str">
        <f t="shared" si="248"/>
        <v>Ferrin</v>
      </c>
      <c r="AZ783">
        <f t="shared" si="248"/>
        <v>0</v>
      </c>
      <c r="BA783">
        <f t="shared" si="248"/>
        <v>0</v>
      </c>
      <c r="BB783">
        <f t="shared" si="248"/>
        <v>0</v>
      </c>
      <c r="BC783">
        <f t="shared" si="248"/>
        <v>0</v>
      </c>
      <c r="BD783">
        <f t="shared" si="248"/>
        <v>0</v>
      </c>
      <c r="BE783">
        <f t="shared" si="248"/>
        <v>0</v>
      </c>
      <c r="BF783">
        <f t="shared" si="248"/>
        <v>0</v>
      </c>
      <c r="BG783">
        <f t="shared" si="248"/>
        <v>0</v>
      </c>
      <c r="BH783">
        <f t="shared" si="248"/>
        <v>0</v>
      </c>
      <c r="BI783">
        <f t="shared" si="249"/>
        <v>0</v>
      </c>
      <c r="BJ783">
        <f t="shared" si="249"/>
        <v>0</v>
      </c>
      <c r="BK783">
        <f t="shared" si="249"/>
        <v>0</v>
      </c>
      <c r="BL783">
        <f t="shared" si="249"/>
        <v>0</v>
      </c>
      <c r="BM783">
        <f t="shared" si="249"/>
        <v>0</v>
      </c>
      <c r="BN783">
        <f t="shared" si="249"/>
        <v>0</v>
      </c>
      <c r="BO783">
        <f t="shared" si="249"/>
        <v>0</v>
      </c>
      <c r="BP783">
        <f t="shared" si="249"/>
        <v>0</v>
      </c>
      <c r="BQ783">
        <f t="shared" si="249"/>
        <v>0</v>
      </c>
      <c r="BR783">
        <f t="shared" si="249"/>
        <v>0</v>
      </c>
      <c r="BS783">
        <f t="shared" si="249"/>
        <v>0</v>
      </c>
    </row>
    <row r="784" spans="2:71" ht="15" customHeight="1" x14ac:dyDescent="0.2">
      <c r="B784">
        <v>27</v>
      </c>
      <c r="C784">
        <v>4</v>
      </c>
      <c r="D784">
        <v>11</v>
      </c>
      <c r="E784" t="s">
        <v>561</v>
      </c>
      <c r="F784" t="s">
        <v>72</v>
      </c>
      <c r="G784" s="5">
        <v>45584</v>
      </c>
      <c r="H784" t="s">
        <v>73</v>
      </c>
      <c r="I784" t="s">
        <v>528</v>
      </c>
      <c r="J784" t="s">
        <v>168</v>
      </c>
      <c r="K784">
        <v>18</v>
      </c>
      <c r="L784" t="s">
        <v>107</v>
      </c>
      <c r="M784" t="s">
        <v>558</v>
      </c>
      <c r="N784" t="s">
        <v>78</v>
      </c>
      <c r="P784">
        <v>137</v>
      </c>
      <c r="Q784">
        <v>6439</v>
      </c>
      <c r="R784" t="s">
        <v>110</v>
      </c>
      <c r="S784" t="s">
        <v>111</v>
      </c>
      <c r="U784" t="s">
        <v>64</v>
      </c>
      <c r="V784" t="s">
        <v>60</v>
      </c>
      <c r="W784" t="s">
        <v>556</v>
      </c>
      <c r="AA784">
        <v>2</v>
      </c>
      <c r="AB784" t="s">
        <v>34</v>
      </c>
      <c r="AD784" t="s">
        <v>42</v>
      </c>
      <c r="AE784" t="str">
        <f t="shared" si="243"/>
        <v>Zimmer</v>
      </c>
      <c r="AF784">
        <v>1</v>
      </c>
      <c r="AG784">
        <v>0</v>
      </c>
      <c r="AH784">
        <v>0</v>
      </c>
      <c r="AI784">
        <v>1</v>
      </c>
      <c r="AJ784">
        <v>0.5</v>
      </c>
      <c r="AK784" t="s">
        <v>42</v>
      </c>
      <c r="AL784">
        <v>0.6171875</v>
      </c>
      <c r="AO784">
        <f t="shared" si="247"/>
        <v>0</v>
      </c>
      <c r="AP784">
        <f t="shared" si="247"/>
        <v>0</v>
      </c>
      <c r="AQ784">
        <f t="shared" si="247"/>
        <v>0</v>
      </c>
      <c r="AR784">
        <f t="shared" si="247"/>
        <v>0</v>
      </c>
      <c r="AS784">
        <f t="shared" si="247"/>
        <v>0</v>
      </c>
      <c r="AT784">
        <f t="shared" si="247"/>
        <v>0</v>
      </c>
      <c r="AU784">
        <f t="shared" si="247"/>
        <v>0</v>
      </c>
      <c r="AV784">
        <f t="shared" si="247"/>
        <v>0</v>
      </c>
      <c r="AW784">
        <f t="shared" si="247"/>
        <v>0</v>
      </c>
      <c r="AX784">
        <f t="shared" si="247"/>
        <v>0</v>
      </c>
      <c r="AY784">
        <f t="shared" si="248"/>
        <v>0</v>
      </c>
      <c r="AZ784">
        <f t="shared" si="248"/>
        <v>0</v>
      </c>
      <c r="BA784">
        <f t="shared" si="248"/>
        <v>0</v>
      </c>
      <c r="BB784">
        <f t="shared" si="248"/>
        <v>0</v>
      </c>
      <c r="BC784">
        <f t="shared" si="248"/>
        <v>0</v>
      </c>
      <c r="BD784">
        <f t="shared" si="248"/>
        <v>0</v>
      </c>
      <c r="BE784">
        <f t="shared" si="248"/>
        <v>0</v>
      </c>
      <c r="BF784">
        <f t="shared" si="248"/>
        <v>0</v>
      </c>
      <c r="BG784">
        <f t="shared" si="248"/>
        <v>0</v>
      </c>
      <c r="BH784">
        <f t="shared" si="248"/>
        <v>0</v>
      </c>
      <c r="BI784" t="str">
        <f t="shared" si="249"/>
        <v>Zimmer</v>
      </c>
      <c r="BJ784">
        <f t="shared" si="249"/>
        <v>0</v>
      </c>
      <c r="BK784">
        <f t="shared" si="249"/>
        <v>0</v>
      </c>
      <c r="BL784">
        <f t="shared" si="249"/>
        <v>0</v>
      </c>
      <c r="BM784">
        <f t="shared" si="249"/>
        <v>0</v>
      </c>
      <c r="BN784">
        <f t="shared" si="249"/>
        <v>0</v>
      </c>
      <c r="BO784">
        <f t="shared" si="249"/>
        <v>0</v>
      </c>
      <c r="BP784">
        <f t="shared" si="249"/>
        <v>0</v>
      </c>
      <c r="BQ784">
        <f t="shared" si="249"/>
        <v>0</v>
      </c>
      <c r="BR784">
        <f t="shared" si="249"/>
        <v>0</v>
      </c>
      <c r="BS784">
        <f t="shared" si="249"/>
        <v>0</v>
      </c>
    </row>
    <row r="785" spans="2:71" ht="15" customHeight="1" x14ac:dyDescent="0.2">
      <c r="B785">
        <v>28</v>
      </c>
      <c r="C785">
        <v>5</v>
      </c>
      <c r="D785">
        <v>11</v>
      </c>
      <c r="E785" t="s">
        <v>562</v>
      </c>
      <c r="F785" t="s">
        <v>72</v>
      </c>
      <c r="G785" s="5">
        <v>45584</v>
      </c>
      <c r="H785" t="s">
        <v>73</v>
      </c>
      <c r="I785" t="s">
        <v>528</v>
      </c>
      <c r="J785" t="s">
        <v>168</v>
      </c>
      <c r="K785">
        <v>18</v>
      </c>
      <c r="L785" t="s">
        <v>107</v>
      </c>
      <c r="M785" t="s">
        <v>558</v>
      </c>
      <c r="N785" t="s">
        <v>78</v>
      </c>
      <c r="P785">
        <v>137</v>
      </c>
      <c r="Q785">
        <v>6439</v>
      </c>
      <c r="R785" t="s">
        <v>110</v>
      </c>
      <c r="S785" t="s">
        <v>111</v>
      </c>
      <c r="U785" t="s">
        <v>64</v>
      </c>
      <c r="V785" t="s">
        <v>54</v>
      </c>
      <c r="W785" t="s">
        <v>556</v>
      </c>
      <c r="AA785">
        <v>2</v>
      </c>
      <c r="AB785" t="s">
        <v>32</v>
      </c>
      <c r="AD785" t="s">
        <v>52</v>
      </c>
      <c r="AE785" t="str">
        <f t="shared" si="243"/>
        <v>Fogan</v>
      </c>
      <c r="AF785">
        <v>2</v>
      </c>
      <c r="AG785">
        <v>1</v>
      </c>
      <c r="AH785">
        <v>0</v>
      </c>
      <c r="AI785">
        <v>0</v>
      </c>
      <c r="AJ785">
        <v>1</v>
      </c>
      <c r="AK785" t="s">
        <v>52</v>
      </c>
      <c r="AL785">
        <v>0.34745762711864397</v>
      </c>
      <c r="AO785">
        <f t="shared" si="247"/>
        <v>0</v>
      </c>
      <c r="AP785">
        <f t="shared" si="247"/>
        <v>0</v>
      </c>
      <c r="AQ785">
        <f t="shared" si="247"/>
        <v>0</v>
      </c>
      <c r="AR785">
        <f t="shared" si="247"/>
        <v>0</v>
      </c>
      <c r="AS785">
        <f t="shared" si="247"/>
        <v>0</v>
      </c>
      <c r="AT785">
        <f t="shared" si="247"/>
        <v>0</v>
      </c>
      <c r="AU785">
        <f t="shared" si="247"/>
        <v>0</v>
      </c>
      <c r="AV785">
        <f t="shared" si="247"/>
        <v>0</v>
      </c>
      <c r="AW785">
        <f t="shared" si="247"/>
        <v>0</v>
      </c>
      <c r="AX785">
        <f t="shared" si="247"/>
        <v>0</v>
      </c>
      <c r="AY785">
        <f t="shared" si="248"/>
        <v>0</v>
      </c>
      <c r="AZ785">
        <f t="shared" si="248"/>
        <v>0</v>
      </c>
      <c r="BA785">
        <f t="shared" si="248"/>
        <v>0</v>
      </c>
      <c r="BB785">
        <f t="shared" si="248"/>
        <v>0</v>
      </c>
      <c r="BC785" t="str">
        <f t="shared" si="248"/>
        <v>Fogan</v>
      </c>
      <c r="BD785">
        <f t="shared" si="248"/>
        <v>0</v>
      </c>
      <c r="BE785">
        <f t="shared" si="248"/>
        <v>0</v>
      </c>
      <c r="BF785">
        <f t="shared" si="248"/>
        <v>0</v>
      </c>
      <c r="BG785">
        <f t="shared" si="248"/>
        <v>0</v>
      </c>
      <c r="BH785">
        <f t="shared" si="248"/>
        <v>0</v>
      </c>
      <c r="BI785">
        <f t="shared" si="249"/>
        <v>0</v>
      </c>
      <c r="BJ785">
        <f t="shared" si="249"/>
        <v>0</v>
      </c>
      <c r="BK785">
        <f t="shared" si="249"/>
        <v>0</v>
      </c>
      <c r="BL785">
        <f t="shared" si="249"/>
        <v>0</v>
      </c>
      <c r="BM785">
        <f t="shared" si="249"/>
        <v>0</v>
      </c>
      <c r="BN785">
        <f t="shared" si="249"/>
        <v>0</v>
      </c>
      <c r="BO785">
        <f t="shared" si="249"/>
        <v>0</v>
      </c>
      <c r="BP785">
        <f t="shared" si="249"/>
        <v>0</v>
      </c>
      <c r="BQ785">
        <f t="shared" si="249"/>
        <v>0</v>
      </c>
      <c r="BR785">
        <f t="shared" si="249"/>
        <v>0</v>
      </c>
      <c r="BS785">
        <f t="shared" si="249"/>
        <v>0</v>
      </c>
    </row>
    <row r="786" spans="2:71" ht="15" customHeight="1" x14ac:dyDescent="0.2">
      <c r="B786">
        <v>28</v>
      </c>
      <c r="C786">
        <v>6</v>
      </c>
      <c r="D786">
        <v>11</v>
      </c>
      <c r="E786" t="s">
        <v>563</v>
      </c>
      <c r="F786" t="s">
        <v>72</v>
      </c>
      <c r="G786" s="5">
        <v>45584</v>
      </c>
      <c r="H786" t="s">
        <v>73</v>
      </c>
      <c r="I786" t="s">
        <v>528</v>
      </c>
      <c r="J786" t="s">
        <v>168</v>
      </c>
      <c r="K786">
        <v>18</v>
      </c>
      <c r="L786" t="s">
        <v>107</v>
      </c>
      <c r="M786" t="s">
        <v>558</v>
      </c>
      <c r="N786" t="s">
        <v>78</v>
      </c>
      <c r="P786">
        <v>137</v>
      </c>
      <c r="Q786">
        <v>6439</v>
      </c>
      <c r="R786" t="s">
        <v>110</v>
      </c>
      <c r="S786" t="s">
        <v>111</v>
      </c>
      <c r="U786" t="s">
        <v>64</v>
      </c>
      <c r="V786" t="s">
        <v>53</v>
      </c>
      <c r="W786" t="s">
        <v>556</v>
      </c>
      <c r="AA786">
        <v>2</v>
      </c>
      <c r="AB786" t="s">
        <v>33</v>
      </c>
      <c r="AD786" t="s">
        <v>62</v>
      </c>
      <c r="AE786" t="str">
        <f t="shared" si="243"/>
        <v>Forster</v>
      </c>
      <c r="AF786">
        <v>0</v>
      </c>
      <c r="AG786">
        <v>0</v>
      </c>
      <c r="AH786">
        <v>1</v>
      </c>
      <c r="AI786">
        <v>0</v>
      </c>
      <c r="AJ786">
        <v>0</v>
      </c>
      <c r="AK786" t="s">
        <v>62</v>
      </c>
      <c r="AL786">
        <v>0.51041666666666696</v>
      </c>
      <c r="AO786">
        <f t="shared" si="247"/>
        <v>0</v>
      </c>
      <c r="AP786">
        <f t="shared" si="247"/>
        <v>0</v>
      </c>
      <c r="AQ786">
        <f t="shared" si="247"/>
        <v>0</v>
      </c>
      <c r="AR786">
        <f t="shared" si="247"/>
        <v>0</v>
      </c>
      <c r="AS786">
        <f t="shared" si="247"/>
        <v>0</v>
      </c>
      <c r="AT786">
        <f t="shared" si="247"/>
        <v>0</v>
      </c>
      <c r="AU786">
        <f t="shared" si="247"/>
        <v>0</v>
      </c>
      <c r="AV786">
        <f t="shared" si="247"/>
        <v>0</v>
      </c>
      <c r="AW786">
        <f t="shared" si="247"/>
        <v>0</v>
      </c>
      <c r="AX786">
        <f t="shared" si="247"/>
        <v>0</v>
      </c>
      <c r="AY786">
        <f t="shared" si="248"/>
        <v>0</v>
      </c>
      <c r="AZ786">
        <f t="shared" si="248"/>
        <v>0</v>
      </c>
      <c r="BA786">
        <f t="shared" si="248"/>
        <v>0</v>
      </c>
      <c r="BB786" t="str">
        <f t="shared" si="248"/>
        <v>Forster</v>
      </c>
      <c r="BC786">
        <f t="shared" si="248"/>
        <v>0</v>
      </c>
      <c r="BD786">
        <f t="shared" si="248"/>
        <v>0</v>
      </c>
      <c r="BE786">
        <f t="shared" si="248"/>
        <v>0</v>
      </c>
      <c r="BF786">
        <f t="shared" si="248"/>
        <v>0</v>
      </c>
      <c r="BG786">
        <f t="shared" si="248"/>
        <v>0</v>
      </c>
      <c r="BH786">
        <f t="shared" si="248"/>
        <v>0</v>
      </c>
      <c r="BI786">
        <f t="shared" si="249"/>
        <v>0</v>
      </c>
      <c r="BJ786">
        <f t="shared" si="249"/>
        <v>0</v>
      </c>
      <c r="BK786">
        <f t="shared" si="249"/>
        <v>0</v>
      </c>
      <c r="BL786">
        <f t="shared" si="249"/>
        <v>0</v>
      </c>
      <c r="BM786">
        <f t="shared" si="249"/>
        <v>0</v>
      </c>
      <c r="BN786">
        <f t="shared" si="249"/>
        <v>0</v>
      </c>
      <c r="BO786">
        <f t="shared" si="249"/>
        <v>0</v>
      </c>
      <c r="BP786">
        <f t="shared" si="249"/>
        <v>0</v>
      </c>
      <c r="BQ786">
        <f t="shared" si="249"/>
        <v>0</v>
      </c>
      <c r="BR786">
        <f t="shared" si="249"/>
        <v>0</v>
      </c>
      <c r="BS786">
        <f t="shared" si="249"/>
        <v>0</v>
      </c>
    </row>
    <row r="787" spans="2:71" ht="15" customHeight="1" x14ac:dyDescent="0.2">
      <c r="B787">
        <v>29</v>
      </c>
      <c r="C787">
        <v>7</v>
      </c>
      <c r="D787">
        <v>11</v>
      </c>
      <c r="E787" t="s">
        <v>564</v>
      </c>
      <c r="F787" t="s">
        <v>72</v>
      </c>
      <c r="G787" s="5">
        <v>45584</v>
      </c>
      <c r="H787" t="s">
        <v>73</v>
      </c>
      <c r="I787" t="s">
        <v>528</v>
      </c>
      <c r="J787" t="s">
        <v>168</v>
      </c>
      <c r="K787">
        <v>18</v>
      </c>
      <c r="L787" t="s">
        <v>107</v>
      </c>
      <c r="M787" t="s">
        <v>558</v>
      </c>
      <c r="N787" t="s">
        <v>78</v>
      </c>
      <c r="P787">
        <v>137</v>
      </c>
      <c r="Q787">
        <v>6439</v>
      </c>
      <c r="R787" t="s">
        <v>110</v>
      </c>
      <c r="S787" t="s">
        <v>111</v>
      </c>
      <c r="U787" t="s">
        <v>64</v>
      </c>
      <c r="V787" t="s">
        <v>49</v>
      </c>
      <c r="W787" t="s">
        <v>556</v>
      </c>
      <c r="AA787">
        <v>2</v>
      </c>
      <c r="AB787" t="s">
        <v>33</v>
      </c>
      <c r="AD787" t="s">
        <v>55</v>
      </c>
      <c r="AE787" t="str">
        <f t="shared" si="243"/>
        <v>Shively</v>
      </c>
      <c r="AF787">
        <v>0</v>
      </c>
      <c r="AG787">
        <v>0</v>
      </c>
      <c r="AH787">
        <v>1</v>
      </c>
      <c r="AI787">
        <v>0</v>
      </c>
      <c r="AJ787">
        <v>0</v>
      </c>
      <c r="AK787" t="s">
        <v>55</v>
      </c>
      <c r="AL787">
        <v>0.44067796610169502</v>
      </c>
      <c r="AO787">
        <f t="shared" si="247"/>
        <v>0</v>
      </c>
      <c r="AP787">
        <f t="shared" si="247"/>
        <v>0</v>
      </c>
      <c r="AQ787">
        <f t="shared" si="247"/>
        <v>0</v>
      </c>
      <c r="AR787">
        <f t="shared" si="247"/>
        <v>0</v>
      </c>
      <c r="AS787">
        <f t="shared" si="247"/>
        <v>0</v>
      </c>
      <c r="AT787">
        <f t="shared" si="247"/>
        <v>0</v>
      </c>
      <c r="AU787">
        <f t="shared" si="247"/>
        <v>0</v>
      </c>
      <c r="AV787">
        <f t="shared" si="247"/>
        <v>0</v>
      </c>
      <c r="AW787">
        <f t="shared" si="247"/>
        <v>0</v>
      </c>
      <c r="AX787" t="str">
        <f t="shared" si="247"/>
        <v>Shively</v>
      </c>
      <c r="AY787">
        <f t="shared" si="248"/>
        <v>0</v>
      </c>
      <c r="AZ787">
        <f t="shared" si="248"/>
        <v>0</v>
      </c>
      <c r="BA787">
        <f t="shared" si="248"/>
        <v>0</v>
      </c>
      <c r="BB787">
        <f t="shared" si="248"/>
        <v>0</v>
      </c>
      <c r="BC787">
        <f t="shared" si="248"/>
        <v>0</v>
      </c>
      <c r="BD787">
        <f t="shared" si="248"/>
        <v>0</v>
      </c>
      <c r="BE787">
        <f t="shared" si="248"/>
        <v>0</v>
      </c>
      <c r="BF787">
        <f t="shared" si="248"/>
        <v>0</v>
      </c>
      <c r="BG787">
        <f t="shared" si="248"/>
        <v>0</v>
      </c>
      <c r="BH787">
        <f t="shared" si="248"/>
        <v>0</v>
      </c>
      <c r="BI787">
        <f t="shared" si="249"/>
        <v>0</v>
      </c>
      <c r="BJ787">
        <f t="shared" si="249"/>
        <v>0</v>
      </c>
      <c r="BK787">
        <f t="shared" si="249"/>
        <v>0</v>
      </c>
      <c r="BL787">
        <f t="shared" si="249"/>
        <v>0</v>
      </c>
      <c r="BM787">
        <f t="shared" si="249"/>
        <v>0</v>
      </c>
      <c r="BN787">
        <f t="shared" si="249"/>
        <v>0</v>
      </c>
      <c r="BO787">
        <f t="shared" si="249"/>
        <v>0</v>
      </c>
      <c r="BP787">
        <f t="shared" si="249"/>
        <v>0</v>
      </c>
      <c r="BQ787">
        <f t="shared" si="249"/>
        <v>0</v>
      </c>
      <c r="BR787">
        <f t="shared" si="249"/>
        <v>0</v>
      </c>
      <c r="BS787">
        <f t="shared" si="249"/>
        <v>0</v>
      </c>
    </row>
    <row r="788" spans="2:71" ht="15" customHeight="1" x14ac:dyDescent="0.2">
      <c r="B788">
        <v>29</v>
      </c>
      <c r="C788">
        <v>8</v>
      </c>
      <c r="D788">
        <v>11</v>
      </c>
      <c r="E788" t="s">
        <v>565</v>
      </c>
      <c r="F788" t="s">
        <v>72</v>
      </c>
      <c r="G788" s="5">
        <v>45584</v>
      </c>
      <c r="H788" t="s">
        <v>73</v>
      </c>
      <c r="I788" t="s">
        <v>528</v>
      </c>
      <c r="J788" t="s">
        <v>168</v>
      </c>
      <c r="K788">
        <v>18</v>
      </c>
      <c r="L788" t="s">
        <v>107</v>
      </c>
      <c r="M788" t="s">
        <v>558</v>
      </c>
      <c r="N788" t="s">
        <v>78</v>
      </c>
      <c r="P788">
        <v>137</v>
      </c>
      <c r="Q788">
        <v>6439</v>
      </c>
      <c r="R788" t="s">
        <v>110</v>
      </c>
      <c r="S788" t="s">
        <v>111</v>
      </c>
      <c r="U788" t="s">
        <v>64</v>
      </c>
      <c r="V788" t="s">
        <v>64</v>
      </c>
      <c r="W788" t="s">
        <v>556</v>
      </c>
      <c r="AA788">
        <v>2</v>
      </c>
      <c r="AB788" t="s">
        <v>32</v>
      </c>
      <c r="AD788" t="s">
        <v>46</v>
      </c>
      <c r="AE788" t="str">
        <f t="shared" si="243"/>
        <v>Delneky</v>
      </c>
      <c r="AF788">
        <v>2</v>
      </c>
      <c r="AG788">
        <v>1</v>
      </c>
      <c r="AH788">
        <v>0</v>
      </c>
      <c r="AI788">
        <v>0</v>
      </c>
      <c r="AJ788">
        <v>1</v>
      </c>
      <c r="AK788" t="s">
        <v>46</v>
      </c>
      <c r="AL788">
        <v>0.38392857142857201</v>
      </c>
      <c r="AO788">
        <f t="shared" si="247"/>
        <v>0</v>
      </c>
      <c r="AP788">
        <f t="shared" si="247"/>
        <v>0</v>
      </c>
      <c r="AQ788">
        <f t="shared" si="247"/>
        <v>0</v>
      </c>
      <c r="AR788">
        <f t="shared" si="247"/>
        <v>0</v>
      </c>
      <c r="AS788">
        <f t="shared" si="247"/>
        <v>0</v>
      </c>
      <c r="AT788">
        <f t="shared" si="247"/>
        <v>0</v>
      </c>
      <c r="AU788">
        <f t="shared" si="247"/>
        <v>0</v>
      </c>
      <c r="AV788">
        <f t="shared" si="247"/>
        <v>0</v>
      </c>
      <c r="AW788">
        <f t="shared" si="247"/>
        <v>0</v>
      </c>
      <c r="AX788">
        <f t="shared" si="247"/>
        <v>0</v>
      </c>
      <c r="AY788">
        <f t="shared" si="248"/>
        <v>0</v>
      </c>
      <c r="AZ788">
        <f t="shared" si="248"/>
        <v>0</v>
      </c>
      <c r="BA788">
        <f t="shared" si="248"/>
        <v>0</v>
      </c>
      <c r="BB788">
        <f t="shared" si="248"/>
        <v>0</v>
      </c>
      <c r="BC788">
        <f t="shared" si="248"/>
        <v>0</v>
      </c>
      <c r="BD788">
        <f t="shared" si="248"/>
        <v>0</v>
      </c>
      <c r="BE788">
        <f t="shared" si="248"/>
        <v>0</v>
      </c>
      <c r="BF788">
        <f t="shared" si="248"/>
        <v>0</v>
      </c>
      <c r="BG788">
        <f t="shared" si="248"/>
        <v>0</v>
      </c>
      <c r="BH788">
        <f t="shared" si="248"/>
        <v>0</v>
      </c>
      <c r="BI788">
        <f t="shared" si="249"/>
        <v>0</v>
      </c>
      <c r="BJ788">
        <f t="shared" si="249"/>
        <v>0</v>
      </c>
      <c r="BK788">
        <f t="shared" si="249"/>
        <v>0</v>
      </c>
      <c r="BL788">
        <f t="shared" si="249"/>
        <v>0</v>
      </c>
      <c r="BM788" t="str">
        <f t="shared" si="249"/>
        <v>Delneky</v>
      </c>
      <c r="BN788">
        <f t="shared" si="249"/>
        <v>0</v>
      </c>
      <c r="BO788">
        <f t="shared" si="249"/>
        <v>0</v>
      </c>
      <c r="BP788">
        <f t="shared" si="249"/>
        <v>0</v>
      </c>
      <c r="BQ788">
        <f t="shared" si="249"/>
        <v>0</v>
      </c>
      <c r="BR788">
        <f t="shared" si="249"/>
        <v>0</v>
      </c>
      <c r="BS788">
        <f t="shared" si="249"/>
        <v>0</v>
      </c>
    </row>
    <row r="789" spans="2:71" ht="15" customHeight="1" x14ac:dyDescent="0.2">
      <c r="B789">
        <v>30</v>
      </c>
      <c r="C789">
        <v>9</v>
      </c>
      <c r="D789">
        <v>11</v>
      </c>
      <c r="E789" t="s">
        <v>566</v>
      </c>
      <c r="F789" t="s">
        <v>72</v>
      </c>
      <c r="G789" s="5">
        <v>45584</v>
      </c>
      <c r="H789" t="s">
        <v>73</v>
      </c>
      <c r="I789" t="s">
        <v>528</v>
      </c>
      <c r="J789" t="s">
        <v>168</v>
      </c>
      <c r="K789">
        <v>18</v>
      </c>
      <c r="L789" t="s">
        <v>107</v>
      </c>
      <c r="M789" t="s">
        <v>558</v>
      </c>
      <c r="N789" t="s">
        <v>78</v>
      </c>
      <c r="P789">
        <v>137</v>
      </c>
      <c r="Q789">
        <v>6439</v>
      </c>
      <c r="R789" t="s">
        <v>110</v>
      </c>
      <c r="S789" t="s">
        <v>111</v>
      </c>
      <c r="U789" t="s">
        <v>64</v>
      </c>
      <c r="V789" t="s">
        <v>59</v>
      </c>
      <c r="W789" t="s">
        <v>556</v>
      </c>
      <c r="AA789">
        <v>2</v>
      </c>
      <c r="AB789" t="s">
        <v>32</v>
      </c>
      <c r="AD789" t="s">
        <v>44</v>
      </c>
      <c r="AE789" t="str">
        <f t="shared" si="243"/>
        <v>Norat</v>
      </c>
      <c r="AF789">
        <v>2</v>
      </c>
      <c r="AG789">
        <v>1</v>
      </c>
      <c r="AH789">
        <v>0</v>
      </c>
      <c r="AI789">
        <v>0</v>
      </c>
      <c r="AJ789">
        <v>1</v>
      </c>
      <c r="AK789" t="s">
        <v>44</v>
      </c>
      <c r="AL789">
        <v>0.4296875</v>
      </c>
      <c r="AO789">
        <f t="shared" si="247"/>
        <v>0</v>
      </c>
      <c r="AP789">
        <f t="shared" si="247"/>
        <v>0</v>
      </c>
      <c r="AQ789">
        <f t="shared" si="247"/>
        <v>0</v>
      </c>
      <c r="AR789">
        <f t="shared" si="247"/>
        <v>0</v>
      </c>
      <c r="AS789">
        <f t="shared" si="247"/>
        <v>0</v>
      </c>
      <c r="AT789">
        <f t="shared" si="247"/>
        <v>0</v>
      </c>
      <c r="AU789">
        <f t="shared" si="247"/>
        <v>0</v>
      </c>
      <c r="AV789">
        <f t="shared" si="247"/>
        <v>0</v>
      </c>
      <c r="AW789">
        <f t="shared" si="247"/>
        <v>0</v>
      </c>
      <c r="AX789">
        <f t="shared" si="247"/>
        <v>0</v>
      </c>
      <c r="AY789">
        <f t="shared" si="248"/>
        <v>0</v>
      </c>
      <c r="AZ789">
        <f t="shared" si="248"/>
        <v>0</v>
      </c>
      <c r="BA789">
        <f t="shared" si="248"/>
        <v>0</v>
      </c>
      <c r="BB789">
        <f t="shared" si="248"/>
        <v>0</v>
      </c>
      <c r="BC789">
        <f t="shared" si="248"/>
        <v>0</v>
      </c>
      <c r="BD789">
        <f t="shared" si="248"/>
        <v>0</v>
      </c>
      <c r="BE789">
        <f t="shared" si="248"/>
        <v>0</v>
      </c>
      <c r="BF789">
        <f t="shared" si="248"/>
        <v>0</v>
      </c>
      <c r="BG789">
        <f t="shared" si="248"/>
        <v>0</v>
      </c>
      <c r="BH789" t="str">
        <f t="shared" si="248"/>
        <v>Norat</v>
      </c>
      <c r="BI789">
        <f t="shared" si="249"/>
        <v>0</v>
      </c>
      <c r="BJ789">
        <f t="shared" si="249"/>
        <v>0</v>
      </c>
      <c r="BK789">
        <f t="shared" si="249"/>
        <v>0</v>
      </c>
      <c r="BL789">
        <f t="shared" si="249"/>
        <v>0</v>
      </c>
      <c r="BM789">
        <f t="shared" si="249"/>
        <v>0</v>
      </c>
      <c r="BN789">
        <f t="shared" si="249"/>
        <v>0</v>
      </c>
      <c r="BO789">
        <f t="shared" si="249"/>
        <v>0</v>
      </c>
      <c r="BP789">
        <f t="shared" si="249"/>
        <v>0</v>
      </c>
      <c r="BQ789">
        <f t="shared" si="249"/>
        <v>0</v>
      </c>
      <c r="BR789">
        <f t="shared" si="249"/>
        <v>0</v>
      </c>
      <c r="BS789">
        <f t="shared" si="249"/>
        <v>0</v>
      </c>
    </row>
    <row r="790" spans="2:71" ht="15" customHeight="1" x14ac:dyDescent="0.2">
      <c r="B790">
        <v>30</v>
      </c>
      <c r="C790">
        <v>10</v>
      </c>
      <c r="D790">
        <v>11</v>
      </c>
      <c r="E790" t="s">
        <v>567</v>
      </c>
      <c r="F790" t="s">
        <v>72</v>
      </c>
      <c r="G790" s="5">
        <v>45584</v>
      </c>
      <c r="H790" t="s">
        <v>73</v>
      </c>
      <c r="I790" t="s">
        <v>528</v>
      </c>
      <c r="J790" t="s">
        <v>168</v>
      </c>
      <c r="K790">
        <v>18</v>
      </c>
      <c r="L790" t="s">
        <v>107</v>
      </c>
      <c r="M790" t="s">
        <v>558</v>
      </c>
      <c r="N790" t="s">
        <v>78</v>
      </c>
      <c r="P790">
        <v>137</v>
      </c>
      <c r="Q790">
        <v>6439</v>
      </c>
      <c r="R790" t="s">
        <v>110</v>
      </c>
      <c r="S790" t="s">
        <v>111</v>
      </c>
      <c r="U790" t="s">
        <v>64</v>
      </c>
      <c r="V790" t="s">
        <v>45</v>
      </c>
      <c r="W790" t="s">
        <v>556</v>
      </c>
      <c r="AA790">
        <v>2</v>
      </c>
      <c r="AB790" t="s">
        <v>32</v>
      </c>
      <c r="AD790" t="s">
        <v>63</v>
      </c>
      <c r="AE790" t="str">
        <f t="shared" si="243"/>
        <v>Connolly</v>
      </c>
      <c r="AF790">
        <v>2</v>
      </c>
      <c r="AG790">
        <v>1</v>
      </c>
      <c r="AH790">
        <v>0</v>
      </c>
      <c r="AI790">
        <v>0</v>
      </c>
      <c r="AJ790">
        <v>1</v>
      </c>
      <c r="AK790" t="s">
        <v>63</v>
      </c>
      <c r="AL790">
        <v>0.46551724137931</v>
      </c>
      <c r="AO790">
        <f t="shared" si="247"/>
        <v>0</v>
      </c>
      <c r="AP790">
        <f t="shared" si="247"/>
        <v>0</v>
      </c>
      <c r="AQ790">
        <f t="shared" si="247"/>
        <v>0</v>
      </c>
      <c r="AR790">
        <f t="shared" si="247"/>
        <v>0</v>
      </c>
      <c r="AS790">
        <f t="shared" si="247"/>
        <v>0</v>
      </c>
      <c r="AT790" t="str">
        <f t="shared" si="247"/>
        <v>Connolly</v>
      </c>
      <c r="AU790">
        <f t="shared" si="247"/>
        <v>0</v>
      </c>
      <c r="AV790">
        <f t="shared" si="247"/>
        <v>0</v>
      </c>
      <c r="AW790">
        <f t="shared" si="247"/>
        <v>0</v>
      </c>
      <c r="AX790">
        <f t="shared" si="247"/>
        <v>0</v>
      </c>
      <c r="AY790">
        <f t="shared" si="248"/>
        <v>0</v>
      </c>
      <c r="AZ790">
        <f t="shared" si="248"/>
        <v>0</v>
      </c>
      <c r="BA790">
        <f t="shared" si="248"/>
        <v>0</v>
      </c>
      <c r="BB790">
        <f t="shared" si="248"/>
        <v>0</v>
      </c>
      <c r="BC790">
        <f t="shared" si="248"/>
        <v>0</v>
      </c>
      <c r="BD790">
        <f t="shared" si="248"/>
        <v>0</v>
      </c>
      <c r="BE790">
        <f t="shared" si="248"/>
        <v>0</v>
      </c>
      <c r="BF790">
        <f t="shared" si="248"/>
        <v>0</v>
      </c>
      <c r="BG790">
        <f t="shared" si="248"/>
        <v>0</v>
      </c>
      <c r="BH790">
        <f t="shared" si="248"/>
        <v>0</v>
      </c>
      <c r="BI790">
        <f t="shared" si="249"/>
        <v>0</v>
      </c>
      <c r="BJ790">
        <f t="shared" si="249"/>
        <v>0</v>
      </c>
      <c r="BK790">
        <f t="shared" si="249"/>
        <v>0</v>
      </c>
      <c r="BL790">
        <f t="shared" si="249"/>
        <v>0</v>
      </c>
      <c r="BM790">
        <f t="shared" si="249"/>
        <v>0</v>
      </c>
      <c r="BN790">
        <f t="shared" si="249"/>
        <v>0</v>
      </c>
      <c r="BO790">
        <f t="shared" si="249"/>
        <v>0</v>
      </c>
      <c r="BP790">
        <f t="shared" si="249"/>
        <v>0</v>
      </c>
      <c r="BQ790">
        <f t="shared" si="249"/>
        <v>0</v>
      </c>
      <c r="BR790">
        <f t="shared" si="249"/>
        <v>0</v>
      </c>
      <c r="BS790">
        <f t="shared" si="249"/>
        <v>0</v>
      </c>
    </row>
    <row r="791" spans="2:71" ht="15" customHeight="1" x14ac:dyDescent="0.2">
      <c r="B791">
        <v>1</v>
      </c>
      <c r="D791">
        <v>12</v>
      </c>
      <c r="E791" t="s">
        <v>568</v>
      </c>
      <c r="F791" t="s">
        <v>346</v>
      </c>
      <c r="G791" s="5">
        <v>45876</v>
      </c>
      <c r="H791" t="s">
        <v>97</v>
      </c>
      <c r="I791" t="s">
        <v>569</v>
      </c>
      <c r="J791" t="s">
        <v>478</v>
      </c>
      <c r="K791">
        <v>9</v>
      </c>
      <c r="L791" t="s">
        <v>76</v>
      </c>
      <c r="M791" t="s">
        <v>570</v>
      </c>
      <c r="N791" t="s">
        <v>78</v>
      </c>
      <c r="P791">
        <v>128</v>
      </c>
      <c r="Q791">
        <v>6678</v>
      </c>
      <c r="R791" t="s">
        <v>79</v>
      </c>
      <c r="S791" t="s">
        <v>80</v>
      </c>
      <c r="T791" t="s">
        <v>353</v>
      </c>
      <c r="U791" t="s">
        <v>45</v>
      </c>
      <c r="V791" t="s">
        <v>60</v>
      </c>
      <c r="Y791" t="s">
        <v>67</v>
      </c>
      <c r="AA791">
        <v>1</v>
      </c>
      <c r="AB791" t="s">
        <v>33</v>
      </c>
      <c r="AC791" t="s">
        <v>571</v>
      </c>
      <c r="AE791" t="str">
        <f t="shared" si="243"/>
        <v>ZimmerDeoteris</v>
      </c>
      <c r="AF791">
        <v>0</v>
      </c>
      <c r="AG791">
        <v>0</v>
      </c>
      <c r="AH791">
        <v>1</v>
      </c>
      <c r="AI791">
        <v>0</v>
      </c>
      <c r="AK791" t="s">
        <v>43</v>
      </c>
      <c r="AM791" t="s">
        <v>40</v>
      </c>
      <c r="AO791">
        <f t="shared" si="247"/>
        <v>0</v>
      </c>
      <c r="AP791">
        <f t="shared" si="247"/>
        <v>0</v>
      </c>
      <c r="AQ791">
        <f t="shared" si="247"/>
        <v>0</v>
      </c>
      <c r="AR791">
        <f t="shared" si="247"/>
        <v>0</v>
      </c>
      <c r="AS791">
        <f t="shared" si="247"/>
        <v>0</v>
      </c>
      <c r="AT791">
        <f t="shared" si="247"/>
        <v>0</v>
      </c>
      <c r="AU791">
        <f t="shared" si="247"/>
        <v>0</v>
      </c>
      <c r="AV791">
        <f t="shared" si="247"/>
        <v>0</v>
      </c>
      <c r="AW791">
        <f t="shared" si="247"/>
        <v>0</v>
      </c>
      <c r="AX791">
        <f t="shared" si="247"/>
        <v>0</v>
      </c>
      <c r="AY791">
        <f t="shared" si="248"/>
        <v>0</v>
      </c>
      <c r="AZ791">
        <f t="shared" si="248"/>
        <v>0</v>
      </c>
      <c r="BA791">
        <f t="shared" si="248"/>
        <v>0</v>
      </c>
      <c r="BB791">
        <f t="shared" si="248"/>
        <v>0</v>
      </c>
      <c r="BC791">
        <f t="shared" si="248"/>
        <v>0</v>
      </c>
      <c r="BD791">
        <f t="shared" si="248"/>
        <v>0</v>
      </c>
      <c r="BE791">
        <f t="shared" si="248"/>
        <v>0</v>
      </c>
      <c r="BF791">
        <f t="shared" si="248"/>
        <v>0</v>
      </c>
      <c r="BG791">
        <f t="shared" si="248"/>
        <v>0</v>
      </c>
      <c r="BH791">
        <f t="shared" si="248"/>
        <v>0</v>
      </c>
      <c r="BI791" t="str">
        <f t="shared" si="249"/>
        <v>Zimmer</v>
      </c>
      <c r="BJ791">
        <f t="shared" si="249"/>
        <v>0</v>
      </c>
      <c r="BK791">
        <f t="shared" si="249"/>
        <v>0</v>
      </c>
      <c r="BL791">
        <f t="shared" si="249"/>
        <v>0</v>
      </c>
      <c r="BM791">
        <f t="shared" si="249"/>
        <v>0</v>
      </c>
      <c r="BN791">
        <f t="shared" si="249"/>
        <v>0</v>
      </c>
      <c r="BO791">
        <f t="shared" si="249"/>
        <v>0</v>
      </c>
      <c r="BP791" t="str">
        <f t="shared" si="249"/>
        <v>Deoteris</v>
      </c>
      <c r="BQ791">
        <f t="shared" si="249"/>
        <v>0</v>
      </c>
      <c r="BR791">
        <f t="shared" si="249"/>
        <v>0</v>
      </c>
      <c r="BS791">
        <f t="shared" si="249"/>
        <v>0</v>
      </c>
    </row>
    <row r="792" spans="2:71" ht="15" customHeight="1" x14ac:dyDescent="0.2">
      <c r="B792">
        <v>2</v>
      </c>
      <c r="D792">
        <v>12</v>
      </c>
      <c r="E792" t="s">
        <v>572</v>
      </c>
      <c r="F792" t="s">
        <v>346</v>
      </c>
      <c r="G792" s="5">
        <v>45876</v>
      </c>
      <c r="H792" t="s">
        <v>97</v>
      </c>
      <c r="I792" t="s">
        <v>569</v>
      </c>
      <c r="J792" t="s">
        <v>478</v>
      </c>
      <c r="K792">
        <v>9</v>
      </c>
      <c r="L792" t="s">
        <v>76</v>
      </c>
      <c r="M792" t="s">
        <v>570</v>
      </c>
      <c r="N792" t="s">
        <v>78</v>
      </c>
      <c r="P792">
        <v>128</v>
      </c>
      <c r="Q792">
        <v>6678</v>
      </c>
      <c r="R792" t="s">
        <v>79</v>
      </c>
      <c r="S792" t="s">
        <v>80</v>
      </c>
      <c r="T792" t="s">
        <v>353</v>
      </c>
      <c r="U792" t="s">
        <v>45</v>
      </c>
      <c r="V792" t="s">
        <v>63</v>
      </c>
      <c r="Y792" t="s">
        <v>65</v>
      </c>
      <c r="AA792">
        <v>1</v>
      </c>
      <c r="AB792" t="s">
        <v>33</v>
      </c>
      <c r="AE792" t="str">
        <f t="shared" si="243"/>
        <v>DelaneyPiegari</v>
      </c>
      <c r="AF792">
        <v>0</v>
      </c>
      <c r="AG792">
        <v>0</v>
      </c>
      <c r="AH792">
        <v>1</v>
      </c>
      <c r="AI792">
        <v>0</v>
      </c>
      <c r="AK792" t="s">
        <v>46</v>
      </c>
      <c r="AM792" t="s">
        <v>48</v>
      </c>
      <c r="AO792">
        <f t="shared" ref="AO792:AX801" si="250">IF(OR($V792=AO$1,$Y792=AO$1),AO$1,0)</f>
        <v>0</v>
      </c>
      <c r="AP792">
        <f t="shared" si="250"/>
        <v>0</v>
      </c>
      <c r="AQ792">
        <f t="shared" si="250"/>
        <v>0</v>
      </c>
      <c r="AR792">
        <f t="shared" si="250"/>
        <v>0</v>
      </c>
      <c r="AS792">
        <f t="shared" si="250"/>
        <v>0</v>
      </c>
      <c r="AT792">
        <f t="shared" si="250"/>
        <v>0</v>
      </c>
      <c r="AU792">
        <f t="shared" si="250"/>
        <v>0</v>
      </c>
      <c r="AV792">
        <f t="shared" si="250"/>
        <v>0</v>
      </c>
      <c r="AW792">
        <f t="shared" si="250"/>
        <v>0</v>
      </c>
      <c r="AX792">
        <f t="shared" si="250"/>
        <v>0</v>
      </c>
      <c r="AY792">
        <f t="shared" ref="AY792:BH801" si="251">IF(OR($V792=AY$1,$Y792=AY$1),AY$1,0)</f>
        <v>0</v>
      </c>
      <c r="AZ792">
        <f t="shared" si="251"/>
        <v>0</v>
      </c>
      <c r="BA792">
        <f t="shared" si="251"/>
        <v>0</v>
      </c>
      <c r="BB792">
        <f t="shared" si="251"/>
        <v>0</v>
      </c>
      <c r="BC792">
        <f t="shared" si="251"/>
        <v>0</v>
      </c>
      <c r="BD792">
        <f t="shared" si="251"/>
        <v>0</v>
      </c>
      <c r="BE792">
        <f t="shared" si="251"/>
        <v>0</v>
      </c>
      <c r="BF792">
        <f t="shared" si="251"/>
        <v>0</v>
      </c>
      <c r="BG792">
        <f t="shared" si="251"/>
        <v>0</v>
      </c>
      <c r="BH792">
        <f t="shared" si="251"/>
        <v>0</v>
      </c>
      <c r="BI792">
        <f t="shared" ref="BI792:BS801" si="252">IF(OR($V792=BI$1,$Y792=BI$1),BI$1,0)</f>
        <v>0</v>
      </c>
      <c r="BJ792">
        <f t="shared" si="252"/>
        <v>0</v>
      </c>
      <c r="BK792">
        <f t="shared" si="252"/>
        <v>0</v>
      </c>
      <c r="BL792" t="str">
        <f t="shared" si="252"/>
        <v>Delaney</v>
      </c>
      <c r="BM792">
        <f t="shared" si="252"/>
        <v>0</v>
      </c>
      <c r="BN792" t="str">
        <f t="shared" si="252"/>
        <v>Piegari</v>
      </c>
      <c r="BO792">
        <f t="shared" si="252"/>
        <v>0</v>
      </c>
      <c r="BP792">
        <f t="shared" si="252"/>
        <v>0</v>
      </c>
      <c r="BQ792">
        <f t="shared" si="252"/>
        <v>0</v>
      </c>
      <c r="BR792">
        <f t="shared" si="252"/>
        <v>0</v>
      </c>
      <c r="BS792">
        <f t="shared" si="252"/>
        <v>0</v>
      </c>
    </row>
    <row r="793" spans="2:71" ht="15" customHeight="1" x14ac:dyDescent="0.2">
      <c r="B793">
        <v>3</v>
      </c>
      <c r="D793">
        <v>12</v>
      </c>
      <c r="E793" t="s">
        <v>573</v>
      </c>
      <c r="F793" t="s">
        <v>346</v>
      </c>
      <c r="G793" s="5">
        <v>45876</v>
      </c>
      <c r="H793" t="s">
        <v>97</v>
      </c>
      <c r="I793" t="s">
        <v>569</v>
      </c>
      <c r="J793" t="s">
        <v>478</v>
      </c>
      <c r="K793">
        <v>9</v>
      </c>
      <c r="L793" t="s">
        <v>76</v>
      </c>
      <c r="M793" t="s">
        <v>570</v>
      </c>
      <c r="N793" t="s">
        <v>78</v>
      </c>
      <c r="P793">
        <v>128</v>
      </c>
      <c r="Q793">
        <v>6678</v>
      </c>
      <c r="R793" t="s">
        <v>79</v>
      </c>
      <c r="S793" t="s">
        <v>80</v>
      </c>
      <c r="T793" t="s">
        <v>353</v>
      </c>
      <c r="U793" t="s">
        <v>45</v>
      </c>
      <c r="V793" t="s">
        <v>45</v>
      </c>
      <c r="Y793" t="s">
        <v>69</v>
      </c>
      <c r="AA793">
        <v>1</v>
      </c>
      <c r="AB793" t="s">
        <v>32</v>
      </c>
      <c r="AC793" t="s">
        <v>171</v>
      </c>
      <c r="AE793" t="str">
        <f t="shared" si="243"/>
        <v>ConnollyR. Connolly</v>
      </c>
      <c r="AF793">
        <v>1</v>
      </c>
      <c r="AG793">
        <v>1</v>
      </c>
      <c r="AH793">
        <v>0</v>
      </c>
      <c r="AI793">
        <v>0</v>
      </c>
      <c r="AK793" t="s">
        <v>66</v>
      </c>
      <c r="AM793" t="s">
        <v>49</v>
      </c>
      <c r="AO793">
        <f t="shared" si="250"/>
        <v>0</v>
      </c>
      <c r="AP793">
        <f t="shared" si="250"/>
        <v>0</v>
      </c>
      <c r="AQ793">
        <f t="shared" si="250"/>
        <v>0</v>
      </c>
      <c r="AR793">
        <f t="shared" si="250"/>
        <v>0</v>
      </c>
      <c r="AS793">
        <f t="shared" si="250"/>
        <v>0</v>
      </c>
      <c r="AT793" t="str">
        <f t="shared" si="250"/>
        <v>Connolly</v>
      </c>
      <c r="AU793">
        <f t="shared" si="250"/>
        <v>0</v>
      </c>
      <c r="AV793">
        <f t="shared" si="250"/>
        <v>0</v>
      </c>
      <c r="AW793">
        <f t="shared" si="250"/>
        <v>0</v>
      </c>
      <c r="AX793">
        <f t="shared" si="250"/>
        <v>0</v>
      </c>
      <c r="AY793">
        <f t="shared" si="251"/>
        <v>0</v>
      </c>
      <c r="AZ793">
        <f t="shared" si="251"/>
        <v>0</v>
      </c>
      <c r="BA793">
        <f t="shared" si="251"/>
        <v>0</v>
      </c>
      <c r="BB793">
        <f t="shared" si="251"/>
        <v>0</v>
      </c>
      <c r="BC793">
        <f t="shared" si="251"/>
        <v>0</v>
      </c>
      <c r="BD793">
        <f t="shared" si="251"/>
        <v>0</v>
      </c>
      <c r="BE793">
        <f t="shared" si="251"/>
        <v>0</v>
      </c>
      <c r="BF793">
        <f t="shared" si="251"/>
        <v>0</v>
      </c>
      <c r="BG793">
        <f t="shared" si="251"/>
        <v>0</v>
      </c>
      <c r="BH793">
        <f t="shared" si="251"/>
        <v>0</v>
      </c>
      <c r="BI793">
        <f t="shared" si="252"/>
        <v>0</v>
      </c>
      <c r="BJ793">
        <f t="shared" si="252"/>
        <v>0</v>
      </c>
      <c r="BK793">
        <f t="shared" si="252"/>
        <v>0</v>
      </c>
      <c r="BL793">
        <f t="shared" si="252"/>
        <v>0</v>
      </c>
      <c r="BM793">
        <f t="shared" si="252"/>
        <v>0</v>
      </c>
      <c r="BN793">
        <f t="shared" si="252"/>
        <v>0</v>
      </c>
      <c r="BO793">
        <f t="shared" si="252"/>
        <v>0</v>
      </c>
      <c r="BP793">
        <f t="shared" si="252"/>
        <v>0</v>
      </c>
      <c r="BQ793">
        <f t="shared" si="252"/>
        <v>0</v>
      </c>
      <c r="BR793" t="str">
        <f t="shared" si="252"/>
        <v>R. Connolly</v>
      </c>
      <c r="BS793">
        <f t="shared" si="252"/>
        <v>0</v>
      </c>
    </row>
    <row r="794" spans="2:71" ht="15" customHeight="1" x14ac:dyDescent="0.2">
      <c r="B794">
        <v>4</v>
      </c>
      <c r="D794">
        <v>12</v>
      </c>
      <c r="E794" t="s">
        <v>574</v>
      </c>
      <c r="F794" t="s">
        <v>346</v>
      </c>
      <c r="G794" s="5">
        <v>45876</v>
      </c>
      <c r="H794" t="s">
        <v>97</v>
      </c>
      <c r="I794" t="s">
        <v>569</v>
      </c>
      <c r="J794" t="s">
        <v>478</v>
      </c>
      <c r="K794">
        <v>9</v>
      </c>
      <c r="L794" t="s">
        <v>76</v>
      </c>
      <c r="M794" t="s">
        <v>570</v>
      </c>
      <c r="N794" t="s">
        <v>78</v>
      </c>
      <c r="P794">
        <v>128</v>
      </c>
      <c r="Q794">
        <v>6678</v>
      </c>
      <c r="R794" t="s">
        <v>79</v>
      </c>
      <c r="S794" t="s">
        <v>80</v>
      </c>
      <c r="T794" t="s">
        <v>353</v>
      </c>
      <c r="U794" t="s">
        <v>45</v>
      </c>
      <c r="V794" t="s">
        <v>50</v>
      </c>
      <c r="Y794" t="s">
        <v>54</v>
      </c>
      <c r="AA794">
        <v>1</v>
      </c>
      <c r="AB794" t="s">
        <v>32</v>
      </c>
      <c r="AC794" t="s">
        <v>575</v>
      </c>
      <c r="AE794" t="str">
        <f t="shared" si="243"/>
        <v>FerrinFogan</v>
      </c>
      <c r="AF794">
        <v>1</v>
      </c>
      <c r="AG794">
        <v>1</v>
      </c>
      <c r="AH794">
        <v>0</v>
      </c>
      <c r="AI794">
        <v>0</v>
      </c>
      <c r="AK794" t="s">
        <v>53</v>
      </c>
      <c r="AM794" t="s">
        <v>70</v>
      </c>
      <c r="AO794">
        <f t="shared" si="250"/>
        <v>0</v>
      </c>
      <c r="AP794">
        <f t="shared" si="250"/>
        <v>0</v>
      </c>
      <c r="AQ794">
        <f t="shared" si="250"/>
        <v>0</v>
      </c>
      <c r="AR794">
        <f t="shared" si="250"/>
        <v>0</v>
      </c>
      <c r="AS794">
        <f t="shared" si="250"/>
        <v>0</v>
      </c>
      <c r="AT794">
        <f t="shared" si="250"/>
        <v>0</v>
      </c>
      <c r="AU794">
        <f t="shared" si="250"/>
        <v>0</v>
      </c>
      <c r="AV794">
        <f t="shared" si="250"/>
        <v>0</v>
      </c>
      <c r="AW794">
        <f t="shared" si="250"/>
        <v>0</v>
      </c>
      <c r="AX794">
        <f t="shared" si="250"/>
        <v>0</v>
      </c>
      <c r="AY794" t="str">
        <f t="shared" si="251"/>
        <v>Ferrin</v>
      </c>
      <c r="AZ794">
        <f t="shared" si="251"/>
        <v>0</v>
      </c>
      <c r="BA794">
        <f t="shared" si="251"/>
        <v>0</v>
      </c>
      <c r="BB794">
        <f t="shared" si="251"/>
        <v>0</v>
      </c>
      <c r="BC794" t="str">
        <f t="shared" si="251"/>
        <v>Fogan</v>
      </c>
      <c r="BD794">
        <f t="shared" si="251"/>
        <v>0</v>
      </c>
      <c r="BE794">
        <f t="shared" si="251"/>
        <v>0</v>
      </c>
      <c r="BF794">
        <f t="shared" si="251"/>
        <v>0</v>
      </c>
      <c r="BG794">
        <f t="shared" si="251"/>
        <v>0</v>
      </c>
      <c r="BH794">
        <f t="shared" si="251"/>
        <v>0</v>
      </c>
      <c r="BI794">
        <f t="shared" si="252"/>
        <v>0</v>
      </c>
      <c r="BJ794">
        <f t="shared" si="252"/>
        <v>0</v>
      </c>
      <c r="BK794">
        <f t="shared" si="252"/>
        <v>0</v>
      </c>
      <c r="BL794">
        <f t="shared" si="252"/>
        <v>0</v>
      </c>
      <c r="BM794">
        <f t="shared" si="252"/>
        <v>0</v>
      </c>
      <c r="BN794">
        <f t="shared" si="252"/>
        <v>0</v>
      </c>
      <c r="BO794">
        <f t="shared" si="252"/>
        <v>0</v>
      </c>
      <c r="BP794">
        <f t="shared" si="252"/>
        <v>0</v>
      </c>
      <c r="BQ794">
        <f t="shared" si="252"/>
        <v>0</v>
      </c>
      <c r="BR794">
        <f t="shared" si="252"/>
        <v>0</v>
      </c>
      <c r="BS794">
        <f t="shared" si="252"/>
        <v>0</v>
      </c>
    </row>
    <row r="795" spans="2:71" ht="15" customHeight="1" x14ac:dyDescent="0.2">
      <c r="B795">
        <v>5</v>
      </c>
      <c r="D795">
        <v>12</v>
      </c>
      <c r="E795" t="s">
        <v>576</v>
      </c>
      <c r="F795" t="s">
        <v>346</v>
      </c>
      <c r="G795" s="5">
        <v>45876</v>
      </c>
      <c r="H795" t="s">
        <v>97</v>
      </c>
      <c r="I795" t="s">
        <v>569</v>
      </c>
      <c r="J795" t="s">
        <v>478</v>
      </c>
      <c r="K795">
        <v>9</v>
      </c>
      <c r="L795" t="s">
        <v>76</v>
      </c>
      <c r="M795" t="s">
        <v>570</v>
      </c>
      <c r="N795" t="s">
        <v>78</v>
      </c>
      <c r="P795">
        <v>128</v>
      </c>
      <c r="Q795">
        <v>6678</v>
      </c>
      <c r="R795" t="s">
        <v>79</v>
      </c>
      <c r="S795" t="s">
        <v>80</v>
      </c>
      <c r="T795" t="s">
        <v>353</v>
      </c>
      <c r="U795" t="s">
        <v>45</v>
      </c>
      <c r="V795" t="s">
        <v>42</v>
      </c>
      <c r="Y795" t="s">
        <v>64</v>
      </c>
      <c r="AA795">
        <v>1</v>
      </c>
      <c r="AB795" t="s">
        <v>33</v>
      </c>
      <c r="AC795" t="s">
        <v>174</v>
      </c>
      <c r="AE795" t="str">
        <f t="shared" si="243"/>
        <v>JacksonDelneky</v>
      </c>
      <c r="AF795">
        <v>0</v>
      </c>
      <c r="AG795">
        <v>0</v>
      </c>
      <c r="AH795">
        <v>1</v>
      </c>
      <c r="AI795">
        <v>0</v>
      </c>
      <c r="AK795" t="s">
        <v>41</v>
      </c>
      <c r="AM795" t="s">
        <v>44</v>
      </c>
      <c r="AO795">
        <f t="shared" si="250"/>
        <v>0</v>
      </c>
      <c r="AP795">
        <f t="shared" si="250"/>
        <v>0</v>
      </c>
      <c r="AQ795" t="str">
        <f t="shared" si="250"/>
        <v>Jackson</v>
      </c>
      <c r="AR795">
        <f t="shared" si="250"/>
        <v>0</v>
      </c>
      <c r="AS795">
        <f t="shared" si="250"/>
        <v>0</v>
      </c>
      <c r="AT795">
        <f t="shared" si="250"/>
        <v>0</v>
      </c>
      <c r="AU795">
        <f t="shared" si="250"/>
        <v>0</v>
      </c>
      <c r="AV795">
        <f t="shared" si="250"/>
        <v>0</v>
      </c>
      <c r="AW795">
        <f t="shared" si="250"/>
        <v>0</v>
      </c>
      <c r="AX795">
        <f t="shared" si="250"/>
        <v>0</v>
      </c>
      <c r="AY795">
        <f t="shared" si="251"/>
        <v>0</v>
      </c>
      <c r="AZ795">
        <f t="shared" si="251"/>
        <v>0</v>
      </c>
      <c r="BA795">
        <f t="shared" si="251"/>
        <v>0</v>
      </c>
      <c r="BB795">
        <f t="shared" si="251"/>
        <v>0</v>
      </c>
      <c r="BC795">
        <f t="shared" si="251"/>
        <v>0</v>
      </c>
      <c r="BD795">
        <f t="shared" si="251"/>
        <v>0</v>
      </c>
      <c r="BE795">
        <f t="shared" si="251"/>
        <v>0</v>
      </c>
      <c r="BF795">
        <f t="shared" si="251"/>
        <v>0</v>
      </c>
      <c r="BG795">
        <f t="shared" si="251"/>
        <v>0</v>
      </c>
      <c r="BH795">
        <f t="shared" si="251"/>
        <v>0</v>
      </c>
      <c r="BI795">
        <f t="shared" si="252"/>
        <v>0</v>
      </c>
      <c r="BJ795">
        <f t="shared" si="252"/>
        <v>0</v>
      </c>
      <c r="BK795">
        <f t="shared" si="252"/>
        <v>0</v>
      </c>
      <c r="BL795">
        <f t="shared" si="252"/>
        <v>0</v>
      </c>
      <c r="BM795" t="str">
        <f t="shared" si="252"/>
        <v>Delneky</v>
      </c>
      <c r="BN795">
        <f t="shared" si="252"/>
        <v>0</v>
      </c>
      <c r="BO795">
        <f t="shared" si="252"/>
        <v>0</v>
      </c>
      <c r="BP795">
        <f t="shared" si="252"/>
        <v>0</v>
      </c>
      <c r="BQ795">
        <f t="shared" si="252"/>
        <v>0</v>
      </c>
      <c r="BR795">
        <f t="shared" si="252"/>
        <v>0</v>
      </c>
      <c r="BS795">
        <f t="shared" si="252"/>
        <v>0</v>
      </c>
    </row>
    <row r="796" spans="2:71" ht="15" customHeight="1" x14ac:dyDescent="0.2">
      <c r="B796">
        <v>6</v>
      </c>
      <c r="D796">
        <v>12</v>
      </c>
      <c r="E796" t="s">
        <v>577</v>
      </c>
      <c r="F796" t="s">
        <v>346</v>
      </c>
      <c r="G796" s="5">
        <v>45876</v>
      </c>
      <c r="H796" t="s">
        <v>97</v>
      </c>
      <c r="I796" t="s">
        <v>569</v>
      </c>
      <c r="J796" t="s">
        <v>478</v>
      </c>
      <c r="K796">
        <v>9</v>
      </c>
      <c r="L796" t="s">
        <v>90</v>
      </c>
      <c r="M796" t="s">
        <v>570</v>
      </c>
      <c r="N796" t="s">
        <v>78</v>
      </c>
      <c r="P796">
        <v>128</v>
      </c>
      <c r="Q796">
        <v>6678</v>
      </c>
      <c r="R796" t="s">
        <v>313</v>
      </c>
      <c r="S796" t="s">
        <v>80</v>
      </c>
      <c r="T796" t="s">
        <v>353</v>
      </c>
      <c r="U796" t="s">
        <v>45</v>
      </c>
      <c r="V796" t="s">
        <v>60</v>
      </c>
      <c r="Y796" t="s">
        <v>67</v>
      </c>
      <c r="AA796">
        <v>1</v>
      </c>
      <c r="AB796" t="s">
        <v>34</v>
      </c>
      <c r="AC796" t="s">
        <v>92</v>
      </c>
      <c r="AE796" t="str">
        <f t="shared" si="243"/>
        <v>ZimmerDeoteris</v>
      </c>
      <c r="AF796">
        <v>0.5</v>
      </c>
      <c r="AG796">
        <v>0</v>
      </c>
      <c r="AH796">
        <v>0</v>
      </c>
      <c r="AI796">
        <v>1</v>
      </c>
      <c r="AK796" t="s">
        <v>43</v>
      </c>
      <c r="AM796" t="s">
        <v>40</v>
      </c>
      <c r="AO796">
        <f t="shared" si="250"/>
        <v>0</v>
      </c>
      <c r="AP796">
        <f t="shared" si="250"/>
        <v>0</v>
      </c>
      <c r="AQ796">
        <f t="shared" si="250"/>
        <v>0</v>
      </c>
      <c r="AR796">
        <f t="shared" si="250"/>
        <v>0</v>
      </c>
      <c r="AS796">
        <f t="shared" si="250"/>
        <v>0</v>
      </c>
      <c r="AT796">
        <f t="shared" si="250"/>
        <v>0</v>
      </c>
      <c r="AU796">
        <f t="shared" si="250"/>
        <v>0</v>
      </c>
      <c r="AV796">
        <f t="shared" si="250"/>
        <v>0</v>
      </c>
      <c r="AW796">
        <f t="shared" si="250"/>
        <v>0</v>
      </c>
      <c r="AX796">
        <f t="shared" si="250"/>
        <v>0</v>
      </c>
      <c r="AY796">
        <f t="shared" si="251"/>
        <v>0</v>
      </c>
      <c r="AZ796">
        <f t="shared" si="251"/>
        <v>0</v>
      </c>
      <c r="BA796">
        <f t="shared" si="251"/>
        <v>0</v>
      </c>
      <c r="BB796">
        <f t="shared" si="251"/>
        <v>0</v>
      </c>
      <c r="BC796">
        <f t="shared" si="251"/>
        <v>0</v>
      </c>
      <c r="BD796">
        <f t="shared" si="251"/>
        <v>0</v>
      </c>
      <c r="BE796">
        <f t="shared" si="251"/>
        <v>0</v>
      </c>
      <c r="BF796">
        <f t="shared" si="251"/>
        <v>0</v>
      </c>
      <c r="BG796">
        <f t="shared" si="251"/>
        <v>0</v>
      </c>
      <c r="BH796">
        <f t="shared" si="251"/>
        <v>0</v>
      </c>
      <c r="BI796" t="str">
        <f t="shared" si="252"/>
        <v>Zimmer</v>
      </c>
      <c r="BJ796">
        <f t="shared" si="252"/>
        <v>0</v>
      </c>
      <c r="BK796">
        <f t="shared" si="252"/>
        <v>0</v>
      </c>
      <c r="BL796">
        <f t="shared" si="252"/>
        <v>0</v>
      </c>
      <c r="BM796">
        <f t="shared" si="252"/>
        <v>0</v>
      </c>
      <c r="BN796">
        <f t="shared" si="252"/>
        <v>0</v>
      </c>
      <c r="BO796">
        <f t="shared" si="252"/>
        <v>0</v>
      </c>
      <c r="BP796" t="str">
        <f t="shared" si="252"/>
        <v>Deoteris</v>
      </c>
      <c r="BQ796">
        <f t="shared" si="252"/>
        <v>0</v>
      </c>
      <c r="BR796">
        <f t="shared" si="252"/>
        <v>0</v>
      </c>
      <c r="BS796">
        <f t="shared" si="252"/>
        <v>0</v>
      </c>
    </row>
    <row r="797" spans="2:71" ht="15" customHeight="1" x14ac:dyDescent="0.2">
      <c r="B797">
        <v>7</v>
      </c>
      <c r="D797">
        <v>12</v>
      </c>
      <c r="E797" t="s">
        <v>578</v>
      </c>
      <c r="F797" t="s">
        <v>346</v>
      </c>
      <c r="G797" s="5">
        <v>45876</v>
      </c>
      <c r="H797" t="s">
        <v>97</v>
      </c>
      <c r="I797" t="s">
        <v>569</v>
      </c>
      <c r="J797" t="s">
        <v>478</v>
      </c>
      <c r="K797">
        <v>9</v>
      </c>
      <c r="L797" t="s">
        <v>90</v>
      </c>
      <c r="M797" t="s">
        <v>570</v>
      </c>
      <c r="N797" t="s">
        <v>78</v>
      </c>
      <c r="P797">
        <v>128</v>
      </c>
      <c r="Q797">
        <v>6678</v>
      </c>
      <c r="R797" t="s">
        <v>313</v>
      </c>
      <c r="S797" t="s">
        <v>80</v>
      </c>
      <c r="T797" t="s">
        <v>353</v>
      </c>
      <c r="U797" t="s">
        <v>45</v>
      </c>
      <c r="V797" t="s">
        <v>63</v>
      </c>
      <c r="Y797" t="s">
        <v>65</v>
      </c>
      <c r="AA797">
        <v>1</v>
      </c>
      <c r="AB797" t="s">
        <v>34</v>
      </c>
      <c r="AC797" t="s">
        <v>92</v>
      </c>
      <c r="AE797" t="str">
        <f t="shared" si="243"/>
        <v>DelaneyPiegari</v>
      </c>
      <c r="AF797">
        <v>0.5</v>
      </c>
      <c r="AG797">
        <v>0</v>
      </c>
      <c r="AH797">
        <v>0</v>
      </c>
      <c r="AI797">
        <v>1</v>
      </c>
      <c r="AK797" t="s">
        <v>46</v>
      </c>
      <c r="AM797" t="s">
        <v>48</v>
      </c>
      <c r="AO797">
        <f t="shared" si="250"/>
        <v>0</v>
      </c>
      <c r="AP797">
        <f t="shared" si="250"/>
        <v>0</v>
      </c>
      <c r="AQ797">
        <f t="shared" si="250"/>
        <v>0</v>
      </c>
      <c r="AR797">
        <f t="shared" si="250"/>
        <v>0</v>
      </c>
      <c r="AS797">
        <f t="shared" si="250"/>
        <v>0</v>
      </c>
      <c r="AT797">
        <f t="shared" si="250"/>
        <v>0</v>
      </c>
      <c r="AU797">
        <f t="shared" si="250"/>
        <v>0</v>
      </c>
      <c r="AV797">
        <f t="shared" si="250"/>
        <v>0</v>
      </c>
      <c r="AW797">
        <f t="shared" si="250"/>
        <v>0</v>
      </c>
      <c r="AX797">
        <f t="shared" si="250"/>
        <v>0</v>
      </c>
      <c r="AY797">
        <f t="shared" si="251"/>
        <v>0</v>
      </c>
      <c r="AZ797">
        <f t="shared" si="251"/>
        <v>0</v>
      </c>
      <c r="BA797">
        <f t="shared" si="251"/>
        <v>0</v>
      </c>
      <c r="BB797">
        <f t="shared" si="251"/>
        <v>0</v>
      </c>
      <c r="BC797">
        <f t="shared" si="251"/>
        <v>0</v>
      </c>
      <c r="BD797">
        <f t="shared" si="251"/>
        <v>0</v>
      </c>
      <c r="BE797">
        <f t="shared" si="251"/>
        <v>0</v>
      </c>
      <c r="BF797">
        <f t="shared" si="251"/>
        <v>0</v>
      </c>
      <c r="BG797">
        <f t="shared" si="251"/>
        <v>0</v>
      </c>
      <c r="BH797">
        <f t="shared" si="251"/>
        <v>0</v>
      </c>
      <c r="BI797">
        <f t="shared" si="252"/>
        <v>0</v>
      </c>
      <c r="BJ797">
        <f t="shared" si="252"/>
        <v>0</v>
      </c>
      <c r="BK797">
        <f t="shared" si="252"/>
        <v>0</v>
      </c>
      <c r="BL797" t="str">
        <f t="shared" si="252"/>
        <v>Delaney</v>
      </c>
      <c r="BM797">
        <f t="shared" si="252"/>
        <v>0</v>
      </c>
      <c r="BN797" t="str">
        <f t="shared" si="252"/>
        <v>Piegari</v>
      </c>
      <c r="BO797">
        <f t="shared" si="252"/>
        <v>0</v>
      </c>
      <c r="BP797">
        <f t="shared" si="252"/>
        <v>0</v>
      </c>
      <c r="BQ797">
        <f t="shared" si="252"/>
        <v>0</v>
      </c>
      <c r="BR797">
        <f t="shared" si="252"/>
        <v>0</v>
      </c>
      <c r="BS797">
        <f t="shared" si="252"/>
        <v>0</v>
      </c>
    </row>
    <row r="798" spans="2:71" ht="15" customHeight="1" x14ac:dyDescent="0.2">
      <c r="B798">
        <v>8</v>
      </c>
      <c r="D798">
        <v>12</v>
      </c>
      <c r="E798" t="s">
        <v>579</v>
      </c>
      <c r="F798" t="s">
        <v>346</v>
      </c>
      <c r="G798" s="5">
        <v>45876</v>
      </c>
      <c r="H798" t="s">
        <v>97</v>
      </c>
      <c r="I798" t="s">
        <v>569</v>
      </c>
      <c r="J798" t="s">
        <v>478</v>
      </c>
      <c r="K798">
        <v>9</v>
      </c>
      <c r="L798" t="s">
        <v>90</v>
      </c>
      <c r="M798" t="s">
        <v>570</v>
      </c>
      <c r="N798" t="s">
        <v>78</v>
      </c>
      <c r="P798">
        <v>128</v>
      </c>
      <c r="Q798">
        <v>6678</v>
      </c>
      <c r="R798" t="s">
        <v>313</v>
      </c>
      <c r="S798" t="s">
        <v>80</v>
      </c>
      <c r="T798" t="s">
        <v>353</v>
      </c>
      <c r="U798" t="s">
        <v>45</v>
      </c>
      <c r="V798" t="s">
        <v>45</v>
      </c>
      <c r="Y798" t="s">
        <v>69</v>
      </c>
      <c r="AA798">
        <v>1</v>
      </c>
      <c r="AB798" t="s">
        <v>32</v>
      </c>
      <c r="AC798" t="s">
        <v>171</v>
      </c>
      <c r="AE798" t="str">
        <f t="shared" si="243"/>
        <v>ConnollyR. Connolly</v>
      </c>
      <c r="AF798">
        <v>1</v>
      </c>
      <c r="AG798">
        <v>1</v>
      </c>
      <c r="AH798">
        <v>0</v>
      </c>
      <c r="AI798">
        <v>0</v>
      </c>
      <c r="AK798" t="s">
        <v>66</v>
      </c>
      <c r="AM798" t="s">
        <v>49</v>
      </c>
      <c r="AO798">
        <f t="shared" si="250"/>
        <v>0</v>
      </c>
      <c r="AP798">
        <f t="shared" si="250"/>
        <v>0</v>
      </c>
      <c r="AQ798">
        <f t="shared" si="250"/>
        <v>0</v>
      </c>
      <c r="AR798">
        <f t="shared" si="250"/>
        <v>0</v>
      </c>
      <c r="AS798">
        <f t="shared" si="250"/>
        <v>0</v>
      </c>
      <c r="AT798" t="str">
        <f t="shared" si="250"/>
        <v>Connolly</v>
      </c>
      <c r="AU798">
        <f t="shared" si="250"/>
        <v>0</v>
      </c>
      <c r="AV798">
        <f t="shared" si="250"/>
        <v>0</v>
      </c>
      <c r="AW798">
        <f t="shared" si="250"/>
        <v>0</v>
      </c>
      <c r="AX798">
        <f t="shared" si="250"/>
        <v>0</v>
      </c>
      <c r="AY798">
        <f t="shared" si="251"/>
        <v>0</v>
      </c>
      <c r="AZ798">
        <f t="shared" si="251"/>
        <v>0</v>
      </c>
      <c r="BA798">
        <f t="shared" si="251"/>
        <v>0</v>
      </c>
      <c r="BB798">
        <f t="shared" si="251"/>
        <v>0</v>
      </c>
      <c r="BC798">
        <f t="shared" si="251"/>
        <v>0</v>
      </c>
      <c r="BD798">
        <f t="shared" si="251"/>
        <v>0</v>
      </c>
      <c r="BE798">
        <f t="shared" si="251"/>
        <v>0</v>
      </c>
      <c r="BF798">
        <f t="shared" si="251"/>
        <v>0</v>
      </c>
      <c r="BG798">
        <f t="shared" si="251"/>
        <v>0</v>
      </c>
      <c r="BH798">
        <f t="shared" si="251"/>
        <v>0</v>
      </c>
      <c r="BI798">
        <f t="shared" si="252"/>
        <v>0</v>
      </c>
      <c r="BJ798">
        <f t="shared" si="252"/>
        <v>0</v>
      </c>
      <c r="BK798">
        <f t="shared" si="252"/>
        <v>0</v>
      </c>
      <c r="BL798">
        <f t="shared" si="252"/>
        <v>0</v>
      </c>
      <c r="BM798">
        <f t="shared" si="252"/>
        <v>0</v>
      </c>
      <c r="BN798">
        <f t="shared" si="252"/>
        <v>0</v>
      </c>
      <c r="BO798">
        <f t="shared" si="252"/>
        <v>0</v>
      </c>
      <c r="BP798">
        <f t="shared" si="252"/>
        <v>0</v>
      </c>
      <c r="BQ798">
        <f t="shared" si="252"/>
        <v>0</v>
      </c>
      <c r="BR798" t="str">
        <f t="shared" si="252"/>
        <v>R. Connolly</v>
      </c>
      <c r="BS798">
        <f t="shared" si="252"/>
        <v>0</v>
      </c>
    </row>
    <row r="799" spans="2:71" ht="15" customHeight="1" x14ac:dyDescent="0.2">
      <c r="B799">
        <v>9</v>
      </c>
      <c r="D799">
        <v>12</v>
      </c>
      <c r="E799" t="s">
        <v>580</v>
      </c>
      <c r="F799" t="s">
        <v>346</v>
      </c>
      <c r="G799" s="5">
        <v>45876</v>
      </c>
      <c r="H799" t="s">
        <v>97</v>
      </c>
      <c r="I799" t="s">
        <v>569</v>
      </c>
      <c r="J799" t="s">
        <v>478</v>
      </c>
      <c r="K799">
        <v>9</v>
      </c>
      <c r="L799" t="s">
        <v>90</v>
      </c>
      <c r="M799" t="s">
        <v>570</v>
      </c>
      <c r="N799" t="s">
        <v>78</v>
      </c>
      <c r="P799">
        <v>128</v>
      </c>
      <c r="Q799">
        <v>6678</v>
      </c>
      <c r="R799" t="s">
        <v>313</v>
      </c>
      <c r="S799" t="s">
        <v>80</v>
      </c>
      <c r="T799" t="s">
        <v>353</v>
      </c>
      <c r="U799" t="s">
        <v>45</v>
      </c>
      <c r="V799" t="s">
        <v>50</v>
      </c>
      <c r="Y799" t="s">
        <v>54</v>
      </c>
      <c r="AA799">
        <v>1</v>
      </c>
      <c r="AB799" t="s">
        <v>32</v>
      </c>
      <c r="AC799" t="s">
        <v>575</v>
      </c>
      <c r="AE799" t="str">
        <f t="shared" si="243"/>
        <v>FerrinFogan</v>
      </c>
      <c r="AF799">
        <v>1</v>
      </c>
      <c r="AG799">
        <v>1</v>
      </c>
      <c r="AH799">
        <v>0</v>
      </c>
      <c r="AI799">
        <v>0</v>
      </c>
      <c r="AK799" t="s">
        <v>53</v>
      </c>
      <c r="AM799" t="s">
        <v>70</v>
      </c>
      <c r="AO799">
        <f t="shared" si="250"/>
        <v>0</v>
      </c>
      <c r="AP799">
        <f t="shared" si="250"/>
        <v>0</v>
      </c>
      <c r="AQ799">
        <f t="shared" si="250"/>
        <v>0</v>
      </c>
      <c r="AR799">
        <f t="shared" si="250"/>
        <v>0</v>
      </c>
      <c r="AS799">
        <f t="shared" si="250"/>
        <v>0</v>
      </c>
      <c r="AT799">
        <f t="shared" si="250"/>
        <v>0</v>
      </c>
      <c r="AU799">
        <f t="shared" si="250"/>
        <v>0</v>
      </c>
      <c r="AV799">
        <f t="shared" si="250"/>
        <v>0</v>
      </c>
      <c r="AW799">
        <f t="shared" si="250"/>
        <v>0</v>
      </c>
      <c r="AX799">
        <f t="shared" si="250"/>
        <v>0</v>
      </c>
      <c r="AY799" t="str">
        <f t="shared" si="251"/>
        <v>Ferrin</v>
      </c>
      <c r="AZ799">
        <f t="shared" si="251"/>
        <v>0</v>
      </c>
      <c r="BA799">
        <f t="shared" si="251"/>
        <v>0</v>
      </c>
      <c r="BB799">
        <f t="shared" si="251"/>
        <v>0</v>
      </c>
      <c r="BC799" t="str">
        <f t="shared" si="251"/>
        <v>Fogan</v>
      </c>
      <c r="BD799">
        <f t="shared" si="251"/>
        <v>0</v>
      </c>
      <c r="BE799">
        <f t="shared" si="251"/>
        <v>0</v>
      </c>
      <c r="BF799">
        <f t="shared" si="251"/>
        <v>0</v>
      </c>
      <c r="BG799">
        <f t="shared" si="251"/>
        <v>0</v>
      </c>
      <c r="BH799">
        <f t="shared" si="251"/>
        <v>0</v>
      </c>
      <c r="BI799">
        <f t="shared" si="252"/>
        <v>0</v>
      </c>
      <c r="BJ799">
        <f t="shared" si="252"/>
        <v>0</v>
      </c>
      <c r="BK799">
        <f t="shared" si="252"/>
        <v>0</v>
      </c>
      <c r="BL799">
        <f t="shared" si="252"/>
        <v>0</v>
      </c>
      <c r="BM799">
        <f t="shared" si="252"/>
        <v>0</v>
      </c>
      <c r="BN799">
        <f t="shared" si="252"/>
        <v>0</v>
      </c>
      <c r="BO799">
        <f t="shared" si="252"/>
        <v>0</v>
      </c>
      <c r="BP799">
        <f t="shared" si="252"/>
        <v>0</v>
      </c>
      <c r="BQ799">
        <f t="shared" si="252"/>
        <v>0</v>
      </c>
      <c r="BR799">
        <f t="shared" si="252"/>
        <v>0</v>
      </c>
      <c r="BS799">
        <f t="shared" si="252"/>
        <v>0</v>
      </c>
    </row>
    <row r="800" spans="2:71" ht="15" customHeight="1" x14ac:dyDescent="0.2">
      <c r="B800">
        <v>10</v>
      </c>
      <c r="D800">
        <v>12</v>
      </c>
      <c r="E800" t="s">
        <v>581</v>
      </c>
      <c r="F800" t="s">
        <v>346</v>
      </c>
      <c r="G800" s="5">
        <v>45876</v>
      </c>
      <c r="H800" t="s">
        <v>97</v>
      </c>
      <c r="I800" t="s">
        <v>569</v>
      </c>
      <c r="J800" t="s">
        <v>478</v>
      </c>
      <c r="K800">
        <v>9</v>
      </c>
      <c r="L800" t="s">
        <v>90</v>
      </c>
      <c r="M800" t="s">
        <v>570</v>
      </c>
      <c r="N800" t="s">
        <v>78</v>
      </c>
      <c r="P800">
        <v>128</v>
      </c>
      <c r="Q800">
        <v>6678</v>
      </c>
      <c r="R800" t="s">
        <v>313</v>
      </c>
      <c r="S800" t="s">
        <v>80</v>
      </c>
      <c r="T800" t="s">
        <v>353</v>
      </c>
      <c r="U800" t="s">
        <v>45</v>
      </c>
      <c r="V800" t="s">
        <v>42</v>
      </c>
      <c r="Y800" t="s">
        <v>64</v>
      </c>
      <c r="AA800">
        <v>1</v>
      </c>
      <c r="AB800" t="s">
        <v>32</v>
      </c>
      <c r="AC800" t="s">
        <v>221</v>
      </c>
      <c r="AE800" t="str">
        <f t="shared" si="243"/>
        <v>JacksonDelneky</v>
      </c>
      <c r="AF800">
        <v>1</v>
      </c>
      <c r="AG800">
        <v>1</v>
      </c>
      <c r="AH800">
        <v>0</v>
      </c>
      <c r="AI800">
        <v>0</v>
      </c>
      <c r="AK800" t="s">
        <v>41</v>
      </c>
      <c r="AM800" t="s">
        <v>44</v>
      </c>
      <c r="AO800">
        <f t="shared" si="250"/>
        <v>0</v>
      </c>
      <c r="AP800">
        <f t="shared" si="250"/>
        <v>0</v>
      </c>
      <c r="AQ800" t="str">
        <f t="shared" si="250"/>
        <v>Jackson</v>
      </c>
      <c r="AR800">
        <f t="shared" si="250"/>
        <v>0</v>
      </c>
      <c r="AS800">
        <f t="shared" si="250"/>
        <v>0</v>
      </c>
      <c r="AT800">
        <f t="shared" si="250"/>
        <v>0</v>
      </c>
      <c r="AU800">
        <f t="shared" si="250"/>
        <v>0</v>
      </c>
      <c r="AV800">
        <f t="shared" si="250"/>
        <v>0</v>
      </c>
      <c r="AW800">
        <f t="shared" si="250"/>
        <v>0</v>
      </c>
      <c r="AX800">
        <f t="shared" si="250"/>
        <v>0</v>
      </c>
      <c r="AY800">
        <f t="shared" si="251"/>
        <v>0</v>
      </c>
      <c r="AZ800">
        <f t="shared" si="251"/>
        <v>0</v>
      </c>
      <c r="BA800">
        <f t="shared" si="251"/>
        <v>0</v>
      </c>
      <c r="BB800">
        <f t="shared" si="251"/>
        <v>0</v>
      </c>
      <c r="BC800">
        <f t="shared" si="251"/>
        <v>0</v>
      </c>
      <c r="BD800">
        <f t="shared" si="251"/>
        <v>0</v>
      </c>
      <c r="BE800">
        <f t="shared" si="251"/>
        <v>0</v>
      </c>
      <c r="BF800">
        <f t="shared" si="251"/>
        <v>0</v>
      </c>
      <c r="BG800">
        <f t="shared" si="251"/>
        <v>0</v>
      </c>
      <c r="BH800">
        <f t="shared" si="251"/>
        <v>0</v>
      </c>
      <c r="BI800">
        <f t="shared" si="252"/>
        <v>0</v>
      </c>
      <c r="BJ800">
        <f t="shared" si="252"/>
        <v>0</v>
      </c>
      <c r="BK800">
        <f t="shared" si="252"/>
        <v>0</v>
      </c>
      <c r="BL800">
        <f t="shared" si="252"/>
        <v>0</v>
      </c>
      <c r="BM800" t="str">
        <f t="shared" si="252"/>
        <v>Delneky</v>
      </c>
      <c r="BN800">
        <f t="shared" si="252"/>
        <v>0</v>
      </c>
      <c r="BO800">
        <f t="shared" si="252"/>
        <v>0</v>
      </c>
      <c r="BP800">
        <f t="shared" si="252"/>
        <v>0</v>
      </c>
      <c r="BQ800">
        <f t="shared" si="252"/>
        <v>0</v>
      </c>
      <c r="BR800">
        <f t="shared" si="252"/>
        <v>0</v>
      </c>
      <c r="BS800">
        <f t="shared" si="252"/>
        <v>0</v>
      </c>
    </row>
    <row r="801" spans="2:71" ht="15" customHeight="1" x14ac:dyDescent="0.2">
      <c r="B801">
        <v>11</v>
      </c>
      <c r="D801">
        <v>12</v>
      </c>
      <c r="E801" t="s">
        <v>582</v>
      </c>
      <c r="F801" t="s">
        <v>214</v>
      </c>
      <c r="G801" s="5">
        <v>45877</v>
      </c>
      <c r="H801" t="s">
        <v>73</v>
      </c>
      <c r="I801" t="s">
        <v>569</v>
      </c>
      <c r="J801" t="s">
        <v>478</v>
      </c>
      <c r="K801">
        <v>9</v>
      </c>
      <c r="L801" t="s">
        <v>76</v>
      </c>
      <c r="M801" t="s">
        <v>583</v>
      </c>
      <c r="N801" t="s">
        <v>109</v>
      </c>
      <c r="P801">
        <v>130</v>
      </c>
      <c r="Q801">
        <v>6290</v>
      </c>
      <c r="R801" t="s">
        <v>98</v>
      </c>
      <c r="S801" t="s">
        <v>80</v>
      </c>
      <c r="T801" t="s">
        <v>353</v>
      </c>
      <c r="U801" t="s">
        <v>45</v>
      </c>
      <c r="V801" t="s">
        <v>65</v>
      </c>
      <c r="Y801" t="s">
        <v>60</v>
      </c>
      <c r="AA801">
        <v>1</v>
      </c>
      <c r="AB801" t="s">
        <v>33</v>
      </c>
      <c r="AE801" t="str">
        <f t="shared" si="243"/>
        <v>PiegariZimmer</v>
      </c>
      <c r="AF801">
        <v>0</v>
      </c>
      <c r="AG801">
        <v>0</v>
      </c>
      <c r="AH801">
        <v>1</v>
      </c>
      <c r="AI801">
        <v>0</v>
      </c>
      <c r="AK801" t="s">
        <v>66</v>
      </c>
      <c r="AM801" t="s">
        <v>46</v>
      </c>
      <c r="AO801">
        <f t="shared" si="250"/>
        <v>0</v>
      </c>
      <c r="AP801">
        <f t="shared" si="250"/>
        <v>0</v>
      </c>
      <c r="AQ801">
        <f t="shared" si="250"/>
        <v>0</v>
      </c>
      <c r="AR801">
        <f t="shared" si="250"/>
        <v>0</v>
      </c>
      <c r="AS801">
        <f t="shared" si="250"/>
        <v>0</v>
      </c>
      <c r="AT801">
        <f t="shared" si="250"/>
        <v>0</v>
      </c>
      <c r="AU801">
        <f t="shared" si="250"/>
        <v>0</v>
      </c>
      <c r="AV801">
        <f t="shared" si="250"/>
        <v>0</v>
      </c>
      <c r="AW801">
        <f t="shared" si="250"/>
        <v>0</v>
      </c>
      <c r="AX801">
        <f t="shared" si="250"/>
        <v>0</v>
      </c>
      <c r="AY801">
        <f t="shared" si="251"/>
        <v>0</v>
      </c>
      <c r="AZ801">
        <f t="shared" si="251"/>
        <v>0</v>
      </c>
      <c r="BA801">
        <f t="shared" si="251"/>
        <v>0</v>
      </c>
      <c r="BB801">
        <f t="shared" si="251"/>
        <v>0</v>
      </c>
      <c r="BC801">
        <f t="shared" si="251"/>
        <v>0</v>
      </c>
      <c r="BD801">
        <f t="shared" si="251"/>
        <v>0</v>
      </c>
      <c r="BE801">
        <f t="shared" si="251"/>
        <v>0</v>
      </c>
      <c r="BF801">
        <f t="shared" si="251"/>
        <v>0</v>
      </c>
      <c r="BG801">
        <f t="shared" si="251"/>
        <v>0</v>
      </c>
      <c r="BH801">
        <f t="shared" si="251"/>
        <v>0</v>
      </c>
      <c r="BI801" t="str">
        <f t="shared" si="252"/>
        <v>Zimmer</v>
      </c>
      <c r="BJ801">
        <f t="shared" si="252"/>
        <v>0</v>
      </c>
      <c r="BK801">
        <f t="shared" si="252"/>
        <v>0</v>
      </c>
      <c r="BL801">
        <f t="shared" si="252"/>
        <v>0</v>
      </c>
      <c r="BM801">
        <f t="shared" si="252"/>
        <v>0</v>
      </c>
      <c r="BN801" t="str">
        <f t="shared" si="252"/>
        <v>Piegari</v>
      </c>
      <c r="BO801">
        <f t="shared" si="252"/>
        <v>0</v>
      </c>
      <c r="BP801">
        <f t="shared" si="252"/>
        <v>0</v>
      </c>
      <c r="BQ801">
        <f t="shared" si="252"/>
        <v>0</v>
      </c>
      <c r="BR801">
        <f t="shared" si="252"/>
        <v>0</v>
      </c>
      <c r="BS801">
        <f t="shared" si="252"/>
        <v>0</v>
      </c>
    </row>
    <row r="802" spans="2:71" ht="15" customHeight="1" x14ac:dyDescent="0.2">
      <c r="B802">
        <v>12</v>
      </c>
      <c r="D802">
        <v>12</v>
      </c>
      <c r="E802" t="s">
        <v>584</v>
      </c>
      <c r="F802" t="s">
        <v>214</v>
      </c>
      <c r="G802" s="5">
        <v>45877</v>
      </c>
      <c r="H802" t="s">
        <v>73</v>
      </c>
      <c r="I802" t="s">
        <v>569</v>
      </c>
      <c r="J802" t="s">
        <v>478</v>
      </c>
      <c r="K802">
        <v>9</v>
      </c>
      <c r="L802" t="s">
        <v>76</v>
      </c>
      <c r="M802" t="s">
        <v>583</v>
      </c>
      <c r="N802" t="s">
        <v>109</v>
      </c>
      <c r="P802">
        <v>130</v>
      </c>
      <c r="Q802">
        <v>6290</v>
      </c>
      <c r="R802" t="s">
        <v>98</v>
      </c>
      <c r="S802" t="s">
        <v>80</v>
      </c>
      <c r="T802" t="s">
        <v>353</v>
      </c>
      <c r="U802" t="s">
        <v>45</v>
      </c>
      <c r="V802" t="s">
        <v>67</v>
      </c>
      <c r="Y802" t="s">
        <v>50</v>
      </c>
      <c r="AA802">
        <v>1</v>
      </c>
      <c r="AB802" t="s">
        <v>33</v>
      </c>
      <c r="AE802" t="str">
        <f t="shared" si="243"/>
        <v>DeoterisFerrin</v>
      </c>
      <c r="AF802">
        <v>0</v>
      </c>
      <c r="AG802">
        <v>0</v>
      </c>
      <c r="AH802">
        <v>1</v>
      </c>
      <c r="AI802">
        <v>0</v>
      </c>
      <c r="AK802" t="s">
        <v>44</v>
      </c>
      <c r="AM802" t="s">
        <v>43</v>
      </c>
      <c r="AO802">
        <f t="shared" ref="AO802:AX811" si="253">IF(OR($V802=AO$1,$Y802=AO$1),AO$1,0)</f>
        <v>0</v>
      </c>
      <c r="AP802">
        <f t="shared" si="253"/>
        <v>0</v>
      </c>
      <c r="AQ802">
        <f t="shared" si="253"/>
        <v>0</v>
      </c>
      <c r="AR802">
        <f t="shared" si="253"/>
        <v>0</v>
      </c>
      <c r="AS802">
        <f t="shared" si="253"/>
        <v>0</v>
      </c>
      <c r="AT802">
        <f t="shared" si="253"/>
        <v>0</v>
      </c>
      <c r="AU802">
        <f t="shared" si="253"/>
        <v>0</v>
      </c>
      <c r="AV802">
        <f t="shared" si="253"/>
        <v>0</v>
      </c>
      <c r="AW802">
        <f t="shared" si="253"/>
        <v>0</v>
      </c>
      <c r="AX802">
        <f t="shared" si="253"/>
        <v>0</v>
      </c>
      <c r="AY802" t="str">
        <f t="shared" ref="AY802:BH811" si="254">IF(OR($V802=AY$1,$Y802=AY$1),AY$1,0)</f>
        <v>Ferrin</v>
      </c>
      <c r="AZ802">
        <f t="shared" si="254"/>
        <v>0</v>
      </c>
      <c r="BA802">
        <f t="shared" si="254"/>
        <v>0</v>
      </c>
      <c r="BB802">
        <f t="shared" si="254"/>
        <v>0</v>
      </c>
      <c r="BC802">
        <f t="shared" si="254"/>
        <v>0</v>
      </c>
      <c r="BD802">
        <f t="shared" si="254"/>
        <v>0</v>
      </c>
      <c r="BE802">
        <f t="shared" si="254"/>
        <v>0</v>
      </c>
      <c r="BF802">
        <f t="shared" si="254"/>
        <v>0</v>
      </c>
      <c r="BG802">
        <f t="shared" si="254"/>
        <v>0</v>
      </c>
      <c r="BH802">
        <f t="shared" si="254"/>
        <v>0</v>
      </c>
      <c r="BI802">
        <f t="shared" ref="BI802:BS811" si="255">IF(OR($V802=BI$1,$Y802=BI$1),BI$1,0)</f>
        <v>0</v>
      </c>
      <c r="BJ802">
        <f t="shared" si="255"/>
        <v>0</v>
      </c>
      <c r="BK802">
        <f t="shared" si="255"/>
        <v>0</v>
      </c>
      <c r="BL802">
        <f t="shared" si="255"/>
        <v>0</v>
      </c>
      <c r="BM802">
        <f t="shared" si="255"/>
        <v>0</v>
      </c>
      <c r="BN802">
        <f t="shared" si="255"/>
        <v>0</v>
      </c>
      <c r="BO802">
        <f t="shared" si="255"/>
        <v>0</v>
      </c>
      <c r="BP802" t="str">
        <f t="shared" si="255"/>
        <v>Deoteris</v>
      </c>
      <c r="BQ802">
        <f t="shared" si="255"/>
        <v>0</v>
      </c>
      <c r="BR802">
        <f t="shared" si="255"/>
        <v>0</v>
      </c>
      <c r="BS802">
        <f t="shared" si="255"/>
        <v>0</v>
      </c>
    </row>
    <row r="803" spans="2:71" ht="15" customHeight="1" x14ac:dyDescent="0.2">
      <c r="B803">
        <v>13</v>
      </c>
      <c r="D803">
        <v>12</v>
      </c>
      <c r="E803" t="s">
        <v>585</v>
      </c>
      <c r="F803" t="s">
        <v>214</v>
      </c>
      <c r="G803" s="5">
        <v>45877</v>
      </c>
      <c r="H803" t="s">
        <v>73</v>
      </c>
      <c r="I803" t="s">
        <v>569</v>
      </c>
      <c r="J803" t="s">
        <v>478</v>
      </c>
      <c r="K803">
        <v>9</v>
      </c>
      <c r="L803" t="s">
        <v>76</v>
      </c>
      <c r="M803" t="s">
        <v>583</v>
      </c>
      <c r="N803" t="s">
        <v>109</v>
      </c>
      <c r="P803">
        <v>130</v>
      </c>
      <c r="Q803">
        <v>6290</v>
      </c>
      <c r="R803" t="s">
        <v>98</v>
      </c>
      <c r="S803" t="s">
        <v>80</v>
      </c>
      <c r="T803" t="s">
        <v>353</v>
      </c>
      <c r="U803" t="s">
        <v>45</v>
      </c>
      <c r="V803" t="s">
        <v>69</v>
      </c>
      <c r="Y803" t="s">
        <v>64</v>
      </c>
      <c r="AA803">
        <v>1</v>
      </c>
      <c r="AB803" t="s">
        <v>32</v>
      </c>
      <c r="AE803" t="str">
        <f t="shared" si="243"/>
        <v>R. ConnollyDelneky</v>
      </c>
      <c r="AF803">
        <v>1</v>
      </c>
      <c r="AG803">
        <v>1</v>
      </c>
      <c r="AH803">
        <v>0</v>
      </c>
      <c r="AI803">
        <v>0</v>
      </c>
      <c r="AK803" t="s">
        <v>40</v>
      </c>
      <c r="AM803" t="s">
        <v>53</v>
      </c>
      <c r="AO803">
        <f t="shared" si="253"/>
        <v>0</v>
      </c>
      <c r="AP803">
        <f t="shared" si="253"/>
        <v>0</v>
      </c>
      <c r="AQ803">
        <f t="shared" si="253"/>
        <v>0</v>
      </c>
      <c r="AR803">
        <f t="shared" si="253"/>
        <v>0</v>
      </c>
      <c r="AS803">
        <f t="shared" si="253"/>
        <v>0</v>
      </c>
      <c r="AT803">
        <f t="shared" si="253"/>
        <v>0</v>
      </c>
      <c r="AU803">
        <f t="shared" si="253"/>
        <v>0</v>
      </c>
      <c r="AV803">
        <f t="shared" si="253"/>
        <v>0</v>
      </c>
      <c r="AW803">
        <f t="shared" si="253"/>
        <v>0</v>
      </c>
      <c r="AX803">
        <f t="shared" si="253"/>
        <v>0</v>
      </c>
      <c r="AY803">
        <f t="shared" si="254"/>
        <v>0</v>
      </c>
      <c r="AZ803">
        <f t="shared" si="254"/>
        <v>0</v>
      </c>
      <c r="BA803">
        <f t="shared" si="254"/>
        <v>0</v>
      </c>
      <c r="BB803">
        <f t="shared" si="254"/>
        <v>0</v>
      </c>
      <c r="BC803">
        <f t="shared" si="254"/>
        <v>0</v>
      </c>
      <c r="BD803">
        <f t="shared" si="254"/>
        <v>0</v>
      </c>
      <c r="BE803">
        <f t="shared" si="254"/>
        <v>0</v>
      </c>
      <c r="BF803">
        <f t="shared" si="254"/>
        <v>0</v>
      </c>
      <c r="BG803">
        <f t="shared" si="254"/>
        <v>0</v>
      </c>
      <c r="BH803">
        <f t="shared" si="254"/>
        <v>0</v>
      </c>
      <c r="BI803">
        <f t="shared" si="255"/>
        <v>0</v>
      </c>
      <c r="BJ803">
        <f t="shared" si="255"/>
        <v>0</v>
      </c>
      <c r="BK803">
        <f t="shared" si="255"/>
        <v>0</v>
      </c>
      <c r="BL803">
        <f t="shared" si="255"/>
        <v>0</v>
      </c>
      <c r="BM803" t="str">
        <f t="shared" si="255"/>
        <v>Delneky</v>
      </c>
      <c r="BN803">
        <f t="shared" si="255"/>
        <v>0</v>
      </c>
      <c r="BO803">
        <f t="shared" si="255"/>
        <v>0</v>
      </c>
      <c r="BP803">
        <f t="shared" si="255"/>
        <v>0</v>
      </c>
      <c r="BQ803">
        <f t="shared" si="255"/>
        <v>0</v>
      </c>
      <c r="BR803" t="str">
        <f t="shared" si="255"/>
        <v>R. Connolly</v>
      </c>
      <c r="BS803">
        <f t="shared" si="255"/>
        <v>0</v>
      </c>
    </row>
    <row r="804" spans="2:71" ht="15" customHeight="1" x14ac:dyDescent="0.2">
      <c r="B804">
        <v>14</v>
      </c>
      <c r="D804">
        <v>12</v>
      </c>
      <c r="E804" t="s">
        <v>586</v>
      </c>
      <c r="F804" t="s">
        <v>214</v>
      </c>
      <c r="G804" s="5">
        <v>45877</v>
      </c>
      <c r="H804" t="s">
        <v>73</v>
      </c>
      <c r="I804" t="s">
        <v>569</v>
      </c>
      <c r="J804" t="s">
        <v>478</v>
      </c>
      <c r="K804">
        <v>9</v>
      </c>
      <c r="L804" t="s">
        <v>76</v>
      </c>
      <c r="M804" t="s">
        <v>583</v>
      </c>
      <c r="N804" t="s">
        <v>109</v>
      </c>
      <c r="P804">
        <v>130</v>
      </c>
      <c r="Q804">
        <v>6290</v>
      </c>
      <c r="R804" t="s">
        <v>98</v>
      </c>
      <c r="S804" t="s">
        <v>80</v>
      </c>
      <c r="T804" t="s">
        <v>353</v>
      </c>
      <c r="U804" t="s">
        <v>45</v>
      </c>
      <c r="V804" t="s">
        <v>54</v>
      </c>
      <c r="Y804" t="s">
        <v>63</v>
      </c>
      <c r="AA804">
        <v>1</v>
      </c>
      <c r="AB804" t="s">
        <v>32</v>
      </c>
      <c r="AE804" t="str">
        <f t="shared" si="243"/>
        <v>FoganDelaney</v>
      </c>
      <c r="AF804">
        <v>1</v>
      </c>
      <c r="AG804">
        <v>1</v>
      </c>
      <c r="AH804">
        <v>0</v>
      </c>
      <c r="AI804">
        <v>0</v>
      </c>
      <c r="AK804" t="s">
        <v>41</v>
      </c>
      <c r="AM804" t="s">
        <v>49</v>
      </c>
      <c r="AO804">
        <f t="shared" si="253"/>
        <v>0</v>
      </c>
      <c r="AP804">
        <f t="shared" si="253"/>
        <v>0</v>
      </c>
      <c r="AQ804">
        <f t="shared" si="253"/>
        <v>0</v>
      </c>
      <c r="AR804">
        <f t="shared" si="253"/>
        <v>0</v>
      </c>
      <c r="AS804">
        <f t="shared" si="253"/>
        <v>0</v>
      </c>
      <c r="AT804">
        <f t="shared" si="253"/>
        <v>0</v>
      </c>
      <c r="AU804">
        <f t="shared" si="253"/>
        <v>0</v>
      </c>
      <c r="AV804">
        <f t="shared" si="253"/>
        <v>0</v>
      </c>
      <c r="AW804">
        <f t="shared" si="253"/>
        <v>0</v>
      </c>
      <c r="AX804">
        <f t="shared" si="253"/>
        <v>0</v>
      </c>
      <c r="AY804">
        <f t="shared" si="254"/>
        <v>0</v>
      </c>
      <c r="AZ804">
        <f t="shared" si="254"/>
        <v>0</v>
      </c>
      <c r="BA804">
        <f t="shared" si="254"/>
        <v>0</v>
      </c>
      <c r="BB804">
        <f t="shared" si="254"/>
        <v>0</v>
      </c>
      <c r="BC804" t="str">
        <f t="shared" si="254"/>
        <v>Fogan</v>
      </c>
      <c r="BD804">
        <f t="shared" si="254"/>
        <v>0</v>
      </c>
      <c r="BE804">
        <f t="shared" si="254"/>
        <v>0</v>
      </c>
      <c r="BF804">
        <f t="shared" si="254"/>
        <v>0</v>
      </c>
      <c r="BG804">
        <f t="shared" si="254"/>
        <v>0</v>
      </c>
      <c r="BH804">
        <f t="shared" si="254"/>
        <v>0</v>
      </c>
      <c r="BI804">
        <f t="shared" si="255"/>
        <v>0</v>
      </c>
      <c r="BJ804">
        <f t="shared" si="255"/>
        <v>0</v>
      </c>
      <c r="BK804">
        <f t="shared" si="255"/>
        <v>0</v>
      </c>
      <c r="BL804" t="str">
        <f t="shared" si="255"/>
        <v>Delaney</v>
      </c>
      <c r="BM804">
        <f t="shared" si="255"/>
        <v>0</v>
      </c>
      <c r="BN804">
        <f t="shared" si="255"/>
        <v>0</v>
      </c>
      <c r="BO804">
        <f t="shared" si="255"/>
        <v>0</v>
      </c>
      <c r="BP804">
        <f t="shared" si="255"/>
        <v>0</v>
      </c>
      <c r="BQ804">
        <f t="shared" si="255"/>
        <v>0</v>
      </c>
      <c r="BR804">
        <f t="shared" si="255"/>
        <v>0</v>
      </c>
      <c r="BS804">
        <f t="shared" si="255"/>
        <v>0</v>
      </c>
    </row>
    <row r="805" spans="2:71" ht="15" customHeight="1" x14ac:dyDescent="0.2">
      <c r="B805">
        <v>15</v>
      </c>
      <c r="D805">
        <v>12</v>
      </c>
      <c r="E805" t="s">
        <v>587</v>
      </c>
      <c r="F805" t="s">
        <v>214</v>
      </c>
      <c r="G805" s="5">
        <v>45877</v>
      </c>
      <c r="H805" t="s">
        <v>73</v>
      </c>
      <c r="I805" t="s">
        <v>569</v>
      </c>
      <c r="J805" t="s">
        <v>478</v>
      </c>
      <c r="K805">
        <v>9</v>
      </c>
      <c r="L805" t="s">
        <v>76</v>
      </c>
      <c r="M805" t="s">
        <v>583</v>
      </c>
      <c r="N805" t="s">
        <v>109</v>
      </c>
      <c r="P805">
        <v>130</v>
      </c>
      <c r="Q805">
        <v>6290</v>
      </c>
      <c r="R805" t="s">
        <v>98</v>
      </c>
      <c r="S805" t="s">
        <v>80</v>
      </c>
      <c r="T805" t="s">
        <v>353</v>
      </c>
      <c r="U805" t="s">
        <v>45</v>
      </c>
      <c r="V805" t="s">
        <v>42</v>
      </c>
      <c r="Y805" t="s">
        <v>45</v>
      </c>
      <c r="AA805">
        <v>1</v>
      </c>
      <c r="AB805" t="s">
        <v>32</v>
      </c>
      <c r="AE805" t="str">
        <f t="shared" si="243"/>
        <v>JacksonConnolly</v>
      </c>
      <c r="AF805">
        <v>1</v>
      </c>
      <c r="AG805">
        <v>1</v>
      </c>
      <c r="AH805">
        <v>0</v>
      </c>
      <c r="AI805">
        <v>0</v>
      </c>
      <c r="AK805" t="s">
        <v>48</v>
      </c>
      <c r="AM805" t="s">
        <v>70</v>
      </c>
      <c r="AO805">
        <f t="shared" si="253"/>
        <v>0</v>
      </c>
      <c r="AP805">
        <f t="shared" si="253"/>
        <v>0</v>
      </c>
      <c r="AQ805" t="str">
        <f t="shared" si="253"/>
        <v>Jackson</v>
      </c>
      <c r="AR805">
        <f t="shared" si="253"/>
        <v>0</v>
      </c>
      <c r="AS805">
        <f t="shared" si="253"/>
        <v>0</v>
      </c>
      <c r="AT805" t="str">
        <f t="shared" si="253"/>
        <v>Connolly</v>
      </c>
      <c r="AU805">
        <f t="shared" si="253"/>
        <v>0</v>
      </c>
      <c r="AV805">
        <f t="shared" si="253"/>
        <v>0</v>
      </c>
      <c r="AW805">
        <f t="shared" si="253"/>
        <v>0</v>
      </c>
      <c r="AX805">
        <f t="shared" si="253"/>
        <v>0</v>
      </c>
      <c r="AY805">
        <f t="shared" si="254"/>
        <v>0</v>
      </c>
      <c r="AZ805">
        <f t="shared" si="254"/>
        <v>0</v>
      </c>
      <c r="BA805">
        <f t="shared" si="254"/>
        <v>0</v>
      </c>
      <c r="BB805">
        <f t="shared" si="254"/>
        <v>0</v>
      </c>
      <c r="BC805">
        <f t="shared" si="254"/>
        <v>0</v>
      </c>
      <c r="BD805">
        <f t="shared" si="254"/>
        <v>0</v>
      </c>
      <c r="BE805">
        <f t="shared" si="254"/>
        <v>0</v>
      </c>
      <c r="BF805">
        <f t="shared" si="254"/>
        <v>0</v>
      </c>
      <c r="BG805">
        <f t="shared" si="254"/>
        <v>0</v>
      </c>
      <c r="BH805">
        <f t="shared" si="254"/>
        <v>0</v>
      </c>
      <c r="BI805">
        <f t="shared" si="255"/>
        <v>0</v>
      </c>
      <c r="BJ805">
        <f t="shared" si="255"/>
        <v>0</v>
      </c>
      <c r="BK805">
        <f t="shared" si="255"/>
        <v>0</v>
      </c>
      <c r="BL805">
        <f t="shared" si="255"/>
        <v>0</v>
      </c>
      <c r="BM805">
        <f t="shared" si="255"/>
        <v>0</v>
      </c>
      <c r="BN805">
        <f t="shared" si="255"/>
        <v>0</v>
      </c>
      <c r="BO805">
        <f t="shared" si="255"/>
        <v>0</v>
      </c>
      <c r="BP805">
        <f t="shared" si="255"/>
        <v>0</v>
      </c>
      <c r="BQ805">
        <f t="shared" si="255"/>
        <v>0</v>
      </c>
      <c r="BR805">
        <f t="shared" si="255"/>
        <v>0</v>
      </c>
      <c r="BS805">
        <f t="shared" si="255"/>
        <v>0</v>
      </c>
    </row>
    <row r="806" spans="2:71" ht="15" customHeight="1" x14ac:dyDescent="0.2">
      <c r="B806">
        <v>16</v>
      </c>
      <c r="D806">
        <v>12</v>
      </c>
      <c r="E806" t="s">
        <v>588</v>
      </c>
      <c r="F806" t="s">
        <v>214</v>
      </c>
      <c r="G806" s="5">
        <v>45877</v>
      </c>
      <c r="H806" t="s">
        <v>73</v>
      </c>
      <c r="I806" t="s">
        <v>569</v>
      </c>
      <c r="J806" t="s">
        <v>478</v>
      </c>
      <c r="K806">
        <v>9</v>
      </c>
      <c r="L806" t="s">
        <v>90</v>
      </c>
      <c r="M806" t="s">
        <v>583</v>
      </c>
      <c r="N806" t="s">
        <v>109</v>
      </c>
      <c r="P806">
        <v>130</v>
      </c>
      <c r="Q806">
        <v>6290</v>
      </c>
      <c r="R806" t="s">
        <v>91</v>
      </c>
      <c r="S806" t="s">
        <v>80</v>
      </c>
      <c r="T806" t="s">
        <v>353</v>
      </c>
      <c r="U806" t="s">
        <v>45</v>
      </c>
      <c r="V806" t="s">
        <v>65</v>
      </c>
      <c r="Y806" t="s">
        <v>60</v>
      </c>
      <c r="AA806">
        <v>1</v>
      </c>
      <c r="AB806" t="s">
        <v>33</v>
      </c>
      <c r="AE806" t="str">
        <f t="shared" si="243"/>
        <v>PiegariZimmer</v>
      </c>
      <c r="AF806">
        <v>0</v>
      </c>
      <c r="AG806">
        <v>0</v>
      </c>
      <c r="AH806">
        <v>1</v>
      </c>
      <c r="AI806">
        <v>0</v>
      </c>
      <c r="AK806" t="s">
        <v>66</v>
      </c>
      <c r="AM806" t="s">
        <v>46</v>
      </c>
      <c r="AO806">
        <f t="shared" si="253"/>
        <v>0</v>
      </c>
      <c r="AP806">
        <f t="shared" si="253"/>
        <v>0</v>
      </c>
      <c r="AQ806">
        <f t="shared" si="253"/>
        <v>0</v>
      </c>
      <c r="AR806">
        <f t="shared" si="253"/>
        <v>0</v>
      </c>
      <c r="AS806">
        <f t="shared" si="253"/>
        <v>0</v>
      </c>
      <c r="AT806">
        <f t="shared" si="253"/>
        <v>0</v>
      </c>
      <c r="AU806">
        <f t="shared" si="253"/>
        <v>0</v>
      </c>
      <c r="AV806">
        <f t="shared" si="253"/>
        <v>0</v>
      </c>
      <c r="AW806">
        <f t="shared" si="253"/>
        <v>0</v>
      </c>
      <c r="AX806">
        <f t="shared" si="253"/>
        <v>0</v>
      </c>
      <c r="AY806">
        <f t="shared" si="254"/>
        <v>0</v>
      </c>
      <c r="AZ806">
        <f t="shared" si="254"/>
        <v>0</v>
      </c>
      <c r="BA806">
        <f t="shared" si="254"/>
        <v>0</v>
      </c>
      <c r="BB806">
        <f t="shared" si="254"/>
        <v>0</v>
      </c>
      <c r="BC806">
        <f t="shared" si="254"/>
        <v>0</v>
      </c>
      <c r="BD806">
        <f t="shared" si="254"/>
        <v>0</v>
      </c>
      <c r="BE806">
        <f t="shared" si="254"/>
        <v>0</v>
      </c>
      <c r="BF806">
        <f t="shared" si="254"/>
        <v>0</v>
      </c>
      <c r="BG806">
        <f t="shared" si="254"/>
        <v>0</v>
      </c>
      <c r="BH806">
        <f t="shared" si="254"/>
        <v>0</v>
      </c>
      <c r="BI806" t="str">
        <f t="shared" si="255"/>
        <v>Zimmer</v>
      </c>
      <c r="BJ806">
        <f t="shared" si="255"/>
        <v>0</v>
      </c>
      <c r="BK806">
        <f t="shared" si="255"/>
        <v>0</v>
      </c>
      <c r="BL806">
        <f t="shared" si="255"/>
        <v>0</v>
      </c>
      <c r="BM806">
        <f t="shared" si="255"/>
        <v>0</v>
      </c>
      <c r="BN806" t="str">
        <f t="shared" si="255"/>
        <v>Piegari</v>
      </c>
      <c r="BO806">
        <f t="shared" si="255"/>
        <v>0</v>
      </c>
      <c r="BP806">
        <f t="shared" si="255"/>
        <v>0</v>
      </c>
      <c r="BQ806">
        <f t="shared" si="255"/>
        <v>0</v>
      </c>
      <c r="BR806">
        <f t="shared" si="255"/>
        <v>0</v>
      </c>
      <c r="BS806">
        <f t="shared" si="255"/>
        <v>0</v>
      </c>
    </row>
    <row r="807" spans="2:71" ht="15" customHeight="1" x14ac:dyDescent="0.2">
      <c r="B807">
        <v>17</v>
      </c>
      <c r="D807">
        <v>12</v>
      </c>
      <c r="E807" t="s">
        <v>589</v>
      </c>
      <c r="F807" t="s">
        <v>214</v>
      </c>
      <c r="G807" s="5">
        <v>45877</v>
      </c>
      <c r="H807" t="s">
        <v>73</v>
      </c>
      <c r="I807" t="s">
        <v>569</v>
      </c>
      <c r="J807" t="s">
        <v>478</v>
      </c>
      <c r="K807">
        <v>9</v>
      </c>
      <c r="L807" t="s">
        <v>90</v>
      </c>
      <c r="M807" t="s">
        <v>583</v>
      </c>
      <c r="N807" t="s">
        <v>109</v>
      </c>
      <c r="P807">
        <v>130</v>
      </c>
      <c r="Q807">
        <v>6290</v>
      </c>
      <c r="R807" t="s">
        <v>91</v>
      </c>
      <c r="S807" t="s">
        <v>80</v>
      </c>
      <c r="T807" t="s">
        <v>353</v>
      </c>
      <c r="U807" t="s">
        <v>45</v>
      </c>
      <c r="V807" t="s">
        <v>67</v>
      </c>
      <c r="Y807" t="s">
        <v>50</v>
      </c>
      <c r="AA807">
        <v>1</v>
      </c>
      <c r="AB807" t="s">
        <v>34</v>
      </c>
      <c r="AC807" t="s">
        <v>92</v>
      </c>
      <c r="AE807" t="str">
        <f t="shared" si="243"/>
        <v>DeoterisFerrin</v>
      </c>
      <c r="AF807">
        <v>0.5</v>
      </c>
      <c r="AG807">
        <v>0</v>
      </c>
      <c r="AH807">
        <v>0</v>
      </c>
      <c r="AI807">
        <v>1</v>
      </c>
      <c r="AK807" t="s">
        <v>44</v>
      </c>
      <c r="AM807" t="s">
        <v>43</v>
      </c>
      <c r="AO807">
        <f t="shared" si="253"/>
        <v>0</v>
      </c>
      <c r="AP807">
        <f t="shared" si="253"/>
        <v>0</v>
      </c>
      <c r="AQ807">
        <f t="shared" si="253"/>
        <v>0</v>
      </c>
      <c r="AR807">
        <f t="shared" si="253"/>
        <v>0</v>
      </c>
      <c r="AS807">
        <f t="shared" si="253"/>
        <v>0</v>
      </c>
      <c r="AT807">
        <f t="shared" si="253"/>
        <v>0</v>
      </c>
      <c r="AU807">
        <f t="shared" si="253"/>
        <v>0</v>
      </c>
      <c r="AV807">
        <f t="shared" si="253"/>
        <v>0</v>
      </c>
      <c r="AW807">
        <f t="shared" si="253"/>
        <v>0</v>
      </c>
      <c r="AX807">
        <f t="shared" si="253"/>
        <v>0</v>
      </c>
      <c r="AY807" t="str">
        <f t="shared" si="254"/>
        <v>Ferrin</v>
      </c>
      <c r="AZ807">
        <f t="shared" si="254"/>
        <v>0</v>
      </c>
      <c r="BA807">
        <f t="shared" si="254"/>
        <v>0</v>
      </c>
      <c r="BB807">
        <f t="shared" si="254"/>
        <v>0</v>
      </c>
      <c r="BC807">
        <f t="shared" si="254"/>
        <v>0</v>
      </c>
      <c r="BD807">
        <f t="shared" si="254"/>
        <v>0</v>
      </c>
      <c r="BE807">
        <f t="shared" si="254"/>
        <v>0</v>
      </c>
      <c r="BF807">
        <f t="shared" si="254"/>
        <v>0</v>
      </c>
      <c r="BG807">
        <f t="shared" si="254"/>
        <v>0</v>
      </c>
      <c r="BH807">
        <f t="shared" si="254"/>
        <v>0</v>
      </c>
      <c r="BI807">
        <f t="shared" si="255"/>
        <v>0</v>
      </c>
      <c r="BJ807">
        <f t="shared" si="255"/>
        <v>0</v>
      </c>
      <c r="BK807">
        <f t="shared" si="255"/>
        <v>0</v>
      </c>
      <c r="BL807">
        <f t="shared" si="255"/>
        <v>0</v>
      </c>
      <c r="BM807">
        <f t="shared" si="255"/>
        <v>0</v>
      </c>
      <c r="BN807">
        <f t="shared" si="255"/>
        <v>0</v>
      </c>
      <c r="BO807">
        <f t="shared" si="255"/>
        <v>0</v>
      </c>
      <c r="BP807" t="str">
        <f t="shared" si="255"/>
        <v>Deoteris</v>
      </c>
      <c r="BQ807">
        <f t="shared" si="255"/>
        <v>0</v>
      </c>
      <c r="BR807">
        <f t="shared" si="255"/>
        <v>0</v>
      </c>
      <c r="BS807">
        <f t="shared" si="255"/>
        <v>0</v>
      </c>
    </row>
    <row r="808" spans="2:71" ht="15" customHeight="1" x14ac:dyDescent="0.2">
      <c r="B808">
        <v>18</v>
      </c>
      <c r="D808">
        <v>12</v>
      </c>
      <c r="E808" t="s">
        <v>590</v>
      </c>
      <c r="F808" t="s">
        <v>214</v>
      </c>
      <c r="G808" s="5">
        <v>45877</v>
      </c>
      <c r="H808" t="s">
        <v>73</v>
      </c>
      <c r="I808" t="s">
        <v>569</v>
      </c>
      <c r="J808" t="s">
        <v>478</v>
      </c>
      <c r="K808">
        <v>9</v>
      </c>
      <c r="L808" t="s">
        <v>90</v>
      </c>
      <c r="M808" t="s">
        <v>583</v>
      </c>
      <c r="N808" t="s">
        <v>109</v>
      </c>
      <c r="P808">
        <v>130</v>
      </c>
      <c r="Q808">
        <v>6290</v>
      </c>
      <c r="R808" t="s">
        <v>91</v>
      </c>
      <c r="S808" t="s">
        <v>80</v>
      </c>
      <c r="T808" t="s">
        <v>353</v>
      </c>
      <c r="U808" t="s">
        <v>45</v>
      </c>
      <c r="V808" t="s">
        <v>69</v>
      </c>
      <c r="Y808" t="s">
        <v>64</v>
      </c>
      <c r="AA808">
        <v>1</v>
      </c>
      <c r="AB808" t="s">
        <v>33</v>
      </c>
      <c r="AE808" t="str">
        <f t="shared" si="243"/>
        <v>R. ConnollyDelneky</v>
      </c>
      <c r="AF808">
        <v>0</v>
      </c>
      <c r="AG808">
        <v>0</v>
      </c>
      <c r="AH808">
        <v>1</v>
      </c>
      <c r="AI808">
        <v>0</v>
      </c>
      <c r="AK808" t="s">
        <v>40</v>
      </c>
      <c r="AM808" t="s">
        <v>53</v>
      </c>
      <c r="AO808">
        <f t="shared" si="253"/>
        <v>0</v>
      </c>
      <c r="AP808">
        <f t="shared" si="253"/>
        <v>0</v>
      </c>
      <c r="AQ808">
        <f t="shared" si="253"/>
        <v>0</v>
      </c>
      <c r="AR808">
        <f t="shared" si="253"/>
        <v>0</v>
      </c>
      <c r="AS808">
        <f t="shared" si="253"/>
        <v>0</v>
      </c>
      <c r="AT808">
        <f t="shared" si="253"/>
        <v>0</v>
      </c>
      <c r="AU808">
        <f t="shared" si="253"/>
        <v>0</v>
      </c>
      <c r="AV808">
        <f t="shared" si="253"/>
        <v>0</v>
      </c>
      <c r="AW808">
        <f t="shared" si="253"/>
        <v>0</v>
      </c>
      <c r="AX808">
        <f t="shared" si="253"/>
        <v>0</v>
      </c>
      <c r="AY808">
        <f t="shared" si="254"/>
        <v>0</v>
      </c>
      <c r="AZ808">
        <f t="shared" si="254"/>
        <v>0</v>
      </c>
      <c r="BA808">
        <f t="shared" si="254"/>
        <v>0</v>
      </c>
      <c r="BB808">
        <f t="shared" si="254"/>
        <v>0</v>
      </c>
      <c r="BC808">
        <f t="shared" si="254"/>
        <v>0</v>
      </c>
      <c r="BD808">
        <f t="shared" si="254"/>
        <v>0</v>
      </c>
      <c r="BE808">
        <f t="shared" si="254"/>
        <v>0</v>
      </c>
      <c r="BF808">
        <f t="shared" si="254"/>
        <v>0</v>
      </c>
      <c r="BG808">
        <f t="shared" si="254"/>
        <v>0</v>
      </c>
      <c r="BH808">
        <f t="shared" si="254"/>
        <v>0</v>
      </c>
      <c r="BI808">
        <f t="shared" si="255"/>
        <v>0</v>
      </c>
      <c r="BJ808">
        <f t="shared" si="255"/>
        <v>0</v>
      </c>
      <c r="BK808">
        <f t="shared" si="255"/>
        <v>0</v>
      </c>
      <c r="BL808">
        <f t="shared" si="255"/>
        <v>0</v>
      </c>
      <c r="BM808" t="str">
        <f t="shared" si="255"/>
        <v>Delneky</v>
      </c>
      <c r="BN808">
        <f t="shared" si="255"/>
        <v>0</v>
      </c>
      <c r="BO808">
        <f t="shared" si="255"/>
        <v>0</v>
      </c>
      <c r="BP808">
        <f t="shared" si="255"/>
        <v>0</v>
      </c>
      <c r="BQ808">
        <f t="shared" si="255"/>
        <v>0</v>
      </c>
      <c r="BR808" t="str">
        <f t="shared" si="255"/>
        <v>R. Connolly</v>
      </c>
      <c r="BS808">
        <f t="shared" si="255"/>
        <v>0</v>
      </c>
    </row>
    <row r="809" spans="2:71" ht="15" customHeight="1" x14ac:dyDescent="0.2">
      <c r="B809">
        <v>19</v>
      </c>
      <c r="D809">
        <v>12</v>
      </c>
      <c r="E809" t="s">
        <v>591</v>
      </c>
      <c r="F809" t="s">
        <v>214</v>
      </c>
      <c r="G809" s="5">
        <v>45877</v>
      </c>
      <c r="H809" t="s">
        <v>73</v>
      </c>
      <c r="I809" t="s">
        <v>569</v>
      </c>
      <c r="J809" t="s">
        <v>478</v>
      </c>
      <c r="K809">
        <v>9</v>
      </c>
      <c r="L809" t="s">
        <v>90</v>
      </c>
      <c r="M809" t="s">
        <v>583</v>
      </c>
      <c r="N809" t="s">
        <v>109</v>
      </c>
      <c r="P809">
        <v>130</v>
      </c>
      <c r="Q809">
        <v>6290</v>
      </c>
      <c r="R809" t="s">
        <v>91</v>
      </c>
      <c r="S809" t="s">
        <v>80</v>
      </c>
      <c r="T809" t="s">
        <v>353</v>
      </c>
      <c r="U809" t="s">
        <v>45</v>
      </c>
      <c r="V809" t="s">
        <v>54</v>
      </c>
      <c r="Y809" t="s">
        <v>63</v>
      </c>
      <c r="AA809">
        <v>1</v>
      </c>
      <c r="AB809" t="s">
        <v>34</v>
      </c>
      <c r="AC809" t="s">
        <v>92</v>
      </c>
      <c r="AE809" t="str">
        <f t="shared" si="243"/>
        <v>FoganDelaney</v>
      </c>
      <c r="AF809">
        <v>0.5</v>
      </c>
      <c r="AG809">
        <v>0</v>
      </c>
      <c r="AH809">
        <v>0</v>
      </c>
      <c r="AI809">
        <v>1</v>
      </c>
      <c r="AK809" t="s">
        <v>41</v>
      </c>
      <c r="AM809" t="s">
        <v>49</v>
      </c>
      <c r="AO809">
        <f t="shared" si="253"/>
        <v>0</v>
      </c>
      <c r="AP809">
        <f t="shared" si="253"/>
        <v>0</v>
      </c>
      <c r="AQ809">
        <f t="shared" si="253"/>
        <v>0</v>
      </c>
      <c r="AR809">
        <f t="shared" si="253"/>
        <v>0</v>
      </c>
      <c r="AS809">
        <f t="shared" si="253"/>
        <v>0</v>
      </c>
      <c r="AT809">
        <f t="shared" si="253"/>
        <v>0</v>
      </c>
      <c r="AU809">
        <f t="shared" si="253"/>
        <v>0</v>
      </c>
      <c r="AV809">
        <f t="shared" si="253"/>
        <v>0</v>
      </c>
      <c r="AW809">
        <f t="shared" si="253"/>
        <v>0</v>
      </c>
      <c r="AX809">
        <f t="shared" si="253"/>
        <v>0</v>
      </c>
      <c r="AY809">
        <f t="shared" si="254"/>
        <v>0</v>
      </c>
      <c r="AZ809">
        <f t="shared" si="254"/>
        <v>0</v>
      </c>
      <c r="BA809">
        <f t="shared" si="254"/>
        <v>0</v>
      </c>
      <c r="BB809">
        <f t="shared" si="254"/>
        <v>0</v>
      </c>
      <c r="BC809" t="str">
        <f t="shared" si="254"/>
        <v>Fogan</v>
      </c>
      <c r="BD809">
        <f t="shared" si="254"/>
        <v>0</v>
      </c>
      <c r="BE809">
        <f t="shared" si="254"/>
        <v>0</v>
      </c>
      <c r="BF809">
        <f t="shared" si="254"/>
        <v>0</v>
      </c>
      <c r="BG809">
        <f t="shared" si="254"/>
        <v>0</v>
      </c>
      <c r="BH809">
        <f t="shared" si="254"/>
        <v>0</v>
      </c>
      <c r="BI809">
        <f t="shared" si="255"/>
        <v>0</v>
      </c>
      <c r="BJ809">
        <f t="shared" si="255"/>
        <v>0</v>
      </c>
      <c r="BK809">
        <f t="shared" si="255"/>
        <v>0</v>
      </c>
      <c r="BL809" t="str">
        <f t="shared" si="255"/>
        <v>Delaney</v>
      </c>
      <c r="BM809">
        <f t="shared" si="255"/>
        <v>0</v>
      </c>
      <c r="BN809">
        <f t="shared" si="255"/>
        <v>0</v>
      </c>
      <c r="BO809">
        <f t="shared" si="255"/>
        <v>0</v>
      </c>
      <c r="BP809">
        <f t="shared" si="255"/>
        <v>0</v>
      </c>
      <c r="BQ809">
        <f t="shared" si="255"/>
        <v>0</v>
      </c>
      <c r="BR809">
        <f t="shared" si="255"/>
        <v>0</v>
      </c>
      <c r="BS809">
        <f t="shared" si="255"/>
        <v>0</v>
      </c>
    </row>
    <row r="810" spans="2:71" ht="15" customHeight="1" x14ac:dyDescent="0.2">
      <c r="B810">
        <v>20</v>
      </c>
      <c r="D810">
        <v>12</v>
      </c>
      <c r="E810" t="s">
        <v>592</v>
      </c>
      <c r="F810" t="s">
        <v>214</v>
      </c>
      <c r="G810" s="5">
        <v>45877</v>
      </c>
      <c r="H810" t="s">
        <v>73</v>
      </c>
      <c r="I810" t="s">
        <v>569</v>
      </c>
      <c r="J810" t="s">
        <v>478</v>
      </c>
      <c r="K810">
        <v>9</v>
      </c>
      <c r="L810" t="s">
        <v>90</v>
      </c>
      <c r="M810" t="s">
        <v>583</v>
      </c>
      <c r="N810" t="s">
        <v>109</v>
      </c>
      <c r="P810">
        <v>130</v>
      </c>
      <c r="Q810">
        <v>6290</v>
      </c>
      <c r="R810" t="s">
        <v>91</v>
      </c>
      <c r="S810" t="s">
        <v>80</v>
      </c>
      <c r="T810" t="s">
        <v>353</v>
      </c>
      <c r="U810" t="s">
        <v>45</v>
      </c>
      <c r="V810" t="s">
        <v>42</v>
      </c>
      <c r="Y810" t="s">
        <v>45</v>
      </c>
      <c r="AA810">
        <v>1</v>
      </c>
      <c r="AB810" t="s">
        <v>34</v>
      </c>
      <c r="AC810" t="s">
        <v>92</v>
      </c>
      <c r="AE810" t="str">
        <f t="shared" si="243"/>
        <v>JacksonConnolly</v>
      </c>
      <c r="AF810">
        <v>0.5</v>
      </c>
      <c r="AG810">
        <v>0</v>
      </c>
      <c r="AH810">
        <v>0</v>
      </c>
      <c r="AI810">
        <v>1</v>
      </c>
      <c r="AK810" t="s">
        <v>48</v>
      </c>
      <c r="AM810" t="s">
        <v>70</v>
      </c>
      <c r="AO810">
        <f t="shared" si="253"/>
        <v>0</v>
      </c>
      <c r="AP810">
        <f t="shared" si="253"/>
        <v>0</v>
      </c>
      <c r="AQ810" t="str">
        <f t="shared" si="253"/>
        <v>Jackson</v>
      </c>
      <c r="AR810">
        <f t="shared" si="253"/>
        <v>0</v>
      </c>
      <c r="AS810">
        <f t="shared" si="253"/>
        <v>0</v>
      </c>
      <c r="AT810" t="str">
        <f t="shared" si="253"/>
        <v>Connolly</v>
      </c>
      <c r="AU810">
        <f t="shared" si="253"/>
        <v>0</v>
      </c>
      <c r="AV810">
        <f t="shared" si="253"/>
        <v>0</v>
      </c>
      <c r="AW810">
        <f t="shared" si="253"/>
        <v>0</v>
      </c>
      <c r="AX810">
        <f t="shared" si="253"/>
        <v>0</v>
      </c>
      <c r="AY810">
        <f t="shared" si="254"/>
        <v>0</v>
      </c>
      <c r="AZ810">
        <f t="shared" si="254"/>
        <v>0</v>
      </c>
      <c r="BA810">
        <f t="shared" si="254"/>
        <v>0</v>
      </c>
      <c r="BB810">
        <f t="shared" si="254"/>
        <v>0</v>
      </c>
      <c r="BC810">
        <f t="shared" si="254"/>
        <v>0</v>
      </c>
      <c r="BD810">
        <f t="shared" si="254"/>
        <v>0</v>
      </c>
      <c r="BE810">
        <f t="shared" si="254"/>
        <v>0</v>
      </c>
      <c r="BF810">
        <f t="shared" si="254"/>
        <v>0</v>
      </c>
      <c r="BG810">
        <f t="shared" si="254"/>
        <v>0</v>
      </c>
      <c r="BH810">
        <f t="shared" si="254"/>
        <v>0</v>
      </c>
      <c r="BI810">
        <f t="shared" si="255"/>
        <v>0</v>
      </c>
      <c r="BJ810">
        <f t="shared" si="255"/>
        <v>0</v>
      </c>
      <c r="BK810">
        <f t="shared" si="255"/>
        <v>0</v>
      </c>
      <c r="BL810">
        <f t="shared" si="255"/>
        <v>0</v>
      </c>
      <c r="BM810">
        <f t="shared" si="255"/>
        <v>0</v>
      </c>
      <c r="BN810">
        <f t="shared" si="255"/>
        <v>0</v>
      </c>
      <c r="BO810">
        <f t="shared" si="255"/>
        <v>0</v>
      </c>
      <c r="BP810">
        <f t="shared" si="255"/>
        <v>0</v>
      </c>
      <c r="BQ810">
        <f t="shared" si="255"/>
        <v>0</v>
      </c>
      <c r="BR810">
        <f t="shared" si="255"/>
        <v>0</v>
      </c>
      <c r="BS810">
        <f t="shared" si="255"/>
        <v>0</v>
      </c>
    </row>
    <row r="811" spans="2:71" ht="15" customHeight="1" x14ac:dyDescent="0.2">
      <c r="B811">
        <v>26</v>
      </c>
      <c r="D811">
        <v>12</v>
      </c>
      <c r="E811" t="s">
        <v>593</v>
      </c>
      <c r="F811" t="s">
        <v>214</v>
      </c>
      <c r="G811" s="5">
        <v>45877</v>
      </c>
      <c r="H811" t="s">
        <v>97</v>
      </c>
      <c r="I811" t="s">
        <v>569</v>
      </c>
      <c r="J811" t="s">
        <v>478</v>
      </c>
      <c r="K811">
        <v>9</v>
      </c>
      <c r="L811" t="s">
        <v>90</v>
      </c>
      <c r="M811" t="s">
        <v>594</v>
      </c>
      <c r="N811" t="s">
        <v>78</v>
      </c>
      <c r="P811">
        <v>131</v>
      </c>
      <c r="Q811">
        <v>6383</v>
      </c>
      <c r="R811" t="s">
        <v>313</v>
      </c>
      <c r="S811" t="s">
        <v>80</v>
      </c>
      <c r="T811" t="s">
        <v>353</v>
      </c>
      <c r="U811" t="s">
        <v>45</v>
      </c>
      <c r="V811" t="s">
        <v>64</v>
      </c>
      <c r="Y811" t="s">
        <v>60</v>
      </c>
      <c r="AA811">
        <v>1</v>
      </c>
      <c r="AB811" t="s">
        <v>32</v>
      </c>
      <c r="AE811" t="str">
        <f t="shared" si="243"/>
        <v>DelnekyZimmer</v>
      </c>
      <c r="AF811">
        <v>1</v>
      </c>
      <c r="AG811">
        <v>1</v>
      </c>
      <c r="AH811">
        <v>0</v>
      </c>
      <c r="AI811">
        <v>0</v>
      </c>
      <c r="AK811" t="s">
        <v>41</v>
      </c>
      <c r="AM811" t="s">
        <v>43</v>
      </c>
      <c r="AO811">
        <f t="shared" si="253"/>
        <v>0</v>
      </c>
      <c r="AP811">
        <f t="shared" si="253"/>
        <v>0</v>
      </c>
      <c r="AQ811">
        <f t="shared" si="253"/>
        <v>0</v>
      </c>
      <c r="AR811">
        <f t="shared" si="253"/>
        <v>0</v>
      </c>
      <c r="AS811">
        <f t="shared" si="253"/>
        <v>0</v>
      </c>
      <c r="AT811">
        <f t="shared" si="253"/>
        <v>0</v>
      </c>
      <c r="AU811">
        <f t="shared" si="253"/>
        <v>0</v>
      </c>
      <c r="AV811">
        <f t="shared" si="253"/>
        <v>0</v>
      </c>
      <c r="AW811">
        <f t="shared" si="253"/>
        <v>0</v>
      </c>
      <c r="AX811">
        <f t="shared" si="253"/>
        <v>0</v>
      </c>
      <c r="AY811">
        <f t="shared" si="254"/>
        <v>0</v>
      </c>
      <c r="AZ811">
        <f t="shared" si="254"/>
        <v>0</v>
      </c>
      <c r="BA811">
        <f t="shared" si="254"/>
        <v>0</v>
      </c>
      <c r="BB811">
        <f t="shared" si="254"/>
        <v>0</v>
      </c>
      <c r="BC811">
        <f t="shared" si="254"/>
        <v>0</v>
      </c>
      <c r="BD811">
        <f t="shared" si="254"/>
        <v>0</v>
      </c>
      <c r="BE811">
        <f t="shared" si="254"/>
        <v>0</v>
      </c>
      <c r="BF811">
        <f t="shared" si="254"/>
        <v>0</v>
      </c>
      <c r="BG811">
        <f t="shared" si="254"/>
        <v>0</v>
      </c>
      <c r="BH811">
        <f t="shared" si="254"/>
        <v>0</v>
      </c>
      <c r="BI811" t="str">
        <f t="shared" si="255"/>
        <v>Zimmer</v>
      </c>
      <c r="BJ811">
        <f t="shared" si="255"/>
        <v>0</v>
      </c>
      <c r="BK811">
        <f t="shared" si="255"/>
        <v>0</v>
      </c>
      <c r="BL811">
        <f t="shared" si="255"/>
        <v>0</v>
      </c>
      <c r="BM811" t="str">
        <f t="shared" si="255"/>
        <v>Delneky</v>
      </c>
      <c r="BN811">
        <f t="shared" si="255"/>
        <v>0</v>
      </c>
      <c r="BO811">
        <f t="shared" si="255"/>
        <v>0</v>
      </c>
      <c r="BP811">
        <f t="shared" si="255"/>
        <v>0</v>
      </c>
      <c r="BQ811">
        <f t="shared" si="255"/>
        <v>0</v>
      </c>
      <c r="BR811">
        <f t="shared" si="255"/>
        <v>0</v>
      </c>
      <c r="BS811">
        <f t="shared" si="255"/>
        <v>0</v>
      </c>
    </row>
    <row r="812" spans="2:71" ht="15" customHeight="1" x14ac:dyDescent="0.2">
      <c r="B812">
        <v>27</v>
      </c>
      <c r="D812">
        <v>12</v>
      </c>
      <c r="E812" t="s">
        <v>595</v>
      </c>
      <c r="F812" t="s">
        <v>214</v>
      </c>
      <c r="G812" s="5">
        <v>45877</v>
      </c>
      <c r="H812" t="s">
        <v>97</v>
      </c>
      <c r="I812" t="s">
        <v>569</v>
      </c>
      <c r="J812" t="s">
        <v>478</v>
      </c>
      <c r="K812">
        <v>9</v>
      </c>
      <c r="L812" t="s">
        <v>90</v>
      </c>
      <c r="M812" t="s">
        <v>594</v>
      </c>
      <c r="N812" t="s">
        <v>78</v>
      </c>
      <c r="P812">
        <v>131</v>
      </c>
      <c r="Q812">
        <v>6383</v>
      </c>
      <c r="R812" t="s">
        <v>313</v>
      </c>
      <c r="S812" t="s">
        <v>80</v>
      </c>
      <c r="T812" t="s">
        <v>353</v>
      </c>
      <c r="U812" t="s">
        <v>45</v>
      </c>
      <c r="V812" t="s">
        <v>54</v>
      </c>
      <c r="Y812" t="s">
        <v>65</v>
      </c>
      <c r="AA812">
        <v>1</v>
      </c>
      <c r="AB812" t="s">
        <v>34</v>
      </c>
      <c r="AC812" t="s">
        <v>92</v>
      </c>
      <c r="AE812" t="str">
        <f t="shared" si="243"/>
        <v>FoganPiegari</v>
      </c>
      <c r="AF812">
        <v>0.5</v>
      </c>
      <c r="AG812">
        <v>0</v>
      </c>
      <c r="AH812">
        <v>0</v>
      </c>
      <c r="AI812">
        <v>1</v>
      </c>
      <c r="AK812" t="s">
        <v>40</v>
      </c>
      <c r="AM812" t="s">
        <v>70</v>
      </c>
      <c r="AO812">
        <f t="shared" ref="AO812:AX821" si="256">IF(OR($V812=AO$1,$Y812=AO$1),AO$1,0)</f>
        <v>0</v>
      </c>
      <c r="AP812">
        <f t="shared" si="256"/>
        <v>0</v>
      </c>
      <c r="AQ812">
        <f t="shared" si="256"/>
        <v>0</v>
      </c>
      <c r="AR812">
        <f t="shared" si="256"/>
        <v>0</v>
      </c>
      <c r="AS812">
        <f t="shared" si="256"/>
        <v>0</v>
      </c>
      <c r="AT812">
        <f t="shared" si="256"/>
        <v>0</v>
      </c>
      <c r="AU812">
        <f t="shared" si="256"/>
        <v>0</v>
      </c>
      <c r="AV812">
        <f t="shared" si="256"/>
        <v>0</v>
      </c>
      <c r="AW812">
        <f t="shared" si="256"/>
        <v>0</v>
      </c>
      <c r="AX812">
        <f t="shared" si="256"/>
        <v>0</v>
      </c>
      <c r="AY812">
        <f t="shared" ref="AY812:BH821" si="257">IF(OR($V812=AY$1,$Y812=AY$1),AY$1,0)</f>
        <v>0</v>
      </c>
      <c r="AZ812">
        <f t="shared" si="257"/>
        <v>0</v>
      </c>
      <c r="BA812">
        <f t="shared" si="257"/>
        <v>0</v>
      </c>
      <c r="BB812">
        <f t="shared" si="257"/>
        <v>0</v>
      </c>
      <c r="BC812" t="str">
        <f t="shared" si="257"/>
        <v>Fogan</v>
      </c>
      <c r="BD812">
        <f t="shared" si="257"/>
        <v>0</v>
      </c>
      <c r="BE812">
        <f t="shared" si="257"/>
        <v>0</v>
      </c>
      <c r="BF812">
        <f t="shared" si="257"/>
        <v>0</v>
      </c>
      <c r="BG812">
        <f t="shared" si="257"/>
        <v>0</v>
      </c>
      <c r="BH812">
        <f t="shared" si="257"/>
        <v>0</v>
      </c>
      <c r="BI812">
        <f t="shared" ref="BI812:BS821" si="258">IF(OR($V812=BI$1,$Y812=BI$1),BI$1,0)</f>
        <v>0</v>
      </c>
      <c r="BJ812">
        <f t="shared" si="258"/>
        <v>0</v>
      </c>
      <c r="BK812">
        <f t="shared" si="258"/>
        <v>0</v>
      </c>
      <c r="BL812">
        <f t="shared" si="258"/>
        <v>0</v>
      </c>
      <c r="BM812">
        <f t="shared" si="258"/>
        <v>0</v>
      </c>
      <c r="BN812" t="str">
        <f t="shared" si="258"/>
        <v>Piegari</v>
      </c>
      <c r="BO812">
        <f t="shared" si="258"/>
        <v>0</v>
      </c>
      <c r="BP812">
        <f t="shared" si="258"/>
        <v>0</v>
      </c>
      <c r="BQ812">
        <f t="shared" si="258"/>
        <v>0</v>
      </c>
      <c r="BR812">
        <f t="shared" si="258"/>
        <v>0</v>
      </c>
      <c r="BS812">
        <f t="shared" si="258"/>
        <v>0</v>
      </c>
    </row>
    <row r="813" spans="2:71" ht="15" customHeight="1" x14ac:dyDescent="0.2">
      <c r="B813">
        <v>28</v>
      </c>
      <c r="D813">
        <v>12</v>
      </c>
      <c r="E813" t="s">
        <v>596</v>
      </c>
      <c r="F813" t="s">
        <v>214</v>
      </c>
      <c r="G813" s="5">
        <v>45877</v>
      </c>
      <c r="H813" t="s">
        <v>97</v>
      </c>
      <c r="I813" t="s">
        <v>569</v>
      </c>
      <c r="J813" t="s">
        <v>478</v>
      </c>
      <c r="K813">
        <v>9</v>
      </c>
      <c r="L813" t="s">
        <v>90</v>
      </c>
      <c r="M813" t="s">
        <v>594</v>
      </c>
      <c r="N813" t="s">
        <v>78</v>
      </c>
      <c r="P813">
        <v>131</v>
      </c>
      <c r="Q813">
        <v>6383</v>
      </c>
      <c r="R813" t="s">
        <v>313</v>
      </c>
      <c r="S813" t="s">
        <v>80</v>
      </c>
      <c r="T813" t="s">
        <v>353</v>
      </c>
      <c r="U813" t="s">
        <v>45</v>
      </c>
      <c r="V813" t="s">
        <v>45</v>
      </c>
      <c r="Y813" t="s">
        <v>50</v>
      </c>
      <c r="AA813">
        <v>1</v>
      </c>
      <c r="AB813" t="s">
        <v>32</v>
      </c>
      <c r="AC813" t="s">
        <v>184</v>
      </c>
      <c r="AE813" t="str">
        <f t="shared" si="243"/>
        <v>ConnollyFerrin</v>
      </c>
      <c r="AF813">
        <v>1</v>
      </c>
      <c r="AG813">
        <v>1</v>
      </c>
      <c r="AH813">
        <v>0</v>
      </c>
      <c r="AI813">
        <v>0</v>
      </c>
      <c r="AK813" t="s">
        <v>49</v>
      </c>
      <c r="AM813" t="s">
        <v>53</v>
      </c>
      <c r="AO813">
        <f t="shared" si="256"/>
        <v>0</v>
      </c>
      <c r="AP813">
        <f t="shared" si="256"/>
        <v>0</v>
      </c>
      <c r="AQ813">
        <f t="shared" si="256"/>
        <v>0</v>
      </c>
      <c r="AR813">
        <f t="shared" si="256"/>
        <v>0</v>
      </c>
      <c r="AS813">
        <f t="shared" si="256"/>
        <v>0</v>
      </c>
      <c r="AT813" t="str">
        <f t="shared" si="256"/>
        <v>Connolly</v>
      </c>
      <c r="AU813">
        <f t="shared" si="256"/>
        <v>0</v>
      </c>
      <c r="AV813">
        <f t="shared" si="256"/>
        <v>0</v>
      </c>
      <c r="AW813">
        <f t="shared" si="256"/>
        <v>0</v>
      </c>
      <c r="AX813">
        <f t="shared" si="256"/>
        <v>0</v>
      </c>
      <c r="AY813" t="str">
        <f t="shared" si="257"/>
        <v>Ferrin</v>
      </c>
      <c r="AZ813">
        <f t="shared" si="257"/>
        <v>0</v>
      </c>
      <c r="BA813">
        <f t="shared" si="257"/>
        <v>0</v>
      </c>
      <c r="BB813">
        <f t="shared" si="257"/>
        <v>0</v>
      </c>
      <c r="BC813">
        <f t="shared" si="257"/>
        <v>0</v>
      </c>
      <c r="BD813">
        <f t="shared" si="257"/>
        <v>0</v>
      </c>
      <c r="BE813">
        <f t="shared" si="257"/>
        <v>0</v>
      </c>
      <c r="BF813">
        <f t="shared" si="257"/>
        <v>0</v>
      </c>
      <c r="BG813">
        <f t="shared" si="257"/>
        <v>0</v>
      </c>
      <c r="BH813">
        <f t="shared" si="257"/>
        <v>0</v>
      </c>
      <c r="BI813">
        <f t="shared" si="258"/>
        <v>0</v>
      </c>
      <c r="BJ813">
        <f t="shared" si="258"/>
        <v>0</v>
      </c>
      <c r="BK813">
        <f t="shared" si="258"/>
        <v>0</v>
      </c>
      <c r="BL813">
        <f t="shared" si="258"/>
        <v>0</v>
      </c>
      <c r="BM813">
        <f t="shared" si="258"/>
        <v>0</v>
      </c>
      <c r="BN813">
        <f t="shared" si="258"/>
        <v>0</v>
      </c>
      <c r="BO813">
        <f t="shared" si="258"/>
        <v>0</v>
      </c>
      <c r="BP813">
        <f t="shared" si="258"/>
        <v>0</v>
      </c>
      <c r="BQ813">
        <f t="shared" si="258"/>
        <v>0</v>
      </c>
      <c r="BR813">
        <f t="shared" si="258"/>
        <v>0</v>
      </c>
      <c r="BS813">
        <f t="shared" si="258"/>
        <v>0</v>
      </c>
    </row>
    <row r="814" spans="2:71" ht="15" customHeight="1" x14ac:dyDescent="0.2">
      <c r="B814">
        <v>29</v>
      </c>
      <c r="D814">
        <v>12</v>
      </c>
      <c r="E814" t="s">
        <v>597</v>
      </c>
      <c r="F814" t="s">
        <v>214</v>
      </c>
      <c r="G814" s="5">
        <v>45877</v>
      </c>
      <c r="H814" t="s">
        <v>97</v>
      </c>
      <c r="I814" t="s">
        <v>569</v>
      </c>
      <c r="J814" t="s">
        <v>478</v>
      </c>
      <c r="K814">
        <v>9</v>
      </c>
      <c r="L814" t="s">
        <v>90</v>
      </c>
      <c r="M814" t="s">
        <v>594</v>
      </c>
      <c r="N814" t="s">
        <v>78</v>
      </c>
      <c r="P814">
        <v>131</v>
      </c>
      <c r="Q814">
        <v>6383</v>
      </c>
      <c r="R814" t="s">
        <v>313</v>
      </c>
      <c r="S814" t="s">
        <v>80</v>
      </c>
      <c r="T814" t="s">
        <v>353</v>
      </c>
      <c r="U814" t="s">
        <v>45</v>
      </c>
      <c r="V814" t="s">
        <v>67</v>
      </c>
      <c r="Y814" t="s">
        <v>63</v>
      </c>
      <c r="AA814">
        <v>1</v>
      </c>
      <c r="AB814" t="s">
        <v>33</v>
      </c>
      <c r="AE814" t="str">
        <f t="shared" si="243"/>
        <v>DeoterisDelaney</v>
      </c>
      <c r="AF814">
        <v>0</v>
      </c>
      <c r="AG814">
        <v>0</v>
      </c>
      <c r="AH814">
        <v>1</v>
      </c>
      <c r="AI814">
        <v>0</v>
      </c>
      <c r="AK814" t="s">
        <v>44</v>
      </c>
      <c r="AM814" t="s">
        <v>46</v>
      </c>
      <c r="AO814">
        <f t="shared" si="256"/>
        <v>0</v>
      </c>
      <c r="AP814">
        <f t="shared" si="256"/>
        <v>0</v>
      </c>
      <c r="AQ814">
        <f t="shared" si="256"/>
        <v>0</v>
      </c>
      <c r="AR814">
        <f t="shared" si="256"/>
        <v>0</v>
      </c>
      <c r="AS814">
        <f t="shared" si="256"/>
        <v>0</v>
      </c>
      <c r="AT814">
        <f t="shared" si="256"/>
        <v>0</v>
      </c>
      <c r="AU814">
        <f t="shared" si="256"/>
        <v>0</v>
      </c>
      <c r="AV814">
        <f t="shared" si="256"/>
        <v>0</v>
      </c>
      <c r="AW814">
        <f t="shared" si="256"/>
        <v>0</v>
      </c>
      <c r="AX814">
        <f t="shared" si="256"/>
        <v>0</v>
      </c>
      <c r="AY814">
        <f t="shared" si="257"/>
        <v>0</v>
      </c>
      <c r="AZ814">
        <f t="shared" si="257"/>
        <v>0</v>
      </c>
      <c r="BA814">
        <f t="shared" si="257"/>
        <v>0</v>
      </c>
      <c r="BB814">
        <f t="shared" si="257"/>
        <v>0</v>
      </c>
      <c r="BC814">
        <f t="shared" si="257"/>
        <v>0</v>
      </c>
      <c r="BD814">
        <f t="shared" si="257"/>
        <v>0</v>
      </c>
      <c r="BE814">
        <f t="shared" si="257"/>
        <v>0</v>
      </c>
      <c r="BF814">
        <f t="shared" si="257"/>
        <v>0</v>
      </c>
      <c r="BG814">
        <f t="shared" si="257"/>
        <v>0</v>
      </c>
      <c r="BH814">
        <f t="shared" si="257"/>
        <v>0</v>
      </c>
      <c r="BI814">
        <f t="shared" si="258"/>
        <v>0</v>
      </c>
      <c r="BJ814">
        <f t="shared" si="258"/>
        <v>0</v>
      </c>
      <c r="BK814">
        <f t="shared" si="258"/>
        <v>0</v>
      </c>
      <c r="BL814" t="str">
        <f t="shared" si="258"/>
        <v>Delaney</v>
      </c>
      <c r="BM814">
        <f t="shared" si="258"/>
        <v>0</v>
      </c>
      <c r="BN814">
        <f t="shared" si="258"/>
        <v>0</v>
      </c>
      <c r="BO814">
        <f t="shared" si="258"/>
        <v>0</v>
      </c>
      <c r="BP814" t="str">
        <f t="shared" si="258"/>
        <v>Deoteris</v>
      </c>
      <c r="BQ814">
        <f t="shared" si="258"/>
        <v>0</v>
      </c>
      <c r="BR814">
        <f t="shared" si="258"/>
        <v>0</v>
      </c>
      <c r="BS814">
        <f t="shared" si="258"/>
        <v>0</v>
      </c>
    </row>
    <row r="815" spans="2:71" ht="15" customHeight="1" x14ac:dyDescent="0.2">
      <c r="B815">
        <v>30</v>
      </c>
      <c r="D815">
        <v>12</v>
      </c>
      <c r="E815" t="s">
        <v>598</v>
      </c>
      <c r="F815" t="s">
        <v>214</v>
      </c>
      <c r="G815" s="5">
        <v>45877</v>
      </c>
      <c r="H815" t="s">
        <v>97</v>
      </c>
      <c r="I815" t="s">
        <v>569</v>
      </c>
      <c r="J815" t="s">
        <v>478</v>
      </c>
      <c r="K815">
        <v>9</v>
      </c>
      <c r="L815" t="s">
        <v>90</v>
      </c>
      <c r="M815" t="s">
        <v>594</v>
      </c>
      <c r="N815" t="s">
        <v>78</v>
      </c>
      <c r="P815">
        <v>131</v>
      </c>
      <c r="Q815">
        <v>6383</v>
      </c>
      <c r="R815" t="s">
        <v>313</v>
      </c>
      <c r="S815" t="s">
        <v>80</v>
      </c>
      <c r="T815" t="s">
        <v>353</v>
      </c>
      <c r="U815" t="s">
        <v>45</v>
      </c>
      <c r="V815" t="s">
        <v>69</v>
      </c>
      <c r="Y815" t="s">
        <v>42</v>
      </c>
      <c r="AA815">
        <v>1</v>
      </c>
      <c r="AB815" t="s">
        <v>33</v>
      </c>
      <c r="AC815" t="s">
        <v>174</v>
      </c>
      <c r="AE815" t="str">
        <f t="shared" si="243"/>
        <v>R. ConnollyJackson</v>
      </c>
      <c r="AF815">
        <v>0</v>
      </c>
      <c r="AG815">
        <v>0</v>
      </c>
      <c r="AH815">
        <v>1</v>
      </c>
      <c r="AI815">
        <v>0</v>
      </c>
      <c r="AK815" t="s">
        <v>66</v>
      </c>
      <c r="AM815" t="s">
        <v>48</v>
      </c>
      <c r="AO815">
        <f t="shared" si="256"/>
        <v>0</v>
      </c>
      <c r="AP815">
        <f t="shared" si="256"/>
        <v>0</v>
      </c>
      <c r="AQ815" t="str">
        <f t="shared" si="256"/>
        <v>Jackson</v>
      </c>
      <c r="AR815">
        <f t="shared" si="256"/>
        <v>0</v>
      </c>
      <c r="AS815">
        <f t="shared" si="256"/>
        <v>0</v>
      </c>
      <c r="AT815">
        <f t="shared" si="256"/>
        <v>0</v>
      </c>
      <c r="AU815">
        <f t="shared" si="256"/>
        <v>0</v>
      </c>
      <c r="AV815">
        <f t="shared" si="256"/>
        <v>0</v>
      </c>
      <c r="AW815">
        <f t="shared" si="256"/>
        <v>0</v>
      </c>
      <c r="AX815">
        <f t="shared" si="256"/>
        <v>0</v>
      </c>
      <c r="AY815">
        <f t="shared" si="257"/>
        <v>0</v>
      </c>
      <c r="AZ815">
        <f t="shared" si="257"/>
        <v>0</v>
      </c>
      <c r="BA815">
        <f t="shared" si="257"/>
        <v>0</v>
      </c>
      <c r="BB815">
        <f t="shared" si="257"/>
        <v>0</v>
      </c>
      <c r="BC815">
        <f t="shared" si="257"/>
        <v>0</v>
      </c>
      <c r="BD815">
        <f t="shared" si="257"/>
        <v>0</v>
      </c>
      <c r="BE815">
        <f t="shared" si="257"/>
        <v>0</v>
      </c>
      <c r="BF815">
        <f t="shared" si="257"/>
        <v>0</v>
      </c>
      <c r="BG815">
        <f t="shared" si="257"/>
        <v>0</v>
      </c>
      <c r="BH815">
        <f t="shared" si="257"/>
        <v>0</v>
      </c>
      <c r="BI815">
        <f t="shared" si="258"/>
        <v>0</v>
      </c>
      <c r="BJ815">
        <f t="shared" si="258"/>
        <v>0</v>
      </c>
      <c r="BK815">
        <f t="shared" si="258"/>
        <v>0</v>
      </c>
      <c r="BL815">
        <f t="shared" si="258"/>
        <v>0</v>
      </c>
      <c r="BM815">
        <f t="shared" si="258"/>
        <v>0</v>
      </c>
      <c r="BN815">
        <f t="shared" si="258"/>
        <v>0</v>
      </c>
      <c r="BO815">
        <f t="shared" si="258"/>
        <v>0</v>
      </c>
      <c r="BP815">
        <f t="shared" si="258"/>
        <v>0</v>
      </c>
      <c r="BQ815">
        <f t="shared" si="258"/>
        <v>0</v>
      </c>
      <c r="BR815" t="str">
        <f t="shared" si="258"/>
        <v>R. Connolly</v>
      </c>
      <c r="BS815">
        <f t="shared" si="258"/>
        <v>0</v>
      </c>
    </row>
    <row r="816" spans="2:71" ht="15" customHeight="1" x14ac:dyDescent="0.2">
      <c r="B816">
        <v>21</v>
      </c>
      <c r="D816">
        <v>12</v>
      </c>
      <c r="E816" t="s">
        <v>599</v>
      </c>
      <c r="F816" t="s">
        <v>214</v>
      </c>
      <c r="G816" s="5">
        <v>45877</v>
      </c>
      <c r="H816" t="s">
        <v>97</v>
      </c>
      <c r="I816" t="s">
        <v>569</v>
      </c>
      <c r="J816" t="s">
        <v>478</v>
      </c>
      <c r="K816">
        <v>9</v>
      </c>
      <c r="L816" t="s">
        <v>76</v>
      </c>
      <c r="M816" t="s">
        <v>594</v>
      </c>
      <c r="N816" t="s">
        <v>78</v>
      </c>
      <c r="P816">
        <v>131</v>
      </c>
      <c r="Q816">
        <v>6383</v>
      </c>
      <c r="R816" t="s">
        <v>79</v>
      </c>
      <c r="S816" t="s">
        <v>80</v>
      </c>
      <c r="T816" t="s">
        <v>353</v>
      </c>
      <c r="U816" t="s">
        <v>45</v>
      </c>
      <c r="V816" t="s">
        <v>64</v>
      </c>
      <c r="Y816" t="s">
        <v>60</v>
      </c>
      <c r="AA816">
        <v>1</v>
      </c>
      <c r="AB816" t="s">
        <v>33</v>
      </c>
      <c r="AE816" t="str">
        <f t="shared" si="243"/>
        <v>DelnekyZimmer</v>
      </c>
      <c r="AF816">
        <v>0</v>
      </c>
      <c r="AG816">
        <v>0</v>
      </c>
      <c r="AH816">
        <v>1</v>
      </c>
      <c r="AI816">
        <v>0</v>
      </c>
      <c r="AK816" t="s">
        <v>41</v>
      </c>
      <c r="AM816" t="s">
        <v>43</v>
      </c>
      <c r="AO816">
        <f t="shared" si="256"/>
        <v>0</v>
      </c>
      <c r="AP816">
        <f t="shared" si="256"/>
        <v>0</v>
      </c>
      <c r="AQ816">
        <f t="shared" si="256"/>
        <v>0</v>
      </c>
      <c r="AR816">
        <f t="shared" si="256"/>
        <v>0</v>
      </c>
      <c r="AS816">
        <f t="shared" si="256"/>
        <v>0</v>
      </c>
      <c r="AT816">
        <f t="shared" si="256"/>
        <v>0</v>
      </c>
      <c r="AU816">
        <f t="shared" si="256"/>
        <v>0</v>
      </c>
      <c r="AV816">
        <f t="shared" si="256"/>
        <v>0</v>
      </c>
      <c r="AW816">
        <f t="shared" si="256"/>
        <v>0</v>
      </c>
      <c r="AX816">
        <f t="shared" si="256"/>
        <v>0</v>
      </c>
      <c r="AY816">
        <f t="shared" si="257"/>
        <v>0</v>
      </c>
      <c r="AZ816">
        <f t="shared" si="257"/>
        <v>0</v>
      </c>
      <c r="BA816">
        <f t="shared" si="257"/>
        <v>0</v>
      </c>
      <c r="BB816">
        <f t="shared" si="257"/>
        <v>0</v>
      </c>
      <c r="BC816">
        <f t="shared" si="257"/>
        <v>0</v>
      </c>
      <c r="BD816">
        <f t="shared" si="257"/>
        <v>0</v>
      </c>
      <c r="BE816">
        <f t="shared" si="257"/>
        <v>0</v>
      </c>
      <c r="BF816">
        <f t="shared" si="257"/>
        <v>0</v>
      </c>
      <c r="BG816">
        <f t="shared" si="257"/>
        <v>0</v>
      </c>
      <c r="BH816">
        <f t="shared" si="257"/>
        <v>0</v>
      </c>
      <c r="BI816" t="str">
        <f t="shared" si="258"/>
        <v>Zimmer</v>
      </c>
      <c r="BJ816">
        <f t="shared" si="258"/>
        <v>0</v>
      </c>
      <c r="BK816">
        <f t="shared" si="258"/>
        <v>0</v>
      </c>
      <c r="BL816">
        <f t="shared" si="258"/>
        <v>0</v>
      </c>
      <c r="BM816" t="str">
        <f t="shared" si="258"/>
        <v>Delneky</v>
      </c>
      <c r="BN816">
        <f t="shared" si="258"/>
        <v>0</v>
      </c>
      <c r="BO816">
        <f t="shared" si="258"/>
        <v>0</v>
      </c>
      <c r="BP816">
        <f t="shared" si="258"/>
        <v>0</v>
      </c>
      <c r="BQ816">
        <f t="shared" si="258"/>
        <v>0</v>
      </c>
      <c r="BR816">
        <f t="shared" si="258"/>
        <v>0</v>
      </c>
      <c r="BS816">
        <f t="shared" si="258"/>
        <v>0</v>
      </c>
    </row>
    <row r="817" spans="2:71" ht="15" customHeight="1" x14ac:dyDescent="0.2">
      <c r="B817">
        <v>22</v>
      </c>
      <c r="D817">
        <v>12</v>
      </c>
      <c r="E817" t="s">
        <v>600</v>
      </c>
      <c r="F817" t="s">
        <v>214</v>
      </c>
      <c r="G817" s="5">
        <v>45877</v>
      </c>
      <c r="H817" t="s">
        <v>97</v>
      </c>
      <c r="I817" t="s">
        <v>569</v>
      </c>
      <c r="J817" t="s">
        <v>478</v>
      </c>
      <c r="K817">
        <v>9</v>
      </c>
      <c r="L817" t="s">
        <v>76</v>
      </c>
      <c r="M817" t="s">
        <v>594</v>
      </c>
      <c r="N817" t="s">
        <v>78</v>
      </c>
      <c r="P817">
        <v>131</v>
      </c>
      <c r="Q817">
        <v>6383</v>
      </c>
      <c r="R817" t="s">
        <v>79</v>
      </c>
      <c r="S817" t="s">
        <v>80</v>
      </c>
      <c r="T817" t="s">
        <v>353</v>
      </c>
      <c r="U817" t="s">
        <v>45</v>
      </c>
      <c r="V817" t="s">
        <v>54</v>
      </c>
      <c r="Y817" t="s">
        <v>65</v>
      </c>
      <c r="AA817">
        <v>1</v>
      </c>
      <c r="AB817" t="s">
        <v>33</v>
      </c>
      <c r="AE817" t="str">
        <f t="shared" si="243"/>
        <v>FoganPiegari</v>
      </c>
      <c r="AF817">
        <v>0</v>
      </c>
      <c r="AG817">
        <v>0</v>
      </c>
      <c r="AH817">
        <v>1</v>
      </c>
      <c r="AI817">
        <v>0</v>
      </c>
      <c r="AK817" t="s">
        <v>40</v>
      </c>
      <c r="AM817" t="s">
        <v>70</v>
      </c>
      <c r="AO817">
        <f t="shared" si="256"/>
        <v>0</v>
      </c>
      <c r="AP817">
        <f t="shared" si="256"/>
        <v>0</v>
      </c>
      <c r="AQ817">
        <f t="shared" si="256"/>
        <v>0</v>
      </c>
      <c r="AR817">
        <f t="shared" si="256"/>
        <v>0</v>
      </c>
      <c r="AS817">
        <f t="shared" si="256"/>
        <v>0</v>
      </c>
      <c r="AT817">
        <f t="shared" si="256"/>
        <v>0</v>
      </c>
      <c r="AU817">
        <f t="shared" si="256"/>
        <v>0</v>
      </c>
      <c r="AV817">
        <f t="shared" si="256"/>
        <v>0</v>
      </c>
      <c r="AW817">
        <f t="shared" si="256"/>
        <v>0</v>
      </c>
      <c r="AX817">
        <f t="shared" si="256"/>
        <v>0</v>
      </c>
      <c r="AY817">
        <f t="shared" si="257"/>
        <v>0</v>
      </c>
      <c r="AZ817">
        <f t="shared" si="257"/>
        <v>0</v>
      </c>
      <c r="BA817">
        <f t="shared" si="257"/>
        <v>0</v>
      </c>
      <c r="BB817">
        <f t="shared" si="257"/>
        <v>0</v>
      </c>
      <c r="BC817" t="str">
        <f t="shared" si="257"/>
        <v>Fogan</v>
      </c>
      <c r="BD817">
        <f t="shared" si="257"/>
        <v>0</v>
      </c>
      <c r="BE817">
        <f t="shared" si="257"/>
        <v>0</v>
      </c>
      <c r="BF817">
        <f t="shared" si="257"/>
        <v>0</v>
      </c>
      <c r="BG817">
        <f t="shared" si="257"/>
        <v>0</v>
      </c>
      <c r="BH817">
        <f t="shared" si="257"/>
        <v>0</v>
      </c>
      <c r="BI817">
        <f t="shared" si="258"/>
        <v>0</v>
      </c>
      <c r="BJ817">
        <f t="shared" si="258"/>
        <v>0</v>
      </c>
      <c r="BK817">
        <f t="shared" si="258"/>
        <v>0</v>
      </c>
      <c r="BL817">
        <f t="shared" si="258"/>
        <v>0</v>
      </c>
      <c r="BM817">
        <f t="shared" si="258"/>
        <v>0</v>
      </c>
      <c r="BN817" t="str">
        <f t="shared" si="258"/>
        <v>Piegari</v>
      </c>
      <c r="BO817">
        <f t="shared" si="258"/>
        <v>0</v>
      </c>
      <c r="BP817">
        <f t="shared" si="258"/>
        <v>0</v>
      </c>
      <c r="BQ817">
        <f t="shared" si="258"/>
        <v>0</v>
      </c>
      <c r="BR817">
        <f t="shared" si="258"/>
        <v>0</v>
      </c>
      <c r="BS817">
        <f t="shared" si="258"/>
        <v>0</v>
      </c>
    </row>
    <row r="818" spans="2:71" ht="15" customHeight="1" x14ac:dyDescent="0.2">
      <c r="B818">
        <v>23</v>
      </c>
      <c r="D818">
        <v>12</v>
      </c>
      <c r="E818" t="s">
        <v>601</v>
      </c>
      <c r="F818" t="s">
        <v>214</v>
      </c>
      <c r="G818" s="5">
        <v>45877</v>
      </c>
      <c r="H818" t="s">
        <v>97</v>
      </c>
      <c r="I818" t="s">
        <v>569</v>
      </c>
      <c r="J818" t="s">
        <v>478</v>
      </c>
      <c r="K818">
        <v>9</v>
      </c>
      <c r="L818" t="s">
        <v>76</v>
      </c>
      <c r="M818" t="s">
        <v>594</v>
      </c>
      <c r="N818" t="s">
        <v>78</v>
      </c>
      <c r="P818">
        <v>131</v>
      </c>
      <c r="Q818">
        <v>6383</v>
      </c>
      <c r="R818" t="s">
        <v>79</v>
      </c>
      <c r="S818" t="s">
        <v>80</v>
      </c>
      <c r="T818" t="s">
        <v>353</v>
      </c>
      <c r="U818" t="s">
        <v>45</v>
      </c>
      <c r="V818" t="s">
        <v>45</v>
      </c>
      <c r="Y818" t="s">
        <v>50</v>
      </c>
      <c r="AA818">
        <v>1</v>
      </c>
      <c r="AB818" t="s">
        <v>33</v>
      </c>
      <c r="AC818" t="s">
        <v>571</v>
      </c>
      <c r="AE818" t="str">
        <f t="shared" si="243"/>
        <v>ConnollyFerrin</v>
      </c>
      <c r="AF818">
        <v>0</v>
      </c>
      <c r="AG818">
        <v>0</v>
      </c>
      <c r="AH818">
        <v>1</v>
      </c>
      <c r="AI818">
        <v>0</v>
      </c>
      <c r="AK818" t="s">
        <v>49</v>
      </c>
      <c r="AM818" t="s">
        <v>53</v>
      </c>
      <c r="AO818">
        <f t="shared" si="256"/>
        <v>0</v>
      </c>
      <c r="AP818">
        <f t="shared" si="256"/>
        <v>0</v>
      </c>
      <c r="AQ818">
        <f t="shared" si="256"/>
        <v>0</v>
      </c>
      <c r="AR818">
        <f t="shared" si="256"/>
        <v>0</v>
      </c>
      <c r="AS818">
        <f t="shared" si="256"/>
        <v>0</v>
      </c>
      <c r="AT818" t="str">
        <f t="shared" si="256"/>
        <v>Connolly</v>
      </c>
      <c r="AU818">
        <f t="shared" si="256"/>
        <v>0</v>
      </c>
      <c r="AV818">
        <f t="shared" si="256"/>
        <v>0</v>
      </c>
      <c r="AW818">
        <f t="shared" si="256"/>
        <v>0</v>
      </c>
      <c r="AX818">
        <f t="shared" si="256"/>
        <v>0</v>
      </c>
      <c r="AY818" t="str">
        <f t="shared" si="257"/>
        <v>Ferrin</v>
      </c>
      <c r="AZ818">
        <f t="shared" si="257"/>
        <v>0</v>
      </c>
      <c r="BA818">
        <f t="shared" si="257"/>
        <v>0</v>
      </c>
      <c r="BB818">
        <f t="shared" si="257"/>
        <v>0</v>
      </c>
      <c r="BC818">
        <f t="shared" si="257"/>
        <v>0</v>
      </c>
      <c r="BD818">
        <f t="shared" si="257"/>
        <v>0</v>
      </c>
      <c r="BE818">
        <f t="shared" si="257"/>
        <v>0</v>
      </c>
      <c r="BF818">
        <f t="shared" si="257"/>
        <v>0</v>
      </c>
      <c r="BG818">
        <f t="shared" si="257"/>
        <v>0</v>
      </c>
      <c r="BH818">
        <f t="shared" si="257"/>
        <v>0</v>
      </c>
      <c r="BI818">
        <f t="shared" si="258"/>
        <v>0</v>
      </c>
      <c r="BJ818">
        <f t="shared" si="258"/>
        <v>0</v>
      </c>
      <c r="BK818">
        <f t="shared" si="258"/>
        <v>0</v>
      </c>
      <c r="BL818">
        <f t="shared" si="258"/>
        <v>0</v>
      </c>
      <c r="BM818">
        <f t="shared" si="258"/>
        <v>0</v>
      </c>
      <c r="BN818">
        <f t="shared" si="258"/>
        <v>0</v>
      </c>
      <c r="BO818">
        <f t="shared" si="258"/>
        <v>0</v>
      </c>
      <c r="BP818">
        <f t="shared" si="258"/>
        <v>0</v>
      </c>
      <c r="BQ818">
        <f t="shared" si="258"/>
        <v>0</v>
      </c>
      <c r="BR818">
        <f t="shared" si="258"/>
        <v>0</v>
      </c>
      <c r="BS818">
        <f t="shared" si="258"/>
        <v>0</v>
      </c>
    </row>
    <row r="819" spans="2:71" ht="15" customHeight="1" x14ac:dyDescent="0.2">
      <c r="B819">
        <v>24</v>
      </c>
      <c r="D819">
        <v>12</v>
      </c>
      <c r="E819" t="s">
        <v>602</v>
      </c>
      <c r="F819" t="s">
        <v>214</v>
      </c>
      <c r="G819" s="5">
        <v>45877</v>
      </c>
      <c r="H819" t="s">
        <v>97</v>
      </c>
      <c r="I819" t="s">
        <v>569</v>
      </c>
      <c r="J819" t="s">
        <v>478</v>
      </c>
      <c r="K819">
        <v>9</v>
      </c>
      <c r="L819" t="s">
        <v>76</v>
      </c>
      <c r="M819" t="s">
        <v>594</v>
      </c>
      <c r="N819" t="s">
        <v>78</v>
      </c>
      <c r="P819">
        <v>131</v>
      </c>
      <c r="Q819">
        <v>6383</v>
      </c>
      <c r="R819" t="s">
        <v>79</v>
      </c>
      <c r="S819" t="s">
        <v>80</v>
      </c>
      <c r="T819" t="s">
        <v>353</v>
      </c>
      <c r="U819" t="s">
        <v>45</v>
      </c>
      <c r="V819" t="s">
        <v>67</v>
      </c>
      <c r="Y819" t="s">
        <v>63</v>
      </c>
      <c r="AA819">
        <v>1</v>
      </c>
      <c r="AB819" t="s">
        <v>33</v>
      </c>
      <c r="AE819" t="str">
        <f t="shared" si="243"/>
        <v>DeoterisDelaney</v>
      </c>
      <c r="AF819">
        <v>0</v>
      </c>
      <c r="AG819">
        <v>0</v>
      </c>
      <c r="AH819">
        <v>1</v>
      </c>
      <c r="AI819">
        <v>0</v>
      </c>
      <c r="AK819" t="s">
        <v>44</v>
      </c>
      <c r="AM819" t="s">
        <v>46</v>
      </c>
      <c r="AO819">
        <f t="shared" si="256"/>
        <v>0</v>
      </c>
      <c r="AP819">
        <f t="shared" si="256"/>
        <v>0</v>
      </c>
      <c r="AQ819">
        <f t="shared" si="256"/>
        <v>0</v>
      </c>
      <c r="AR819">
        <f t="shared" si="256"/>
        <v>0</v>
      </c>
      <c r="AS819">
        <f t="shared" si="256"/>
        <v>0</v>
      </c>
      <c r="AT819">
        <f t="shared" si="256"/>
        <v>0</v>
      </c>
      <c r="AU819">
        <f t="shared" si="256"/>
        <v>0</v>
      </c>
      <c r="AV819">
        <f t="shared" si="256"/>
        <v>0</v>
      </c>
      <c r="AW819">
        <f t="shared" si="256"/>
        <v>0</v>
      </c>
      <c r="AX819">
        <f t="shared" si="256"/>
        <v>0</v>
      </c>
      <c r="AY819">
        <f t="shared" si="257"/>
        <v>0</v>
      </c>
      <c r="AZ819">
        <f t="shared" si="257"/>
        <v>0</v>
      </c>
      <c r="BA819">
        <f t="shared" si="257"/>
        <v>0</v>
      </c>
      <c r="BB819">
        <f t="shared" si="257"/>
        <v>0</v>
      </c>
      <c r="BC819">
        <f t="shared" si="257"/>
        <v>0</v>
      </c>
      <c r="BD819">
        <f t="shared" si="257"/>
        <v>0</v>
      </c>
      <c r="BE819">
        <f t="shared" si="257"/>
        <v>0</v>
      </c>
      <c r="BF819">
        <f t="shared" si="257"/>
        <v>0</v>
      </c>
      <c r="BG819">
        <f t="shared" si="257"/>
        <v>0</v>
      </c>
      <c r="BH819">
        <f t="shared" si="257"/>
        <v>0</v>
      </c>
      <c r="BI819">
        <f t="shared" si="258"/>
        <v>0</v>
      </c>
      <c r="BJ819">
        <f t="shared" si="258"/>
        <v>0</v>
      </c>
      <c r="BK819">
        <f t="shared" si="258"/>
        <v>0</v>
      </c>
      <c r="BL819" t="str">
        <f t="shared" si="258"/>
        <v>Delaney</v>
      </c>
      <c r="BM819">
        <f t="shared" si="258"/>
        <v>0</v>
      </c>
      <c r="BN819">
        <f t="shared" si="258"/>
        <v>0</v>
      </c>
      <c r="BO819">
        <f t="shared" si="258"/>
        <v>0</v>
      </c>
      <c r="BP819" t="str">
        <f t="shared" si="258"/>
        <v>Deoteris</v>
      </c>
      <c r="BQ819">
        <f t="shared" si="258"/>
        <v>0</v>
      </c>
      <c r="BR819">
        <f t="shared" si="258"/>
        <v>0</v>
      </c>
      <c r="BS819">
        <f t="shared" si="258"/>
        <v>0</v>
      </c>
    </row>
    <row r="820" spans="2:71" ht="15" customHeight="1" x14ac:dyDescent="0.2">
      <c r="B820">
        <v>25</v>
      </c>
      <c r="D820">
        <v>12</v>
      </c>
      <c r="E820" t="s">
        <v>603</v>
      </c>
      <c r="F820" t="s">
        <v>214</v>
      </c>
      <c r="G820" s="5">
        <v>45877</v>
      </c>
      <c r="H820" t="s">
        <v>97</v>
      </c>
      <c r="I820" t="s">
        <v>569</v>
      </c>
      <c r="J820" t="s">
        <v>478</v>
      </c>
      <c r="K820">
        <v>9</v>
      </c>
      <c r="L820" t="s">
        <v>76</v>
      </c>
      <c r="M820" t="s">
        <v>594</v>
      </c>
      <c r="N820" t="s">
        <v>78</v>
      </c>
      <c r="P820">
        <v>131</v>
      </c>
      <c r="Q820">
        <v>6383</v>
      </c>
      <c r="R820" t="s">
        <v>79</v>
      </c>
      <c r="S820" t="s">
        <v>80</v>
      </c>
      <c r="T820" t="s">
        <v>353</v>
      </c>
      <c r="U820" t="s">
        <v>45</v>
      </c>
      <c r="V820" t="s">
        <v>69</v>
      </c>
      <c r="Y820" t="s">
        <v>42</v>
      </c>
      <c r="AA820">
        <v>1</v>
      </c>
      <c r="AB820" t="s">
        <v>32</v>
      </c>
      <c r="AC820" t="s">
        <v>174</v>
      </c>
      <c r="AE820" t="str">
        <f t="shared" si="243"/>
        <v>R. ConnollyJackson</v>
      </c>
      <c r="AF820">
        <v>1</v>
      </c>
      <c r="AG820">
        <v>1</v>
      </c>
      <c r="AH820">
        <v>0</v>
      </c>
      <c r="AI820">
        <v>0</v>
      </c>
      <c r="AK820" t="s">
        <v>66</v>
      </c>
      <c r="AM820" t="s">
        <v>48</v>
      </c>
      <c r="AO820">
        <f t="shared" si="256"/>
        <v>0</v>
      </c>
      <c r="AP820">
        <f t="shared" si="256"/>
        <v>0</v>
      </c>
      <c r="AQ820" t="str">
        <f t="shared" si="256"/>
        <v>Jackson</v>
      </c>
      <c r="AR820">
        <f t="shared" si="256"/>
        <v>0</v>
      </c>
      <c r="AS820">
        <f t="shared" si="256"/>
        <v>0</v>
      </c>
      <c r="AT820">
        <f t="shared" si="256"/>
        <v>0</v>
      </c>
      <c r="AU820">
        <f t="shared" si="256"/>
        <v>0</v>
      </c>
      <c r="AV820">
        <f t="shared" si="256"/>
        <v>0</v>
      </c>
      <c r="AW820">
        <f t="shared" si="256"/>
        <v>0</v>
      </c>
      <c r="AX820">
        <f t="shared" si="256"/>
        <v>0</v>
      </c>
      <c r="AY820">
        <f t="shared" si="257"/>
        <v>0</v>
      </c>
      <c r="AZ820">
        <f t="shared" si="257"/>
        <v>0</v>
      </c>
      <c r="BA820">
        <f t="shared" si="257"/>
        <v>0</v>
      </c>
      <c r="BB820">
        <f t="shared" si="257"/>
        <v>0</v>
      </c>
      <c r="BC820">
        <f t="shared" si="257"/>
        <v>0</v>
      </c>
      <c r="BD820">
        <f t="shared" si="257"/>
        <v>0</v>
      </c>
      <c r="BE820">
        <f t="shared" si="257"/>
        <v>0</v>
      </c>
      <c r="BF820">
        <f t="shared" si="257"/>
        <v>0</v>
      </c>
      <c r="BG820">
        <f t="shared" si="257"/>
        <v>0</v>
      </c>
      <c r="BH820">
        <f t="shared" si="257"/>
        <v>0</v>
      </c>
      <c r="BI820">
        <f t="shared" si="258"/>
        <v>0</v>
      </c>
      <c r="BJ820">
        <f t="shared" si="258"/>
        <v>0</v>
      </c>
      <c r="BK820">
        <f t="shared" si="258"/>
        <v>0</v>
      </c>
      <c r="BL820">
        <f t="shared" si="258"/>
        <v>0</v>
      </c>
      <c r="BM820">
        <f t="shared" si="258"/>
        <v>0</v>
      </c>
      <c r="BN820">
        <f t="shared" si="258"/>
        <v>0</v>
      </c>
      <c r="BO820">
        <f t="shared" si="258"/>
        <v>0</v>
      </c>
      <c r="BP820">
        <f t="shared" si="258"/>
        <v>0</v>
      </c>
      <c r="BQ820">
        <f t="shared" si="258"/>
        <v>0</v>
      </c>
      <c r="BR820" t="str">
        <f t="shared" si="258"/>
        <v>R. Connolly</v>
      </c>
      <c r="BS820">
        <f t="shared" si="258"/>
        <v>0</v>
      </c>
    </row>
    <row r="821" spans="2:71" ht="15" customHeight="1" x14ac:dyDescent="0.2">
      <c r="B821">
        <v>31</v>
      </c>
      <c r="D821">
        <v>12</v>
      </c>
      <c r="E821" t="s">
        <v>604</v>
      </c>
      <c r="F821" t="s">
        <v>72</v>
      </c>
      <c r="G821" s="5">
        <v>45878</v>
      </c>
      <c r="H821" t="s">
        <v>97</v>
      </c>
      <c r="I821" t="s">
        <v>569</v>
      </c>
      <c r="J821" t="s">
        <v>478</v>
      </c>
      <c r="K821">
        <v>18</v>
      </c>
      <c r="L821" t="s">
        <v>107</v>
      </c>
      <c r="M821" t="s">
        <v>605</v>
      </c>
      <c r="N821" t="s">
        <v>78</v>
      </c>
      <c r="P821">
        <v>132</v>
      </c>
      <c r="Q821">
        <v>6272</v>
      </c>
      <c r="R821" t="s">
        <v>110</v>
      </c>
      <c r="S821" t="s">
        <v>111</v>
      </c>
      <c r="T821" t="s">
        <v>353</v>
      </c>
      <c r="U821" t="s">
        <v>45</v>
      </c>
      <c r="V821" t="s">
        <v>45</v>
      </c>
      <c r="AA821">
        <v>2</v>
      </c>
      <c r="AB821" t="s">
        <v>32</v>
      </c>
      <c r="AD821" t="s">
        <v>40</v>
      </c>
      <c r="AE821" t="str">
        <f t="shared" si="243"/>
        <v>Connolly</v>
      </c>
      <c r="AF821">
        <v>2</v>
      </c>
      <c r="AG821">
        <v>1</v>
      </c>
      <c r="AH821">
        <v>0</v>
      </c>
      <c r="AI821">
        <v>0</v>
      </c>
      <c r="AO821">
        <f t="shared" si="256"/>
        <v>0</v>
      </c>
      <c r="AP821">
        <f t="shared" si="256"/>
        <v>0</v>
      </c>
      <c r="AQ821">
        <f t="shared" si="256"/>
        <v>0</v>
      </c>
      <c r="AR821">
        <f t="shared" si="256"/>
        <v>0</v>
      </c>
      <c r="AS821">
        <f t="shared" si="256"/>
        <v>0</v>
      </c>
      <c r="AT821" t="str">
        <f t="shared" si="256"/>
        <v>Connolly</v>
      </c>
      <c r="AU821">
        <f t="shared" si="256"/>
        <v>0</v>
      </c>
      <c r="AV821">
        <f t="shared" si="256"/>
        <v>0</v>
      </c>
      <c r="AW821">
        <f t="shared" si="256"/>
        <v>0</v>
      </c>
      <c r="AX821">
        <f t="shared" si="256"/>
        <v>0</v>
      </c>
      <c r="AY821">
        <f t="shared" si="257"/>
        <v>0</v>
      </c>
      <c r="AZ821">
        <f t="shared" si="257"/>
        <v>0</v>
      </c>
      <c r="BA821">
        <f t="shared" si="257"/>
        <v>0</v>
      </c>
      <c r="BB821">
        <f t="shared" si="257"/>
        <v>0</v>
      </c>
      <c r="BC821">
        <f t="shared" si="257"/>
        <v>0</v>
      </c>
      <c r="BD821">
        <f t="shared" si="257"/>
        <v>0</v>
      </c>
      <c r="BE821">
        <f t="shared" si="257"/>
        <v>0</v>
      </c>
      <c r="BF821">
        <f t="shared" si="257"/>
        <v>0</v>
      </c>
      <c r="BG821">
        <f t="shared" si="257"/>
        <v>0</v>
      </c>
      <c r="BH821">
        <f t="shared" si="257"/>
        <v>0</v>
      </c>
      <c r="BI821">
        <f t="shared" si="258"/>
        <v>0</v>
      </c>
      <c r="BJ821">
        <f t="shared" si="258"/>
        <v>0</v>
      </c>
      <c r="BK821">
        <f t="shared" si="258"/>
        <v>0</v>
      </c>
      <c r="BL821">
        <f t="shared" si="258"/>
        <v>0</v>
      </c>
      <c r="BM821">
        <f t="shared" si="258"/>
        <v>0</v>
      </c>
      <c r="BN821">
        <f t="shared" si="258"/>
        <v>0</v>
      </c>
      <c r="BO821">
        <f t="shared" si="258"/>
        <v>0</v>
      </c>
      <c r="BP821">
        <f t="shared" si="258"/>
        <v>0</v>
      </c>
      <c r="BQ821">
        <f t="shared" si="258"/>
        <v>0</v>
      </c>
      <c r="BR821">
        <f t="shared" si="258"/>
        <v>0</v>
      </c>
      <c r="BS821">
        <f t="shared" si="258"/>
        <v>0</v>
      </c>
    </row>
    <row r="822" spans="2:71" ht="15" customHeight="1" x14ac:dyDescent="0.2">
      <c r="B822">
        <v>32</v>
      </c>
      <c r="D822">
        <v>12</v>
      </c>
      <c r="E822" t="s">
        <v>606</v>
      </c>
      <c r="F822" t="s">
        <v>72</v>
      </c>
      <c r="G822" s="5">
        <v>45878</v>
      </c>
      <c r="H822" t="s">
        <v>97</v>
      </c>
      <c r="I822" t="s">
        <v>569</v>
      </c>
      <c r="J822" t="s">
        <v>478</v>
      </c>
      <c r="K822">
        <v>18</v>
      </c>
      <c r="L822" t="s">
        <v>107</v>
      </c>
      <c r="M822" t="s">
        <v>605</v>
      </c>
      <c r="N822" t="s">
        <v>78</v>
      </c>
      <c r="P822">
        <v>132</v>
      </c>
      <c r="Q822">
        <v>6272</v>
      </c>
      <c r="R822" t="s">
        <v>110</v>
      </c>
      <c r="S822" t="s">
        <v>111</v>
      </c>
      <c r="T822" t="s">
        <v>353</v>
      </c>
      <c r="U822" t="s">
        <v>45</v>
      </c>
      <c r="V822" t="s">
        <v>64</v>
      </c>
      <c r="AA822">
        <v>2</v>
      </c>
      <c r="AB822" t="s">
        <v>32</v>
      </c>
      <c r="AD822" t="s">
        <v>48</v>
      </c>
      <c r="AE822" t="str">
        <f t="shared" si="243"/>
        <v>Delneky</v>
      </c>
      <c r="AF822">
        <v>2</v>
      </c>
      <c r="AG822">
        <v>1</v>
      </c>
      <c r="AH822">
        <v>0</v>
      </c>
      <c r="AI822">
        <v>0</v>
      </c>
      <c r="AO822">
        <f t="shared" ref="AO822:AX831" si="259">IF(OR($V822=AO$1,$Y822=AO$1),AO$1,0)</f>
        <v>0</v>
      </c>
      <c r="AP822">
        <f t="shared" si="259"/>
        <v>0</v>
      </c>
      <c r="AQ822">
        <f t="shared" si="259"/>
        <v>0</v>
      </c>
      <c r="AR822">
        <f t="shared" si="259"/>
        <v>0</v>
      </c>
      <c r="AS822">
        <f t="shared" si="259"/>
        <v>0</v>
      </c>
      <c r="AT822">
        <f t="shared" si="259"/>
        <v>0</v>
      </c>
      <c r="AU822">
        <f t="shared" si="259"/>
        <v>0</v>
      </c>
      <c r="AV822">
        <f t="shared" si="259"/>
        <v>0</v>
      </c>
      <c r="AW822">
        <f t="shared" si="259"/>
        <v>0</v>
      </c>
      <c r="AX822">
        <f t="shared" si="259"/>
        <v>0</v>
      </c>
      <c r="AY822">
        <f t="shared" ref="AY822:BH831" si="260">IF(OR($V822=AY$1,$Y822=AY$1),AY$1,0)</f>
        <v>0</v>
      </c>
      <c r="AZ822">
        <f t="shared" si="260"/>
        <v>0</v>
      </c>
      <c r="BA822">
        <f t="shared" si="260"/>
        <v>0</v>
      </c>
      <c r="BB822">
        <f t="shared" si="260"/>
        <v>0</v>
      </c>
      <c r="BC822">
        <f t="shared" si="260"/>
        <v>0</v>
      </c>
      <c r="BD822">
        <f t="shared" si="260"/>
        <v>0</v>
      </c>
      <c r="BE822">
        <f t="shared" si="260"/>
        <v>0</v>
      </c>
      <c r="BF822">
        <f t="shared" si="260"/>
        <v>0</v>
      </c>
      <c r="BG822">
        <f t="shared" si="260"/>
        <v>0</v>
      </c>
      <c r="BH822">
        <f t="shared" si="260"/>
        <v>0</v>
      </c>
      <c r="BI822">
        <f t="shared" ref="BI822:BS831" si="261">IF(OR($V822=BI$1,$Y822=BI$1),BI$1,0)</f>
        <v>0</v>
      </c>
      <c r="BJ822">
        <f t="shared" si="261"/>
        <v>0</v>
      </c>
      <c r="BK822">
        <f t="shared" si="261"/>
        <v>0</v>
      </c>
      <c r="BL822">
        <f t="shared" si="261"/>
        <v>0</v>
      </c>
      <c r="BM822" t="str">
        <f t="shared" si="261"/>
        <v>Delneky</v>
      </c>
      <c r="BN822">
        <f t="shared" si="261"/>
        <v>0</v>
      </c>
      <c r="BO822">
        <f t="shared" si="261"/>
        <v>0</v>
      </c>
      <c r="BP822">
        <f t="shared" si="261"/>
        <v>0</v>
      </c>
      <c r="BQ822">
        <f t="shared" si="261"/>
        <v>0</v>
      </c>
      <c r="BR822">
        <f t="shared" si="261"/>
        <v>0</v>
      </c>
      <c r="BS822">
        <f t="shared" si="261"/>
        <v>0</v>
      </c>
    </row>
    <row r="823" spans="2:71" ht="15" customHeight="1" x14ac:dyDescent="0.2">
      <c r="B823">
        <v>33</v>
      </c>
      <c r="D823">
        <v>12</v>
      </c>
      <c r="E823" t="s">
        <v>607</v>
      </c>
      <c r="F823" t="s">
        <v>72</v>
      </c>
      <c r="G823" s="5">
        <v>45878</v>
      </c>
      <c r="H823" t="s">
        <v>97</v>
      </c>
      <c r="I823" t="s">
        <v>569</v>
      </c>
      <c r="J823" t="s">
        <v>478</v>
      </c>
      <c r="K823">
        <v>18</v>
      </c>
      <c r="L823" t="s">
        <v>107</v>
      </c>
      <c r="M823" t="s">
        <v>605</v>
      </c>
      <c r="N823" t="s">
        <v>78</v>
      </c>
      <c r="P823">
        <v>132</v>
      </c>
      <c r="Q823">
        <v>6272</v>
      </c>
      <c r="R823" t="s">
        <v>110</v>
      </c>
      <c r="S823" t="s">
        <v>111</v>
      </c>
      <c r="T823" t="s">
        <v>353</v>
      </c>
      <c r="U823" t="s">
        <v>45</v>
      </c>
      <c r="V823" t="s">
        <v>69</v>
      </c>
      <c r="AA823">
        <v>2</v>
      </c>
      <c r="AB823" t="s">
        <v>32</v>
      </c>
      <c r="AD823" t="s">
        <v>49</v>
      </c>
      <c r="AE823" t="str">
        <f t="shared" si="243"/>
        <v>R. Connolly</v>
      </c>
      <c r="AF823">
        <v>2</v>
      </c>
      <c r="AG823">
        <v>1</v>
      </c>
      <c r="AH823">
        <v>0</v>
      </c>
      <c r="AI823">
        <v>0</v>
      </c>
      <c r="AO823">
        <f t="shared" si="259"/>
        <v>0</v>
      </c>
      <c r="AP823">
        <f t="shared" si="259"/>
        <v>0</v>
      </c>
      <c r="AQ823">
        <f t="shared" si="259"/>
        <v>0</v>
      </c>
      <c r="AR823">
        <f t="shared" si="259"/>
        <v>0</v>
      </c>
      <c r="AS823">
        <f t="shared" si="259"/>
        <v>0</v>
      </c>
      <c r="AT823">
        <f t="shared" si="259"/>
        <v>0</v>
      </c>
      <c r="AU823">
        <f t="shared" si="259"/>
        <v>0</v>
      </c>
      <c r="AV823">
        <f t="shared" si="259"/>
        <v>0</v>
      </c>
      <c r="AW823">
        <f t="shared" si="259"/>
        <v>0</v>
      </c>
      <c r="AX823">
        <f t="shared" si="259"/>
        <v>0</v>
      </c>
      <c r="AY823">
        <f t="shared" si="260"/>
        <v>0</v>
      </c>
      <c r="AZ823">
        <f t="shared" si="260"/>
        <v>0</v>
      </c>
      <c r="BA823">
        <f t="shared" si="260"/>
        <v>0</v>
      </c>
      <c r="BB823">
        <f t="shared" si="260"/>
        <v>0</v>
      </c>
      <c r="BC823">
        <f t="shared" si="260"/>
        <v>0</v>
      </c>
      <c r="BD823">
        <f t="shared" si="260"/>
        <v>0</v>
      </c>
      <c r="BE823">
        <f t="shared" si="260"/>
        <v>0</v>
      </c>
      <c r="BF823">
        <f t="shared" si="260"/>
        <v>0</v>
      </c>
      <c r="BG823">
        <f t="shared" si="260"/>
        <v>0</v>
      </c>
      <c r="BH823">
        <f t="shared" si="260"/>
        <v>0</v>
      </c>
      <c r="BI823">
        <f t="shared" si="261"/>
        <v>0</v>
      </c>
      <c r="BJ823">
        <f t="shared" si="261"/>
        <v>0</v>
      </c>
      <c r="BK823">
        <f t="shared" si="261"/>
        <v>0</v>
      </c>
      <c r="BL823">
        <f t="shared" si="261"/>
        <v>0</v>
      </c>
      <c r="BM823">
        <f t="shared" si="261"/>
        <v>0</v>
      </c>
      <c r="BN823">
        <f t="shared" si="261"/>
        <v>0</v>
      </c>
      <c r="BO823">
        <f t="shared" si="261"/>
        <v>0</v>
      </c>
      <c r="BP823">
        <f t="shared" si="261"/>
        <v>0</v>
      </c>
      <c r="BQ823">
        <f t="shared" si="261"/>
        <v>0</v>
      </c>
      <c r="BR823" t="str">
        <f t="shared" si="261"/>
        <v>R. Connolly</v>
      </c>
      <c r="BS823">
        <f t="shared" si="261"/>
        <v>0</v>
      </c>
    </row>
    <row r="824" spans="2:71" ht="15" customHeight="1" x14ac:dyDescent="0.2">
      <c r="B824">
        <v>34</v>
      </c>
      <c r="D824">
        <v>12</v>
      </c>
      <c r="E824" t="s">
        <v>608</v>
      </c>
      <c r="F824" t="s">
        <v>72</v>
      </c>
      <c r="G824" s="5">
        <v>45878</v>
      </c>
      <c r="H824" t="s">
        <v>97</v>
      </c>
      <c r="I824" t="s">
        <v>569</v>
      </c>
      <c r="J824" t="s">
        <v>478</v>
      </c>
      <c r="K824">
        <v>18</v>
      </c>
      <c r="L824" t="s">
        <v>107</v>
      </c>
      <c r="M824" t="s">
        <v>605</v>
      </c>
      <c r="N824" t="s">
        <v>78</v>
      </c>
      <c r="P824">
        <v>132</v>
      </c>
      <c r="Q824">
        <v>6272</v>
      </c>
      <c r="R824" t="s">
        <v>110</v>
      </c>
      <c r="S824" t="s">
        <v>111</v>
      </c>
      <c r="T824" t="s">
        <v>353</v>
      </c>
      <c r="U824" t="s">
        <v>45</v>
      </c>
      <c r="V824" t="s">
        <v>65</v>
      </c>
      <c r="AA824">
        <v>2</v>
      </c>
      <c r="AB824" t="s">
        <v>33</v>
      </c>
      <c r="AD824" t="s">
        <v>44</v>
      </c>
      <c r="AE824" t="str">
        <f t="shared" si="243"/>
        <v>Piegari</v>
      </c>
      <c r="AF824">
        <v>0</v>
      </c>
      <c r="AG824">
        <v>0</v>
      </c>
      <c r="AH824">
        <v>1</v>
      </c>
      <c r="AI824">
        <v>0</v>
      </c>
      <c r="AO824">
        <f t="shared" si="259"/>
        <v>0</v>
      </c>
      <c r="AP824">
        <f t="shared" si="259"/>
        <v>0</v>
      </c>
      <c r="AQ824">
        <f t="shared" si="259"/>
        <v>0</v>
      </c>
      <c r="AR824">
        <f t="shared" si="259"/>
        <v>0</v>
      </c>
      <c r="AS824">
        <f t="shared" si="259"/>
        <v>0</v>
      </c>
      <c r="AT824">
        <f t="shared" si="259"/>
        <v>0</v>
      </c>
      <c r="AU824">
        <f t="shared" si="259"/>
        <v>0</v>
      </c>
      <c r="AV824">
        <f t="shared" si="259"/>
        <v>0</v>
      </c>
      <c r="AW824">
        <f t="shared" si="259"/>
        <v>0</v>
      </c>
      <c r="AX824">
        <f t="shared" si="259"/>
        <v>0</v>
      </c>
      <c r="AY824">
        <f t="shared" si="260"/>
        <v>0</v>
      </c>
      <c r="AZ824">
        <f t="shared" si="260"/>
        <v>0</v>
      </c>
      <c r="BA824">
        <f t="shared" si="260"/>
        <v>0</v>
      </c>
      <c r="BB824">
        <f t="shared" si="260"/>
        <v>0</v>
      </c>
      <c r="BC824">
        <f t="shared" si="260"/>
        <v>0</v>
      </c>
      <c r="BD824">
        <f t="shared" si="260"/>
        <v>0</v>
      </c>
      <c r="BE824">
        <f t="shared" si="260"/>
        <v>0</v>
      </c>
      <c r="BF824">
        <f t="shared" si="260"/>
        <v>0</v>
      </c>
      <c r="BG824">
        <f t="shared" si="260"/>
        <v>0</v>
      </c>
      <c r="BH824">
        <f t="shared" si="260"/>
        <v>0</v>
      </c>
      <c r="BI824">
        <f t="shared" si="261"/>
        <v>0</v>
      </c>
      <c r="BJ824">
        <f t="shared" si="261"/>
        <v>0</v>
      </c>
      <c r="BK824">
        <f t="shared" si="261"/>
        <v>0</v>
      </c>
      <c r="BL824">
        <f t="shared" si="261"/>
        <v>0</v>
      </c>
      <c r="BM824">
        <f t="shared" si="261"/>
        <v>0</v>
      </c>
      <c r="BN824" t="str">
        <f t="shared" si="261"/>
        <v>Piegari</v>
      </c>
      <c r="BO824">
        <f t="shared" si="261"/>
        <v>0</v>
      </c>
      <c r="BP824">
        <f t="shared" si="261"/>
        <v>0</v>
      </c>
      <c r="BQ824">
        <f t="shared" si="261"/>
        <v>0</v>
      </c>
      <c r="BR824">
        <f t="shared" si="261"/>
        <v>0</v>
      </c>
      <c r="BS824">
        <f t="shared" si="261"/>
        <v>0</v>
      </c>
    </row>
    <row r="825" spans="2:71" ht="15" customHeight="1" x14ac:dyDescent="0.2">
      <c r="B825">
        <v>35</v>
      </c>
      <c r="D825">
        <v>12</v>
      </c>
      <c r="E825" t="s">
        <v>609</v>
      </c>
      <c r="F825" t="s">
        <v>72</v>
      </c>
      <c r="G825" s="5">
        <v>45878</v>
      </c>
      <c r="H825" t="s">
        <v>97</v>
      </c>
      <c r="I825" t="s">
        <v>569</v>
      </c>
      <c r="J825" t="s">
        <v>478</v>
      </c>
      <c r="K825">
        <v>18</v>
      </c>
      <c r="L825" t="s">
        <v>107</v>
      </c>
      <c r="M825" t="s">
        <v>605</v>
      </c>
      <c r="N825" t="s">
        <v>78</v>
      </c>
      <c r="P825">
        <v>132</v>
      </c>
      <c r="Q825">
        <v>6272</v>
      </c>
      <c r="R825" t="s">
        <v>110</v>
      </c>
      <c r="S825" t="s">
        <v>111</v>
      </c>
      <c r="T825" t="s">
        <v>353</v>
      </c>
      <c r="U825" t="s">
        <v>45</v>
      </c>
      <c r="V825" t="s">
        <v>42</v>
      </c>
      <c r="AA825">
        <v>2</v>
      </c>
      <c r="AB825" t="s">
        <v>33</v>
      </c>
      <c r="AD825" t="s">
        <v>43</v>
      </c>
      <c r="AE825" t="str">
        <f t="shared" si="243"/>
        <v>Jackson</v>
      </c>
      <c r="AF825">
        <v>0</v>
      </c>
      <c r="AG825">
        <v>0</v>
      </c>
      <c r="AH825">
        <v>1</v>
      </c>
      <c r="AI825">
        <v>0</v>
      </c>
      <c r="AO825">
        <f t="shared" si="259"/>
        <v>0</v>
      </c>
      <c r="AP825">
        <f t="shared" si="259"/>
        <v>0</v>
      </c>
      <c r="AQ825" t="str">
        <f t="shared" si="259"/>
        <v>Jackson</v>
      </c>
      <c r="AR825">
        <f t="shared" si="259"/>
        <v>0</v>
      </c>
      <c r="AS825">
        <f t="shared" si="259"/>
        <v>0</v>
      </c>
      <c r="AT825">
        <f t="shared" si="259"/>
        <v>0</v>
      </c>
      <c r="AU825">
        <f t="shared" si="259"/>
        <v>0</v>
      </c>
      <c r="AV825">
        <f t="shared" si="259"/>
        <v>0</v>
      </c>
      <c r="AW825">
        <f t="shared" si="259"/>
        <v>0</v>
      </c>
      <c r="AX825">
        <f t="shared" si="259"/>
        <v>0</v>
      </c>
      <c r="AY825">
        <f t="shared" si="260"/>
        <v>0</v>
      </c>
      <c r="AZ825">
        <f t="shared" si="260"/>
        <v>0</v>
      </c>
      <c r="BA825">
        <f t="shared" si="260"/>
        <v>0</v>
      </c>
      <c r="BB825">
        <f t="shared" si="260"/>
        <v>0</v>
      </c>
      <c r="BC825">
        <f t="shared" si="260"/>
        <v>0</v>
      </c>
      <c r="BD825">
        <f t="shared" si="260"/>
        <v>0</v>
      </c>
      <c r="BE825">
        <f t="shared" si="260"/>
        <v>0</v>
      </c>
      <c r="BF825">
        <f t="shared" si="260"/>
        <v>0</v>
      </c>
      <c r="BG825">
        <f t="shared" si="260"/>
        <v>0</v>
      </c>
      <c r="BH825">
        <f t="shared" si="260"/>
        <v>0</v>
      </c>
      <c r="BI825">
        <f t="shared" si="261"/>
        <v>0</v>
      </c>
      <c r="BJ825">
        <f t="shared" si="261"/>
        <v>0</v>
      </c>
      <c r="BK825">
        <f t="shared" si="261"/>
        <v>0</v>
      </c>
      <c r="BL825">
        <f t="shared" si="261"/>
        <v>0</v>
      </c>
      <c r="BM825">
        <f t="shared" si="261"/>
        <v>0</v>
      </c>
      <c r="BN825">
        <f t="shared" si="261"/>
        <v>0</v>
      </c>
      <c r="BO825">
        <f t="shared" si="261"/>
        <v>0</v>
      </c>
      <c r="BP825">
        <f t="shared" si="261"/>
        <v>0</v>
      </c>
      <c r="BQ825">
        <f t="shared" si="261"/>
        <v>0</v>
      </c>
      <c r="BR825">
        <f t="shared" si="261"/>
        <v>0</v>
      </c>
      <c r="BS825">
        <f t="shared" si="261"/>
        <v>0</v>
      </c>
    </row>
    <row r="826" spans="2:71" ht="15" customHeight="1" x14ac:dyDescent="0.2">
      <c r="B826">
        <v>36</v>
      </c>
      <c r="D826">
        <v>12</v>
      </c>
      <c r="E826" t="s">
        <v>610</v>
      </c>
      <c r="F826" t="s">
        <v>72</v>
      </c>
      <c r="G826" s="5">
        <v>45878</v>
      </c>
      <c r="H826" t="s">
        <v>97</v>
      </c>
      <c r="I826" t="s">
        <v>569</v>
      </c>
      <c r="J826" t="s">
        <v>478</v>
      </c>
      <c r="K826">
        <v>18</v>
      </c>
      <c r="L826" t="s">
        <v>107</v>
      </c>
      <c r="M826" t="s">
        <v>605</v>
      </c>
      <c r="N826" t="s">
        <v>78</v>
      </c>
      <c r="P826">
        <v>132</v>
      </c>
      <c r="Q826">
        <v>6272</v>
      </c>
      <c r="R826" t="s">
        <v>110</v>
      </c>
      <c r="S826" t="s">
        <v>111</v>
      </c>
      <c r="T826" t="s">
        <v>353</v>
      </c>
      <c r="U826" t="s">
        <v>45</v>
      </c>
      <c r="V826" t="s">
        <v>67</v>
      </c>
      <c r="AA826">
        <v>2</v>
      </c>
      <c r="AB826" t="s">
        <v>33</v>
      </c>
      <c r="AD826" t="s">
        <v>70</v>
      </c>
      <c r="AE826" t="str">
        <f t="shared" si="243"/>
        <v>Deoteris</v>
      </c>
      <c r="AF826">
        <v>0</v>
      </c>
      <c r="AG826">
        <v>0</v>
      </c>
      <c r="AH826">
        <v>1</v>
      </c>
      <c r="AI826">
        <v>0</v>
      </c>
      <c r="AO826">
        <f t="shared" si="259"/>
        <v>0</v>
      </c>
      <c r="AP826">
        <f t="shared" si="259"/>
        <v>0</v>
      </c>
      <c r="AQ826">
        <f t="shared" si="259"/>
        <v>0</v>
      </c>
      <c r="AR826">
        <f t="shared" si="259"/>
        <v>0</v>
      </c>
      <c r="AS826">
        <f t="shared" si="259"/>
        <v>0</v>
      </c>
      <c r="AT826">
        <f t="shared" si="259"/>
        <v>0</v>
      </c>
      <c r="AU826">
        <f t="shared" si="259"/>
        <v>0</v>
      </c>
      <c r="AV826">
        <f t="shared" si="259"/>
        <v>0</v>
      </c>
      <c r="AW826">
        <f t="shared" si="259"/>
        <v>0</v>
      </c>
      <c r="AX826">
        <f t="shared" si="259"/>
        <v>0</v>
      </c>
      <c r="AY826">
        <f t="shared" si="260"/>
        <v>0</v>
      </c>
      <c r="AZ826">
        <f t="shared" si="260"/>
        <v>0</v>
      </c>
      <c r="BA826">
        <f t="shared" si="260"/>
        <v>0</v>
      </c>
      <c r="BB826">
        <f t="shared" si="260"/>
        <v>0</v>
      </c>
      <c r="BC826">
        <f t="shared" si="260"/>
        <v>0</v>
      </c>
      <c r="BD826">
        <f t="shared" si="260"/>
        <v>0</v>
      </c>
      <c r="BE826">
        <f t="shared" si="260"/>
        <v>0</v>
      </c>
      <c r="BF826">
        <f t="shared" si="260"/>
        <v>0</v>
      </c>
      <c r="BG826">
        <f t="shared" si="260"/>
        <v>0</v>
      </c>
      <c r="BH826">
        <f t="shared" si="260"/>
        <v>0</v>
      </c>
      <c r="BI826">
        <f t="shared" si="261"/>
        <v>0</v>
      </c>
      <c r="BJ826">
        <f t="shared" si="261"/>
        <v>0</v>
      </c>
      <c r="BK826">
        <f t="shared" si="261"/>
        <v>0</v>
      </c>
      <c r="BL826">
        <f t="shared" si="261"/>
        <v>0</v>
      </c>
      <c r="BM826">
        <f t="shared" si="261"/>
        <v>0</v>
      </c>
      <c r="BN826">
        <f t="shared" si="261"/>
        <v>0</v>
      </c>
      <c r="BO826">
        <f t="shared" si="261"/>
        <v>0</v>
      </c>
      <c r="BP826" t="str">
        <f t="shared" si="261"/>
        <v>Deoteris</v>
      </c>
      <c r="BQ826">
        <f t="shared" si="261"/>
        <v>0</v>
      </c>
      <c r="BR826">
        <f t="shared" si="261"/>
        <v>0</v>
      </c>
      <c r="BS826">
        <f t="shared" si="261"/>
        <v>0</v>
      </c>
    </row>
    <row r="827" spans="2:71" ht="15" customHeight="1" x14ac:dyDescent="0.2">
      <c r="B827">
        <v>37</v>
      </c>
      <c r="D827">
        <v>12</v>
      </c>
      <c r="E827" t="s">
        <v>611</v>
      </c>
      <c r="F827" t="s">
        <v>72</v>
      </c>
      <c r="G827" s="5">
        <v>45878</v>
      </c>
      <c r="H827" t="s">
        <v>97</v>
      </c>
      <c r="I827" t="s">
        <v>569</v>
      </c>
      <c r="J827" t="s">
        <v>478</v>
      </c>
      <c r="K827">
        <v>18</v>
      </c>
      <c r="L827" t="s">
        <v>107</v>
      </c>
      <c r="M827" t="s">
        <v>605</v>
      </c>
      <c r="N827" t="s">
        <v>78</v>
      </c>
      <c r="P827">
        <v>132</v>
      </c>
      <c r="Q827">
        <v>6272</v>
      </c>
      <c r="R827" t="s">
        <v>110</v>
      </c>
      <c r="S827" t="s">
        <v>111</v>
      </c>
      <c r="T827" t="s">
        <v>353</v>
      </c>
      <c r="U827" t="s">
        <v>45</v>
      </c>
      <c r="V827" t="s">
        <v>54</v>
      </c>
      <c r="AA827">
        <v>2</v>
      </c>
      <c r="AB827" t="s">
        <v>33</v>
      </c>
      <c r="AD827" t="s">
        <v>53</v>
      </c>
      <c r="AE827" t="str">
        <f t="shared" si="243"/>
        <v>Fogan</v>
      </c>
      <c r="AF827">
        <v>0</v>
      </c>
      <c r="AG827">
        <v>0</v>
      </c>
      <c r="AH827">
        <v>1</v>
      </c>
      <c r="AI827">
        <v>0</v>
      </c>
      <c r="AO827">
        <f t="shared" si="259"/>
        <v>0</v>
      </c>
      <c r="AP827">
        <f t="shared" si="259"/>
        <v>0</v>
      </c>
      <c r="AQ827">
        <f t="shared" si="259"/>
        <v>0</v>
      </c>
      <c r="AR827">
        <f t="shared" si="259"/>
        <v>0</v>
      </c>
      <c r="AS827">
        <f t="shared" si="259"/>
        <v>0</v>
      </c>
      <c r="AT827">
        <f t="shared" si="259"/>
        <v>0</v>
      </c>
      <c r="AU827">
        <f t="shared" si="259"/>
        <v>0</v>
      </c>
      <c r="AV827">
        <f t="shared" si="259"/>
        <v>0</v>
      </c>
      <c r="AW827">
        <f t="shared" si="259"/>
        <v>0</v>
      </c>
      <c r="AX827">
        <f t="shared" si="259"/>
        <v>0</v>
      </c>
      <c r="AY827">
        <f t="shared" si="260"/>
        <v>0</v>
      </c>
      <c r="AZ827">
        <f t="shared" si="260"/>
        <v>0</v>
      </c>
      <c r="BA827">
        <f t="shared" si="260"/>
        <v>0</v>
      </c>
      <c r="BB827">
        <f t="shared" si="260"/>
        <v>0</v>
      </c>
      <c r="BC827" t="str">
        <f t="shared" si="260"/>
        <v>Fogan</v>
      </c>
      <c r="BD827">
        <f t="shared" si="260"/>
        <v>0</v>
      </c>
      <c r="BE827">
        <f t="shared" si="260"/>
        <v>0</v>
      </c>
      <c r="BF827">
        <f t="shared" si="260"/>
        <v>0</v>
      </c>
      <c r="BG827">
        <f t="shared" si="260"/>
        <v>0</v>
      </c>
      <c r="BH827">
        <f t="shared" si="260"/>
        <v>0</v>
      </c>
      <c r="BI827">
        <f t="shared" si="261"/>
        <v>0</v>
      </c>
      <c r="BJ827">
        <f t="shared" si="261"/>
        <v>0</v>
      </c>
      <c r="BK827">
        <f t="shared" si="261"/>
        <v>0</v>
      </c>
      <c r="BL827">
        <f t="shared" si="261"/>
        <v>0</v>
      </c>
      <c r="BM827">
        <f t="shared" si="261"/>
        <v>0</v>
      </c>
      <c r="BN827">
        <f t="shared" si="261"/>
        <v>0</v>
      </c>
      <c r="BO827">
        <f t="shared" si="261"/>
        <v>0</v>
      </c>
      <c r="BP827">
        <f t="shared" si="261"/>
        <v>0</v>
      </c>
      <c r="BQ827">
        <f t="shared" si="261"/>
        <v>0</v>
      </c>
      <c r="BR827">
        <f t="shared" si="261"/>
        <v>0</v>
      </c>
      <c r="BS827">
        <f t="shared" si="261"/>
        <v>0</v>
      </c>
    </row>
    <row r="828" spans="2:71" ht="15" customHeight="1" x14ac:dyDescent="0.2">
      <c r="B828">
        <v>38</v>
      </c>
      <c r="D828">
        <v>12</v>
      </c>
      <c r="E828" t="s">
        <v>612</v>
      </c>
      <c r="F828" t="s">
        <v>72</v>
      </c>
      <c r="G828" s="5">
        <v>45878</v>
      </c>
      <c r="H828" t="s">
        <v>97</v>
      </c>
      <c r="I828" t="s">
        <v>569</v>
      </c>
      <c r="J828" t="s">
        <v>478</v>
      </c>
      <c r="K828">
        <v>18</v>
      </c>
      <c r="L828" t="s">
        <v>107</v>
      </c>
      <c r="M828" t="s">
        <v>605</v>
      </c>
      <c r="N828" t="s">
        <v>78</v>
      </c>
      <c r="P828">
        <v>132</v>
      </c>
      <c r="Q828">
        <v>6272</v>
      </c>
      <c r="R828" t="s">
        <v>110</v>
      </c>
      <c r="S828" t="s">
        <v>111</v>
      </c>
      <c r="T828" t="s">
        <v>353</v>
      </c>
      <c r="U828" t="s">
        <v>45</v>
      </c>
      <c r="V828" t="s">
        <v>60</v>
      </c>
      <c r="AA828">
        <v>2</v>
      </c>
      <c r="AB828" t="s">
        <v>33</v>
      </c>
      <c r="AD828" t="s">
        <v>66</v>
      </c>
      <c r="AE828" t="str">
        <f t="shared" si="243"/>
        <v>Zimmer</v>
      </c>
      <c r="AF828">
        <v>0</v>
      </c>
      <c r="AG828">
        <v>0</v>
      </c>
      <c r="AH828">
        <v>1</v>
      </c>
      <c r="AI828">
        <v>0</v>
      </c>
      <c r="AO828">
        <f t="shared" si="259"/>
        <v>0</v>
      </c>
      <c r="AP828">
        <f t="shared" si="259"/>
        <v>0</v>
      </c>
      <c r="AQ828">
        <f t="shared" si="259"/>
        <v>0</v>
      </c>
      <c r="AR828">
        <f t="shared" si="259"/>
        <v>0</v>
      </c>
      <c r="AS828">
        <f t="shared" si="259"/>
        <v>0</v>
      </c>
      <c r="AT828">
        <f t="shared" si="259"/>
        <v>0</v>
      </c>
      <c r="AU828">
        <f t="shared" si="259"/>
        <v>0</v>
      </c>
      <c r="AV828">
        <f t="shared" si="259"/>
        <v>0</v>
      </c>
      <c r="AW828">
        <f t="shared" si="259"/>
        <v>0</v>
      </c>
      <c r="AX828">
        <f t="shared" si="259"/>
        <v>0</v>
      </c>
      <c r="AY828">
        <f t="shared" si="260"/>
        <v>0</v>
      </c>
      <c r="AZ828">
        <f t="shared" si="260"/>
        <v>0</v>
      </c>
      <c r="BA828">
        <f t="shared" si="260"/>
        <v>0</v>
      </c>
      <c r="BB828">
        <f t="shared" si="260"/>
        <v>0</v>
      </c>
      <c r="BC828">
        <f t="shared" si="260"/>
        <v>0</v>
      </c>
      <c r="BD828">
        <f t="shared" si="260"/>
        <v>0</v>
      </c>
      <c r="BE828">
        <f t="shared" si="260"/>
        <v>0</v>
      </c>
      <c r="BF828">
        <f t="shared" si="260"/>
        <v>0</v>
      </c>
      <c r="BG828">
        <f t="shared" si="260"/>
        <v>0</v>
      </c>
      <c r="BH828">
        <f t="shared" si="260"/>
        <v>0</v>
      </c>
      <c r="BI828" t="str">
        <f t="shared" si="261"/>
        <v>Zimmer</v>
      </c>
      <c r="BJ828">
        <f t="shared" si="261"/>
        <v>0</v>
      </c>
      <c r="BK828">
        <f t="shared" si="261"/>
        <v>0</v>
      </c>
      <c r="BL828">
        <f t="shared" si="261"/>
        <v>0</v>
      </c>
      <c r="BM828">
        <f t="shared" si="261"/>
        <v>0</v>
      </c>
      <c r="BN828">
        <f t="shared" si="261"/>
        <v>0</v>
      </c>
      <c r="BO828">
        <f t="shared" si="261"/>
        <v>0</v>
      </c>
      <c r="BP828">
        <f t="shared" si="261"/>
        <v>0</v>
      </c>
      <c r="BQ828">
        <f t="shared" si="261"/>
        <v>0</v>
      </c>
      <c r="BR828">
        <f t="shared" si="261"/>
        <v>0</v>
      </c>
      <c r="BS828">
        <f t="shared" si="261"/>
        <v>0</v>
      </c>
    </row>
    <row r="829" spans="2:71" ht="15" customHeight="1" x14ac:dyDescent="0.2">
      <c r="B829">
        <v>39</v>
      </c>
      <c r="D829">
        <v>12</v>
      </c>
      <c r="E829" t="s">
        <v>613</v>
      </c>
      <c r="F829" t="s">
        <v>72</v>
      </c>
      <c r="G829" s="5">
        <v>45878</v>
      </c>
      <c r="H829" t="s">
        <v>97</v>
      </c>
      <c r="I829" t="s">
        <v>569</v>
      </c>
      <c r="J829" t="s">
        <v>478</v>
      </c>
      <c r="K829">
        <v>18</v>
      </c>
      <c r="L829" t="s">
        <v>107</v>
      </c>
      <c r="M829" t="s">
        <v>605</v>
      </c>
      <c r="N829" t="s">
        <v>78</v>
      </c>
      <c r="P829">
        <v>132</v>
      </c>
      <c r="Q829">
        <v>6272</v>
      </c>
      <c r="R829" t="s">
        <v>110</v>
      </c>
      <c r="S829" t="s">
        <v>111</v>
      </c>
      <c r="T829" t="s">
        <v>353</v>
      </c>
      <c r="U829" t="s">
        <v>45</v>
      </c>
      <c r="V829" t="s">
        <v>50</v>
      </c>
      <c r="AA829">
        <v>2</v>
      </c>
      <c r="AB829" t="s">
        <v>33</v>
      </c>
      <c r="AD829" t="s">
        <v>41</v>
      </c>
      <c r="AE829" t="str">
        <f t="shared" si="243"/>
        <v>Ferrin</v>
      </c>
      <c r="AF829">
        <v>0</v>
      </c>
      <c r="AG829">
        <v>0</v>
      </c>
      <c r="AH829">
        <v>1</v>
      </c>
      <c r="AI829">
        <v>0</v>
      </c>
      <c r="AO829">
        <f t="shared" si="259"/>
        <v>0</v>
      </c>
      <c r="AP829">
        <f t="shared" si="259"/>
        <v>0</v>
      </c>
      <c r="AQ829">
        <f t="shared" si="259"/>
        <v>0</v>
      </c>
      <c r="AR829">
        <f t="shared" si="259"/>
        <v>0</v>
      </c>
      <c r="AS829">
        <f t="shared" si="259"/>
        <v>0</v>
      </c>
      <c r="AT829">
        <f t="shared" si="259"/>
        <v>0</v>
      </c>
      <c r="AU829">
        <f t="shared" si="259"/>
        <v>0</v>
      </c>
      <c r="AV829">
        <f t="shared" si="259"/>
        <v>0</v>
      </c>
      <c r="AW829">
        <f t="shared" si="259"/>
        <v>0</v>
      </c>
      <c r="AX829">
        <f t="shared" si="259"/>
        <v>0</v>
      </c>
      <c r="AY829" t="str">
        <f t="shared" si="260"/>
        <v>Ferrin</v>
      </c>
      <c r="AZ829">
        <f t="shared" si="260"/>
        <v>0</v>
      </c>
      <c r="BA829">
        <f t="shared" si="260"/>
        <v>0</v>
      </c>
      <c r="BB829">
        <f t="shared" si="260"/>
        <v>0</v>
      </c>
      <c r="BC829">
        <f t="shared" si="260"/>
        <v>0</v>
      </c>
      <c r="BD829">
        <f t="shared" si="260"/>
        <v>0</v>
      </c>
      <c r="BE829">
        <f t="shared" si="260"/>
        <v>0</v>
      </c>
      <c r="BF829">
        <f t="shared" si="260"/>
        <v>0</v>
      </c>
      <c r="BG829">
        <f t="shared" si="260"/>
        <v>0</v>
      </c>
      <c r="BH829">
        <f t="shared" si="260"/>
        <v>0</v>
      </c>
      <c r="BI829">
        <f t="shared" si="261"/>
        <v>0</v>
      </c>
      <c r="BJ829">
        <f t="shared" si="261"/>
        <v>0</v>
      </c>
      <c r="BK829">
        <f t="shared" si="261"/>
        <v>0</v>
      </c>
      <c r="BL829">
        <f t="shared" si="261"/>
        <v>0</v>
      </c>
      <c r="BM829">
        <f t="shared" si="261"/>
        <v>0</v>
      </c>
      <c r="BN829">
        <f t="shared" si="261"/>
        <v>0</v>
      </c>
      <c r="BO829">
        <f t="shared" si="261"/>
        <v>0</v>
      </c>
      <c r="BP829">
        <f t="shared" si="261"/>
        <v>0</v>
      </c>
      <c r="BQ829">
        <f t="shared" si="261"/>
        <v>0</v>
      </c>
      <c r="BR829">
        <f t="shared" si="261"/>
        <v>0</v>
      </c>
      <c r="BS829">
        <f t="shared" si="261"/>
        <v>0</v>
      </c>
    </row>
    <row r="830" spans="2:71" ht="15" customHeight="1" x14ac:dyDescent="0.2">
      <c r="B830">
        <v>40</v>
      </c>
      <c r="D830">
        <v>12</v>
      </c>
      <c r="E830" t="s">
        <v>614</v>
      </c>
      <c r="F830" t="s">
        <v>72</v>
      </c>
      <c r="G830" s="5">
        <v>45878</v>
      </c>
      <c r="H830" t="s">
        <v>97</v>
      </c>
      <c r="I830" t="s">
        <v>569</v>
      </c>
      <c r="J830" t="s">
        <v>478</v>
      </c>
      <c r="K830">
        <v>18</v>
      </c>
      <c r="L830" t="s">
        <v>107</v>
      </c>
      <c r="M830" t="s">
        <v>605</v>
      </c>
      <c r="N830" t="s">
        <v>78</v>
      </c>
      <c r="P830">
        <v>132</v>
      </c>
      <c r="Q830">
        <v>6272</v>
      </c>
      <c r="R830" t="s">
        <v>110</v>
      </c>
      <c r="S830" t="s">
        <v>111</v>
      </c>
      <c r="T830" t="s">
        <v>353</v>
      </c>
      <c r="U830" t="s">
        <v>45</v>
      </c>
      <c r="V830" t="s">
        <v>63</v>
      </c>
      <c r="AA830">
        <v>2</v>
      </c>
      <c r="AB830" t="s">
        <v>32</v>
      </c>
      <c r="AD830" t="s">
        <v>46</v>
      </c>
      <c r="AE830" t="str">
        <f t="shared" si="243"/>
        <v>Delaney</v>
      </c>
      <c r="AF830">
        <v>2</v>
      </c>
      <c r="AG830">
        <v>1</v>
      </c>
      <c r="AH830">
        <v>0</v>
      </c>
      <c r="AI830">
        <v>0</v>
      </c>
      <c r="AO830">
        <f t="shared" si="259"/>
        <v>0</v>
      </c>
      <c r="AP830">
        <f t="shared" si="259"/>
        <v>0</v>
      </c>
      <c r="AQ830">
        <f t="shared" si="259"/>
        <v>0</v>
      </c>
      <c r="AR830">
        <f t="shared" si="259"/>
        <v>0</v>
      </c>
      <c r="AS830">
        <f t="shared" si="259"/>
        <v>0</v>
      </c>
      <c r="AT830">
        <f t="shared" si="259"/>
        <v>0</v>
      </c>
      <c r="AU830">
        <f t="shared" si="259"/>
        <v>0</v>
      </c>
      <c r="AV830">
        <f t="shared" si="259"/>
        <v>0</v>
      </c>
      <c r="AW830">
        <f t="shared" si="259"/>
        <v>0</v>
      </c>
      <c r="AX830">
        <f t="shared" si="259"/>
        <v>0</v>
      </c>
      <c r="AY830">
        <f t="shared" si="260"/>
        <v>0</v>
      </c>
      <c r="AZ830">
        <f t="shared" si="260"/>
        <v>0</v>
      </c>
      <c r="BA830">
        <f t="shared" si="260"/>
        <v>0</v>
      </c>
      <c r="BB830">
        <f t="shared" si="260"/>
        <v>0</v>
      </c>
      <c r="BC830">
        <f t="shared" si="260"/>
        <v>0</v>
      </c>
      <c r="BD830">
        <f t="shared" si="260"/>
        <v>0</v>
      </c>
      <c r="BE830">
        <f t="shared" si="260"/>
        <v>0</v>
      </c>
      <c r="BF830">
        <f t="shared" si="260"/>
        <v>0</v>
      </c>
      <c r="BG830">
        <f t="shared" si="260"/>
        <v>0</v>
      </c>
      <c r="BH830">
        <f t="shared" si="260"/>
        <v>0</v>
      </c>
      <c r="BI830">
        <f t="shared" si="261"/>
        <v>0</v>
      </c>
      <c r="BJ830">
        <f t="shared" si="261"/>
        <v>0</v>
      </c>
      <c r="BK830">
        <f t="shared" si="261"/>
        <v>0</v>
      </c>
      <c r="BL830" t="str">
        <f t="shared" si="261"/>
        <v>Delaney</v>
      </c>
      <c r="BM830">
        <f t="shared" si="261"/>
        <v>0</v>
      </c>
      <c r="BN830">
        <f t="shared" si="261"/>
        <v>0</v>
      </c>
      <c r="BO830">
        <f t="shared" si="261"/>
        <v>0</v>
      </c>
      <c r="BP830">
        <f t="shared" si="261"/>
        <v>0</v>
      </c>
      <c r="BQ830">
        <f t="shared" si="261"/>
        <v>0</v>
      </c>
      <c r="BR830">
        <f t="shared" si="261"/>
        <v>0</v>
      </c>
      <c r="BS830">
        <f t="shared" si="261"/>
        <v>0</v>
      </c>
    </row>
    <row r="831" spans="2:71" ht="15" customHeight="1" x14ac:dyDescent="0.2">
      <c r="B831">
        <v>1</v>
      </c>
      <c r="D831">
        <v>12</v>
      </c>
      <c r="E831" t="s">
        <v>568</v>
      </c>
      <c r="F831" t="s">
        <v>346</v>
      </c>
      <c r="G831" s="5">
        <v>45876</v>
      </c>
      <c r="H831" t="s">
        <v>97</v>
      </c>
      <c r="I831" t="s">
        <v>569</v>
      </c>
      <c r="J831" t="s">
        <v>478</v>
      </c>
      <c r="K831">
        <v>9</v>
      </c>
      <c r="L831" t="s">
        <v>76</v>
      </c>
      <c r="M831" t="s">
        <v>570</v>
      </c>
      <c r="N831" t="s">
        <v>78</v>
      </c>
      <c r="P831">
        <v>128</v>
      </c>
      <c r="Q831">
        <v>6678</v>
      </c>
      <c r="R831" t="s">
        <v>79</v>
      </c>
      <c r="S831" t="s">
        <v>80</v>
      </c>
      <c r="T831" t="s">
        <v>353</v>
      </c>
      <c r="U831" t="s">
        <v>40</v>
      </c>
      <c r="V831" t="s">
        <v>43</v>
      </c>
      <c r="Y831" t="s">
        <v>40</v>
      </c>
      <c r="AA831">
        <v>1</v>
      </c>
      <c r="AB831" t="s">
        <v>32</v>
      </c>
      <c r="AC831" t="s">
        <v>571</v>
      </c>
      <c r="AE831" t="str">
        <f t="shared" si="243"/>
        <v>PoirierGrise</v>
      </c>
      <c r="AF831">
        <v>1</v>
      </c>
      <c r="AG831">
        <v>1</v>
      </c>
      <c r="AH831">
        <v>0</v>
      </c>
      <c r="AI831">
        <v>0</v>
      </c>
      <c r="AK831" t="s">
        <v>60</v>
      </c>
      <c r="AM831" t="s">
        <v>67</v>
      </c>
      <c r="AO831" t="str">
        <f t="shared" si="259"/>
        <v>Grise</v>
      </c>
      <c r="AP831">
        <f t="shared" si="259"/>
        <v>0</v>
      </c>
      <c r="AQ831">
        <f t="shared" si="259"/>
        <v>0</v>
      </c>
      <c r="AR831" t="str">
        <f t="shared" si="259"/>
        <v>Poirier</v>
      </c>
      <c r="AS831">
        <f t="shared" si="259"/>
        <v>0</v>
      </c>
      <c r="AT831">
        <f t="shared" si="259"/>
        <v>0</v>
      </c>
      <c r="AU831">
        <f t="shared" si="259"/>
        <v>0</v>
      </c>
      <c r="AV831">
        <f t="shared" si="259"/>
        <v>0</v>
      </c>
      <c r="AW831">
        <f t="shared" si="259"/>
        <v>0</v>
      </c>
      <c r="AX831">
        <f t="shared" si="259"/>
        <v>0</v>
      </c>
      <c r="AY831">
        <f t="shared" si="260"/>
        <v>0</v>
      </c>
      <c r="AZ831">
        <f t="shared" si="260"/>
        <v>0</v>
      </c>
      <c r="BA831">
        <f t="shared" si="260"/>
        <v>0</v>
      </c>
      <c r="BB831">
        <f t="shared" si="260"/>
        <v>0</v>
      </c>
      <c r="BC831">
        <f t="shared" si="260"/>
        <v>0</v>
      </c>
      <c r="BD831">
        <f t="shared" si="260"/>
        <v>0</v>
      </c>
      <c r="BE831">
        <f t="shared" si="260"/>
        <v>0</v>
      </c>
      <c r="BF831">
        <f t="shared" si="260"/>
        <v>0</v>
      </c>
      <c r="BG831">
        <f t="shared" si="260"/>
        <v>0</v>
      </c>
      <c r="BH831">
        <f t="shared" si="260"/>
        <v>0</v>
      </c>
      <c r="BI831">
        <f t="shared" si="261"/>
        <v>0</v>
      </c>
      <c r="BJ831">
        <f t="shared" si="261"/>
        <v>0</v>
      </c>
      <c r="BK831">
        <f t="shared" si="261"/>
        <v>0</v>
      </c>
      <c r="BL831">
        <f t="shared" si="261"/>
        <v>0</v>
      </c>
      <c r="BM831">
        <f t="shared" si="261"/>
        <v>0</v>
      </c>
      <c r="BN831">
        <f t="shared" si="261"/>
        <v>0</v>
      </c>
      <c r="BO831">
        <f t="shared" si="261"/>
        <v>0</v>
      </c>
      <c r="BP831">
        <f t="shared" si="261"/>
        <v>0</v>
      </c>
      <c r="BQ831">
        <f t="shared" si="261"/>
        <v>0</v>
      </c>
      <c r="BR831">
        <f t="shared" si="261"/>
        <v>0</v>
      </c>
      <c r="BS831">
        <f t="shared" si="261"/>
        <v>0</v>
      </c>
    </row>
    <row r="832" spans="2:71" ht="15" customHeight="1" x14ac:dyDescent="0.2">
      <c r="B832">
        <v>2</v>
      </c>
      <c r="D832">
        <v>12</v>
      </c>
      <c r="E832" t="s">
        <v>572</v>
      </c>
      <c r="F832" t="s">
        <v>346</v>
      </c>
      <c r="G832" s="5">
        <v>45876</v>
      </c>
      <c r="H832" t="s">
        <v>97</v>
      </c>
      <c r="I832" t="s">
        <v>569</v>
      </c>
      <c r="J832" t="s">
        <v>478</v>
      </c>
      <c r="K832">
        <v>9</v>
      </c>
      <c r="L832" t="s">
        <v>76</v>
      </c>
      <c r="M832" t="s">
        <v>570</v>
      </c>
      <c r="N832" t="s">
        <v>78</v>
      </c>
      <c r="P832">
        <v>128</v>
      </c>
      <c r="Q832">
        <v>6678</v>
      </c>
      <c r="R832" t="s">
        <v>79</v>
      </c>
      <c r="S832" t="s">
        <v>80</v>
      </c>
      <c r="T832" t="s">
        <v>353</v>
      </c>
      <c r="U832" t="s">
        <v>40</v>
      </c>
      <c r="V832" t="s">
        <v>46</v>
      </c>
      <c r="Y832" t="s">
        <v>48</v>
      </c>
      <c r="AA832">
        <v>1</v>
      </c>
      <c r="AB832" t="s">
        <v>32</v>
      </c>
      <c r="AE832" t="str">
        <f t="shared" si="243"/>
        <v>MangoldLynch</v>
      </c>
      <c r="AF832">
        <v>1</v>
      </c>
      <c r="AG832">
        <v>1</v>
      </c>
      <c r="AH832">
        <v>0</v>
      </c>
      <c r="AI832">
        <v>0</v>
      </c>
      <c r="AK832" t="s">
        <v>63</v>
      </c>
      <c r="AM832" t="s">
        <v>65</v>
      </c>
      <c r="AO832">
        <f t="shared" ref="AO832:AX841" si="262">IF(OR($V832=AO$1,$Y832=AO$1),AO$1,0)</f>
        <v>0</v>
      </c>
      <c r="AP832">
        <f t="shared" si="262"/>
        <v>0</v>
      </c>
      <c r="AQ832">
        <f t="shared" si="262"/>
        <v>0</v>
      </c>
      <c r="AR832">
        <f t="shared" si="262"/>
        <v>0</v>
      </c>
      <c r="AS832">
        <f t="shared" si="262"/>
        <v>0</v>
      </c>
      <c r="AT832">
        <f t="shared" si="262"/>
        <v>0</v>
      </c>
      <c r="AU832" t="str">
        <f t="shared" si="262"/>
        <v>Mangold</v>
      </c>
      <c r="AV832">
        <f t="shared" si="262"/>
        <v>0</v>
      </c>
      <c r="AW832" t="str">
        <f t="shared" si="262"/>
        <v>Lynch</v>
      </c>
      <c r="AX832">
        <f t="shared" si="262"/>
        <v>0</v>
      </c>
      <c r="AY832">
        <f t="shared" ref="AY832:BH841" si="263">IF(OR($V832=AY$1,$Y832=AY$1),AY$1,0)</f>
        <v>0</v>
      </c>
      <c r="AZ832">
        <f t="shared" si="263"/>
        <v>0</v>
      </c>
      <c r="BA832">
        <f t="shared" si="263"/>
        <v>0</v>
      </c>
      <c r="BB832">
        <f t="shared" si="263"/>
        <v>0</v>
      </c>
      <c r="BC832">
        <f t="shared" si="263"/>
        <v>0</v>
      </c>
      <c r="BD832">
        <f t="shared" si="263"/>
        <v>0</v>
      </c>
      <c r="BE832">
        <f t="shared" si="263"/>
        <v>0</v>
      </c>
      <c r="BF832">
        <f t="shared" si="263"/>
        <v>0</v>
      </c>
      <c r="BG832">
        <f t="shared" si="263"/>
        <v>0</v>
      </c>
      <c r="BH832">
        <f t="shared" si="263"/>
        <v>0</v>
      </c>
      <c r="BI832">
        <f t="shared" ref="BI832:BS841" si="264">IF(OR($V832=BI$1,$Y832=BI$1),BI$1,0)</f>
        <v>0</v>
      </c>
      <c r="BJ832">
        <f t="shared" si="264"/>
        <v>0</v>
      </c>
      <c r="BK832">
        <f t="shared" si="264"/>
        <v>0</v>
      </c>
      <c r="BL832">
        <f t="shared" si="264"/>
        <v>0</v>
      </c>
      <c r="BM832">
        <f t="shared" si="264"/>
        <v>0</v>
      </c>
      <c r="BN832">
        <f t="shared" si="264"/>
        <v>0</v>
      </c>
      <c r="BO832">
        <f t="shared" si="264"/>
        <v>0</v>
      </c>
      <c r="BP832">
        <f t="shared" si="264"/>
        <v>0</v>
      </c>
      <c r="BQ832">
        <f t="shared" si="264"/>
        <v>0</v>
      </c>
      <c r="BR832">
        <f t="shared" si="264"/>
        <v>0</v>
      </c>
      <c r="BS832">
        <f t="shared" si="264"/>
        <v>0</v>
      </c>
    </row>
    <row r="833" spans="2:71" ht="15" customHeight="1" x14ac:dyDescent="0.2">
      <c r="B833">
        <v>3</v>
      </c>
      <c r="D833">
        <v>12</v>
      </c>
      <c r="E833" t="s">
        <v>573</v>
      </c>
      <c r="F833" t="s">
        <v>346</v>
      </c>
      <c r="G833" s="5">
        <v>45876</v>
      </c>
      <c r="H833" t="s">
        <v>97</v>
      </c>
      <c r="I833" t="s">
        <v>569</v>
      </c>
      <c r="J833" t="s">
        <v>478</v>
      </c>
      <c r="K833">
        <v>9</v>
      </c>
      <c r="L833" t="s">
        <v>76</v>
      </c>
      <c r="M833" t="s">
        <v>570</v>
      </c>
      <c r="N833" t="s">
        <v>78</v>
      </c>
      <c r="P833">
        <v>128</v>
      </c>
      <c r="Q833">
        <v>6678</v>
      </c>
      <c r="R833" t="s">
        <v>79</v>
      </c>
      <c r="S833" t="s">
        <v>80</v>
      </c>
      <c r="T833" t="s">
        <v>353</v>
      </c>
      <c r="U833" t="s">
        <v>40</v>
      </c>
      <c r="V833" t="s">
        <v>66</v>
      </c>
      <c r="Y833" t="s">
        <v>49</v>
      </c>
      <c r="AA833">
        <v>1</v>
      </c>
      <c r="AB833" t="s">
        <v>33</v>
      </c>
      <c r="AC833" t="s">
        <v>171</v>
      </c>
      <c r="AE833" t="str">
        <f t="shared" si="243"/>
        <v>PerkinsShively</v>
      </c>
      <c r="AF833">
        <v>0</v>
      </c>
      <c r="AG833">
        <v>0</v>
      </c>
      <c r="AH833">
        <v>1</v>
      </c>
      <c r="AI833">
        <v>0</v>
      </c>
      <c r="AK833" t="s">
        <v>45</v>
      </c>
      <c r="AM833" t="s">
        <v>69</v>
      </c>
      <c r="AO833">
        <f t="shared" si="262"/>
        <v>0</v>
      </c>
      <c r="AP833">
        <f t="shared" si="262"/>
        <v>0</v>
      </c>
      <c r="AQ833">
        <f t="shared" si="262"/>
        <v>0</v>
      </c>
      <c r="AR833">
        <f t="shared" si="262"/>
        <v>0</v>
      </c>
      <c r="AS833">
        <f t="shared" si="262"/>
        <v>0</v>
      </c>
      <c r="AT833">
        <f t="shared" si="262"/>
        <v>0</v>
      </c>
      <c r="AU833">
        <f t="shared" si="262"/>
        <v>0</v>
      </c>
      <c r="AV833">
        <f t="shared" si="262"/>
        <v>0</v>
      </c>
      <c r="AW833">
        <f t="shared" si="262"/>
        <v>0</v>
      </c>
      <c r="AX833" t="str">
        <f t="shared" si="262"/>
        <v>Shively</v>
      </c>
      <c r="AY833">
        <f t="shared" si="263"/>
        <v>0</v>
      </c>
      <c r="AZ833">
        <f t="shared" si="263"/>
        <v>0</v>
      </c>
      <c r="BA833">
        <f t="shared" si="263"/>
        <v>0</v>
      </c>
      <c r="BB833">
        <f t="shared" si="263"/>
        <v>0</v>
      </c>
      <c r="BC833">
        <f t="shared" si="263"/>
        <v>0</v>
      </c>
      <c r="BD833">
        <f t="shared" si="263"/>
        <v>0</v>
      </c>
      <c r="BE833">
        <f t="shared" si="263"/>
        <v>0</v>
      </c>
      <c r="BF833">
        <f t="shared" si="263"/>
        <v>0</v>
      </c>
      <c r="BG833">
        <f t="shared" si="263"/>
        <v>0</v>
      </c>
      <c r="BH833">
        <f t="shared" si="263"/>
        <v>0</v>
      </c>
      <c r="BI833">
        <f t="shared" si="264"/>
        <v>0</v>
      </c>
      <c r="BJ833">
        <f t="shared" si="264"/>
        <v>0</v>
      </c>
      <c r="BK833">
        <f t="shared" si="264"/>
        <v>0</v>
      </c>
      <c r="BL833">
        <f t="shared" si="264"/>
        <v>0</v>
      </c>
      <c r="BM833">
        <f t="shared" si="264"/>
        <v>0</v>
      </c>
      <c r="BN833">
        <f t="shared" si="264"/>
        <v>0</v>
      </c>
      <c r="BO833" t="str">
        <f t="shared" si="264"/>
        <v>Perkins</v>
      </c>
      <c r="BP833">
        <f t="shared" si="264"/>
        <v>0</v>
      </c>
      <c r="BQ833">
        <f t="shared" si="264"/>
        <v>0</v>
      </c>
      <c r="BR833">
        <f t="shared" si="264"/>
        <v>0</v>
      </c>
      <c r="BS833">
        <f t="shared" si="264"/>
        <v>0</v>
      </c>
    </row>
    <row r="834" spans="2:71" ht="15" customHeight="1" x14ac:dyDescent="0.2">
      <c r="B834">
        <v>4</v>
      </c>
      <c r="D834">
        <v>12</v>
      </c>
      <c r="E834" t="s">
        <v>574</v>
      </c>
      <c r="F834" t="s">
        <v>346</v>
      </c>
      <c r="G834" s="5">
        <v>45876</v>
      </c>
      <c r="H834" t="s">
        <v>97</v>
      </c>
      <c r="I834" t="s">
        <v>569</v>
      </c>
      <c r="J834" t="s">
        <v>478</v>
      </c>
      <c r="K834">
        <v>9</v>
      </c>
      <c r="L834" t="s">
        <v>76</v>
      </c>
      <c r="M834" t="s">
        <v>570</v>
      </c>
      <c r="N834" t="s">
        <v>78</v>
      </c>
      <c r="P834">
        <v>128</v>
      </c>
      <c r="Q834">
        <v>6678</v>
      </c>
      <c r="R834" t="s">
        <v>79</v>
      </c>
      <c r="S834" t="s">
        <v>80</v>
      </c>
      <c r="T834" t="s">
        <v>353</v>
      </c>
      <c r="U834" t="s">
        <v>40</v>
      </c>
      <c r="V834" t="s">
        <v>53</v>
      </c>
      <c r="Y834" t="s">
        <v>70</v>
      </c>
      <c r="AA834">
        <v>1</v>
      </c>
      <c r="AB834" t="s">
        <v>33</v>
      </c>
      <c r="AC834" t="s">
        <v>575</v>
      </c>
      <c r="AE834" t="str">
        <f t="shared" ref="AE834:AE871" si="265">$V834&amp;$Y834</f>
        <v>ForsterSnyder</v>
      </c>
      <c r="AF834">
        <v>0</v>
      </c>
      <c r="AG834">
        <v>0</v>
      </c>
      <c r="AH834">
        <v>1</v>
      </c>
      <c r="AI834">
        <v>0</v>
      </c>
      <c r="AK834" t="s">
        <v>50</v>
      </c>
      <c r="AM834" t="s">
        <v>54</v>
      </c>
      <c r="AO834">
        <f t="shared" si="262"/>
        <v>0</v>
      </c>
      <c r="AP834">
        <f t="shared" si="262"/>
        <v>0</v>
      </c>
      <c r="AQ834">
        <f t="shared" si="262"/>
        <v>0</v>
      </c>
      <c r="AR834">
        <f t="shared" si="262"/>
        <v>0</v>
      </c>
      <c r="AS834">
        <f t="shared" si="262"/>
        <v>0</v>
      </c>
      <c r="AT834">
        <f t="shared" si="262"/>
        <v>0</v>
      </c>
      <c r="AU834">
        <f t="shared" si="262"/>
        <v>0</v>
      </c>
      <c r="AV834">
        <f t="shared" si="262"/>
        <v>0</v>
      </c>
      <c r="AW834">
        <f t="shared" si="262"/>
        <v>0</v>
      </c>
      <c r="AX834">
        <f t="shared" si="262"/>
        <v>0</v>
      </c>
      <c r="AY834">
        <f t="shared" si="263"/>
        <v>0</v>
      </c>
      <c r="AZ834">
        <f t="shared" si="263"/>
        <v>0</v>
      </c>
      <c r="BA834">
        <f t="shared" si="263"/>
        <v>0</v>
      </c>
      <c r="BB834" t="str">
        <f t="shared" si="263"/>
        <v>Forster</v>
      </c>
      <c r="BC834">
        <f t="shared" si="263"/>
        <v>0</v>
      </c>
      <c r="BD834">
        <f t="shared" si="263"/>
        <v>0</v>
      </c>
      <c r="BE834">
        <f t="shared" si="263"/>
        <v>0</v>
      </c>
      <c r="BF834">
        <f t="shared" si="263"/>
        <v>0</v>
      </c>
      <c r="BG834">
        <f t="shared" si="263"/>
        <v>0</v>
      </c>
      <c r="BH834">
        <f t="shared" si="263"/>
        <v>0</v>
      </c>
      <c r="BI834">
        <f t="shared" si="264"/>
        <v>0</v>
      </c>
      <c r="BJ834">
        <f t="shared" si="264"/>
        <v>0</v>
      </c>
      <c r="BK834">
        <f t="shared" si="264"/>
        <v>0</v>
      </c>
      <c r="BL834">
        <f t="shared" si="264"/>
        <v>0</v>
      </c>
      <c r="BM834">
        <f t="shared" si="264"/>
        <v>0</v>
      </c>
      <c r="BN834">
        <f t="shared" si="264"/>
        <v>0</v>
      </c>
      <c r="BO834">
        <f t="shared" si="264"/>
        <v>0</v>
      </c>
      <c r="BP834">
        <f t="shared" si="264"/>
        <v>0</v>
      </c>
      <c r="BQ834">
        <f t="shared" si="264"/>
        <v>0</v>
      </c>
      <c r="BR834">
        <f t="shared" si="264"/>
        <v>0</v>
      </c>
      <c r="BS834" t="str">
        <f t="shared" si="264"/>
        <v>Snyder</v>
      </c>
    </row>
    <row r="835" spans="2:71" ht="15" customHeight="1" x14ac:dyDescent="0.2">
      <c r="B835">
        <v>5</v>
      </c>
      <c r="D835">
        <v>12</v>
      </c>
      <c r="E835" t="s">
        <v>576</v>
      </c>
      <c r="F835" t="s">
        <v>346</v>
      </c>
      <c r="G835" s="5">
        <v>45876</v>
      </c>
      <c r="H835" t="s">
        <v>97</v>
      </c>
      <c r="I835" t="s">
        <v>569</v>
      </c>
      <c r="J835" t="s">
        <v>478</v>
      </c>
      <c r="K835">
        <v>9</v>
      </c>
      <c r="L835" t="s">
        <v>76</v>
      </c>
      <c r="M835" t="s">
        <v>570</v>
      </c>
      <c r="N835" t="s">
        <v>78</v>
      </c>
      <c r="P835">
        <v>128</v>
      </c>
      <c r="Q835">
        <v>6678</v>
      </c>
      <c r="R835" t="s">
        <v>79</v>
      </c>
      <c r="S835" t="s">
        <v>80</v>
      </c>
      <c r="T835" t="s">
        <v>353</v>
      </c>
      <c r="U835" t="s">
        <v>40</v>
      </c>
      <c r="V835" t="s">
        <v>41</v>
      </c>
      <c r="Y835" t="s">
        <v>44</v>
      </c>
      <c r="AA835">
        <v>1</v>
      </c>
      <c r="AB835" t="s">
        <v>32</v>
      </c>
      <c r="AC835" t="s">
        <v>174</v>
      </c>
      <c r="AE835" t="str">
        <f t="shared" si="265"/>
        <v>HiltsFlanders</v>
      </c>
      <c r="AF835">
        <v>1</v>
      </c>
      <c r="AG835">
        <v>1</v>
      </c>
      <c r="AH835">
        <v>0</v>
      </c>
      <c r="AI835">
        <v>0</v>
      </c>
      <c r="AK835" t="s">
        <v>42</v>
      </c>
      <c r="AM835" t="s">
        <v>64</v>
      </c>
      <c r="AO835">
        <f t="shared" si="262"/>
        <v>0</v>
      </c>
      <c r="AP835" t="str">
        <f t="shared" si="262"/>
        <v>Hilts</v>
      </c>
      <c r="AQ835">
        <f t="shared" si="262"/>
        <v>0</v>
      </c>
      <c r="AR835">
        <f t="shared" si="262"/>
        <v>0</v>
      </c>
      <c r="AS835" t="str">
        <f t="shared" si="262"/>
        <v>Flanders</v>
      </c>
      <c r="AT835">
        <f t="shared" si="262"/>
        <v>0</v>
      </c>
      <c r="AU835">
        <f t="shared" si="262"/>
        <v>0</v>
      </c>
      <c r="AV835">
        <f t="shared" si="262"/>
        <v>0</v>
      </c>
      <c r="AW835">
        <f t="shared" si="262"/>
        <v>0</v>
      </c>
      <c r="AX835">
        <f t="shared" si="262"/>
        <v>0</v>
      </c>
      <c r="AY835">
        <f t="shared" si="263"/>
        <v>0</v>
      </c>
      <c r="AZ835">
        <f t="shared" si="263"/>
        <v>0</v>
      </c>
      <c r="BA835">
        <f t="shared" si="263"/>
        <v>0</v>
      </c>
      <c r="BB835">
        <f t="shared" si="263"/>
        <v>0</v>
      </c>
      <c r="BC835">
        <f t="shared" si="263"/>
        <v>0</v>
      </c>
      <c r="BD835">
        <f t="shared" si="263"/>
        <v>0</v>
      </c>
      <c r="BE835">
        <f t="shared" si="263"/>
        <v>0</v>
      </c>
      <c r="BF835">
        <f t="shared" si="263"/>
        <v>0</v>
      </c>
      <c r="BG835">
        <f t="shared" si="263"/>
        <v>0</v>
      </c>
      <c r="BH835">
        <f t="shared" si="263"/>
        <v>0</v>
      </c>
      <c r="BI835">
        <f t="shared" si="264"/>
        <v>0</v>
      </c>
      <c r="BJ835">
        <f t="shared" si="264"/>
        <v>0</v>
      </c>
      <c r="BK835">
        <f t="shared" si="264"/>
        <v>0</v>
      </c>
      <c r="BL835">
        <f t="shared" si="264"/>
        <v>0</v>
      </c>
      <c r="BM835">
        <f t="shared" si="264"/>
        <v>0</v>
      </c>
      <c r="BN835">
        <f t="shared" si="264"/>
        <v>0</v>
      </c>
      <c r="BO835">
        <f t="shared" si="264"/>
        <v>0</v>
      </c>
      <c r="BP835">
        <f t="shared" si="264"/>
        <v>0</v>
      </c>
      <c r="BQ835">
        <f t="shared" si="264"/>
        <v>0</v>
      </c>
      <c r="BR835">
        <f t="shared" si="264"/>
        <v>0</v>
      </c>
      <c r="BS835">
        <f t="shared" si="264"/>
        <v>0</v>
      </c>
    </row>
    <row r="836" spans="2:71" ht="15" customHeight="1" x14ac:dyDescent="0.2">
      <c r="B836">
        <v>6</v>
      </c>
      <c r="D836">
        <v>12</v>
      </c>
      <c r="E836" t="s">
        <v>577</v>
      </c>
      <c r="F836" t="s">
        <v>346</v>
      </c>
      <c r="G836" s="5">
        <v>45876</v>
      </c>
      <c r="H836" t="s">
        <v>97</v>
      </c>
      <c r="I836" t="s">
        <v>569</v>
      </c>
      <c r="J836" t="s">
        <v>478</v>
      </c>
      <c r="K836">
        <v>9</v>
      </c>
      <c r="L836" t="s">
        <v>90</v>
      </c>
      <c r="M836" t="s">
        <v>570</v>
      </c>
      <c r="N836" t="s">
        <v>78</v>
      </c>
      <c r="P836">
        <v>128</v>
      </c>
      <c r="Q836">
        <v>6678</v>
      </c>
      <c r="R836" t="s">
        <v>313</v>
      </c>
      <c r="S836" t="s">
        <v>80</v>
      </c>
      <c r="T836" t="s">
        <v>353</v>
      </c>
      <c r="U836" t="s">
        <v>40</v>
      </c>
      <c r="V836" t="s">
        <v>43</v>
      </c>
      <c r="Y836" t="s">
        <v>40</v>
      </c>
      <c r="AA836">
        <v>1</v>
      </c>
      <c r="AB836" t="s">
        <v>34</v>
      </c>
      <c r="AC836" t="s">
        <v>92</v>
      </c>
      <c r="AE836" t="str">
        <f t="shared" si="265"/>
        <v>PoirierGrise</v>
      </c>
      <c r="AF836">
        <v>0.5</v>
      </c>
      <c r="AG836">
        <v>0</v>
      </c>
      <c r="AH836">
        <v>0</v>
      </c>
      <c r="AI836">
        <v>1</v>
      </c>
      <c r="AK836" t="s">
        <v>60</v>
      </c>
      <c r="AM836" t="s">
        <v>67</v>
      </c>
      <c r="AO836" t="str">
        <f t="shared" si="262"/>
        <v>Grise</v>
      </c>
      <c r="AP836">
        <f t="shared" si="262"/>
        <v>0</v>
      </c>
      <c r="AQ836">
        <f t="shared" si="262"/>
        <v>0</v>
      </c>
      <c r="AR836" t="str">
        <f t="shared" si="262"/>
        <v>Poirier</v>
      </c>
      <c r="AS836">
        <f t="shared" si="262"/>
        <v>0</v>
      </c>
      <c r="AT836">
        <f t="shared" si="262"/>
        <v>0</v>
      </c>
      <c r="AU836">
        <f t="shared" si="262"/>
        <v>0</v>
      </c>
      <c r="AV836">
        <f t="shared" si="262"/>
        <v>0</v>
      </c>
      <c r="AW836">
        <f t="shared" si="262"/>
        <v>0</v>
      </c>
      <c r="AX836">
        <f t="shared" si="262"/>
        <v>0</v>
      </c>
      <c r="AY836">
        <f t="shared" si="263"/>
        <v>0</v>
      </c>
      <c r="AZ836">
        <f t="shared" si="263"/>
        <v>0</v>
      </c>
      <c r="BA836">
        <f t="shared" si="263"/>
        <v>0</v>
      </c>
      <c r="BB836">
        <f t="shared" si="263"/>
        <v>0</v>
      </c>
      <c r="BC836">
        <f t="shared" si="263"/>
        <v>0</v>
      </c>
      <c r="BD836">
        <f t="shared" si="263"/>
        <v>0</v>
      </c>
      <c r="BE836">
        <f t="shared" si="263"/>
        <v>0</v>
      </c>
      <c r="BF836">
        <f t="shared" si="263"/>
        <v>0</v>
      </c>
      <c r="BG836">
        <f t="shared" si="263"/>
        <v>0</v>
      </c>
      <c r="BH836">
        <f t="shared" si="263"/>
        <v>0</v>
      </c>
      <c r="BI836">
        <f t="shared" si="264"/>
        <v>0</v>
      </c>
      <c r="BJ836">
        <f t="shared" si="264"/>
        <v>0</v>
      </c>
      <c r="BK836">
        <f t="shared" si="264"/>
        <v>0</v>
      </c>
      <c r="BL836">
        <f t="shared" si="264"/>
        <v>0</v>
      </c>
      <c r="BM836">
        <f t="shared" si="264"/>
        <v>0</v>
      </c>
      <c r="BN836">
        <f t="shared" si="264"/>
        <v>0</v>
      </c>
      <c r="BO836">
        <f t="shared" si="264"/>
        <v>0</v>
      </c>
      <c r="BP836">
        <f t="shared" si="264"/>
        <v>0</v>
      </c>
      <c r="BQ836">
        <f t="shared" si="264"/>
        <v>0</v>
      </c>
      <c r="BR836">
        <f t="shared" si="264"/>
        <v>0</v>
      </c>
      <c r="BS836">
        <f t="shared" si="264"/>
        <v>0</v>
      </c>
    </row>
    <row r="837" spans="2:71" ht="15" customHeight="1" x14ac:dyDescent="0.2">
      <c r="B837">
        <v>7</v>
      </c>
      <c r="D837">
        <v>12</v>
      </c>
      <c r="E837" t="s">
        <v>578</v>
      </c>
      <c r="F837" t="s">
        <v>346</v>
      </c>
      <c r="G837" s="5">
        <v>45876</v>
      </c>
      <c r="H837" t="s">
        <v>97</v>
      </c>
      <c r="I837" t="s">
        <v>569</v>
      </c>
      <c r="J837" t="s">
        <v>478</v>
      </c>
      <c r="K837">
        <v>9</v>
      </c>
      <c r="L837" t="s">
        <v>90</v>
      </c>
      <c r="M837" t="s">
        <v>570</v>
      </c>
      <c r="N837" t="s">
        <v>78</v>
      </c>
      <c r="P837">
        <v>128</v>
      </c>
      <c r="Q837">
        <v>6678</v>
      </c>
      <c r="R837" t="s">
        <v>313</v>
      </c>
      <c r="S837" t="s">
        <v>80</v>
      </c>
      <c r="T837" t="s">
        <v>353</v>
      </c>
      <c r="U837" t="s">
        <v>40</v>
      </c>
      <c r="V837" t="s">
        <v>46</v>
      </c>
      <c r="Y837" t="s">
        <v>48</v>
      </c>
      <c r="AA837">
        <v>1</v>
      </c>
      <c r="AB837" t="s">
        <v>34</v>
      </c>
      <c r="AC837" t="s">
        <v>92</v>
      </c>
      <c r="AE837" t="str">
        <f t="shared" si="265"/>
        <v>MangoldLynch</v>
      </c>
      <c r="AF837">
        <v>0.5</v>
      </c>
      <c r="AG837">
        <v>0</v>
      </c>
      <c r="AH837">
        <v>0</v>
      </c>
      <c r="AI837">
        <v>1</v>
      </c>
      <c r="AK837" t="s">
        <v>63</v>
      </c>
      <c r="AM837" t="s">
        <v>65</v>
      </c>
      <c r="AO837">
        <f t="shared" si="262"/>
        <v>0</v>
      </c>
      <c r="AP837">
        <f t="shared" si="262"/>
        <v>0</v>
      </c>
      <c r="AQ837">
        <f t="shared" si="262"/>
        <v>0</v>
      </c>
      <c r="AR837">
        <f t="shared" si="262"/>
        <v>0</v>
      </c>
      <c r="AS837">
        <f t="shared" si="262"/>
        <v>0</v>
      </c>
      <c r="AT837">
        <f t="shared" si="262"/>
        <v>0</v>
      </c>
      <c r="AU837" t="str">
        <f t="shared" si="262"/>
        <v>Mangold</v>
      </c>
      <c r="AV837">
        <f t="shared" si="262"/>
        <v>0</v>
      </c>
      <c r="AW837" t="str">
        <f t="shared" si="262"/>
        <v>Lynch</v>
      </c>
      <c r="AX837">
        <f t="shared" si="262"/>
        <v>0</v>
      </c>
      <c r="AY837">
        <f t="shared" si="263"/>
        <v>0</v>
      </c>
      <c r="AZ837">
        <f t="shared" si="263"/>
        <v>0</v>
      </c>
      <c r="BA837">
        <f t="shared" si="263"/>
        <v>0</v>
      </c>
      <c r="BB837">
        <f t="shared" si="263"/>
        <v>0</v>
      </c>
      <c r="BC837">
        <f t="shared" si="263"/>
        <v>0</v>
      </c>
      <c r="BD837">
        <f t="shared" si="263"/>
        <v>0</v>
      </c>
      <c r="BE837">
        <f t="shared" si="263"/>
        <v>0</v>
      </c>
      <c r="BF837">
        <f t="shared" si="263"/>
        <v>0</v>
      </c>
      <c r="BG837">
        <f t="shared" si="263"/>
        <v>0</v>
      </c>
      <c r="BH837">
        <f t="shared" si="263"/>
        <v>0</v>
      </c>
      <c r="BI837">
        <f t="shared" si="264"/>
        <v>0</v>
      </c>
      <c r="BJ837">
        <f t="shared" si="264"/>
        <v>0</v>
      </c>
      <c r="BK837">
        <f t="shared" si="264"/>
        <v>0</v>
      </c>
      <c r="BL837">
        <f t="shared" si="264"/>
        <v>0</v>
      </c>
      <c r="BM837">
        <f t="shared" si="264"/>
        <v>0</v>
      </c>
      <c r="BN837">
        <f t="shared" si="264"/>
        <v>0</v>
      </c>
      <c r="BO837">
        <f t="shared" si="264"/>
        <v>0</v>
      </c>
      <c r="BP837">
        <f t="shared" si="264"/>
        <v>0</v>
      </c>
      <c r="BQ837">
        <f t="shared" si="264"/>
        <v>0</v>
      </c>
      <c r="BR837">
        <f t="shared" si="264"/>
        <v>0</v>
      </c>
      <c r="BS837">
        <f t="shared" si="264"/>
        <v>0</v>
      </c>
    </row>
    <row r="838" spans="2:71" ht="15" customHeight="1" x14ac:dyDescent="0.2">
      <c r="B838">
        <v>8</v>
      </c>
      <c r="D838">
        <v>12</v>
      </c>
      <c r="E838" t="s">
        <v>579</v>
      </c>
      <c r="F838" t="s">
        <v>346</v>
      </c>
      <c r="G838" s="5">
        <v>45876</v>
      </c>
      <c r="H838" t="s">
        <v>97</v>
      </c>
      <c r="I838" t="s">
        <v>569</v>
      </c>
      <c r="J838" t="s">
        <v>478</v>
      </c>
      <c r="K838">
        <v>9</v>
      </c>
      <c r="L838" t="s">
        <v>90</v>
      </c>
      <c r="M838" t="s">
        <v>570</v>
      </c>
      <c r="N838" t="s">
        <v>78</v>
      </c>
      <c r="P838">
        <v>128</v>
      </c>
      <c r="Q838">
        <v>6678</v>
      </c>
      <c r="R838" t="s">
        <v>313</v>
      </c>
      <c r="S838" t="s">
        <v>80</v>
      </c>
      <c r="T838" t="s">
        <v>353</v>
      </c>
      <c r="U838" t="s">
        <v>40</v>
      </c>
      <c r="V838" t="s">
        <v>66</v>
      </c>
      <c r="Y838" t="s">
        <v>49</v>
      </c>
      <c r="AA838">
        <v>1</v>
      </c>
      <c r="AB838" t="s">
        <v>33</v>
      </c>
      <c r="AC838" t="s">
        <v>171</v>
      </c>
      <c r="AE838" t="str">
        <f t="shared" si="265"/>
        <v>PerkinsShively</v>
      </c>
      <c r="AF838">
        <v>0</v>
      </c>
      <c r="AG838">
        <v>0</v>
      </c>
      <c r="AH838">
        <v>1</v>
      </c>
      <c r="AI838">
        <v>0</v>
      </c>
      <c r="AK838" t="s">
        <v>45</v>
      </c>
      <c r="AM838" t="s">
        <v>69</v>
      </c>
      <c r="AO838">
        <f t="shared" si="262"/>
        <v>0</v>
      </c>
      <c r="AP838">
        <f t="shared" si="262"/>
        <v>0</v>
      </c>
      <c r="AQ838">
        <f t="shared" si="262"/>
        <v>0</v>
      </c>
      <c r="AR838">
        <f t="shared" si="262"/>
        <v>0</v>
      </c>
      <c r="AS838">
        <f t="shared" si="262"/>
        <v>0</v>
      </c>
      <c r="AT838">
        <f t="shared" si="262"/>
        <v>0</v>
      </c>
      <c r="AU838">
        <f t="shared" si="262"/>
        <v>0</v>
      </c>
      <c r="AV838">
        <f t="shared" si="262"/>
        <v>0</v>
      </c>
      <c r="AW838">
        <f t="shared" si="262"/>
        <v>0</v>
      </c>
      <c r="AX838" t="str">
        <f t="shared" si="262"/>
        <v>Shively</v>
      </c>
      <c r="AY838">
        <f t="shared" si="263"/>
        <v>0</v>
      </c>
      <c r="AZ838">
        <f t="shared" si="263"/>
        <v>0</v>
      </c>
      <c r="BA838">
        <f t="shared" si="263"/>
        <v>0</v>
      </c>
      <c r="BB838">
        <f t="shared" si="263"/>
        <v>0</v>
      </c>
      <c r="BC838">
        <f t="shared" si="263"/>
        <v>0</v>
      </c>
      <c r="BD838">
        <f t="shared" si="263"/>
        <v>0</v>
      </c>
      <c r="BE838">
        <f t="shared" si="263"/>
        <v>0</v>
      </c>
      <c r="BF838">
        <f t="shared" si="263"/>
        <v>0</v>
      </c>
      <c r="BG838">
        <f t="shared" si="263"/>
        <v>0</v>
      </c>
      <c r="BH838">
        <f t="shared" si="263"/>
        <v>0</v>
      </c>
      <c r="BI838">
        <f t="shared" si="264"/>
        <v>0</v>
      </c>
      <c r="BJ838">
        <f t="shared" si="264"/>
        <v>0</v>
      </c>
      <c r="BK838">
        <f t="shared" si="264"/>
        <v>0</v>
      </c>
      <c r="BL838">
        <f t="shared" si="264"/>
        <v>0</v>
      </c>
      <c r="BM838">
        <f t="shared" si="264"/>
        <v>0</v>
      </c>
      <c r="BN838">
        <f t="shared" si="264"/>
        <v>0</v>
      </c>
      <c r="BO838" t="str">
        <f t="shared" si="264"/>
        <v>Perkins</v>
      </c>
      <c r="BP838">
        <f t="shared" si="264"/>
        <v>0</v>
      </c>
      <c r="BQ838">
        <f t="shared" si="264"/>
        <v>0</v>
      </c>
      <c r="BR838">
        <f t="shared" si="264"/>
        <v>0</v>
      </c>
      <c r="BS838">
        <f t="shared" si="264"/>
        <v>0</v>
      </c>
    </row>
    <row r="839" spans="2:71" ht="15" customHeight="1" x14ac:dyDescent="0.2">
      <c r="B839">
        <v>9</v>
      </c>
      <c r="D839">
        <v>12</v>
      </c>
      <c r="E839" t="s">
        <v>580</v>
      </c>
      <c r="F839" t="s">
        <v>346</v>
      </c>
      <c r="G839" s="5">
        <v>45876</v>
      </c>
      <c r="H839" t="s">
        <v>97</v>
      </c>
      <c r="I839" t="s">
        <v>569</v>
      </c>
      <c r="J839" t="s">
        <v>478</v>
      </c>
      <c r="K839">
        <v>9</v>
      </c>
      <c r="L839" t="s">
        <v>90</v>
      </c>
      <c r="M839" t="s">
        <v>570</v>
      </c>
      <c r="N839" t="s">
        <v>78</v>
      </c>
      <c r="P839">
        <v>128</v>
      </c>
      <c r="Q839">
        <v>6678</v>
      </c>
      <c r="R839" t="s">
        <v>313</v>
      </c>
      <c r="S839" t="s">
        <v>80</v>
      </c>
      <c r="T839" t="s">
        <v>353</v>
      </c>
      <c r="U839" t="s">
        <v>40</v>
      </c>
      <c r="V839" t="s">
        <v>53</v>
      </c>
      <c r="Y839" t="s">
        <v>70</v>
      </c>
      <c r="AA839">
        <v>1</v>
      </c>
      <c r="AB839" t="s">
        <v>33</v>
      </c>
      <c r="AC839" t="s">
        <v>575</v>
      </c>
      <c r="AE839" t="str">
        <f t="shared" si="265"/>
        <v>ForsterSnyder</v>
      </c>
      <c r="AF839">
        <v>0</v>
      </c>
      <c r="AG839">
        <v>0</v>
      </c>
      <c r="AH839">
        <v>1</v>
      </c>
      <c r="AI839">
        <v>0</v>
      </c>
      <c r="AK839" t="s">
        <v>50</v>
      </c>
      <c r="AM839" t="s">
        <v>54</v>
      </c>
      <c r="AO839">
        <f t="shared" si="262"/>
        <v>0</v>
      </c>
      <c r="AP839">
        <f t="shared" si="262"/>
        <v>0</v>
      </c>
      <c r="AQ839">
        <f t="shared" si="262"/>
        <v>0</v>
      </c>
      <c r="AR839">
        <f t="shared" si="262"/>
        <v>0</v>
      </c>
      <c r="AS839">
        <f t="shared" si="262"/>
        <v>0</v>
      </c>
      <c r="AT839">
        <f t="shared" si="262"/>
        <v>0</v>
      </c>
      <c r="AU839">
        <f t="shared" si="262"/>
        <v>0</v>
      </c>
      <c r="AV839">
        <f t="shared" si="262"/>
        <v>0</v>
      </c>
      <c r="AW839">
        <f t="shared" si="262"/>
        <v>0</v>
      </c>
      <c r="AX839">
        <f t="shared" si="262"/>
        <v>0</v>
      </c>
      <c r="AY839">
        <f t="shared" si="263"/>
        <v>0</v>
      </c>
      <c r="AZ839">
        <f t="shared" si="263"/>
        <v>0</v>
      </c>
      <c r="BA839">
        <f t="shared" si="263"/>
        <v>0</v>
      </c>
      <c r="BB839" t="str">
        <f t="shared" si="263"/>
        <v>Forster</v>
      </c>
      <c r="BC839">
        <f t="shared" si="263"/>
        <v>0</v>
      </c>
      <c r="BD839">
        <f t="shared" si="263"/>
        <v>0</v>
      </c>
      <c r="BE839">
        <f t="shared" si="263"/>
        <v>0</v>
      </c>
      <c r="BF839">
        <f t="shared" si="263"/>
        <v>0</v>
      </c>
      <c r="BG839">
        <f t="shared" si="263"/>
        <v>0</v>
      </c>
      <c r="BH839">
        <f t="shared" si="263"/>
        <v>0</v>
      </c>
      <c r="BI839">
        <f t="shared" si="264"/>
        <v>0</v>
      </c>
      <c r="BJ839">
        <f t="shared" si="264"/>
        <v>0</v>
      </c>
      <c r="BK839">
        <f t="shared" si="264"/>
        <v>0</v>
      </c>
      <c r="BL839">
        <f t="shared" si="264"/>
        <v>0</v>
      </c>
      <c r="BM839">
        <f t="shared" si="264"/>
        <v>0</v>
      </c>
      <c r="BN839">
        <f t="shared" si="264"/>
        <v>0</v>
      </c>
      <c r="BO839">
        <f t="shared" si="264"/>
        <v>0</v>
      </c>
      <c r="BP839">
        <f t="shared" si="264"/>
        <v>0</v>
      </c>
      <c r="BQ839">
        <f t="shared" si="264"/>
        <v>0</v>
      </c>
      <c r="BR839">
        <f t="shared" si="264"/>
        <v>0</v>
      </c>
      <c r="BS839" t="str">
        <f t="shared" si="264"/>
        <v>Snyder</v>
      </c>
    </row>
    <row r="840" spans="2:71" ht="15" customHeight="1" x14ac:dyDescent="0.2">
      <c r="B840">
        <v>10</v>
      </c>
      <c r="D840">
        <v>12</v>
      </c>
      <c r="E840" t="s">
        <v>581</v>
      </c>
      <c r="F840" t="s">
        <v>346</v>
      </c>
      <c r="G840" s="5">
        <v>45876</v>
      </c>
      <c r="H840" t="s">
        <v>97</v>
      </c>
      <c r="I840" t="s">
        <v>569</v>
      </c>
      <c r="J840" t="s">
        <v>478</v>
      </c>
      <c r="K840">
        <v>9</v>
      </c>
      <c r="L840" t="s">
        <v>90</v>
      </c>
      <c r="M840" t="s">
        <v>570</v>
      </c>
      <c r="N840" t="s">
        <v>78</v>
      </c>
      <c r="P840">
        <v>128</v>
      </c>
      <c r="Q840">
        <v>6678</v>
      </c>
      <c r="R840" t="s">
        <v>313</v>
      </c>
      <c r="S840" t="s">
        <v>80</v>
      </c>
      <c r="T840" t="s">
        <v>353</v>
      </c>
      <c r="U840" t="s">
        <v>40</v>
      </c>
      <c r="V840" t="s">
        <v>41</v>
      </c>
      <c r="Y840" t="s">
        <v>44</v>
      </c>
      <c r="AA840">
        <v>1</v>
      </c>
      <c r="AB840" t="s">
        <v>33</v>
      </c>
      <c r="AC840" t="s">
        <v>221</v>
      </c>
      <c r="AE840" t="str">
        <f t="shared" si="265"/>
        <v>HiltsFlanders</v>
      </c>
      <c r="AF840">
        <v>0</v>
      </c>
      <c r="AG840">
        <v>0</v>
      </c>
      <c r="AH840">
        <v>1</v>
      </c>
      <c r="AI840">
        <v>0</v>
      </c>
      <c r="AK840" t="s">
        <v>42</v>
      </c>
      <c r="AM840" t="s">
        <v>64</v>
      </c>
      <c r="AO840">
        <f t="shared" si="262"/>
        <v>0</v>
      </c>
      <c r="AP840" t="str">
        <f t="shared" si="262"/>
        <v>Hilts</v>
      </c>
      <c r="AQ840">
        <f t="shared" si="262"/>
        <v>0</v>
      </c>
      <c r="AR840">
        <f t="shared" si="262"/>
        <v>0</v>
      </c>
      <c r="AS840" t="str">
        <f t="shared" si="262"/>
        <v>Flanders</v>
      </c>
      <c r="AT840">
        <f t="shared" si="262"/>
        <v>0</v>
      </c>
      <c r="AU840">
        <f t="shared" si="262"/>
        <v>0</v>
      </c>
      <c r="AV840">
        <f t="shared" si="262"/>
        <v>0</v>
      </c>
      <c r="AW840">
        <f t="shared" si="262"/>
        <v>0</v>
      </c>
      <c r="AX840">
        <f t="shared" si="262"/>
        <v>0</v>
      </c>
      <c r="AY840">
        <f t="shared" si="263"/>
        <v>0</v>
      </c>
      <c r="AZ840">
        <f t="shared" si="263"/>
        <v>0</v>
      </c>
      <c r="BA840">
        <f t="shared" si="263"/>
        <v>0</v>
      </c>
      <c r="BB840">
        <f t="shared" si="263"/>
        <v>0</v>
      </c>
      <c r="BC840">
        <f t="shared" si="263"/>
        <v>0</v>
      </c>
      <c r="BD840">
        <f t="shared" si="263"/>
        <v>0</v>
      </c>
      <c r="BE840">
        <f t="shared" si="263"/>
        <v>0</v>
      </c>
      <c r="BF840">
        <f t="shared" si="263"/>
        <v>0</v>
      </c>
      <c r="BG840">
        <f t="shared" si="263"/>
        <v>0</v>
      </c>
      <c r="BH840">
        <f t="shared" si="263"/>
        <v>0</v>
      </c>
      <c r="BI840">
        <f t="shared" si="264"/>
        <v>0</v>
      </c>
      <c r="BJ840">
        <f t="shared" si="264"/>
        <v>0</v>
      </c>
      <c r="BK840">
        <f t="shared" si="264"/>
        <v>0</v>
      </c>
      <c r="BL840">
        <f t="shared" si="264"/>
        <v>0</v>
      </c>
      <c r="BM840">
        <f t="shared" si="264"/>
        <v>0</v>
      </c>
      <c r="BN840">
        <f t="shared" si="264"/>
        <v>0</v>
      </c>
      <c r="BO840">
        <f t="shared" si="264"/>
        <v>0</v>
      </c>
      <c r="BP840">
        <f t="shared" si="264"/>
        <v>0</v>
      </c>
      <c r="BQ840">
        <f t="shared" si="264"/>
        <v>0</v>
      </c>
      <c r="BR840">
        <f t="shared" si="264"/>
        <v>0</v>
      </c>
      <c r="BS840">
        <f t="shared" si="264"/>
        <v>0</v>
      </c>
    </row>
    <row r="841" spans="2:71" ht="15" customHeight="1" x14ac:dyDescent="0.2">
      <c r="B841">
        <v>11</v>
      </c>
      <c r="D841">
        <v>12</v>
      </c>
      <c r="E841" t="s">
        <v>582</v>
      </c>
      <c r="F841" t="s">
        <v>214</v>
      </c>
      <c r="G841" s="5">
        <v>45877</v>
      </c>
      <c r="H841" t="s">
        <v>73</v>
      </c>
      <c r="I841" t="s">
        <v>569</v>
      </c>
      <c r="J841" t="s">
        <v>478</v>
      </c>
      <c r="K841">
        <v>9</v>
      </c>
      <c r="L841" t="s">
        <v>76</v>
      </c>
      <c r="M841" t="s">
        <v>583</v>
      </c>
      <c r="N841" t="s">
        <v>109</v>
      </c>
      <c r="P841">
        <v>130</v>
      </c>
      <c r="Q841">
        <v>6290</v>
      </c>
      <c r="R841" t="s">
        <v>98</v>
      </c>
      <c r="S841" t="s">
        <v>80</v>
      </c>
      <c r="T841" t="s">
        <v>353</v>
      </c>
      <c r="U841" t="s">
        <v>40</v>
      </c>
      <c r="V841" t="s">
        <v>66</v>
      </c>
      <c r="Y841" t="s">
        <v>46</v>
      </c>
      <c r="AA841">
        <v>1</v>
      </c>
      <c r="AB841" t="s">
        <v>32</v>
      </c>
      <c r="AE841" t="str">
        <f t="shared" si="265"/>
        <v>PerkinsMangold</v>
      </c>
      <c r="AF841">
        <v>1</v>
      </c>
      <c r="AG841">
        <v>1</v>
      </c>
      <c r="AH841">
        <v>0</v>
      </c>
      <c r="AI841">
        <v>0</v>
      </c>
      <c r="AK841" t="s">
        <v>65</v>
      </c>
      <c r="AM841" t="s">
        <v>60</v>
      </c>
      <c r="AO841">
        <f t="shared" si="262"/>
        <v>0</v>
      </c>
      <c r="AP841">
        <f t="shared" si="262"/>
        <v>0</v>
      </c>
      <c r="AQ841">
        <f t="shared" si="262"/>
        <v>0</v>
      </c>
      <c r="AR841">
        <f t="shared" si="262"/>
        <v>0</v>
      </c>
      <c r="AS841">
        <f t="shared" si="262"/>
        <v>0</v>
      </c>
      <c r="AT841">
        <f t="shared" si="262"/>
        <v>0</v>
      </c>
      <c r="AU841" t="str">
        <f t="shared" si="262"/>
        <v>Mangold</v>
      </c>
      <c r="AV841">
        <f t="shared" si="262"/>
        <v>0</v>
      </c>
      <c r="AW841">
        <f t="shared" si="262"/>
        <v>0</v>
      </c>
      <c r="AX841">
        <f t="shared" si="262"/>
        <v>0</v>
      </c>
      <c r="AY841">
        <f t="shared" si="263"/>
        <v>0</v>
      </c>
      <c r="AZ841">
        <f t="shared" si="263"/>
        <v>0</v>
      </c>
      <c r="BA841">
        <f t="shared" si="263"/>
        <v>0</v>
      </c>
      <c r="BB841">
        <f t="shared" si="263"/>
        <v>0</v>
      </c>
      <c r="BC841">
        <f t="shared" si="263"/>
        <v>0</v>
      </c>
      <c r="BD841">
        <f t="shared" si="263"/>
        <v>0</v>
      </c>
      <c r="BE841">
        <f t="shared" si="263"/>
        <v>0</v>
      </c>
      <c r="BF841">
        <f t="shared" si="263"/>
        <v>0</v>
      </c>
      <c r="BG841">
        <f t="shared" si="263"/>
        <v>0</v>
      </c>
      <c r="BH841">
        <f t="shared" si="263"/>
        <v>0</v>
      </c>
      <c r="BI841">
        <f t="shared" si="264"/>
        <v>0</v>
      </c>
      <c r="BJ841">
        <f t="shared" si="264"/>
        <v>0</v>
      </c>
      <c r="BK841">
        <f t="shared" si="264"/>
        <v>0</v>
      </c>
      <c r="BL841">
        <f t="shared" si="264"/>
        <v>0</v>
      </c>
      <c r="BM841">
        <f t="shared" si="264"/>
        <v>0</v>
      </c>
      <c r="BN841">
        <f t="shared" si="264"/>
        <v>0</v>
      </c>
      <c r="BO841" t="str">
        <f t="shared" si="264"/>
        <v>Perkins</v>
      </c>
      <c r="BP841">
        <f t="shared" si="264"/>
        <v>0</v>
      </c>
      <c r="BQ841">
        <f t="shared" si="264"/>
        <v>0</v>
      </c>
      <c r="BR841">
        <f t="shared" si="264"/>
        <v>0</v>
      </c>
      <c r="BS841">
        <f t="shared" si="264"/>
        <v>0</v>
      </c>
    </row>
    <row r="842" spans="2:71" ht="15" customHeight="1" x14ac:dyDescent="0.2">
      <c r="B842">
        <v>12</v>
      </c>
      <c r="D842">
        <v>12</v>
      </c>
      <c r="E842" t="s">
        <v>584</v>
      </c>
      <c r="F842" t="s">
        <v>214</v>
      </c>
      <c r="G842" s="5">
        <v>45877</v>
      </c>
      <c r="H842" t="s">
        <v>73</v>
      </c>
      <c r="I842" t="s">
        <v>569</v>
      </c>
      <c r="J842" t="s">
        <v>478</v>
      </c>
      <c r="K842">
        <v>9</v>
      </c>
      <c r="L842" t="s">
        <v>76</v>
      </c>
      <c r="M842" t="s">
        <v>583</v>
      </c>
      <c r="N842" t="s">
        <v>109</v>
      </c>
      <c r="P842">
        <v>130</v>
      </c>
      <c r="Q842">
        <v>6290</v>
      </c>
      <c r="R842" t="s">
        <v>98</v>
      </c>
      <c r="S842" t="s">
        <v>80</v>
      </c>
      <c r="T842" t="s">
        <v>353</v>
      </c>
      <c r="U842" t="s">
        <v>40</v>
      </c>
      <c r="V842" t="s">
        <v>44</v>
      </c>
      <c r="Y842" t="s">
        <v>43</v>
      </c>
      <c r="AA842">
        <v>1</v>
      </c>
      <c r="AB842" t="s">
        <v>32</v>
      </c>
      <c r="AE842" t="str">
        <f t="shared" si="265"/>
        <v>FlandersPoirier</v>
      </c>
      <c r="AF842">
        <v>1</v>
      </c>
      <c r="AG842">
        <v>1</v>
      </c>
      <c r="AH842">
        <v>0</v>
      </c>
      <c r="AI842">
        <v>0</v>
      </c>
      <c r="AK842" t="s">
        <v>67</v>
      </c>
      <c r="AM842" t="s">
        <v>50</v>
      </c>
      <c r="AO842">
        <f t="shared" ref="AO842:AX851" si="266">IF(OR($V842=AO$1,$Y842=AO$1),AO$1,0)</f>
        <v>0</v>
      </c>
      <c r="AP842">
        <f t="shared" si="266"/>
        <v>0</v>
      </c>
      <c r="AQ842">
        <f t="shared" si="266"/>
        <v>0</v>
      </c>
      <c r="AR842" t="str">
        <f t="shared" si="266"/>
        <v>Poirier</v>
      </c>
      <c r="AS842" t="str">
        <f t="shared" si="266"/>
        <v>Flanders</v>
      </c>
      <c r="AT842">
        <f t="shared" si="266"/>
        <v>0</v>
      </c>
      <c r="AU842">
        <f t="shared" si="266"/>
        <v>0</v>
      </c>
      <c r="AV842">
        <f t="shared" si="266"/>
        <v>0</v>
      </c>
      <c r="AW842">
        <f t="shared" si="266"/>
        <v>0</v>
      </c>
      <c r="AX842">
        <f t="shared" si="266"/>
        <v>0</v>
      </c>
      <c r="AY842">
        <f t="shared" ref="AY842:BH851" si="267">IF(OR($V842=AY$1,$Y842=AY$1),AY$1,0)</f>
        <v>0</v>
      </c>
      <c r="AZ842">
        <f t="shared" si="267"/>
        <v>0</v>
      </c>
      <c r="BA842">
        <f t="shared" si="267"/>
        <v>0</v>
      </c>
      <c r="BB842">
        <f t="shared" si="267"/>
        <v>0</v>
      </c>
      <c r="BC842">
        <f t="shared" si="267"/>
        <v>0</v>
      </c>
      <c r="BD842">
        <f t="shared" si="267"/>
        <v>0</v>
      </c>
      <c r="BE842">
        <f t="shared" si="267"/>
        <v>0</v>
      </c>
      <c r="BF842">
        <f t="shared" si="267"/>
        <v>0</v>
      </c>
      <c r="BG842">
        <f t="shared" si="267"/>
        <v>0</v>
      </c>
      <c r="BH842">
        <f t="shared" si="267"/>
        <v>0</v>
      </c>
      <c r="BI842">
        <f t="shared" ref="BI842:BS851" si="268">IF(OR($V842=BI$1,$Y842=BI$1),BI$1,0)</f>
        <v>0</v>
      </c>
      <c r="BJ842">
        <f t="shared" si="268"/>
        <v>0</v>
      </c>
      <c r="BK842">
        <f t="shared" si="268"/>
        <v>0</v>
      </c>
      <c r="BL842">
        <f t="shared" si="268"/>
        <v>0</v>
      </c>
      <c r="BM842">
        <f t="shared" si="268"/>
        <v>0</v>
      </c>
      <c r="BN842">
        <f t="shared" si="268"/>
        <v>0</v>
      </c>
      <c r="BO842">
        <f t="shared" si="268"/>
        <v>0</v>
      </c>
      <c r="BP842">
        <f t="shared" si="268"/>
        <v>0</v>
      </c>
      <c r="BQ842">
        <f t="shared" si="268"/>
        <v>0</v>
      </c>
      <c r="BR842">
        <f t="shared" si="268"/>
        <v>0</v>
      </c>
      <c r="BS842">
        <f t="shared" si="268"/>
        <v>0</v>
      </c>
    </row>
    <row r="843" spans="2:71" ht="15" customHeight="1" x14ac:dyDescent="0.2">
      <c r="B843">
        <v>13</v>
      </c>
      <c r="D843">
        <v>12</v>
      </c>
      <c r="E843" t="s">
        <v>585</v>
      </c>
      <c r="F843" t="s">
        <v>214</v>
      </c>
      <c r="G843" s="5">
        <v>45877</v>
      </c>
      <c r="H843" t="s">
        <v>73</v>
      </c>
      <c r="I843" t="s">
        <v>569</v>
      </c>
      <c r="J843" t="s">
        <v>478</v>
      </c>
      <c r="K843">
        <v>9</v>
      </c>
      <c r="L843" t="s">
        <v>76</v>
      </c>
      <c r="M843" t="s">
        <v>583</v>
      </c>
      <c r="N843" t="s">
        <v>109</v>
      </c>
      <c r="P843">
        <v>130</v>
      </c>
      <c r="Q843">
        <v>6290</v>
      </c>
      <c r="R843" t="s">
        <v>98</v>
      </c>
      <c r="S843" t="s">
        <v>80</v>
      </c>
      <c r="T843" t="s">
        <v>353</v>
      </c>
      <c r="U843" t="s">
        <v>40</v>
      </c>
      <c r="V843" t="s">
        <v>40</v>
      </c>
      <c r="Y843" t="s">
        <v>53</v>
      </c>
      <c r="AA843">
        <v>1</v>
      </c>
      <c r="AB843" t="s">
        <v>33</v>
      </c>
      <c r="AE843" t="str">
        <f t="shared" si="265"/>
        <v>GriseForster</v>
      </c>
      <c r="AF843">
        <v>0</v>
      </c>
      <c r="AG843">
        <v>0</v>
      </c>
      <c r="AH843">
        <v>1</v>
      </c>
      <c r="AI843">
        <v>0</v>
      </c>
      <c r="AK843" t="s">
        <v>69</v>
      </c>
      <c r="AM843" t="s">
        <v>64</v>
      </c>
      <c r="AO843" t="str">
        <f t="shared" si="266"/>
        <v>Grise</v>
      </c>
      <c r="AP843">
        <f t="shared" si="266"/>
        <v>0</v>
      </c>
      <c r="AQ843">
        <f t="shared" si="266"/>
        <v>0</v>
      </c>
      <c r="AR843">
        <f t="shared" si="266"/>
        <v>0</v>
      </c>
      <c r="AS843">
        <f t="shared" si="266"/>
        <v>0</v>
      </c>
      <c r="AT843">
        <f t="shared" si="266"/>
        <v>0</v>
      </c>
      <c r="AU843">
        <f t="shared" si="266"/>
        <v>0</v>
      </c>
      <c r="AV843">
        <f t="shared" si="266"/>
        <v>0</v>
      </c>
      <c r="AW843">
        <f t="shared" si="266"/>
        <v>0</v>
      </c>
      <c r="AX843">
        <f t="shared" si="266"/>
        <v>0</v>
      </c>
      <c r="AY843">
        <f t="shared" si="267"/>
        <v>0</v>
      </c>
      <c r="AZ843">
        <f t="shared" si="267"/>
        <v>0</v>
      </c>
      <c r="BA843">
        <f t="shared" si="267"/>
        <v>0</v>
      </c>
      <c r="BB843" t="str">
        <f t="shared" si="267"/>
        <v>Forster</v>
      </c>
      <c r="BC843">
        <f t="shared" si="267"/>
        <v>0</v>
      </c>
      <c r="BD843">
        <f t="shared" si="267"/>
        <v>0</v>
      </c>
      <c r="BE843">
        <f t="shared" si="267"/>
        <v>0</v>
      </c>
      <c r="BF843">
        <f t="shared" si="267"/>
        <v>0</v>
      </c>
      <c r="BG843">
        <f t="shared" si="267"/>
        <v>0</v>
      </c>
      <c r="BH843">
        <f t="shared" si="267"/>
        <v>0</v>
      </c>
      <c r="BI843">
        <f t="shared" si="268"/>
        <v>0</v>
      </c>
      <c r="BJ843">
        <f t="shared" si="268"/>
        <v>0</v>
      </c>
      <c r="BK843">
        <f t="shared" si="268"/>
        <v>0</v>
      </c>
      <c r="BL843">
        <f t="shared" si="268"/>
        <v>0</v>
      </c>
      <c r="BM843">
        <f t="shared" si="268"/>
        <v>0</v>
      </c>
      <c r="BN843">
        <f t="shared" si="268"/>
        <v>0</v>
      </c>
      <c r="BO843">
        <f t="shared" si="268"/>
        <v>0</v>
      </c>
      <c r="BP843">
        <f t="shared" si="268"/>
        <v>0</v>
      </c>
      <c r="BQ843">
        <f t="shared" si="268"/>
        <v>0</v>
      </c>
      <c r="BR843">
        <f t="shared" si="268"/>
        <v>0</v>
      </c>
      <c r="BS843">
        <f t="shared" si="268"/>
        <v>0</v>
      </c>
    </row>
    <row r="844" spans="2:71" ht="15" customHeight="1" x14ac:dyDescent="0.2">
      <c r="B844">
        <v>14</v>
      </c>
      <c r="D844">
        <v>12</v>
      </c>
      <c r="E844" t="s">
        <v>586</v>
      </c>
      <c r="F844" t="s">
        <v>214</v>
      </c>
      <c r="G844" s="5">
        <v>45877</v>
      </c>
      <c r="H844" t="s">
        <v>73</v>
      </c>
      <c r="I844" t="s">
        <v>569</v>
      </c>
      <c r="J844" t="s">
        <v>478</v>
      </c>
      <c r="K844">
        <v>9</v>
      </c>
      <c r="L844" t="s">
        <v>76</v>
      </c>
      <c r="M844" t="s">
        <v>583</v>
      </c>
      <c r="N844" t="s">
        <v>109</v>
      </c>
      <c r="P844">
        <v>130</v>
      </c>
      <c r="Q844">
        <v>6290</v>
      </c>
      <c r="R844" t="s">
        <v>98</v>
      </c>
      <c r="S844" t="s">
        <v>80</v>
      </c>
      <c r="T844" t="s">
        <v>353</v>
      </c>
      <c r="U844" t="s">
        <v>40</v>
      </c>
      <c r="V844" t="s">
        <v>41</v>
      </c>
      <c r="Y844" t="s">
        <v>49</v>
      </c>
      <c r="AA844">
        <v>1</v>
      </c>
      <c r="AB844" t="s">
        <v>33</v>
      </c>
      <c r="AE844" t="str">
        <f t="shared" si="265"/>
        <v>HiltsShively</v>
      </c>
      <c r="AF844">
        <v>0</v>
      </c>
      <c r="AG844">
        <v>0</v>
      </c>
      <c r="AH844">
        <v>1</v>
      </c>
      <c r="AI844">
        <v>0</v>
      </c>
      <c r="AK844" t="s">
        <v>54</v>
      </c>
      <c r="AM844" t="s">
        <v>63</v>
      </c>
      <c r="AO844">
        <f t="shared" si="266"/>
        <v>0</v>
      </c>
      <c r="AP844" t="str">
        <f t="shared" si="266"/>
        <v>Hilts</v>
      </c>
      <c r="AQ844">
        <f t="shared" si="266"/>
        <v>0</v>
      </c>
      <c r="AR844">
        <f t="shared" si="266"/>
        <v>0</v>
      </c>
      <c r="AS844">
        <f t="shared" si="266"/>
        <v>0</v>
      </c>
      <c r="AT844">
        <f t="shared" si="266"/>
        <v>0</v>
      </c>
      <c r="AU844">
        <f t="shared" si="266"/>
        <v>0</v>
      </c>
      <c r="AV844">
        <f t="shared" si="266"/>
        <v>0</v>
      </c>
      <c r="AW844">
        <f t="shared" si="266"/>
        <v>0</v>
      </c>
      <c r="AX844" t="str">
        <f t="shared" si="266"/>
        <v>Shively</v>
      </c>
      <c r="AY844">
        <f t="shared" si="267"/>
        <v>0</v>
      </c>
      <c r="AZ844">
        <f t="shared" si="267"/>
        <v>0</v>
      </c>
      <c r="BA844">
        <f t="shared" si="267"/>
        <v>0</v>
      </c>
      <c r="BB844">
        <f t="shared" si="267"/>
        <v>0</v>
      </c>
      <c r="BC844">
        <f t="shared" si="267"/>
        <v>0</v>
      </c>
      <c r="BD844">
        <f t="shared" si="267"/>
        <v>0</v>
      </c>
      <c r="BE844">
        <f t="shared" si="267"/>
        <v>0</v>
      </c>
      <c r="BF844">
        <f t="shared" si="267"/>
        <v>0</v>
      </c>
      <c r="BG844">
        <f t="shared" si="267"/>
        <v>0</v>
      </c>
      <c r="BH844">
        <f t="shared" si="267"/>
        <v>0</v>
      </c>
      <c r="BI844">
        <f t="shared" si="268"/>
        <v>0</v>
      </c>
      <c r="BJ844">
        <f t="shared" si="268"/>
        <v>0</v>
      </c>
      <c r="BK844">
        <f t="shared" si="268"/>
        <v>0</v>
      </c>
      <c r="BL844">
        <f t="shared" si="268"/>
        <v>0</v>
      </c>
      <c r="BM844">
        <f t="shared" si="268"/>
        <v>0</v>
      </c>
      <c r="BN844">
        <f t="shared" si="268"/>
        <v>0</v>
      </c>
      <c r="BO844">
        <f t="shared" si="268"/>
        <v>0</v>
      </c>
      <c r="BP844">
        <f t="shared" si="268"/>
        <v>0</v>
      </c>
      <c r="BQ844">
        <f t="shared" si="268"/>
        <v>0</v>
      </c>
      <c r="BR844">
        <f t="shared" si="268"/>
        <v>0</v>
      </c>
      <c r="BS844">
        <f t="shared" si="268"/>
        <v>0</v>
      </c>
    </row>
    <row r="845" spans="2:71" ht="15" customHeight="1" x14ac:dyDescent="0.2">
      <c r="B845">
        <v>15</v>
      </c>
      <c r="D845">
        <v>12</v>
      </c>
      <c r="E845" t="s">
        <v>587</v>
      </c>
      <c r="F845" t="s">
        <v>214</v>
      </c>
      <c r="G845" s="5">
        <v>45877</v>
      </c>
      <c r="H845" t="s">
        <v>73</v>
      </c>
      <c r="I845" t="s">
        <v>569</v>
      </c>
      <c r="J845" t="s">
        <v>478</v>
      </c>
      <c r="K845">
        <v>9</v>
      </c>
      <c r="L845" t="s">
        <v>76</v>
      </c>
      <c r="M845" t="s">
        <v>583</v>
      </c>
      <c r="N845" t="s">
        <v>109</v>
      </c>
      <c r="P845">
        <v>130</v>
      </c>
      <c r="Q845">
        <v>6290</v>
      </c>
      <c r="R845" t="s">
        <v>98</v>
      </c>
      <c r="S845" t="s">
        <v>80</v>
      </c>
      <c r="T845" t="s">
        <v>353</v>
      </c>
      <c r="U845" t="s">
        <v>40</v>
      </c>
      <c r="V845" t="s">
        <v>48</v>
      </c>
      <c r="Y845" t="s">
        <v>70</v>
      </c>
      <c r="AA845">
        <v>1</v>
      </c>
      <c r="AB845" t="s">
        <v>33</v>
      </c>
      <c r="AE845" t="str">
        <f t="shared" si="265"/>
        <v>LynchSnyder</v>
      </c>
      <c r="AF845">
        <v>0</v>
      </c>
      <c r="AG845">
        <v>0</v>
      </c>
      <c r="AH845">
        <v>1</v>
      </c>
      <c r="AI845">
        <v>0</v>
      </c>
      <c r="AK845" t="s">
        <v>42</v>
      </c>
      <c r="AM845" t="s">
        <v>45</v>
      </c>
      <c r="AO845">
        <f t="shared" si="266"/>
        <v>0</v>
      </c>
      <c r="AP845">
        <f t="shared" si="266"/>
        <v>0</v>
      </c>
      <c r="AQ845">
        <f t="shared" si="266"/>
        <v>0</v>
      </c>
      <c r="AR845">
        <f t="shared" si="266"/>
        <v>0</v>
      </c>
      <c r="AS845">
        <f t="shared" si="266"/>
        <v>0</v>
      </c>
      <c r="AT845">
        <f t="shared" si="266"/>
        <v>0</v>
      </c>
      <c r="AU845">
        <f t="shared" si="266"/>
        <v>0</v>
      </c>
      <c r="AV845">
        <f t="shared" si="266"/>
        <v>0</v>
      </c>
      <c r="AW845" t="str">
        <f t="shared" si="266"/>
        <v>Lynch</v>
      </c>
      <c r="AX845">
        <f t="shared" si="266"/>
        <v>0</v>
      </c>
      <c r="AY845">
        <f t="shared" si="267"/>
        <v>0</v>
      </c>
      <c r="AZ845">
        <f t="shared" si="267"/>
        <v>0</v>
      </c>
      <c r="BA845">
        <f t="shared" si="267"/>
        <v>0</v>
      </c>
      <c r="BB845">
        <f t="shared" si="267"/>
        <v>0</v>
      </c>
      <c r="BC845">
        <f t="shared" si="267"/>
        <v>0</v>
      </c>
      <c r="BD845">
        <f t="shared" si="267"/>
        <v>0</v>
      </c>
      <c r="BE845">
        <f t="shared" si="267"/>
        <v>0</v>
      </c>
      <c r="BF845">
        <f t="shared" si="267"/>
        <v>0</v>
      </c>
      <c r="BG845">
        <f t="shared" si="267"/>
        <v>0</v>
      </c>
      <c r="BH845">
        <f t="shared" si="267"/>
        <v>0</v>
      </c>
      <c r="BI845">
        <f t="shared" si="268"/>
        <v>0</v>
      </c>
      <c r="BJ845">
        <f t="shared" si="268"/>
        <v>0</v>
      </c>
      <c r="BK845">
        <f t="shared" si="268"/>
        <v>0</v>
      </c>
      <c r="BL845">
        <f t="shared" si="268"/>
        <v>0</v>
      </c>
      <c r="BM845">
        <f t="shared" si="268"/>
        <v>0</v>
      </c>
      <c r="BN845">
        <f t="shared" si="268"/>
        <v>0</v>
      </c>
      <c r="BO845">
        <f t="shared" si="268"/>
        <v>0</v>
      </c>
      <c r="BP845">
        <f t="shared" si="268"/>
        <v>0</v>
      </c>
      <c r="BQ845">
        <f t="shared" si="268"/>
        <v>0</v>
      </c>
      <c r="BR845">
        <f t="shared" si="268"/>
        <v>0</v>
      </c>
      <c r="BS845" t="str">
        <f t="shared" si="268"/>
        <v>Snyder</v>
      </c>
    </row>
    <row r="846" spans="2:71" ht="15" customHeight="1" x14ac:dyDescent="0.2">
      <c r="B846">
        <v>16</v>
      </c>
      <c r="D846">
        <v>12</v>
      </c>
      <c r="E846" t="s">
        <v>588</v>
      </c>
      <c r="F846" t="s">
        <v>214</v>
      </c>
      <c r="G846" s="5">
        <v>45877</v>
      </c>
      <c r="H846" t="s">
        <v>73</v>
      </c>
      <c r="I846" t="s">
        <v>569</v>
      </c>
      <c r="J846" t="s">
        <v>478</v>
      </c>
      <c r="K846">
        <v>9</v>
      </c>
      <c r="L846" t="s">
        <v>90</v>
      </c>
      <c r="M846" t="s">
        <v>583</v>
      </c>
      <c r="N846" t="s">
        <v>109</v>
      </c>
      <c r="P846">
        <v>130</v>
      </c>
      <c r="Q846">
        <v>6290</v>
      </c>
      <c r="R846" t="s">
        <v>91</v>
      </c>
      <c r="S846" t="s">
        <v>80</v>
      </c>
      <c r="T846" t="s">
        <v>353</v>
      </c>
      <c r="U846" t="s">
        <v>40</v>
      </c>
      <c r="V846" t="s">
        <v>66</v>
      </c>
      <c r="Y846" t="s">
        <v>46</v>
      </c>
      <c r="AA846">
        <v>1</v>
      </c>
      <c r="AB846" t="s">
        <v>32</v>
      </c>
      <c r="AE846" t="str">
        <f t="shared" si="265"/>
        <v>PerkinsMangold</v>
      </c>
      <c r="AF846">
        <v>1</v>
      </c>
      <c r="AG846">
        <v>1</v>
      </c>
      <c r="AH846">
        <v>0</v>
      </c>
      <c r="AI846">
        <v>0</v>
      </c>
      <c r="AK846" t="s">
        <v>65</v>
      </c>
      <c r="AM846" t="s">
        <v>60</v>
      </c>
      <c r="AO846">
        <f t="shared" si="266"/>
        <v>0</v>
      </c>
      <c r="AP846">
        <f t="shared" si="266"/>
        <v>0</v>
      </c>
      <c r="AQ846">
        <f t="shared" si="266"/>
        <v>0</v>
      </c>
      <c r="AR846">
        <f t="shared" si="266"/>
        <v>0</v>
      </c>
      <c r="AS846">
        <f t="shared" si="266"/>
        <v>0</v>
      </c>
      <c r="AT846">
        <f t="shared" si="266"/>
        <v>0</v>
      </c>
      <c r="AU846" t="str">
        <f t="shared" si="266"/>
        <v>Mangold</v>
      </c>
      <c r="AV846">
        <f t="shared" si="266"/>
        <v>0</v>
      </c>
      <c r="AW846">
        <f t="shared" si="266"/>
        <v>0</v>
      </c>
      <c r="AX846">
        <f t="shared" si="266"/>
        <v>0</v>
      </c>
      <c r="AY846">
        <f t="shared" si="267"/>
        <v>0</v>
      </c>
      <c r="AZ846">
        <f t="shared" si="267"/>
        <v>0</v>
      </c>
      <c r="BA846">
        <f t="shared" si="267"/>
        <v>0</v>
      </c>
      <c r="BB846">
        <f t="shared" si="267"/>
        <v>0</v>
      </c>
      <c r="BC846">
        <f t="shared" si="267"/>
        <v>0</v>
      </c>
      <c r="BD846">
        <f t="shared" si="267"/>
        <v>0</v>
      </c>
      <c r="BE846">
        <f t="shared" si="267"/>
        <v>0</v>
      </c>
      <c r="BF846">
        <f t="shared" si="267"/>
        <v>0</v>
      </c>
      <c r="BG846">
        <f t="shared" si="267"/>
        <v>0</v>
      </c>
      <c r="BH846">
        <f t="shared" si="267"/>
        <v>0</v>
      </c>
      <c r="BI846">
        <f t="shared" si="268"/>
        <v>0</v>
      </c>
      <c r="BJ846">
        <f t="shared" si="268"/>
        <v>0</v>
      </c>
      <c r="BK846">
        <f t="shared" si="268"/>
        <v>0</v>
      </c>
      <c r="BL846">
        <f t="shared" si="268"/>
        <v>0</v>
      </c>
      <c r="BM846">
        <f t="shared" si="268"/>
        <v>0</v>
      </c>
      <c r="BN846">
        <f t="shared" si="268"/>
        <v>0</v>
      </c>
      <c r="BO846" t="str">
        <f t="shared" si="268"/>
        <v>Perkins</v>
      </c>
      <c r="BP846">
        <f t="shared" si="268"/>
        <v>0</v>
      </c>
      <c r="BQ846">
        <f t="shared" si="268"/>
        <v>0</v>
      </c>
      <c r="BR846">
        <f t="shared" si="268"/>
        <v>0</v>
      </c>
      <c r="BS846">
        <f t="shared" si="268"/>
        <v>0</v>
      </c>
    </row>
    <row r="847" spans="2:71" ht="15" customHeight="1" x14ac:dyDescent="0.2">
      <c r="B847">
        <v>17</v>
      </c>
      <c r="D847">
        <v>12</v>
      </c>
      <c r="E847" t="s">
        <v>589</v>
      </c>
      <c r="F847" t="s">
        <v>214</v>
      </c>
      <c r="G847" s="5">
        <v>45877</v>
      </c>
      <c r="H847" t="s">
        <v>73</v>
      </c>
      <c r="I847" t="s">
        <v>569</v>
      </c>
      <c r="J847" t="s">
        <v>478</v>
      </c>
      <c r="K847">
        <v>9</v>
      </c>
      <c r="L847" t="s">
        <v>90</v>
      </c>
      <c r="M847" t="s">
        <v>583</v>
      </c>
      <c r="N847" t="s">
        <v>109</v>
      </c>
      <c r="P847">
        <v>130</v>
      </c>
      <c r="Q847">
        <v>6290</v>
      </c>
      <c r="R847" t="s">
        <v>91</v>
      </c>
      <c r="S847" t="s">
        <v>80</v>
      </c>
      <c r="T847" t="s">
        <v>353</v>
      </c>
      <c r="U847" t="s">
        <v>40</v>
      </c>
      <c r="V847" t="s">
        <v>44</v>
      </c>
      <c r="Y847" t="s">
        <v>43</v>
      </c>
      <c r="AA847">
        <v>1</v>
      </c>
      <c r="AB847" t="s">
        <v>34</v>
      </c>
      <c r="AC847" t="s">
        <v>92</v>
      </c>
      <c r="AE847" t="str">
        <f t="shared" si="265"/>
        <v>FlandersPoirier</v>
      </c>
      <c r="AF847">
        <v>0.5</v>
      </c>
      <c r="AG847">
        <v>0</v>
      </c>
      <c r="AH847">
        <v>0</v>
      </c>
      <c r="AI847">
        <v>1</v>
      </c>
      <c r="AK847" t="s">
        <v>67</v>
      </c>
      <c r="AM847" t="s">
        <v>50</v>
      </c>
      <c r="AO847">
        <f t="shared" si="266"/>
        <v>0</v>
      </c>
      <c r="AP847">
        <f t="shared" si="266"/>
        <v>0</v>
      </c>
      <c r="AQ847">
        <f t="shared" si="266"/>
        <v>0</v>
      </c>
      <c r="AR847" t="str">
        <f t="shared" si="266"/>
        <v>Poirier</v>
      </c>
      <c r="AS847" t="str">
        <f t="shared" si="266"/>
        <v>Flanders</v>
      </c>
      <c r="AT847">
        <f t="shared" si="266"/>
        <v>0</v>
      </c>
      <c r="AU847">
        <f t="shared" si="266"/>
        <v>0</v>
      </c>
      <c r="AV847">
        <f t="shared" si="266"/>
        <v>0</v>
      </c>
      <c r="AW847">
        <f t="shared" si="266"/>
        <v>0</v>
      </c>
      <c r="AX847">
        <f t="shared" si="266"/>
        <v>0</v>
      </c>
      <c r="AY847">
        <f t="shared" si="267"/>
        <v>0</v>
      </c>
      <c r="AZ847">
        <f t="shared" si="267"/>
        <v>0</v>
      </c>
      <c r="BA847">
        <f t="shared" si="267"/>
        <v>0</v>
      </c>
      <c r="BB847">
        <f t="shared" si="267"/>
        <v>0</v>
      </c>
      <c r="BC847">
        <f t="shared" si="267"/>
        <v>0</v>
      </c>
      <c r="BD847">
        <f t="shared" si="267"/>
        <v>0</v>
      </c>
      <c r="BE847">
        <f t="shared" si="267"/>
        <v>0</v>
      </c>
      <c r="BF847">
        <f t="shared" si="267"/>
        <v>0</v>
      </c>
      <c r="BG847">
        <f t="shared" si="267"/>
        <v>0</v>
      </c>
      <c r="BH847">
        <f t="shared" si="267"/>
        <v>0</v>
      </c>
      <c r="BI847">
        <f t="shared" si="268"/>
        <v>0</v>
      </c>
      <c r="BJ847">
        <f t="shared" si="268"/>
        <v>0</v>
      </c>
      <c r="BK847">
        <f t="shared" si="268"/>
        <v>0</v>
      </c>
      <c r="BL847">
        <f t="shared" si="268"/>
        <v>0</v>
      </c>
      <c r="BM847">
        <f t="shared" si="268"/>
        <v>0</v>
      </c>
      <c r="BN847">
        <f t="shared" si="268"/>
        <v>0</v>
      </c>
      <c r="BO847">
        <f t="shared" si="268"/>
        <v>0</v>
      </c>
      <c r="BP847">
        <f t="shared" si="268"/>
        <v>0</v>
      </c>
      <c r="BQ847">
        <f t="shared" si="268"/>
        <v>0</v>
      </c>
      <c r="BR847">
        <f t="shared" si="268"/>
        <v>0</v>
      </c>
      <c r="BS847">
        <f t="shared" si="268"/>
        <v>0</v>
      </c>
    </row>
    <row r="848" spans="2:71" ht="15" customHeight="1" x14ac:dyDescent="0.2">
      <c r="B848">
        <v>18</v>
      </c>
      <c r="D848">
        <v>12</v>
      </c>
      <c r="E848" t="s">
        <v>590</v>
      </c>
      <c r="F848" t="s">
        <v>214</v>
      </c>
      <c r="G848" s="5">
        <v>45877</v>
      </c>
      <c r="H848" t="s">
        <v>73</v>
      </c>
      <c r="I848" t="s">
        <v>569</v>
      </c>
      <c r="J848" t="s">
        <v>478</v>
      </c>
      <c r="K848">
        <v>9</v>
      </c>
      <c r="L848" t="s">
        <v>90</v>
      </c>
      <c r="M848" t="s">
        <v>583</v>
      </c>
      <c r="N848" t="s">
        <v>109</v>
      </c>
      <c r="P848">
        <v>130</v>
      </c>
      <c r="Q848">
        <v>6290</v>
      </c>
      <c r="R848" t="s">
        <v>91</v>
      </c>
      <c r="S848" t="s">
        <v>80</v>
      </c>
      <c r="T848" t="s">
        <v>353</v>
      </c>
      <c r="U848" t="s">
        <v>40</v>
      </c>
      <c r="V848" t="s">
        <v>40</v>
      </c>
      <c r="Y848" t="s">
        <v>53</v>
      </c>
      <c r="AA848">
        <v>1</v>
      </c>
      <c r="AB848" t="s">
        <v>32</v>
      </c>
      <c r="AE848" t="str">
        <f t="shared" si="265"/>
        <v>GriseForster</v>
      </c>
      <c r="AF848">
        <v>1</v>
      </c>
      <c r="AG848">
        <v>1</v>
      </c>
      <c r="AH848">
        <v>0</v>
      </c>
      <c r="AI848">
        <v>0</v>
      </c>
      <c r="AK848" t="s">
        <v>69</v>
      </c>
      <c r="AM848" t="s">
        <v>64</v>
      </c>
      <c r="AO848" t="str">
        <f t="shared" si="266"/>
        <v>Grise</v>
      </c>
      <c r="AP848">
        <f t="shared" si="266"/>
        <v>0</v>
      </c>
      <c r="AQ848">
        <f t="shared" si="266"/>
        <v>0</v>
      </c>
      <c r="AR848">
        <f t="shared" si="266"/>
        <v>0</v>
      </c>
      <c r="AS848">
        <f t="shared" si="266"/>
        <v>0</v>
      </c>
      <c r="AT848">
        <f t="shared" si="266"/>
        <v>0</v>
      </c>
      <c r="AU848">
        <f t="shared" si="266"/>
        <v>0</v>
      </c>
      <c r="AV848">
        <f t="shared" si="266"/>
        <v>0</v>
      </c>
      <c r="AW848">
        <f t="shared" si="266"/>
        <v>0</v>
      </c>
      <c r="AX848">
        <f t="shared" si="266"/>
        <v>0</v>
      </c>
      <c r="AY848">
        <f t="shared" si="267"/>
        <v>0</v>
      </c>
      <c r="AZ848">
        <f t="shared" si="267"/>
        <v>0</v>
      </c>
      <c r="BA848">
        <f t="shared" si="267"/>
        <v>0</v>
      </c>
      <c r="BB848" t="str">
        <f t="shared" si="267"/>
        <v>Forster</v>
      </c>
      <c r="BC848">
        <f t="shared" si="267"/>
        <v>0</v>
      </c>
      <c r="BD848">
        <f t="shared" si="267"/>
        <v>0</v>
      </c>
      <c r="BE848">
        <f t="shared" si="267"/>
        <v>0</v>
      </c>
      <c r="BF848">
        <f t="shared" si="267"/>
        <v>0</v>
      </c>
      <c r="BG848">
        <f t="shared" si="267"/>
        <v>0</v>
      </c>
      <c r="BH848">
        <f t="shared" si="267"/>
        <v>0</v>
      </c>
      <c r="BI848">
        <f t="shared" si="268"/>
        <v>0</v>
      </c>
      <c r="BJ848">
        <f t="shared" si="268"/>
        <v>0</v>
      </c>
      <c r="BK848">
        <f t="shared" si="268"/>
        <v>0</v>
      </c>
      <c r="BL848">
        <f t="shared" si="268"/>
        <v>0</v>
      </c>
      <c r="BM848">
        <f t="shared" si="268"/>
        <v>0</v>
      </c>
      <c r="BN848">
        <f t="shared" si="268"/>
        <v>0</v>
      </c>
      <c r="BO848">
        <f t="shared" si="268"/>
        <v>0</v>
      </c>
      <c r="BP848">
        <f t="shared" si="268"/>
        <v>0</v>
      </c>
      <c r="BQ848">
        <f t="shared" si="268"/>
        <v>0</v>
      </c>
      <c r="BR848">
        <f t="shared" si="268"/>
        <v>0</v>
      </c>
      <c r="BS848">
        <f t="shared" si="268"/>
        <v>0</v>
      </c>
    </row>
    <row r="849" spans="2:71" ht="15" customHeight="1" x14ac:dyDescent="0.2">
      <c r="B849">
        <v>19</v>
      </c>
      <c r="D849">
        <v>12</v>
      </c>
      <c r="E849" t="s">
        <v>591</v>
      </c>
      <c r="F849" t="s">
        <v>214</v>
      </c>
      <c r="G849" s="5">
        <v>45877</v>
      </c>
      <c r="H849" t="s">
        <v>73</v>
      </c>
      <c r="I849" t="s">
        <v>569</v>
      </c>
      <c r="J849" t="s">
        <v>478</v>
      </c>
      <c r="K849">
        <v>9</v>
      </c>
      <c r="L849" t="s">
        <v>90</v>
      </c>
      <c r="M849" t="s">
        <v>583</v>
      </c>
      <c r="N849" t="s">
        <v>109</v>
      </c>
      <c r="P849">
        <v>130</v>
      </c>
      <c r="Q849">
        <v>6290</v>
      </c>
      <c r="R849" t="s">
        <v>91</v>
      </c>
      <c r="S849" t="s">
        <v>80</v>
      </c>
      <c r="T849" t="s">
        <v>353</v>
      </c>
      <c r="U849" t="s">
        <v>40</v>
      </c>
      <c r="V849" t="s">
        <v>41</v>
      </c>
      <c r="Y849" t="s">
        <v>49</v>
      </c>
      <c r="AA849">
        <v>1</v>
      </c>
      <c r="AB849" t="s">
        <v>34</v>
      </c>
      <c r="AC849" t="s">
        <v>92</v>
      </c>
      <c r="AE849" t="str">
        <f t="shared" si="265"/>
        <v>HiltsShively</v>
      </c>
      <c r="AF849">
        <v>0.5</v>
      </c>
      <c r="AG849">
        <v>0</v>
      </c>
      <c r="AH849">
        <v>0</v>
      </c>
      <c r="AI849">
        <v>1</v>
      </c>
      <c r="AK849" t="s">
        <v>54</v>
      </c>
      <c r="AM849" t="s">
        <v>63</v>
      </c>
      <c r="AO849">
        <f t="shared" si="266"/>
        <v>0</v>
      </c>
      <c r="AP849" t="str">
        <f t="shared" si="266"/>
        <v>Hilts</v>
      </c>
      <c r="AQ849">
        <f t="shared" si="266"/>
        <v>0</v>
      </c>
      <c r="AR849">
        <f t="shared" si="266"/>
        <v>0</v>
      </c>
      <c r="AS849">
        <f t="shared" si="266"/>
        <v>0</v>
      </c>
      <c r="AT849">
        <f t="shared" si="266"/>
        <v>0</v>
      </c>
      <c r="AU849">
        <f t="shared" si="266"/>
        <v>0</v>
      </c>
      <c r="AV849">
        <f t="shared" si="266"/>
        <v>0</v>
      </c>
      <c r="AW849">
        <f t="shared" si="266"/>
        <v>0</v>
      </c>
      <c r="AX849" t="str">
        <f t="shared" si="266"/>
        <v>Shively</v>
      </c>
      <c r="AY849">
        <f t="shared" si="267"/>
        <v>0</v>
      </c>
      <c r="AZ849">
        <f t="shared" si="267"/>
        <v>0</v>
      </c>
      <c r="BA849">
        <f t="shared" si="267"/>
        <v>0</v>
      </c>
      <c r="BB849">
        <f t="shared" si="267"/>
        <v>0</v>
      </c>
      <c r="BC849">
        <f t="shared" si="267"/>
        <v>0</v>
      </c>
      <c r="BD849">
        <f t="shared" si="267"/>
        <v>0</v>
      </c>
      <c r="BE849">
        <f t="shared" si="267"/>
        <v>0</v>
      </c>
      <c r="BF849">
        <f t="shared" si="267"/>
        <v>0</v>
      </c>
      <c r="BG849">
        <f t="shared" si="267"/>
        <v>0</v>
      </c>
      <c r="BH849">
        <f t="shared" si="267"/>
        <v>0</v>
      </c>
      <c r="BI849">
        <f t="shared" si="268"/>
        <v>0</v>
      </c>
      <c r="BJ849">
        <f t="shared" si="268"/>
        <v>0</v>
      </c>
      <c r="BK849">
        <f t="shared" si="268"/>
        <v>0</v>
      </c>
      <c r="BL849">
        <f t="shared" si="268"/>
        <v>0</v>
      </c>
      <c r="BM849">
        <f t="shared" si="268"/>
        <v>0</v>
      </c>
      <c r="BN849">
        <f t="shared" si="268"/>
        <v>0</v>
      </c>
      <c r="BO849">
        <f t="shared" si="268"/>
        <v>0</v>
      </c>
      <c r="BP849">
        <f t="shared" si="268"/>
        <v>0</v>
      </c>
      <c r="BQ849">
        <f t="shared" si="268"/>
        <v>0</v>
      </c>
      <c r="BR849">
        <f t="shared" si="268"/>
        <v>0</v>
      </c>
      <c r="BS849">
        <f t="shared" si="268"/>
        <v>0</v>
      </c>
    </row>
    <row r="850" spans="2:71" ht="15" customHeight="1" x14ac:dyDescent="0.2">
      <c r="B850">
        <v>20</v>
      </c>
      <c r="D850">
        <v>12</v>
      </c>
      <c r="E850" t="s">
        <v>592</v>
      </c>
      <c r="F850" t="s">
        <v>214</v>
      </c>
      <c r="G850" s="5">
        <v>45877</v>
      </c>
      <c r="H850" t="s">
        <v>73</v>
      </c>
      <c r="I850" t="s">
        <v>569</v>
      </c>
      <c r="J850" t="s">
        <v>478</v>
      </c>
      <c r="K850">
        <v>9</v>
      </c>
      <c r="L850" t="s">
        <v>90</v>
      </c>
      <c r="M850" t="s">
        <v>583</v>
      </c>
      <c r="N850" t="s">
        <v>109</v>
      </c>
      <c r="P850">
        <v>130</v>
      </c>
      <c r="Q850">
        <v>6290</v>
      </c>
      <c r="R850" t="s">
        <v>91</v>
      </c>
      <c r="S850" t="s">
        <v>80</v>
      </c>
      <c r="T850" t="s">
        <v>353</v>
      </c>
      <c r="U850" t="s">
        <v>40</v>
      </c>
      <c r="V850" t="s">
        <v>48</v>
      </c>
      <c r="Y850" t="s">
        <v>70</v>
      </c>
      <c r="AA850">
        <v>1</v>
      </c>
      <c r="AB850" t="s">
        <v>34</v>
      </c>
      <c r="AC850" t="s">
        <v>92</v>
      </c>
      <c r="AE850" t="str">
        <f t="shared" si="265"/>
        <v>LynchSnyder</v>
      </c>
      <c r="AF850">
        <v>0.5</v>
      </c>
      <c r="AG850">
        <v>0</v>
      </c>
      <c r="AH850">
        <v>0</v>
      </c>
      <c r="AI850">
        <v>1</v>
      </c>
      <c r="AK850" t="s">
        <v>42</v>
      </c>
      <c r="AM850" t="s">
        <v>45</v>
      </c>
      <c r="AO850">
        <f t="shared" si="266"/>
        <v>0</v>
      </c>
      <c r="AP850">
        <f t="shared" si="266"/>
        <v>0</v>
      </c>
      <c r="AQ850">
        <f t="shared" si="266"/>
        <v>0</v>
      </c>
      <c r="AR850">
        <f t="shared" si="266"/>
        <v>0</v>
      </c>
      <c r="AS850">
        <f t="shared" si="266"/>
        <v>0</v>
      </c>
      <c r="AT850">
        <f t="shared" si="266"/>
        <v>0</v>
      </c>
      <c r="AU850">
        <f t="shared" si="266"/>
        <v>0</v>
      </c>
      <c r="AV850">
        <f t="shared" si="266"/>
        <v>0</v>
      </c>
      <c r="AW850" t="str">
        <f t="shared" si="266"/>
        <v>Lynch</v>
      </c>
      <c r="AX850">
        <f t="shared" si="266"/>
        <v>0</v>
      </c>
      <c r="AY850">
        <f t="shared" si="267"/>
        <v>0</v>
      </c>
      <c r="AZ850">
        <f t="shared" si="267"/>
        <v>0</v>
      </c>
      <c r="BA850">
        <f t="shared" si="267"/>
        <v>0</v>
      </c>
      <c r="BB850">
        <f t="shared" si="267"/>
        <v>0</v>
      </c>
      <c r="BC850">
        <f t="shared" si="267"/>
        <v>0</v>
      </c>
      <c r="BD850">
        <f t="shared" si="267"/>
        <v>0</v>
      </c>
      <c r="BE850">
        <f t="shared" si="267"/>
        <v>0</v>
      </c>
      <c r="BF850">
        <f t="shared" si="267"/>
        <v>0</v>
      </c>
      <c r="BG850">
        <f t="shared" si="267"/>
        <v>0</v>
      </c>
      <c r="BH850">
        <f t="shared" si="267"/>
        <v>0</v>
      </c>
      <c r="BI850">
        <f t="shared" si="268"/>
        <v>0</v>
      </c>
      <c r="BJ850">
        <f t="shared" si="268"/>
        <v>0</v>
      </c>
      <c r="BK850">
        <f t="shared" si="268"/>
        <v>0</v>
      </c>
      <c r="BL850">
        <f t="shared" si="268"/>
        <v>0</v>
      </c>
      <c r="BM850">
        <f t="shared" si="268"/>
        <v>0</v>
      </c>
      <c r="BN850">
        <f t="shared" si="268"/>
        <v>0</v>
      </c>
      <c r="BO850">
        <f t="shared" si="268"/>
        <v>0</v>
      </c>
      <c r="BP850">
        <f t="shared" si="268"/>
        <v>0</v>
      </c>
      <c r="BQ850">
        <f t="shared" si="268"/>
        <v>0</v>
      </c>
      <c r="BR850">
        <f t="shared" si="268"/>
        <v>0</v>
      </c>
      <c r="BS850" t="str">
        <f t="shared" si="268"/>
        <v>Snyder</v>
      </c>
    </row>
    <row r="851" spans="2:71" ht="15" customHeight="1" x14ac:dyDescent="0.2">
      <c r="B851">
        <v>26</v>
      </c>
      <c r="D851">
        <v>12</v>
      </c>
      <c r="E851" t="s">
        <v>593</v>
      </c>
      <c r="F851" t="s">
        <v>214</v>
      </c>
      <c r="G851" s="5">
        <v>45877</v>
      </c>
      <c r="H851" t="s">
        <v>97</v>
      </c>
      <c r="I851" t="s">
        <v>569</v>
      </c>
      <c r="J851" t="s">
        <v>478</v>
      </c>
      <c r="K851">
        <v>9</v>
      </c>
      <c r="L851" t="s">
        <v>90</v>
      </c>
      <c r="M851" t="s">
        <v>594</v>
      </c>
      <c r="N851" t="s">
        <v>78</v>
      </c>
      <c r="P851">
        <v>131</v>
      </c>
      <c r="Q851">
        <v>6383</v>
      </c>
      <c r="R851" t="s">
        <v>313</v>
      </c>
      <c r="S851" t="s">
        <v>80</v>
      </c>
      <c r="T851" t="s">
        <v>353</v>
      </c>
      <c r="U851" t="s">
        <v>40</v>
      </c>
      <c r="V851" t="s">
        <v>41</v>
      </c>
      <c r="Y851" t="s">
        <v>43</v>
      </c>
      <c r="AA851">
        <v>1</v>
      </c>
      <c r="AB851" t="s">
        <v>33</v>
      </c>
      <c r="AE851" t="str">
        <f t="shared" si="265"/>
        <v>HiltsPoirier</v>
      </c>
      <c r="AF851">
        <v>0</v>
      </c>
      <c r="AG851">
        <v>0</v>
      </c>
      <c r="AH851">
        <v>1</v>
      </c>
      <c r="AI851">
        <v>0</v>
      </c>
      <c r="AK851" t="s">
        <v>64</v>
      </c>
      <c r="AM851" t="s">
        <v>60</v>
      </c>
      <c r="AO851">
        <f t="shared" si="266"/>
        <v>0</v>
      </c>
      <c r="AP851" t="str">
        <f t="shared" si="266"/>
        <v>Hilts</v>
      </c>
      <c r="AQ851">
        <f t="shared" si="266"/>
        <v>0</v>
      </c>
      <c r="AR851" t="str">
        <f t="shared" si="266"/>
        <v>Poirier</v>
      </c>
      <c r="AS851">
        <f t="shared" si="266"/>
        <v>0</v>
      </c>
      <c r="AT851">
        <f t="shared" si="266"/>
        <v>0</v>
      </c>
      <c r="AU851">
        <f t="shared" si="266"/>
        <v>0</v>
      </c>
      <c r="AV851">
        <f t="shared" si="266"/>
        <v>0</v>
      </c>
      <c r="AW851">
        <f t="shared" si="266"/>
        <v>0</v>
      </c>
      <c r="AX851">
        <f t="shared" si="266"/>
        <v>0</v>
      </c>
      <c r="AY851">
        <f t="shared" si="267"/>
        <v>0</v>
      </c>
      <c r="AZ851">
        <f t="shared" si="267"/>
        <v>0</v>
      </c>
      <c r="BA851">
        <f t="shared" si="267"/>
        <v>0</v>
      </c>
      <c r="BB851">
        <f t="shared" si="267"/>
        <v>0</v>
      </c>
      <c r="BC851">
        <f t="shared" si="267"/>
        <v>0</v>
      </c>
      <c r="BD851">
        <f t="shared" si="267"/>
        <v>0</v>
      </c>
      <c r="BE851">
        <f t="shared" si="267"/>
        <v>0</v>
      </c>
      <c r="BF851">
        <f t="shared" si="267"/>
        <v>0</v>
      </c>
      <c r="BG851">
        <f t="shared" si="267"/>
        <v>0</v>
      </c>
      <c r="BH851">
        <f t="shared" si="267"/>
        <v>0</v>
      </c>
      <c r="BI851">
        <f t="shared" si="268"/>
        <v>0</v>
      </c>
      <c r="BJ851">
        <f t="shared" si="268"/>
        <v>0</v>
      </c>
      <c r="BK851">
        <f t="shared" si="268"/>
        <v>0</v>
      </c>
      <c r="BL851">
        <f t="shared" si="268"/>
        <v>0</v>
      </c>
      <c r="BM851">
        <f t="shared" si="268"/>
        <v>0</v>
      </c>
      <c r="BN851">
        <f t="shared" si="268"/>
        <v>0</v>
      </c>
      <c r="BO851">
        <f t="shared" si="268"/>
        <v>0</v>
      </c>
      <c r="BP851">
        <f t="shared" si="268"/>
        <v>0</v>
      </c>
      <c r="BQ851">
        <f t="shared" si="268"/>
        <v>0</v>
      </c>
      <c r="BR851">
        <f t="shared" si="268"/>
        <v>0</v>
      </c>
      <c r="BS851">
        <f t="shared" si="268"/>
        <v>0</v>
      </c>
    </row>
    <row r="852" spans="2:71" ht="15" customHeight="1" x14ac:dyDescent="0.2">
      <c r="B852">
        <v>27</v>
      </c>
      <c r="D852">
        <v>12</v>
      </c>
      <c r="E852" t="s">
        <v>595</v>
      </c>
      <c r="F852" t="s">
        <v>214</v>
      </c>
      <c r="G852" s="5">
        <v>45877</v>
      </c>
      <c r="H852" t="s">
        <v>97</v>
      </c>
      <c r="I852" t="s">
        <v>569</v>
      </c>
      <c r="J852" t="s">
        <v>478</v>
      </c>
      <c r="K852">
        <v>9</v>
      </c>
      <c r="L852" t="s">
        <v>90</v>
      </c>
      <c r="M852" t="s">
        <v>594</v>
      </c>
      <c r="N852" t="s">
        <v>78</v>
      </c>
      <c r="P852">
        <v>131</v>
      </c>
      <c r="Q852">
        <v>6383</v>
      </c>
      <c r="R852" t="s">
        <v>313</v>
      </c>
      <c r="S852" t="s">
        <v>80</v>
      </c>
      <c r="T852" t="s">
        <v>353</v>
      </c>
      <c r="U852" t="s">
        <v>40</v>
      </c>
      <c r="V852" t="s">
        <v>40</v>
      </c>
      <c r="Y852" t="s">
        <v>70</v>
      </c>
      <c r="AA852">
        <v>1</v>
      </c>
      <c r="AB852" t="s">
        <v>34</v>
      </c>
      <c r="AC852" t="s">
        <v>92</v>
      </c>
      <c r="AE852" t="str">
        <f t="shared" si="265"/>
        <v>GriseSnyder</v>
      </c>
      <c r="AF852">
        <v>0.5</v>
      </c>
      <c r="AG852">
        <v>0</v>
      </c>
      <c r="AH852">
        <v>0</v>
      </c>
      <c r="AI852">
        <v>1</v>
      </c>
      <c r="AK852" t="s">
        <v>54</v>
      </c>
      <c r="AM852" t="s">
        <v>65</v>
      </c>
      <c r="AO852" t="str">
        <f t="shared" ref="AO852:AX861" si="269">IF(OR($V852=AO$1,$Y852=AO$1),AO$1,0)</f>
        <v>Grise</v>
      </c>
      <c r="AP852">
        <f t="shared" si="269"/>
        <v>0</v>
      </c>
      <c r="AQ852">
        <f t="shared" si="269"/>
        <v>0</v>
      </c>
      <c r="AR852">
        <f t="shared" si="269"/>
        <v>0</v>
      </c>
      <c r="AS852">
        <f t="shared" si="269"/>
        <v>0</v>
      </c>
      <c r="AT852">
        <f t="shared" si="269"/>
        <v>0</v>
      </c>
      <c r="AU852">
        <f t="shared" si="269"/>
        <v>0</v>
      </c>
      <c r="AV852">
        <f t="shared" si="269"/>
        <v>0</v>
      </c>
      <c r="AW852">
        <f t="shared" si="269"/>
        <v>0</v>
      </c>
      <c r="AX852">
        <f t="shared" si="269"/>
        <v>0</v>
      </c>
      <c r="AY852">
        <f t="shared" ref="AY852:BH861" si="270">IF(OR($V852=AY$1,$Y852=AY$1),AY$1,0)</f>
        <v>0</v>
      </c>
      <c r="AZ852">
        <f t="shared" si="270"/>
        <v>0</v>
      </c>
      <c r="BA852">
        <f t="shared" si="270"/>
        <v>0</v>
      </c>
      <c r="BB852">
        <f t="shared" si="270"/>
        <v>0</v>
      </c>
      <c r="BC852">
        <f t="shared" si="270"/>
        <v>0</v>
      </c>
      <c r="BD852">
        <f t="shared" si="270"/>
        <v>0</v>
      </c>
      <c r="BE852">
        <f t="shared" si="270"/>
        <v>0</v>
      </c>
      <c r="BF852">
        <f t="shared" si="270"/>
        <v>0</v>
      </c>
      <c r="BG852">
        <f t="shared" si="270"/>
        <v>0</v>
      </c>
      <c r="BH852">
        <f t="shared" si="270"/>
        <v>0</v>
      </c>
      <c r="BI852">
        <f t="shared" ref="BI852:BS861" si="271">IF(OR($V852=BI$1,$Y852=BI$1),BI$1,0)</f>
        <v>0</v>
      </c>
      <c r="BJ852">
        <f t="shared" si="271"/>
        <v>0</v>
      </c>
      <c r="BK852">
        <f t="shared" si="271"/>
        <v>0</v>
      </c>
      <c r="BL852">
        <f t="shared" si="271"/>
        <v>0</v>
      </c>
      <c r="BM852">
        <f t="shared" si="271"/>
        <v>0</v>
      </c>
      <c r="BN852">
        <f t="shared" si="271"/>
        <v>0</v>
      </c>
      <c r="BO852">
        <f t="shared" si="271"/>
        <v>0</v>
      </c>
      <c r="BP852">
        <f t="shared" si="271"/>
        <v>0</v>
      </c>
      <c r="BQ852">
        <f t="shared" si="271"/>
        <v>0</v>
      </c>
      <c r="BR852">
        <f t="shared" si="271"/>
        <v>0</v>
      </c>
      <c r="BS852" t="str">
        <f t="shared" si="271"/>
        <v>Snyder</v>
      </c>
    </row>
    <row r="853" spans="2:71" ht="15" customHeight="1" x14ac:dyDescent="0.2">
      <c r="B853">
        <v>28</v>
      </c>
      <c r="D853">
        <v>12</v>
      </c>
      <c r="E853" t="s">
        <v>596</v>
      </c>
      <c r="F853" t="s">
        <v>214</v>
      </c>
      <c r="G853" s="5">
        <v>45877</v>
      </c>
      <c r="H853" t="s">
        <v>97</v>
      </c>
      <c r="I853" t="s">
        <v>569</v>
      </c>
      <c r="J853" t="s">
        <v>478</v>
      </c>
      <c r="K853">
        <v>9</v>
      </c>
      <c r="L853" t="s">
        <v>90</v>
      </c>
      <c r="M853" t="s">
        <v>594</v>
      </c>
      <c r="N853" t="s">
        <v>78</v>
      </c>
      <c r="P853">
        <v>131</v>
      </c>
      <c r="Q853">
        <v>6383</v>
      </c>
      <c r="R853" t="s">
        <v>313</v>
      </c>
      <c r="S853" t="s">
        <v>80</v>
      </c>
      <c r="T853" t="s">
        <v>353</v>
      </c>
      <c r="U853" t="s">
        <v>40</v>
      </c>
      <c r="V853" t="s">
        <v>49</v>
      </c>
      <c r="Y853" t="s">
        <v>53</v>
      </c>
      <c r="AA853">
        <v>1</v>
      </c>
      <c r="AB853" t="s">
        <v>33</v>
      </c>
      <c r="AC853" t="s">
        <v>184</v>
      </c>
      <c r="AE853" t="str">
        <f t="shared" si="265"/>
        <v>ShivelyForster</v>
      </c>
      <c r="AF853">
        <v>0</v>
      </c>
      <c r="AG853">
        <v>0</v>
      </c>
      <c r="AH853">
        <v>1</v>
      </c>
      <c r="AI853">
        <v>0</v>
      </c>
      <c r="AK853" t="s">
        <v>45</v>
      </c>
      <c r="AM853" t="s">
        <v>50</v>
      </c>
      <c r="AO853">
        <f t="shared" si="269"/>
        <v>0</v>
      </c>
      <c r="AP853">
        <f t="shared" si="269"/>
        <v>0</v>
      </c>
      <c r="AQ853">
        <f t="shared" si="269"/>
        <v>0</v>
      </c>
      <c r="AR853">
        <f t="shared" si="269"/>
        <v>0</v>
      </c>
      <c r="AS853">
        <f t="shared" si="269"/>
        <v>0</v>
      </c>
      <c r="AT853">
        <f t="shared" si="269"/>
        <v>0</v>
      </c>
      <c r="AU853">
        <f t="shared" si="269"/>
        <v>0</v>
      </c>
      <c r="AV853">
        <f t="shared" si="269"/>
        <v>0</v>
      </c>
      <c r="AW853">
        <f t="shared" si="269"/>
        <v>0</v>
      </c>
      <c r="AX853" t="str">
        <f t="shared" si="269"/>
        <v>Shively</v>
      </c>
      <c r="AY853">
        <f t="shared" si="270"/>
        <v>0</v>
      </c>
      <c r="AZ853">
        <f t="shared" si="270"/>
        <v>0</v>
      </c>
      <c r="BA853">
        <f t="shared" si="270"/>
        <v>0</v>
      </c>
      <c r="BB853" t="str">
        <f t="shared" si="270"/>
        <v>Forster</v>
      </c>
      <c r="BC853">
        <f t="shared" si="270"/>
        <v>0</v>
      </c>
      <c r="BD853">
        <f t="shared" si="270"/>
        <v>0</v>
      </c>
      <c r="BE853">
        <f t="shared" si="270"/>
        <v>0</v>
      </c>
      <c r="BF853">
        <f t="shared" si="270"/>
        <v>0</v>
      </c>
      <c r="BG853">
        <f t="shared" si="270"/>
        <v>0</v>
      </c>
      <c r="BH853">
        <f t="shared" si="270"/>
        <v>0</v>
      </c>
      <c r="BI853">
        <f t="shared" si="271"/>
        <v>0</v>
      </c>
      <c r="BJ853">
        <f t="shared" si="271"/>
        <v>0</v>
      </c>
      <c r="BK853">
        <f t="shared" si="271"/>
        <v>0</v>
      </c>
      <c r="BL853">
        <f t="shared" si="271"/>
        <v>0</v>
      </c>
      <c r="BM853">
        <f t="shared" si="271"/>
        <v>0</v>
      </c>
      <c r="BN853">
        <f t="shared" si="271"/>
        <v>0</v>
      </c>
      <c r="BO853">
        <f t="shared" si="271"/>
        <v>0</v>
      </c>
      <c r="BP853">
        <f t="shared" si="271"/>
        <v>0</v>
      </c>
      <c r="BQ853">
        <f t="shared" si="271"/>
        <v>0</v>
      </c>
      <c r="BR853">
        <f t="shared" si="271"/>
        <v>0</v>
      </c>
      <c r="BS853">
        <f t="shared" si="271"/>
        <v>0</v>
      </c>
    </row>
    <row r="854" spans="2:71" ht="15" customHeight="1" x14ac:dyDescent="0.2">
      <c r="B854">
        <v>29</v>
      </c>
      <c r="D854">
        <v>12</v>
      </c>
      <c r="E854" t="s">
        <v>597</v>
      </c>
      <c r="F854" t="s">
        <v>214</v>
      </c>
      <c r="G854" s="5">
        <v>45877</v>
      </c>
      <c r="H854" t="s">
        <v>97</v>
      </c>
      <c r="I854" t="s">
        <v>569</v>
      </c>
      <c r="J854" t="s">
        <v>478</v>
      </c>
      <c r="K854">
        <v>9</v>
      </c>
      <c r="L854" t="s">
        <v>90</v>
      </c>
      <c r="M854" t="s">
        <v>594</v>
      </c>
      <c r="N854" t="s">
        <v>78</v>
      </c>
      <c r="P854">
        <v>131</v>
      </c>
      <c r="Q854">
        <v>6383</v>
      </c>
      <c r="R854" t="s">
        <v>313</v>
      </c>
      <c r="S854" t="s">
        <v>80</v>
      </c>
      <c r="T854" t="s">
        <v>353</v>
      </c>
      <c r="U854" t="s">
        <v>40</v>
      </c>
      <c r="V854" t="s">
        <v>44</v>
      </c>
      <c r="Y854" t="s">
        <v>46</v>
      </c>
      <c r="AA854">
        <v>1</v>
      </c>
      <c r="AB854" t="s">
        <v>32</v>
      </c>
      <c r="AE854" t="str">
        <f t="shared" si="265"/>
        <v>FlandersMangold</v>
      </c>
      <c r="AF854">
        <v>1</v>
      </c>
      <c r="AG854">
        <v>1</v>
      </c>
      <c r="AH854">
        <v>0</v>
      </c>
      <c r="AI854">
        <v>0</v>
      </c>
      <c r="AK854" t="s">
        <v>67</v>
      </c>
      <c r="AM854" t="s">
        <v>63</v>
      </c>
      <c r="AO854">
        <f t="shared" si="269"/>
        <v>0</v>
      </c>
      <c r="AP854">
        <f t="shared" si="269"/>
        <v>0</v>
      </c>
      <c r="AQ854">
        <f t="shared" si="269"/>
        <v>0</v>
      </c>
      <c r="AR854">
        <f t="shared" si="269"/>
        <v>0</v>
      </c>
      <c r="AS854" t="str">
        <f t="shared" si="269"/>
        <v>Flanders</v>
      </c>
      <c r="AT854">
        <f t="shared" si="269"/>
        <v>0</v>
      </c>
      <c r="AU854" t="str">
        <f t="shared" si="269"/>
        <v>Mangold</v>
      </c>
      <c r="AV854">
        <f t="shared" si="269"/>
        <v>0</v>
      </c>
      <c r="AW854">
        <f t="shared" si="269"/>
        <v>0</v>
      </c>
      <c r="AX854">
        <f t="shared" si="269"/>
        <v>0</v>
      </c>
      <c r="AY854">
        <f t="shared" si="270"/>
        <v>0</v>
      </c>
      <c r="AZ854">
        <f t="shared" si="270"/>
        <v>0</v>
      </c>
      <c r="BA854">
        <f t="shared" si="270"/>
        <v>0</v>
      </c>
      <c r="BB854">
        <f t="shared" si="270"/>
        <v>0</v>
      </c>
      <c r="BC854">
        <f t="shared" si="270"/>
        <v>0</v>
      </c>
      <c r="BD854">
        <f t="shared" si="270"/>
        <v>0</v>
      </c>
      <c r="BE854">
        <f t="shared" si="270"/>
        <v>0</v>
      </c>
      <c r="BF854">
        <f t="shared" si="270"/>
        <v>0</v>
      </c>
      <c r="BG854">
        <f t="shared" si="270"/>
        <v>0</v>
      </c>
      <c r="BH854">
        <f t="shared" si="270"/>
        <v>0</v>
      </c>
      <c r="BI854">
        <f t="shared" si="271"/>
        <v>0</v>
      </c>
      <c r="BJ854">
        <f t="shared" si="271"/>
        <v>0</v>
      </c>
      <c r="BK854">
        <f t="shared" si="271"/>
        <v>0</v>
      </c>
      <c r="BL854">
        <f t="shared" si="271"/>
        <v>0</v>
      </c>
      <c r="BM854">
        <f t="shared" si="271"/>
        <v>0</v>
      </c>
      <c r="BN854">
        <f t="shared" si="271"/>
        <v>0</v>
      </c>
      <c r="BO854">
        <f t="shared" si="271"/>
        <v>0</v>
      </c>
      <c r="BP854">
        <f t="shared" si="271"/>
        <v>0</v>
      </c>
      <c r="BQ854">
        <f t="shared" si="271"/>
        <v>0</v>
      </c>
      <c r="BR854">
        <f t="shared" si="271"/>
        <v>0</v>
      </c>
      <c r="BS854">
        <f t="shared" si="271"/>
        <v>0</v>
      </c>
    </row>
    <row r="855" spans="2:71" ht="15" customHeight="1" x14ac:dyDescent="0.2">
      <c r="B855">
        <v>30</v>
      </c>
      <c r="D855">
        <v>12</v>
      </c>
      <c r="E855" t="s">
        <v>598</v>
      </c>
      <c r="F855" t="s">
        <v>214</v>
      </c>
      <c r="G855" s="5">
        <v>45877</v>
      </c>
      <c r="H855" t="s">
        <v>97</v>
      </c>
      <c r="I855" t="s">
        <v>569</v>
      </c>
      <c r="J855" t="s">
        <v>478</v>
      </c>
      <c r="K855">
        <v>9</v>
      </c>
      <c r="L855" t="s">
        <v>90</v>
      </c>
      <c r="M855" t="s">
        <v>594</v>
      </c>
      <c r="N855" t="s">
        <v>78</v>
      </c>
      <c r="P855">
        <v>131</v>
      </c>
      <c r="Q855">
        <v>6383</v>
      </c>
      <c r="R855" t="s">
        <v>313</v>
      </c>
      <c r="S855" t="s">
        <v>80</v>
      </c>
      <c r="T855" t="s">
        <v>353</v>
      </c>
      <c r="U855" t="s">
        <v>40</v>
      </c>
      <c r="V855" t="s">
        <v>66</v>
      </c>
      <c r="Y855" t="s">
        <v>48</v>
      </c>
      <c r="AA855">
        <v>1</v>
      </c>
      <c r="AB855" t="s">
        <v>32</v>
      </c>
      <c r="AC855" t="s">
        <v>174</v>
      </c>
      <c r="AE855" t="str">
        <f t="shared" si="265"/>
        <v>PerkinsLynch</v>
      </c>
      <c r="AF855">
        <v>1</v>
      </c>
      <c r="AG855">
        <v>1</v>
      </c>
      <c r="AH855">
        <v>0</v>
      </c>
      <c r="AI855">
        <v>0</v>
      </c>
      <c r="AK855" t="s">
        <v>69</v>
      </c>
      <c r="AM855" t="s">
        <v>42</v>
      </c>
      <c r="AO855">
        <f t="shared" si="269"/>
        <v>0</v>
      </c>
      <c r="AP855">
        <f t="shared" si="269"/>
        <v>0</v>
      </c>
      <c r="AQ855">
        <f t="shared" si="269"/>
        <v>0</v>
      </c>
      <c r="AR855">
        <f t="shared" si="269"/>
        <v>0</v>
      </c>
      <c r="AS855">
        <f t="shared" si="269"/>
        <v>0</v>
      </c>
      <c r="AT855">
        <f t="shared" si="269"/>
        <v>0</v>
      </c>
      <c r="AU855">
        <f t="shared" si="269"/>
        <v>0</v>
      </c>
      <c r="AV855">
        <f t="shared" si="269"/>
        <v>0</v>
      </c>
      <c r="AW855" t="str">
        <f t="shared" si="269"/>
        <v>Lynch</v>
      </c>
      <c r="AX855">
        <f t="shared" si="269"/>
        <v>0</v>
      </c>
      <c r="AY855">
        <f t="shared" si="270"/>
        <v>0</v>
      </c>
      <c r="AZ855">
        <f t="shared" si="270"/>
        <v>0</v>
      </c>
      <c r="BA855">
        <f t="shared" si="270"/>
        <v>0</v>
      </c>
      <c r="BB855">
        <f t="shared" si="270"/>
        <v>0</v>
      </c>
      <c r="BC855">
        <f t="shared" si="270"/>
        <v>0</v>
      </c>
      <c r="BD855">
        <f t="shared" si="270"/>
        <v>0</v>
      </c>
      <c r="BE855">
        <f t="shared" si="270"/>
        <v>0</v>
      </c>
      <c r="BF855">
        <f t="shared" si="270"/>
        <v>0</v>
      </c>
      <c r="BG855">
        <f t="shared" si="270"/>
        <v>0</v>
      </c>
      <c r="BH855">
        <f t="shared" si="270"/>
        <v>0</v>
      </c>
      <c r="BI855">
        <f t="shared" si="271"/>
        <v>0</v>
      </c>
      <c r="BJ855">
        <f t="shared" si="271"/>
        <v>0</v>
      </c>
      <c r="BK855">
        <f t="shared" si="271"/>
        <v>0</v>
      </c>
      <c r="BL855">
        <f t="shared" si="271"/>
        <v>0</v>
      </c>
      <c r="BM855">
        <f t="shared" si="271"/>
        <v>0</v>
      </c>
      <c r="BN855">
        <f t="shared" si="271"/>
        <v>0</v>
      </c>
      <c r="BO855" t="str">
        <f t="shared" si="271"/>
        <v>Perkins</v>
      </c>
      <c r="BP855">
        <f t="shared" si="271"/>
        <v>0</v>
      </c>
      <c r="BQ855">
        <f t="shared" si="271"/>
        <v>0</v>
      </c>
      <c r="BR855">
        <f t="shared" si="271"/>
        <v>0</v>
      </c>
      <c r="BS855">
        <f t="shared" si="271"/>
        <v>0</v>
      </c>
    </row>
    <row r="856" spans="2:71" ht="15" customHeight="1" x14ac:dyDescent="0.2">
      <c r="B856">
        <v>21</v>
      </c>
      <c r="D856">
        <v>12</v>
      </c>
      <c r="E856" t="s">
        <v>599</v>
      </c>
      <c r="F856" t="s">
        <v>214</v>
      </c>
      <c r="G856" s="5">
        <v>45877</v>
      </c>
      <c r="H856" t="s">
        <v>97</v>
      </c>
      <c r="I856" t="s">
        <v>569</v>
      </c>
      <c r="J856" t="s">
        <v>478</v>
      </c>
      <c r="K856">
        <v>9</v>
      </c>
      <c r="L856" t="s">
        <v>76</v>
      </c>
      <c r="M856" t="s">
        <v>594</v>
      </c>
      <c r="N856" t="s">
        <v>78</v>
      </c>
      <c r="P856">
        <v>131</v>
      </c>
      <c r="Q856">
        <v>6383</v>
      </c>
      <c r="R856" t="s">
        <v>79</v>
      </c>
      <c r="S856" t="s">
        <v>80</v>
      </c>
      <c r="T856" t="s">
        <v>353</v>
      </c>
      <c r="U856" t="s">
        <v>40</v>
      </c>
      <c r="V856" t="s">
        <v>41</v>
      </c>
      <c r="Y856" t="s">
        <v>43</v>
      </c>
      <c r="AA856">
        <v>1</v>
      </c>
      <c r="AB856" t="s">
        <v>32</v>
      </c>
      <c r="AE856" t="str">
        <f t="shared" si="265"/>
        <v>HiltsPoirier</v>
      </c>
      <c r="AF856">
        <v>1</v>
      </c>
      <c r="AG856">
        <v>1</v>
      </c>
      <c r="AH856">
        <v>0</v>
      </c>
      <c r="AI856">
        <v>0</v>
      </c>
      <c r="AK856" t="s">
        <v>64</v>
      </c>
      <c r="AM856" t="s">
        <v>60</v>
      </c>
      <c r="AO856">
        <f t="shared" si="269"/>
        <v>0</v>
      </c>
      <c r="AP856" t="str">
        <f t="shared" si="269"/>
        <v>Hilts</v>
      </c>
      <c r="AQ856">
        <f t="shared" si="269"/>
        <v>0</v>
      </c>
      <c r="AR856" t="str">
        <f t="shared" si="269"/>
        <v>Poirier</v>
      </c>
      <c r="AS856">
        <f t="shared" si="269"/>
        <v>0</v>
      </c>
      <c r="AT856">
        <f t="shared" si="269"/>
        <v>0</v>
      </c>
      <c r="AU856">
        <f t="shared" si="269"/>
        <v>0</v>
      </c>
      <c r="AV856">
        <f t="shared" si="269"/>
        <v>0</v>
      </c>
      <c r="AW856">
        <f t="shared" si="269"/>
        <v>0</v>
      </c>
      <c r="AX856">
        <f t="shared" si="269"/>
        <v>0</v>
      </c>
      <c r="AY856">
        <f t="shared" si="270"/>
        <v>0</v>
      </c>
      <c r="AZ856">
        <f t="shared" si="270"/>
        <v>0</v>
      </c>
      <c r="BA856">
        <f t="shared" si="270"/>
        <v>0</v>
      </c>
      <c r="BB856">
        <f t="shared" si="270"/>
        <v>0</v>
      </c>
      <c r="BC856">
        <f t="shared" si="270"/>
        <v>0</v>
      </c>
      <c r="BD856">
        <f t="shared" si="270"/>
        <v>0</v>
      </c>
      <c r="BE856">
        <f t="shared" si="270"/>
        <v>0</v>
      </c>
      <c r="BF856">
        <f t="shared" si="270"/>
        <v>0</v>
      </c>
      <c r="BG856">
        <f t="shared" si="270"/>
        <v>0</v>
      </c>
      <c r="BH856">
        <f t="shared" si="270"/>
        <v>0</v>
      </c>
      <c r="BI856">
        <f t="shared" si="271"/>
        <v>0</v>
      </c>
      <c r="BJ856">
        <f t="shared" si="271"/>
        <v>0</v>
      </c>
      <c r="BK856">
        <f t="shared" si="271"/>
        <v>0</v>
      </c>
      <c r="BL856">
        <f t="shared" si="271"/>
        <v>0</v>
      </c>
      <c r="BM856">
        <f t="shared" si="271"/>
        <v>0</v>
      </c>
      <c r="BN856">
        <f t="shared" si="271"/>
        <v>0</v>
      </c>
      <c r="BO856">
        <f t="shared" si="271"/>
        <v>0</v>
      </c>
      <c r="BP856">
        <f t="shared" si="271"/>
        <v>0</v>
      </c>
      <c r="BQ856">
        <f t="shared" si="271"/>
        <v>0</v>
      </c>
      <c r="BR856">
        <f t="shared" si="271"/>
        <v>0</v>
      </c>
      <c r="BS856">
        <f t="shared" si="271"/>
        <v>0</v>
      </c>
    </row>
    <row r="857" spans="2:71" ht="15" customHeight="1" x14ac:dyDescent="0.2">
      <c r="B857">
        <v>22</v>
      </c>
      <c r="D857">
        <v>12</v>
      </c>
      <c r="E857" t="s">
        <v>600</v>
      </c>
      <c r="F857" t="s">
        <v>214</v>
      </c>
      <c r="G857" s="5">
        <v>45877</v>
      </c>
      <c r="H857" t="s">
        <v>97</v>
      </c>
      <c r="I857" t="s">
        <v>569</v>
      </c>
      <c r="J857" t="s">
        <v>478</v>
      </c>
      <c r="K857">
        <v>9</v>
      </c>
      <c r="L857" t="s">
        <v>76</v>
      </c>
      <c r="M857" t="s">
        <v>594</v>
      </c>
      <c r="N857" t="s">
        <v>78</v>
      </c>
      <c r="P857">
        <v>131</v>
      </c>
      <c r="Q857">
        <v>6383</v>
      </c>
      <c r="R857" t="s">
        <v>79</v>
      </c>
      <c r="S857" t="s">
        <v>80</v>
      </c>
      <c r="T857" t="s">
        <v>353</v>
      </c>
      <c r="U857" t="s">
        <v>40</v>
      </c>
      <c r="V857" t="s">
        <v>40</v>
      </c>
      <c r="Y857" t="s">
        <v>70</v>
      </c>
      <c r="AA857">
        <v>1</v>
      </c>
      <c r="AB857" t="s">
        <v>32</v>
      </c>
      <c r="AE857" t="str">
        <f t="shared" si="265"/>
        <v>GriseSnyder</v>
      </c>
      <c r="AF857">
        <v>1</v>
      </c>
      <c r="AG857">
        <v>1</v>
      </c>
      <c r="AH857">
        <v>0</v>
      </c>
      <c r="AI857">
        <v>0</v>
      </c>
      <c r="AK857" t="s">
        <v>54</v>
      </c>
      <c r="AM857" t="s">
        <v>65</v>
      </c>
      <c r="AO857" t="str">
        <f t="shared" si="269"/>
        <v>Grise</v>
      </c>
      <c r="AP857">
        <f t="shared" si="269"/>
        <v>0</v>
      </c>
      <c r="AQ857">
        <f t="shared" si="269"/>
        <v>0</v>
      </c>
      <c r="AR857">
        <f t="shared" si="269"/>
        <v>0</v>
      </c>
      <c r="AS857">
        <f t="shared" si="269"/>
        <v>0</v>
      </c>
      <c r="AT857">
        <f t="shared" si="269"/>
        <v>0</v>
      </c>
      <c r="AU857">
        <f t="shared" si="269"/>
        <v>0</v>
      </c>
      <c r="AV857">
        <f t="shared" si="269"/>
        <v>0</v>
      </c>
      <c r="AW857">
        <f t="shared" si="269"/>
        <v>0</v>
      </c>
      <c r="AX857">
        <f t="shared" si="269"/>
        <v>0</v>
      </c>
      <c r="AY857">
        <f t="shared" si="270"/>
        <v>0</v>
      </c>
      <c r="AZ857">
        <f t="shared" si="270"/>
        <v>0</v>
      </c>
      <c r="BA857">
        <f t="shared" si="270"/>
        <v>0</v>
      </c>
      <c r="BB857">
        <f t="shared" si="270"/>
        <v>0</v>
      </c>
      <c r="BC857">
        <f t="shared" si="270"/>
        <v>0</v>
      </c>
      <c r="BD857">
        <f t="shared" si="270"/>
        <v>0</v>
      </c>
      <c r="BE857">
        <f t="shared" si="270"/>
        <v>0</v>
      </c>
      <c r="BF857">
        <f t="shared" si="270"/>
        <v>0</v>
      </c>
      <c r="BG857">
        <f t="shared" si="270"/>
        <v>0</v>
      </c>
      <c r="BH857">
        <f t="shared" si="270"/>
        <v>0</v>
      </c>
      <c r="BI857">
        <f t="shared" si="271"/>
        <v>0</v>
      </c>
      <c r="BJ857">
        <f t="shared" si="271"/>
        <v>0</v>
      </c>
      <c r="BK857">
        <f t="shared" si="271"/>
        <v>0</v>
      </c>
      <c r="BL857">
        <f t="shared" si="271"/>
        <v>0</v>
      </c>
      <c r="BM857">
        <f t="shared" si="271"/>
        <v>0</v>
      </c>
      <c r="BN857">
        <f t="shared" si="271"/>
        <v>0</v>
      </c>
      <c r="BO857">
        <f t="shared" si="271"/>
        <v>0</v>
      </c>
      <c r="BP857">
        <f t="shared" si="271"/>
        <v>0</v>
      </c>
      <c r="BQ857">
        <f t="shared" si="271"/>
        <v>0</v>
      </c>
      <c r="BR857">
        <f t="shared" si="271"/>
        <v>0</v>
      </c>
      <c r="BS857" t="str">
        <f t="shared" si="271"/>
        <v>Snyder</v>
      </c>
    </row>
    <row r="858" spans="2:71" ht="15" customHeight="1" x14ac:dyDescent="0.2">
      <c r="B858">
        <v>23</v>
      </c>
      <c r="D858">
        <v>12</v>
      </c>
      <c r="E858" t="s">
        <v>601</v>
      </c>
      <c r="F858" t="s">
        <v>214</v>
      </c>
      <c r="G858" s="5">
        <v>45877</v>
      </c>
      <c r="H858" t="s">
        <v>97</v>
      </c>
      <c r="I858" t="s">
        <v>569</v>
      </c>
      <c r="J858" t="s">
        <v>478</v>
      </c>
      <c r="K858">
        <v>9</v>
      </c>
      <c r="L858" t="s">
        <v>76</v>
      </c>
      <c r="M858" t="s">
        <v>594</v>
      </c>
      <c r="N858" t="s">
        <v>78</v>
      </c>
      <c r="P858">
        <v>131</v>
      </c>
      <c r="Q858">
        <v>6383</v>
      </c>
      <c r="R858" t="s">
        <v>79</v>
      </c>
      <c r="S858" t="s">
        <v>80</v>
      </c>
      <c r="T858" t="s">
        <v>353</v>
      </c>
      <c r="U858" t="s">
        <v>40</v>
      </c>
      <c r="V858" t="s">
        <v>49</v>
      </c>
      <c r="Y858" t="s">
        <v>53</v>
      </c>
      <c r="AA858">
        <v>1</v>
      </c>
      <c r="AB858" t="s">
        <v>32</v>
      </c>
      <c r="AC858" t="s">
        <v>571</v>
      </c>
      <c r="AE858" t="str">
        <f t="shared" si="265"/>
        <v>ShivelyForster</v>
      </c>
      <c r="AF858">
        <v>1</v>
      </c>
      <c r="AG858">
        <v>1</v>
      </c>
      <c r="AH858">
        <v>0</v>
      </c>
      <c r="AI858">
        <v>0</v>
      </c>
      <c r="AK858" t="s">
        <v>45</v>
      </c>
      <c r="AM858" t="s">
        <v>50</v>
      </c>
      <c r="AO858">
        <f t="shared" si="269"/>
        <v>0</v>
      </c>
      <c r="AP858">
        <f t="shared" si="269"/>
        <v>0</v>
      </c>
      <c r="AQ858">
        <f t="shared" si="269"/>
        <v>0</v>
      </c>
      <c r="AR858">
        <f t="shared" si="269"/>
        <v>0</v>
      </c>
      <c r="AS858">
        <f t="shared" si="269"/>
        <v>0</v>
      </c>
      <c r="AT858">
        <f t="shared" si="269"/>
        <v>0</v>
      </c>
      <c r="AU858">
        <f t="shared" si="269"/>
        <v>0</v>
      </c>
      <c r="AV858">
        <f t="shared" si="269"/>
        <v>0</v>
      </c>
      <c r="AW858">
        <f t="shared" si="269"/>
        <v>0</v>
      </c>
      <c r="AX858" t="str">
        <f t="shared" si="269"/>
        <v>Shively</v>
      </c>
      <c r="AY858">
        <f t="shared" si="270"/>
        <v>0</v>
      </c>
      <c r="AZ858">
        <f t="shared" si="270"/>
        <v>0</v>
      </c>
      <c r="BA858">
        <f t="shared" si="270"/>
        <v>0</v>
      </c>
      <c r="BB858" t="str">
        <f t="shared" si="270"/>
        <v>Forster</v>
      </c>
      <c r="BC858">
        <f t="shared" si="270"/>
        <v>0</v>
      </c>
      <c r="BD858">
        <f t="shared" si="270"/>
        <v>0</v>
      </c>
      <c r="BE858">
        <f t="shared" si="270"/>
        <v>0</v>
      </c>
      <c r="BF858">
        <f t="shared" si="270"/>
        <v>0</v>
      </c>
      <c r="BG858">
        <f t="shared" si="270"/>
        <v>0</v>
      </c>
      <c r="BH858">
        <f t="shared" si="270"/>
        <v>0</v>
      </c>
      <c r="BI858">
        <f t="shared" si="271"/>
        <v>0</v>
      </c>
      <c r="BJ858">
        <f t="shared" si="271"/>
        <v>0</v>
      </c>
      <c r="BK858">
        <f t="shared" si="271"/>
        <v>0</v>
      </c>
      <c r="BL858">
        <f t="shared" si="271"/>
        <v>0</v>
      </c>
      <c r="BM858">
        <f t="shared" si="271"/>
        <v>0</v>
      </c>
      <c r="BN858">
        <f t="shared" si="271"/>
        <v>0</v>
      </c>
      <c r="BO858">
        <f t="shared" si="271"/>
        <v>0</v>
      </c>
      <c r="BP858">
        <f t="shared" si="271"/>
        <v>0</v>
      </c>
      <c r="BQ858">
        <f t="shared" si="271"/>
        <v>0</v>
      </c>
      <c r="BR858">
        <f t="shared" si="271"/>
        <v>0</v>
      </c>
      <c r="BS858">
        <f t="shared" si="271"/>
        <v>0</v>
      </c>
    </row>
    <row r="859" spans="2:71" ht="15" customHeight="1" x14ac:dyDescent="0.2">
      <c r="B859">
        <v>24</v>
      </c>
      <c r="D859">
        <v>12</v>
      </c>
      <c r="E859" t="s">
        <v>602</v>
      </c>
      <c r="F859" t="s">
        <v>214</v>
      </c>
      <c r="G859" s="5">
        <v>45877</v>
      </c>
      <c r="H859" t="s">
        <v>97</v>
      </c>
      <c r="I859" t="s">
        <v>569</v>
      </c>
      <c r="J859" t="s">
        <v>478</v>
      </c>
      <c r="K859">
        <v>9</v>
      </c>
      <c r="L859" t="s">
        <v>76</v>
      </c>
      <c r="M859" t="s">
        <v>594</v>
      </c>
      <c r="N859" t="s">
        <v>78</v>
      </c>
      <c r="P859">
        <v>131</v>
      </c>
      <c r="Q859">
        <v>6383</v>
      </c>
      <c r="R859" t="s">
        <v>79</v>
      </c>
      <c r="S859" t="s">
        <v>80</v>
      </c>
      <c r="T859" t="s">
        <v>353</v>
      </c>
      <c r="U859" t="s">
        <v>40</v>
      </c>
      <c r="V859" t="s">
        <v>44</v>
      </c>
      <c r="Y859" t="s">
        <v>46</v>
      </c>
      <c r="AA859">
        <v>1</v>
      </c>
      <c r="AB859" t="s">
        <v>32</v>
      </c>
      <c r="AE859" t="str">
        <f t="shared" si="265"/>
        <v>FlandersMangold</v>
      </c>
      <c r="AF859">
        <v>1</v>
      </c>
      <c r="AG859">
        <v>1</v>
      </c>
      <c r="AH859">
        <v>0</v>
      </c>
      <c r="AI859">
        <v>0</v>
      </c>
      <c r="AK859" t="s">
        <v>67</v>
      </c>
      <c r="AM859" t="s">
        <v>63</v>
      </c>
      <c r="AO859">
        <f t="shared" si="269"/>
        <v>0</v>
      </c>
      <c r="AP859">
        <f t="shared" si="269"/>
        <v>0</v>
      </c>
      <c r="AQ859">
        <f t="shared" si="269"/>
        <v>0</v>
      </c>
      <c r="AR859">
        <f t="shared" si="269"/>
        <v>0</v>
      </c>
      <c r="AS859" t="str">
        <f t="shared" si="269"/>
        <v>Flanders</v>
      </c>
      <c r="AT859">
        <f t="shared" si="269"/>
        <v>0</v>
      </c>
      <c r="AU859" t="str">
        <f t="shared" si="269"/>
        <v>Mangold</v>
      </c>
      <c r="AV859">
        <f t="shared" si="269"/>
        <v>0</v>
      </c>
      <c r="AW859">
        <f t="shared" si="269"/>
        <v>0</v>
      </c>
      <c r="AX859">
        <f t="shared" si="269"/>
        <v>0</v>
      </c>
      <c r="AY859">
        <f t="shared" si="270"/>
        <v>0</v>
      </c>
      <c r="AZ859">
        <f t="shared" si="270"/>
        <v>0</v>
      </c>
      <c r="BA859">
        <f t="shared" si="270"/>
        <v>0</v>
      </c>
      <c r="BB859">
        <f t="shared" si="270"/>
        <v>0</v>
      </c>
      <c r="BC859">
        <f t="shared" si="270"/>
        <v>0</v>
      </c>
      <c r="BD859">
        <f t="shared" si="270"/>
        <v>0</v>
      </c>
      <c r="BE859">
        <f t="shared" si="270"/>
        <v>0</v>
      </c>
      <c r="BF859">
        <f t="shared" si="270"/>
        <v>0</v>
      </c>
      <c r="BG859">
        <f t="shared" si="270"/>
        <v>0</v>
      </c>
      <c r="BH859">
        <f t="shared" si="270"/>
        <v>0</v>
      </c>
      <c r="BI859">
        <f t="shared" si="271"/>
        <v>0</v>
      </c>
      <c r="BJ859">
        <f t="shared" si="271"/>
        <v>0</v>
      </c>
      <c r="BK859">
        <f t="shared" si="271"/>
        <v>0</v>
      </c>
      <c r="BL859">
        <f t="shared" si="271"/>
        <v>0</v>
      </c>
      <c r="BM859">
        <f t="shared" si="271"/>
        <v>0</v>
      </c>
      <c r="BN859">
        <f t="shared" si="271"/>
        <v>0</v>
      </c>
      <c r="BO859">
        <f t="shared" si="271"/>
        <v>0</v>
      </c>
      <c r="BP859">
        <f t="shared" si="271"/>
        <v>0</v>
      </c>
      <c r="BQ859">
        <f t="shared" si="271"/>
        <v>0</v>
      </c>
      <c r="BR859">
        <f t="shared" si="271"/>
        <v>0</v>
      </c>
      <c r="BS859">
        <f t="shared" si="271"/>
        <v>0</v>
      </c>
    </row>
    <row r="860" spans="2:71" ht="15" customHeight="1" x14ac:dyDescent="0.2">
      <c r="B860">
        <v>25</v>
      </c>
      <c r="D860">
        <v>12</v>
      </c>
      <c r="E860" t="s">
        <v>603</v>
      </c>
      <c r="F860" t="s">
        <v>214</v>
      </c>
      <c r="G860" s="5">
        <v>45877</v>
      </c>
      <c r="H860" t="s">
        <v>97</v>
      </c>
      <c r="I860" t="s">
        <v>569</v>
      </c>
      <c r="J860" t="s">
        <v>478</v>
      </c>
      <c r="K860">
        <v>9</v>
      </c>
      <c r="L860" t="s">
        <v>76</v>
      </c>
      <c r="M860" t="s">
        <v>594</v>
      </c>
      <c r="N860" t="s">
        <v>78</v>
      </c>
      <c r="P860">
        <v>131</v>
      </c>
      <c r="Q860">
        <v>6383</v>
      </c>
      <c r="R860" t="s">
        <v>79</v>
      </c>
      <c r="S860" t="s">
        <v>80</v>
      </c>
      <c r="T860" t="s">
        <v>353</v>
      </c>
      <c r="U860" t="s">
        <v>40</v>
      </c>
      <c r="V860" t="s">
        <v>66</v>
      </c>
      <c r="Y860" t="s">
        <v>48</v>
      </c>
      <c r="AA860">
        <v>1</v>
      </c>
      <c r="AB860" t="s">
        <v>33</v>
      </c>
      <c r="AC860" t="s">
        <v>174</v>
      </c>
      <c r="AE860" t="str">
        <f t="shared" si="265"/>
        <v>PerkinsLynch</v>
      </c>
      <c r="AF860">
        <v>0</v>
      </c>
      <c r="AG860">
        <v>0</v>
      </c>
      <c r="AH860">
        <v>1</v>
      </c>
      <c r="AI860">
        <v>0</v>
      </c>
      <c r="AK860" t="s">
        <v>69</v>
      </c>
      <c r="AM860" t="s">
        <v>42</v>
      </c>
      <c r="AO860">
        <f t="shared" si="269"/>
        <v>0</v>
      </c>
      <c r="AP860">
        <f t="shared" si="269"/>
        <v>0</v>
      </c>
      <c r="AQ860">
        <f t="shared" si="269"/>
        <v>0</v>
      </c>
      <c r="AR860">
        <f t="shared" si="269"/>
        <v>0</v>
      </c>
      <c r="AS860">
        <f t="shared" si="269"/>
        <v>0</v>
      </c>
      <c r="AT860">
        <f t="shared" si="269"/>
        <v>0</v>
      </c>
      <c r="AU860">
        <f t="shared" si="269"/>
        <v>0</v>
      </c>
      <c r="AV860">
        <f t="shared" si="269"/>
        <v>0</v>
      </c>
      <c r="AW860" t="str">
        <f t="shared" si="269"/>
        <v>Lynch</v>
      </c>
      <c r="AX860">
        <f t="shared" si="269"/>
        <v>0</v>
      </c>
      <c r="AY860">
        <f t="shared" si="270"/>
        <v>0</v>
      </c>
      <c r="AZ860">
        <f t="shared" si="270"/>
        <v>0</v>
      </c>
      <c r="BA860">
        <f t="shared" si="270"/>
        <v>0</v>
      </c>
      <c r="BB860">
        <f t="shared" si="270"/>
        <v>0</v>
      </c>
      <c r="BC860">
        <f t="shared" si="270"/>
        <v>0</v>
      </c>
      <c r="BD860">
        <f t="shared" si="270"/>
        <v>0</v>
      </c>
      <c r="BE860">
        <f t="shared" si="270"/>
        <v>0</v>
      </c>
      <c r="BF860">
        <f t="shared" si="270"/>
        <v>0</v>
      </c>
      <c r="BG860">
        <f t="shared" si="270"/>
        <v>0</v>
      </c>
      <c r="BH860">
        <f t="shared" si="270"/>
        <v>0</v>
      </c>
      <c r="BI860">
        <f t="shared" si="271"/>
        <v>0</v>
      </c>
      <c r="BJ860">
        <f t="shared" si="271"/>
        <v>0</v>
      </c>
      <c r="BK860">
        <f t="shared" si="271"/>
        <v>0</v>
      </c>
      <c r="BL860">
        <f t="shared" si="271"/>
        <v>0</v>
      </c>
      <c r="BM860">
        <f t="shared" si="271"/>
        <v>0</v>
      </c>
      <c r="BN860">
        <f t="shared" si="271"/>
        <v>0</v>
      </c>
      <c r="BO860" t="str">
        <f t="shared" si="271"/>
        <v>Perkins</v>
      </c>
      <c r="BP860">
        <f t="shared" si="271"/>
        <v>0</v>
      </c>
      <c r="BQ860">
        <f t="shared" si="271"/>
        <v>0</v>
      </c>
      <c r="BR860">
        <f t="shared" si="271"/>
        <v>0</v>
      </c>
      <c r="BS860">
        <f t="shared" si="271"/>
        <v>0</v>
      </c>
    </row>
    <row r="861" spans="2:71" ht="15" customHeight="1" x14ac:dyDescent="0.2">
      <c r="B861">
        <v>31</v>
      </c>
      <c r="D861">
        <v>12</v>
      </c>
      <c r="E861" t="s">
        <v>604</v>
      </c>
      <c r="F861" t="s">
        <v>72</v>
      </c>
      <c r="G861" s="5">
        <v>45878</v>
      </c>
      <c r="H861" t="s">
        <v>97</v>
      </c>
      <c r="I861" t="s">
        <v>569</v>
      </c>
      <c r="J861" t="s">
        <v>478</v>
      </c>
      <c r="K861">
        <v>18</v>
      </c>
      <c r="L861" t="s">
        <v>107</v>
      </c>
      <c r="M861" t="s">
        <v>605</v>
      </c>
      <c r="N861" t="s">
        <v>78</v>
      </c>
      <c r="P861">
        <v>132</v>
      </c>
      <c r="Q861">
        <v>6272</v>
      </c>
      <c r="R861" t="s">
        <v>110</v>
      </c>
      <c r="S861" t="s">
        <v>111</v>
      </c>
      <c r="T861" t="s">
        <v>353</v>
      </c>
      <c r="U861" t="s">
        <v>40</v>
      </c>
      <c r="V861" t="s">
        <v>40</v>
      </c>
      <c r="AA861">
        <v>2</v>
      </c>
      <c r="AB861" t="s">
        <v>33</v>
      </c>
      <c r="AD861" t="s">
        <v>45</v>
      </c>
      <c r="AE861" t="str">
        <f t="shared" si="265"/>
        <v>Grise</v>
      </c>
      <c r="AF861">
        <v>0</v>
      </c>
      <c r="AG861">
        <v>0</v>
      </c>
      <c r="AH861">
        <v>1</v>
      </c>
      <c r="AI861">
        <v>0</v>
      </c>
      <c r="AO861" t="str">
        <f t="shared" si="269"/>
        <v>Grise</v>
      </c>
      <c r="AP861">
        <f t="shared" si="269"/>
        <v>0</v>
      </c>
      <c r="AQ861">
        <f t="shared" si="269"/>
        <v>0</v>
      </c>
      <c r="AR861">
        <f t="shared" si="269"/>
        <v>0</v>
      </c>
      <c r="AS861">
        <f t="shared" si="269"/>
        <v>0</v>
      </c>
      <c r="AT861">
        <f t="shared" si="269"/>
        <v>0</v>
      </c>
      <c r="AU861">
        <f t="shared" si="269"/>
        <v>0</v>
      </c>
      <c r="AV861">
        <f t="shared" si="269"/>
        <v>0</v>
      </c>
      <c r="AW861">
        <f t="shared" si="269"/>
        <v>0</v>
      </c>
      <c r="AX861">
        <f t="shared" si="269"/>
        <v>0</v>
      </c>
      <c r="AY861">
        <f t="shared" si="270"/>
        <v>0</v>
      </c>
      <c r="AZ861">
        <f t="shared" si="270"/>
        <v>0</v>
      </c>
      <c r="BA861">
        <f t="shared" si="270"/>
        <v>0</v>
      </c>
      <c r="BB861">
        <f t="shared" si="270"/>
        <v>0</v>
      </c>
      <c r="BC861">
        <f t="shared" si="270"/>
        <v>0</v>
      </c>
      <c r="BD861">
        <f t="shared" si="270"/>
        <v>0</v>
      </c>
      <c r="BE861">
        <f t="shared" si="270"/>
        <v>0</v>
      </c>
      <c r="BF861">
        <f t="shared" si="270"/>
        <v>0</v>
      </c>
      <c r="BG861">
        <f t="shared" si="270"/>
        <v>0</v>
      </c>
      <c r="BH861">
        <f t="shared" si="270"/>
        <v>0</v>
      </c>
      <c r="BI861">
        <f t="shared" si="271"/>
        <v>0</v>
      </c>
      <c r="BJ861">
        <f t="shared" si="271"/>
        <v>0</v>
      </c>
      <c r="BK861">
        <f t="shared" si="271"/>
        <v>0</v>
      </c>
      <c r="BL861">
        <f t="shared" si="271"/>
        <v>0</v>
      </c>
      <c r="BM861">
        <f t="shared" si="271"/>
        <v>0</v>
      </c>
      <c r="BN861">
        <f t="shared" si="271"/>
        <v>0</v>
      </c>
      <c r="BO861">
        <f t="shared" si="271"/>
        <v>0</v>
      </c>
      <c r="BP861">
        <f t="shared" si="271"/>
        <v>0</v>
      </c>
      <c r="BQ861">
        <f t="shared" si="271"/>
        <v>0</v>
      </c>
      <c r="BR861">
        <f t="shared" si="271"/>
        <v>0</v>
      </c>
      <c r="BS861">
        <f t="shared" si="271"/>
        <v>0</v>
      </c>
    </row>
    <row r="862" spans="2:71" ht="15" customHeight="1" x14ac:dyDescent="0.2">
      <c r="B862">
        <v>32</v>
      </c>
      <c r="D862">
        <v>12</v>
      </c>
      <c r="E862" t="s">
        <v>606</v>
      </c>
      <c r="F862" t="s">
        <v>72</v>
      </c>
      <c r="G862" s="5">
        <v>45878</v>
      </c>
      <c r="H862" t="s">
        <v>97</v>
      </c>
      <c r="I862" t="s">
        <v>569</v>
      </c>
      <c r="J862" t="s">
        <v>478</v>
      </c>
      <c r="K862">
        <v>18</v>
      </c>
      <c r="L862" t="s">
        <v>107</v>
      </c>
      <c r="M862" t="s">
        <v>605</v>
      </c>
      <c r="N862" t="s">
        <v>78</v>
      </c>
      <c r="P862">
        <v>132</v>
      </c>
      <c r="Q862">
        <v>6272</v>
      </c>
      <c r="R862" t="s">
        <v>110</v>
      </c>
      <c r="S862" t="s">
        <v>111</v>
      </c>
      <c r="T862" t="s">
        <v>353</v>
      </c>
      <c r="U862" t="s">
        <v>40</v>
      </c>
      <c r="V862" t="s">
        <v>48</v>
      </c>
      <c r="AA862">
        <v>2</v>
      </c>
      <c r="AB862" t="s">
        <v>33</v>
      </c>
      <c r="AD862" t="s">
        <v>64</v>
      </c>
      <c r="AE862" t="str">
        <f t="shared" si="265"/>
        <v>Lynch</v>
      </c>
      <c r="AF862">
        <v>0</v>
      </c>
      <c r="AG862">
        <v>0</v>
      </c>
      <c r="AH862">
        <v>1</v>
      </c>
      <c r="AI862">
        <v>0</v>
      </c>
      <c r="AO862">
        <f t="shared" ref="AO862:AX871" si="272">IF(OR($V862=AO$1,$Y862=AO$1),AO$1,0)</f>
        <v>0</v>
      </c>
      <c r="AP862">
        <f t="shared" si="272"/>
        <v>0</v>
      </c>
      <c r="AQ862">
        <f t="shared" si="272"/>
        <v>0</v>
      </c>
      <c r="AR862">
        <f t="shared" si="272"/>
        <v>0</v>
      </c>
      <c r="AS862">
        <f t="shared" si="272"/>
        <v>0</v>
      </c>
      <c r="AT862">
        <f t="shared" si="272"/>
        <v>0</v>
      </c>
      <c r="AU862">
        <f t="shared" si="272"/>
        <v>0</v>
      </c>
      <c r="AV862">
        <f t="shared" si="272"/>
        <v>0</v>
      </c>
      <c r="AW862" t="str">
        <f t="shared" si="272"/>
        <v>Lynch</v>
      </c>
      <c r="AX862">
        <f t="shared" si="272"/>
        <v>0</v>
      </c>
      <c r="AY862">
        <f t="shared" ref="AY862:BH871" si="273">IF(OR($V862=AY$1,$Y862=AY$1),AY$1,0)</f>
        <v>0</v>
      </c>
      <c r="AZ862">
        <f t="shared" si="273"/>
        <v>0</v>
      </c>
      <c r="BA862">
        <f t="shared" si="273"/>
        <v>0</v>
      </c>
      <c r="BB862">
        <f t="shared" si="273"/>
        <v>0</v>
      </c>
      <c r="BC862">
        <f t="shared" si="273"/>
        <v>0</v>
      </c>
      <c r="BD862">
        <f t="shared" si="273"/>
        <v>0</v>
      </c>
      <c r="BE862">
        <f t="shared" si="273"/>
        <v>0</v>
      </c>
      <c r="BF862">
        <f t="shared" si="273"/>
        <v>0</v>
      </c>
      <c r="BG862">
        <f t="shared" si="273"/>
        <v>0</v>
      </c>
      <c r="BH862">
        <f t="shared" si="273"/>
        <v>0</v>
      </c>
      <c r="BI862">
        <f t="shared" ref="BI862:BS871" si="274">IF(OR($V862=BI$1,$Y862=BI$1),BI$1,0)</f>
        <v>0</v>
      </c>
      <c r="BJ862">
        <f t="shared" si="274"/>
        <v>0</v>
      </c>
      <c r="BK862">
        <f t="shared" si="274"/>
        <v>0</v>
      </c>
      <c r="BL862">
        <f t="shared" si="274"/>
        <v>0</v>
      </c>
      <c r="BM862">
        <f t="shared" si="274"/>
        <v>0</v>
      </c>
      <c r="BN862">
        <f t="shared" si="274"/>
        <v>0</v>
      </c>
      <c r="BO862">
        <f t="shared" si="274"/>
        <v>0</v>
      </c>
      <c r="BP862">
        <f t="shared" si="274"/>
        <v>0</v>
      </c>
      <c r="BQ862">
        <f t="shared" si="274"/>
        <v>0</v>
      </c>
      <c r="BR862">
        <f t="shared" si="274"/>
        <v>0</v>
      </c>
      <c r="BS862">
        <f t="shared" si="274"/>
        <v>0</v>
      </c>
    </row>
    <row r="863" spans="2:71" ht="15" customHeight="1" x14ac:dyDescent="0.2">
      <c r="B863">
        <v>33</v>
      </c>
      <c r="D863">
        <v>12</v>
      </c>
      <c r="E863" t="s">
        <v>607</v>
      </c>
      <c r="F863" t="s">
        <v>72</v>
      </c>
      <c r="G863" s="5">
        <v>45878</v>
      </c>
      <c r="H863" t="s">
        <v>97</v>
      </c>
      <c r="I863" t="s">
        <v>569</v>
      </c>
      <c r="J863" t="s">
        <v>478</v>
      </c>
      <c r="K863">
        <v>18</v>
      </c>
      <c r="L863" t="s">
        <v>107</v>
      </c>
      <c r="M863" t="s">
        <v>605</v>
      </c>
      <c r="N863" t="s">
        <v>78</v>
      </c>
      <c r="P863">
        <v>132</v>
      </c>
      <c r="Q863">
        <v>6272</v>
      </c>
      <c r="R863" t="s">
        <v>110</v>
      </c>
      <c r="S863" t="s">
        <v>111</v>
      </c>
      <c r="T863" t="s">
        <v>353</v>
      </c>
      <c r="U863" t="s">
        <v>40</v>
      </c>
      <c r="V863" t="s">
        <v>49</v>
      </c>
      <c r="AA863">
        <v>2</v>
      </c>
      <c r="AB863" t="s">
        <v>33</v>
      </c>
      <c r="AD863" t="s">
        <v>69</v>
      </c>
      <c r="AE863" t="str">
        <f t="shared" si="265"/>
        <v>Shively</v>
      </c>
      <c r="AF863">
        <v>0</v>
      </c>
      <c r="AG863">
        <v>0</v>
      </c>
      <c r="AH863">
        <v>1</v>
      </c>
      <c r="AI863">
        <v>0</v>
      </c>
      <c r="AO863">
        <f t="shared" si="272"/>
        <v>0</v>
      </c>
      <c r="AP863">
        <f t="shared" si="272"/>
        <v>0</v>
      </c>
      <c r="AQ863">
        <f t="shared" si="272"/>
        <v>0</v>
      </c>
      <c r="AR863">
        <f t="shared" si="272"/>
        <v>0</v>
      </c>
      <c r="AS863">
        <f t="shared" si="272"/>
        <v>0</v>
      </c>
      <c r="AT863">
        <f t="shared" si="272"/>
        <v>0</v>
      </c>
      <c r="AU863">
        <f t="shared" si="272"/>
        <v>0</v>
      </c>
      <c r="AV863">
        <f t="shared" si="272"/>
        <v>0</v>
      </c>
      <c r="AW863">
        <f t="shared" si="272"/>
        <v>0</v>
      </c>
      <c r="AX863" t="str">
        <f t="shared" si="272"/>
        <v>Shively</v>
      </c>
      <c r="AY863">
        <f t="shared" si="273"/>
        <v>0</v>
      </c>
      <c r="AZ863">
        <f t="shared" si="273"/>
        <v>0</v>
      </c>
      <c r="BA863">
        <f t="shared" si="273"/>
        <v>0</v>
      </c>
      <c r="BB863">
        <f t="shared" si="273"/>
        <v>0</v>
      </c>
      <c r="BC863">
        <f t="shared" si="273"/>
        <v>0</v>
      </c>
      <c r="BD863">
        <f t="shared" si="273"/>
        <v>0</v>
      </c>
      <c r="BE863">
        <f t="shared" si="273"/>
        <v>0</v>
      </c>
      <c r="BF863">
        <f t="shared" si="273"/>
        <v>0</v>
      </c>
      <c r="BG863">
        <f t="shared" si="273"/>
        <v>0</v>
      </c>
      <c r="BH863">
        <f t="shared" si="273"/>
        <v>0</v>
      </c>
      <c r="BI863">
        <f t="shared" si="274"/>
        <v>0</v>
      </c>
      <c r="BJ863">
        <f t="shared" si="274"/>
        <v>0</v>
      </c>
      <c r="BK863">
        <f t="shared" si="274"/>
        <v>0</v>
      </c>
      <c r="BL863">
        <f t="shared" si="274"/>
        <v>0</v>
      </c>
      <c r="BM863">
        <f t="shared" si="274"/>
        <v>0</v>
      </c>
      <c r="BN863">
        <f t="shared" si="274"/>
        <v>0</v>
      </c>
      <c r="BO863">
        <f t="shared" si="274"/>
        <v>0</v>
      </c>
      <c r="BP863">
        <f t="shared" si="274"/>
        <v>0</v>
      </c>
      <c r="BQ863">
        <f t="shared" si="274"/>
        <v>0</v>
      </c>
      <c r="BR863">
        <f t="shared" si="274"/>
        <v>0</v>
      </c>
      <c r="BS863">
        <f t="shared" si="274"/>
        <v>0</v>
      </c>
    </row>
    <row r="864" spans="2:71" ht="15" customHeight="1" x14ac:dyDescent="0.2">
      <c r="B864">
        <v>34</v>
      </c>
      <c r="D864">
        <v>12</v>
      </c>
      <c r="E864" t="s">
        <v>608</v>
      </c>
      <c r="F864" t="s">
        <v>72</v>
      </c>
      <c r="G864" s="5">
        <v>45878</v>
      </c>
      <c r="H864" t="s">
        <v>97</v>
      </c>
      <c r="I864" t="s">
        <v>569</v>
      </c>
      <c r="J864" t="s">
        <v>478</v>
      </c>
      <c r="K864">
        <v>18</v>
      </c>
      <c r="L864" t="s">
        <v>107</v>
      </c>
      <c r="M864" t="s">
        <v>605</v>
      </c>
      <c r="N864" t="s">
        <v>78</v>
      </c>
      <c r="P864">
        <v>132</v>
      </c>
      <c r="Q864">
        <v>6272</v>
      </c>
      <c r="R864" t="s">
        <v>110</v>
      </c>
      <c r="S864" t="s">
        <v>111</v>
      </c>
      <c r="T864" t="s">
        <v>353</v>
      </c>
      <c r="U864" t="s">
        <v>40</v>
      </c>
      <c r="V864" t="s">
        <v>44</v>
      </c>
      <c r="AA864">
        <v>2</v>
      </c>
      <c r="AB864" t="s">
        <v>32</v>
      </c>
      <c r="AD864" t="s">
        <v>65</v>
      </c>
      <c r="AE864" t="str">
        <f t="shared" si="265"/>
        <v>Flanders</v>
      </c>
      <c r="AF864">
        <v>2</v>
      </c>
      <c r="AG864">
        <v>1</v>
      </c>
      <c r="AH864">
        <v>0</v>
      </c>
      <c r="AI864">
        <v>0</v>
      </c>
      <c r="AO864">
        <f t="shared" si="272"/>
        <v>0</v>
      </c>
      <c r="AP864">
        <f t="shared" si="272"/>
        <v>0</v>
      </c>
      <c r="AQ864">
        <f t="shared" si="272"/>
        <v>0</v>
      </c>
      <c r="AR864">
        <f t="shared" si="272"/>
        <v>0</v>
      </c>
      <c r="AS864" t="str">
        <f t="shared" si="272"/>
        <v>Flanders</v>
      </c>
      <c r="AT864">
        <f t="shared" si="272"/>
        <v>0</v>
      </c>
      <c r="AU864">
        <f t="shared" si="272"/>
        <v>0</v>
      </c>
      <c r="AV864">
        <f t="shared" si="272"/>
        <v>0</v>
      </c>
      <c r="AW864">
        <f t="shared" si="272"/>
        <v>0</v>
      </c>
      <c r="AX864">
        <f t="shared" si="272"/>
        <v>0</v>
      </c>
      <c r="AY864">
        <f t="shared" si="273"/>
        <v>0</v>
      </c>
      <c r="AZ864">
        <f t="shared" si="273"/>
        <v>0</v>
      </c>
      <c r="BA864">
        <f t="shared" si="273"/>
        <v>0</v>
      </c>
      <c r="BB864">
        <f t="shared" si="273"/>
        <v>0</v>
      </c>
      <c r="BC864">
        <f t="shared" si="273"/>
        <v>0</v>
      </c>
      <c r="BD864">
        <f t="shared" si="273"/>
        <v>0</v>
      </c>
      <c r="BE864">
        <f t="shared" si="273"/>
        <v>0</v>
      </c>
      <c r="BF864">
        <f t="shared" si="273"/>
        <v>0</v>
      </c>
      <c r="BG864">
        <f t="shared" si="273"/>
        <v>0</v>
      </c>
      <c r="BH864">
        <f t="shared" si="273"/>
        <v>0</v>
      </c>
      <c r="BI864">
        <f t="shared" si="274"/>
        <v>0</v>
      </c>
      <c r="BJ864">
        <f t="shared" si="274"/>
        <v>0</v>
      </c>
      <c r="BK864">
        <f t="shared" si="274"/>
        <v>0</v>
      </c>
      <c r="BL864">
        <f t="shared" si="274"/>
        <v>0</v>
      </c>
      <c r="BM864">
        <f t="shared" si="274"/>
        <v>0</v>
      </c>
      <c r="BN864">
        <f t="shared" si="274"/>
        <v>0</v>
      </c>
      <c r="BO864">
        <f t="shared" si="274"/>
        <v>0</v>
      </c>
      <c r="BP864">
        <f t="shared" si="274"/>
        <v>0</v>
      </c>
      <c r="BQ864">
        <f t="shared" si="274"/>
        <v>0</v>
      </c>
      <c r="BR864">
        <f t="shared" si="274"/>
        <v>0</v>
      </c>
      <c r="BS864">
        <f t="shared" si="274"/>
        <v>0</v>
      </c>
    </row>
    <row r="865" spans="2:71" ht="15" customHeight="1" x14ac:dyDescent="0.2">
      <c r="B865">
        <v>35</v>
      </c>
      <c r="D865">
        <v>12</v>
      </c>
      <c r="E865" t="s">
        <v>609</v>
      </c>
      <c r="F865" t="s">
        <v>72</v>
      </c>
      <c r="G865" s="5">
        <v>45878</v>
      </c>
      <c r="H865" t="s">
        <v>97</v>
      </c>
      <c r="I865" t="s">
        <v>569</v>
      </c>
      <c r="J865" t="s">
        <v>478</v>
      </c>
      <c r="K865">
        <v>18</v>
      </c>
      <c r="L865" t="s">
        <v>107</v>
      </c>
      <c r="M865" t="s">
        <v>605</v>
      </c>
      <c r="N865" t="s">
        <v>78</v>
      </c>
      <c r="P865">
        <v>132</v>
      </c>
      <c r="Q865">
        <v>6272</v>
      </c>
      <c r="R865" t="s">
        <v>110</v>
      </c>
      <c r="S865" t="s">
        <v>111</v>
      </c>
      <c r="T865" t="s">
        <v>353</v>
      </c>
      <c r="U865" t="s">
        <v>40</v>
      </c>
      <c r="V865" t="s">
        <v>43</v>
      </c>
      <c r="AA865">
        <v>2</v>
      </c>
      <c r="AB865" t="s">
        <v>32</v>
      </c>
      <c r="AD865" t="s">
        <v>42</v>
      </c>
      <c r="AE865" t="str">
        <f t="shared" si="265"/>
        <v>Poirier</v>
      </c>
      <c r="AF865">
        <v>2</v>
      </c>
      <c r="AG865">
        <v>1</v>
      </c>
      <c r="AH865">
        <v>0</v>
      </c>
      <c r="AI865">
        <v>0</v>
      </c>
      <c r="AO865">
        <f t="shared" si="272"/>
        <v>0</v>
      </c>
      <c r="AP865">
        <f t="shared" si="272"/>
        <v>0</v>
      </c>
      <c r="AQ865">
        <f t="shared" si="272"/>
        <v>0</v>
      </c>
      <c r="AR865" t="str">
        <f t="shared" si="272"/>
        <v>Poirier</v>
      </c>
      <c r="AS865">
        <f t="shared" si="272"/>
        <v>0</v>
      </c>
      <c r="AT865">
        <f t="shared" si="272"/>
        <v>0</v>
      </c>
      <c r="AU865">
        <f t="shared" si="272"/>
        <v>0</v>
      </c>
      <c r="AV865">
        <f t="shared" si="272"/>
        <v>0</v>
      </c>
      <c r="AW865">
        <f t="shared" si="272"/>
        <v>0</v>
      </c>
      <c r="AX865">
        <f t="shared" si="272"/>
        <v>0</v>
      </c>
      <c r="AY865">
        <f t="shared" si="273"/>
        <v>0</v>
      </c>
      <c r="AZ865">
        <f t="shared" si="273"/>
        <v>0</v>
      </c>
      <c r="BA865">
        <f t="shared" si="273"/>
        <v>0</v>
      </c>
      <c r="BB865">
        <f t="shared" si="273"/>
        <v>0</v>
      </c>
      <c r="BC865">
        <f t="shared" si="273"/>
        <v>0</v>
      </c>
      <c r="BD865">
        <f t="shared" si="273"/>
        <v>0</v>
      </c>
      <c r="BE865">
        <f t="shared" si="273"/>
        <v>0</v>
      </c>
      <c r="BF865">
        <f t="shared" si="273"/>
        <v>0</v>
      </c>
      <c r="BG865">
        <f t="shared" si="273"/>
        <v>0</v>
      </c>
      <c r="BH865">
        <f t="shared" si="273"/>
        <v>0</v>
      </c>
      <c r="BI865">
        <f t="shared" si="274"/>
        <v>0</v>
      </c>
      <c r="BJ865">
        <f t="shared" si="274"/>
        <v>0</v>
      </c>
      <c r="BK865">
        <f t="shared" si="274"/>
        <v>0</v>
      </c>
      <c r="BL865">
        <f t="shared" si="274"/>
        <v>0</v>
      </c>
      <c r="BM865">
        <f t="shared" si="274"/>
        <v>0</v>
      </c>
      <c r="BN865">
        <f t="shared" si="274"/>
        <v>0</v>
      </c>
      <c r="BO865">
        <f t="shared" si="274"/>
        <v>0</v>
      </c>
      <c r="BP865">
        <f t="shared" si="274"/>
        <v>0</v>
      </c>
      <c r="BQ865">
        <f t="shared" si="274"/>
        <v>0</v>
      </c>
      <c r="BR865">
        <f t="shared" si="274"/>
        <v>0</v>
      </c>
      <c r="BS865">
        <f t="shared" si="274"/>
        <v>0</v>
      </c>
    </row>
    <row r="866" spans="2:71" ht="15" customHeight="1" x14ac:dyDescent="0.2">
      <c r="B866">
        <v>36</v>
      </c>
      <c r="D866">
        <v>12</v>
      </c>
      <c r="E866" t="s">
        <v>610</v>
      </c>
      <c r="F866" t="s">
        <v>72</v>
      </c>
      <c r="G866" s="5">
        <v>45878</v>
      </c>
      <c r="H866" t="s">
        <v>97</v>
      </c>
      <c r="I866" t="s">
        <v>569</v>
      </c>
      <c r="J866" t="s">
        <v>478</v>
      </c>
      <c r="K866">
        <v>18</v>
      </c>
      <c r="L866" t="s">
        <v>107</v>
      </c>
      <c r="M866" t="s">
        <v>605</v>
      </c>
      <c r="N866" t="s">
        <v>78</v>
      </c>
      <c r="P866">
        <v>132</v>
      </c>
      <c r="Q866">
        <v>6272</v>
      </c>
      <c r="R866" t="s">
        <v>110</v>
      </c>
      <c r="S866" t="s">
        <v>111</v>
      </c>
      <c r="T866" t="s">
        <v>353</v>
      </c>
      <c r="U866" t="s">
        <v>40</v>
      </c>
      <c r="V866" t="s">
        <v>70</v>
      </c>
      <c r="AA866">
        <v>2</v>
      </c>
      <c r="AB866" t="s">
        <v>32</v>
      </c>
      <c r="AD866" t="s">
        <v>67</v>
      </c>
      <c r="AE866" t="str">
        <f t="shared" si="265"/>
        <v>Snyder</v>
      </c>
      <c r="AF866">
        <v>2</v>
      </c>
      <c r="AG866">
        <v>1</v>
      </c>
      <c r="AH866">
        <v>0</v>
      </c>
      <c r="AI866">
        <v>0</v>
      </c>
      <c r="AO866">
        <f t="shared" si="272"/>
        <v>0</v>
      </c>
      <c r="AP866">
        <f t="shared" si="272"/>
        <v>0</v>
      </c>
      <c r="AQ866">
        <f t="shared" si="272"/>
        <v>0</v>
      </c>
      <c r="AR866">
        <f t="shared" si="272"/>
        <v>0</v>
      </c>
      <c r="AS866">
        <f t="shared" si="272"/>
        <v>0</v>
      </c>
      <c r="AT866">
        <f t="shared" si="272"/>
        <v>0</v>
      </c>
      <c r="AU866">
        <f t="shared" si="272"/>
        <v>0</v>
      </c>
      <c r="AV866">
        <f t="shared" si="272"/>
        <v>0</v>
      </c>
      <c r="AW866">
        <f t="shared" si="272"/>
        <v>0</v>
      </c>
      <c r="AX866">
        <f t="shared" si="272"/>
        <v>0</v>
      </c>
      <c r="AY866">
        <f t="shared" si="273"/>
        <v>0</v>
      </c>
      <c r="AZ866">
        <f t="shared" si="273"/>
        <v>0</v>
      </c>
      <c r="BA866">
        <f t="shared" si="273"/>
        <v>0</v>
      </c>
      <c r="BB866">
        <f t="shared" si="273"/>
        <v>0</v>
      </c>
      <c r="BC866">
        <f t="shared" si="273"/>
        <v>0</v>
      </c>
      <c r="BD866">
        <f t="shared" si="273"/>
        <v>0</v>
      </c>
      <c r="BE866">
        <f t="shared" si="273"/>
        <v>0</v>
      </c>
      <c r="BF866">
        <f t="shared" si="273"/>
        <v>0</v>
      </c>
      <c r="BG866">
        <f t="shared" si="273"/>
        <v>0</v>
      </c>
      <c r="BH866">
        <f t="shared" si="273"/>
        <v>0</v>
      </c>
      <c r="BI866">
        <f t="shared" si="274"/>
        <v>0</v>
      </c>
      <c r="BJ866">
        <f t="shared" si="274"/>
        <v>0</v>
      </c>
      <c r="BK866">
        <f t="shared" si="274"/>
        <v>0</v>
      </c>
      <c r="BL866">
        <f t="shared" si="274"/>
        <v>0</v>
      </c>
      <c r="BM866">
        <f t="shared" si="274"/>
        <v>0</v>
      </c>
      <c r="BN866">
        <f t="shared" si="274"/>
        <v>0</v>
      </c>
      <c r="BO866">
        <f t="shared" si="274"/>
        <v>0</v>
      </c>
      <c r="BP866">
        <f t="shared" si="274"/>
        <v>0</v>
      </c>
      <c r="BQ866">
        <f t="shared" si="274"/>
        <v>0</v>
      </c>
      <c r="BR866">
        <f t="shared" si="274"/>
        <v>0</v>
      </c>
      <c r="BS866" t="str">
        <f t="shared" si="274"/>
        <v>Snyder</v>
      </c>
    </row>
    <row r="867" spans="2:71" ht="15" customHeight="1" x14ac:dyDescent="0.2">
      <c r="B867">
        <v>37</v>
      </c>
      <c r="D867">
        <v>12</v>
      </c>
      <c r="E867" t="s">
        <v>611</v>
      </c>
      <c r="F867" t="s">
        <v>72</v>
      </c>
      <c r="G867" s="5">
        <v>45878</v>
      </c>
      <c r="H867" t="s">
        <v>97</v>
      </c>
      <c r="I867" t="s">
        <v>569</v>
      </c>
      <c r="J867" t="s">
        <v>478</v>
      </c>
      <c r="K867">
        <v>18</v>
      </c>
      <c r="L867" t="s">
        <v>107</v>
      </c>
      <c r="M867" t="s">
        <v>605</v>
      </c>
      <c r="N867" t="s">
        <v>78</v>
      </c>
      <c r="P867">
        <v>132</v>
      </c>
      <c r="Q867">
        <v>6272</v>
      </c>
      <c r="R867" t="s">
        <v>110</v>
      </c>
      <c r="S867" t="s">
        <v>111</v>
      </c>
      <c r="T867" t="s">
        <v>353</v>
      </c>
      <c r="U867" t="s">
        <v>40</v>
      </c>
      <c r="V867" t="s">
        <v>53</v>
      </c>
      <c r="AA867">
        <v>2</v>
      </c>
      <c r="AB867" t="s">
        <v>32</v>
      </c>
      <c r="AD867" t="s">
        <v>54</v>
      </c>
      <c r="AE867" t="str">
        <f t="shared" si="265"/>
        <v>Forster</v>
      </c>
      <c r="AF867">
        <v>2</v>
      </c>
      <c r="AG867">
        <v>1</v>
      </c>
      <c r="AH867">
        <v>0</v>
      </c>
      <c r="AI867">
        <v>0</v>
      </c>
      <c r="AO867">
        <f t="shared" si="272"/>
        <v>0</v>
      </c>
      <c r="AP867">
        <f t="shared" si="272"/>
        <v>0</v>
      </c>
      <c r="AQ867">
        <f t="shared" si="272"/>
        <v>0</v>
      </c>
      <c r="AR867">
        <f t="shared" si="272"/>
        <v>0</v>
      </c>
      <c r="AS867">
        <f t="shared" si="272"/>
        <v>0</v>
      </c>
      <c r="AT867">
        <f t="shared" si="272"/>
        <v>0</v>
      </c>
      <c r="AU867">
        <f t="shared" si="272"/>
        <v>0</v>
      </c>
      <c r="AV867">
        <f t="shared" si="272"/>
        <v>0</v>
      </c>
      <c r="AW867">
        <f t="shared" si="272"/>
        <v>0</v>
      </c>
      <c r="AX867">
        <f t="shared" si="272"/>
        <v>0</v>
      </c>
      <c r="AY867">
        <f t="shared" si="273"/>
        <v>0</v>
      </c>
      <c r="AZ867">
        <f t="shared" si="273"/>
        <v>0</v>
      </c>
      <c r="BA867">
        <f t="shared" si="273"/>
        <v>0</v>
      </c>
      <c r="BB867" t="str">
        <f t="shared" si="273"/>
        <v>Forster</v>
      </c>
      <c r="BC867">
        <f t="shared" si="273"/>
        <v>0</v>
      </c>
      <c r="BD867">
        <f t="shared" si="273"/>
        <v>0</v>
      </c>
      <c r="BE867">
        <f t="shared" si="273"/>
        <v>0</v>
      </c>
      <c r="BF867">
        <f t="shared" si="273"/>
        <v>0</v>
      </c>
      <c r="BG867">
        <f t="shared" si="273"/>
        <v>0</v>
      </c>
      <c r="BH867">
        <f t="shared" si="273"/>
        <v>0</v>
      </c>
      <c r="BI867">
        <f t="shared" si="274"/>
        <v>0</v>
      </c>
      <c r="BJ867">
        <f t="shared" si="274"/>
        <v>0</v>
      </c>
      <c r="BK867">
        <f t="shared" si="274"/>
        <v>0</v>
      </c>
      <c r="BL867">
        <f t="shared" si="274"/>
        <v>0</v>
      </c>
      <c r="BM867">
        <f t="shared" si="274"/>
        <v>0</v>
      </c>
      <c r="BN867">
        <f t="shared" si="274"/>
        <v>0</v>
      </c>
      <c r="BO867">
        <f t="shared" si="274"/>
        <v>0</v>
      </c>
      <c r="BP867">
        <f t="shared" si="274"/>
        <v>0</v>
      </c>
      <c r="BQ867">
        <f t="shared" si="274"/>
        <v>0</v>
      </c>
      <c r="BR867">
        <f t="shared" si="274"/>
        <v>0</v>
      </c>
      <c r="BS867">
        <f t="shared" si="274"/>
        <v>0</v>
      </c>
    </row>
    <row r="868" spans="2:71" ht="15" customHeight="1" x14ac:dyDescent="0.2">
      <c r="B868">
        <v>38</v>
      </c>
      <c r="D868">
        <v>12</v>
      </c>
      <c r="E868" t="s">
        <v>612</v>
      </c>
      <c r="F868" t="s">
        <v>72</v>
      </c>
      <c r="G868" s="5">
        <v>45878</v>
      </c>
      <c r="H868" t="s">
        <v>97</v>
      </c>
      <c r="I868" t="s">
        <v>569</v>
      </c>
      <c r="J868" t="s">
        <v>478</v>
      </c>
      <c r="K868">
        <v>18</v>
      </c>
      <c r="L868" t="s">
        <v>107</v>
      </c>
      <c r="M868" t="s">
        <v>605</v>
      </c>
      <c r="N868" t="s">
        <v>78</v>
      </c>
      <c r="P868">
        <v>132</v>
      </c>
      <c r="Q868">
        <v>6272</v>
      </c>
      <c r="R868" t="s">
        <v>110</v>
      </c>
      <c r="S868" t="s">
        <v>111</v>
      </c>
      <c r="T868" t="s">
        <v>353</v>
      </c>
      <c r="U868" t="s">
        <v>40</v>
      </c>
      <c r="V868" t="s">
        <v>66</v>
      </c>
      <c r="AA868">
        <v>2</v>
      </c>
      <c r="AB868" t="s">
        <v>32</v>
      </c>
      <c r="AD868" t="s">
        <v>60</v>
      </c>
      <c r="AE868" t="str">
        <f t="shared" si="265"/>
        <v>Perkins</v>
      </c>
      <c r="AF868">
        <v>2</v>
      </c>
      <c r="AG868">
        <v>1</v>
      </c>
      <c r="AH868">
        <v>0</v>
      </c>
      <c r="AI868">
        <v>0</v>
      </c>
      <c r="AO868">
        <f t="shared" si="272"/>
        <v>0</v>
      </c>
      <c r="AP868">
        <f t="shared" si="272"/>
        <v>0</v>
      </c>
      <c r="AQ868">
        <f t="shared" si="272"/>
        <v>0</v>
      </c>
      <c r="AR868">
        <f t="shared" si="272"/>
        <v>0</v>
      </c>
      <c r="AS868">
        <f t="shared" si="272"/>
        <v>0</v>
      </c>
      <c r="AT868">
        <f t="shared" si="272"/>
        <v>0</v>
      </c>
      <c r="AU868">
        <f t="shared" si="272"/>
        <v>0</v>
      </c>
      <c r="AV868">
        <f t="shared" si="272"/>
        <v>0</v>
      </c>
      <c r="AW868">
        <f t="shared" si="272"/>
        <v>0</v>
      </c>
      <c r="AX868">
        <f t="shared" si="272"/>
        <v>0</v>
      </c>
      <c r="AY868">
        <f t="shared" si="273"/>
        <v>0</v>
      </c>
      <c r="AZ868">
        <f t="shared" si="273"/>
        <v>0</v>
      </c>
      <c r="BA868">
        <f t="shared" si="273"/>
        <v>0</v>
      </c>
      <c r="BB868">
        <f t="shared" si="273"/>
        <v>0</v>
      </c>
      <c r="BC868">
        <f t="shared" si="273"/>
        <v>0</v>
      </c>
      <c r="BD868">
        <f t="shared" si="273"/>
        <v>0</v>
      </c>
      <c r="BE868">
        <f t="shared" si="273"/>
        <v>0</v>
      </c>
      <c r="BF868">
        <f t="shared" si="273"/>
        <v>0</v>
      </c>
      <c r="BG868">
        <f t="shared" si="273"/>
        <v>0</v>
      </c>
      <c r="BH868">
        <f t="shared" si="273"/>
        <v>0</v>
      </c>
      <c r="BI868">
        <f t="shared" si="274"/>
        <v>0</v>
      </c>
      <c r="BJ868">
        <f t="shared" si="274"/>
        <v>0</v>
      </c>
      <c r="BK868">
        <f t="shared" si="274"/>
        <v>0</v>
      </c>
      <c r="BL868">
        <f t="shared" si="274"/>
        <v>0</v>
      </c>
      <c r="BM868">
        <f t="shared" si="274"/>
        <v>0</v>
      </c>
      <c r="BN868">
        <f t="shared" si="274"/>
        <v>0</v>
      </c>
      <c r="BO868" t="str">
        <f t="shared" si="274"/>
        <v>Perkins</v>
      </c>
      <c r="BP868">
        <f t="shared" si="274"/>
        <v>0</v>
      </c>
      <c r="BQ868">
        <f t="shared" si="274"/>
        <v>0</v>
      </c>
      <c r="BR868">
        <f t="shared" si="274"/>
        <v>0</v>
      </c>
      <c r="BS868">
        <f t="shared" si="274"/>
        <v>0</v>
      </c>
    </row>
    <row r="869" spans="2:71" ht="15" customHeight="1" x14ac:dyDescent="0.2">
      <c r="B869">
        <v>39</v>
      </c>
      <c r="D869">
        <v>12</v>
      </c>
      <c r="E869" t="s">
        <v>613</v>
      </c>
      <c r="F869" t="s">
        <v>72</v>
      </c>
      <c r="G869" s="5">
        <v>45878</v>
      </c>
      <c r="H869" t="s">
        <v>97</v>
      </c>
      <c r="I869" t="s">
        <v>569</v>
      </c>
      <c r="J869" t="s">
        <v>478</v>
      </c>
      <c r="K869">
        <v>18</v>
      </c>
      <c r="L869" t="s">
        <v>107</v>
      </c>
      <c r="M869" t="s">
        <v>605</v>
      </c>
      <c r="N869" t="s">
        <v>78</v>
      </c>
      <c r="P869">
        <v>132</v>
      </c>
      <c r="Q869">
        <v>6272</v>
      </c>
      <c r="R869" t="s">
        <v>110</v>
      </c>
      <c r="S869" t="s">
        <v>111</v>
      </c>
      <c r="T869" t="s">
        <v>353</v>
      </c>
      <c r="U869" t="s">
        <v>40</v>
      </c>
      <c r="V869" t="s">
        <v>41</v>
      </c>
      <c r="AA869">
        <v>2</v>
      </c>
      <c r="AB869" t="s">
        <v>32</v>
      </c>
      <c r="AD869" t="s">
        <v>50</v>
      </c>
      <c r="AE869" t="str">
        <f t="shared" si="265"/>
        <v>Hilts</v>
      </c>
      <c r="AF869">
        <v>2</v>
      </c>
      <c r="AG869">
        <v>1</v>
      </c>
      <c r="AH869">
        <v>0</v>
      </c>
      <c r="AI869">
        <v>0</v>
      </c>
      <c r="AO869">
        <f t="shared" si="272"/>
        <v>0</v>
      </c>
      <c r="AP869" t="str">
        <f t="shared" si="272"/>
        <v>Hilts</v>
      </c>
      <c r="AQ869">
        <f t="shared" si="272"/>
        <v>0</v>
      </c>
      <c r="AR869">
        <f t="shared" si="272"/>
        <v>0</v>
      </c>
      <c r="AS869">
        <f t="shared" si="272"/>
        <v>0</v>
      </c>
      <c r="AT869">
        <f t="shared" si="272"/>
        <v>0</v>
      </c>
      <c r="AU869">
        <f t="shared" si="272"/>
        <v>0</v>
      </c>
      <c r="AV869">
        <f t="shared" si="272"/>
        <v>0</v>
      </c>
      <c r="AW869">
        <f t="shared" si="272"/>
        <v>0</v>
      </c>
      <c r="AX869">
        <f t="shared" si="272"/>
        <v>0</v>
      </c>
      <c r="AY869">
        <f t="shared" si="273"/>
        <v>0</v>
      </c>
      <c r="AZ869">
        <f t="shared" si="273"/>
        <v>0</v>
      </c>
      <c r="BA869">
        <f t="shared" si="273"/>
        <v>0</v>
      </c>
      <c r="BB869">
        <f t="shared" si="273"/>
        <v>0</v>
      </c>
      <c r="BC869">
        <f t="shared" si="273"/>
        <v>0</v>
      </c>
      <c r="BD869">
        <f t="shared" si="273"/>
        <v>0</v>
      </c>
      <c r="BE869">
        <f t="shared" si="273"/>
        <v>0</v>
      </c>
      <c r="BF869">
        <f t="shared" si="273"/>
        <v>0</v>
      </c>
      <c r="BG869">
        <f t="shared" si="273"/>
        <v>0</v>
      </c>
      <c r="BH869">
        <f t="shared" si="273"/>
        <v>0</v>
      </c>
      <c r="BI869">
        <f t="shared" si="274"/>
        <v>0</v>
      </c>
      <c r="BJ869">
        <f t="shared" si="274"/>
        <v>0</v>
      </c>
      <c r="BK869">
        <f t="shared" si="274"/>
        <v>0</v>
      </c>
      <c r="BL869">
        <f t="shared" si="274"/>
        <v>0</v>
      </c>
      <c r="BM869">
        <f t="shared" si="274"/>
        <v>0</v>
      </c>
      <c r="BN869">
        <f t="shared" si="274"/>
        <v>0</v>
      </c>
      <c r="BO869">
        <f t="shared" si="274"/>
        <v>0</v>
      </c>
      <c r="BP869">
        <f t="shared" si="274"/>
        <v>0</v>
      </c>
      <c r="BQ869">
        <f t="shared" si="274"/>
        <v>0</v>
      </c>
      <c r="BR869">
        <f t="shared" si="274"/>
        <v>0</v>
      </c>
      <c r="BS869">
        <f t="shared" si="274"/>
        <v>0</v>
      </c>
    </row>
    <row r="870" spans="2:71" ht="15" customHeight="1" x14ac:dyDescent="0.2">
      <c r="B870">
        <v>40</v>
      </c>
      <c r="D870">
        <v>12</v>
      </c>
      <c r="E870" t="s">
        <v>614</v>
      </c>
      <c r="F870" t="s">
        <v>72</v>
      </c>
      <c r="G870" s="5">
        <v>45878</v>
      </c>
      <c r="H870" t="s">
        <v>97</v>
      </c>
      <c r="I870" t="s">
        <v>569</v>
      </c>
      <c r="J870" t="s">
        <v>478</v>
      </c>
      <c r="K870">
        <v>18</v>
      </c>
      <c r="L870" t="s">
        <v>107</v>
      </c>
      <c r="M870" t="s">
        <v>605</v>
      </c>
      <c r="N870" t="s">
        <v>78</v>
      </c>
      <c r="P870">
        <v>132</v>
      </c>
      <c r="Q870">
        <v>6272</v>
      </c>
      <c r="R870" t="s">
        <v>110</v>
      </c>
      <c r="S870" t="s">
        <v>111</v>
      </c>
      <c r="T870" t="s">
        <v>353</v>
      </c>
      <c r="U870" t="s">
        <v>40</v>
      </c>
      <c r="V870" t="s">
        <v>46</v>
      </c>
      <c r="AA870">
        <v>2</v>
      </c>
      <c r="AB870" t="s">
        <v>33</v>
      </c>
      <c r="AD870" t="s">
        <v>63</v>
      </c>
      <c r="AE870" t="str">
        <f t="shared" si="265"/>
        <v>Mangold</v>
      </c>
      <c r="AF870">
        <v>0</v>
      </c>
      <c r="AG870">
        <v>0</v>
      </c>
      <c r="AH870">
        <v>1</v>
      </c>
      <c r="AI870">
        <v>0</v>
      </c>
      <c r="AO870">
        <f t="shared" si="272"/>
        <v>0</v>
      </c>
      <c r="AP870">
        <f t="shared" si="272"/>
        <v>0</v>
      </c>
      <c r="AQ870">
        <f t="shared" si="272"/>
        <v>0</v>
      </c>
      <c r="AR870">
        <f t="shared" si="272"/>
        <v>0</v>
      </c>
      <c r="AS870">
        <f t="shared" si="272"/>
        <v>0</v>
      </c>
      <c r="AT870">
        <f t="shared" si="272"/>
        <v>0</v>
      </c>
      <c r="AU870" t="str">
        <f t="shared" si="272"/>
        <v>Mangold</v>
      </c>
      <c r="AV870">
        <f t="shared" si="272"/>
        <v>0</v>
      </c>
      <c r="AW870">
        <f t="shared" si="272"/>
        <v>0</v>
      </c>
      <c r="AX870">
        <f t="shared" si="272"/>
        <v>0</v>
      </c>
      <c r="AY870">
        <f t="shared" si="273"/>
        <v>0</v>
      </c>
      <c r="AZ870">
        <f t="shared" si="273"/>
        <v>0</v>
      </c>
      <c r="BA870">
        <f t="shared" si="273"/>
        <v>0</v>
      </c>
      <c r="BB870">
        <f t="shared" si="273"/>
        <v>0</v>
      </c>
      <c r="BC870">
        <f t="shared" si="273"/>
        <v>0</v>
      </c>
      <c r="BD870">
        <f t="shared" si="273"/>
        <v>0</v>
      </c>
      <c r="BE870">
        <f t="shared" si="273"/>
        <v>0</v>
      </c>
      <c r="BF870">
        <f t="shared" si="273"/>
        <v>0</v>
      </c>
      <c r="BG870">
        <f t="shared" si="273"/>
        <v>0</v>
      </c>
      <c r="BH870">
        <f t="shared" si="273"/>
        <v>0</v>
      </c>
      <c r="BI870">
        <f t="shared" si="274"/>
        <v>0</v>
      </c>
      <c r="BJ870">
        <f t="shared" si="274"/>
        <v>0</v>
      </c>
      <c r="BK870">
        <f t="shared" si="274"/>
        <v>0</v>
      </c>
      <c r="BL870">
        <f t="shared" si="274"/>
        <v>0</v>
      </c>
      <c r="BM870">
        <f t="shared" si="274"/>
        <v>0</v>
      </c>
      <c r="BN870">
        <f t="shared" si="274"/>
        <v>0</v>
      </c>
      <c r="BO870">
        <f t="shared" si="274"/>
        <v>0</v>
      </c>
      <c r="BP870">
        <f t="shared" si="274"/>
        <v>0</v>
      </c>
      <c r="BQ870">
        <f t="shared" si="274"/>
        <v>0</v>
      </c>
      <c r="BR870">
        <f t="shared" si="274"/>
        <v>0</v>
      </c>
      <c r="BS870">
        <f t="shared" si="274"/>
        <v>0</v>
      </c>
    </row>
    <row r="871" spans="2:71" ht="15" customHeight="1" x14ac:dyDescent="0.2">
      <c r="B871">
        <v>32</v>
      </c>
      <c r="C871">
        <v>8</v>
      </c>
      <c r="D871">
        <v>8</v>
      </c>
      <c r="E871" t="s">
        <v>440</v>
      </c>
      <c r="F871" t="s">
        <v>106</v>
      </c>
      <c r="G871" s="5">
        <v>44821</v>
      </c>
      <c r="H871" t="s">
        <v>73</v>
      </c>
      <c r="I871" t="s">
        <v>441</v>
      </c>
      <c r="J871" t="s">
        <v>348</v>
      </c>
      <c r="K871">
        <v>18</v>
      </c>
      <c r="L871" t="s">
        <v>107</v>
      </c>
      <c r="M871" t="s">
        <v>442</v>
      </c>
      <c r="R871" t="s">
        <v>110</v>
      </c>
      <c r="S871" t="s">
        <v>111</v>
      </c>
      <c r="T871" t="s">
        <v>83</v>
      </c>
      <c r="U871" t="s">
        <v>62</v>
      </c>
      <c r="V871" t="s">
        <v>66</v>
      </c>
      <c r="AA871">
        <v>2</v>
      </c>
      <c r="AB871" t="s">
        <v>32</v>
      </c>
      <c r="AC871" t="s">
        <v>371</v>
      </c>
      <c r="AD871" t="s">
        <v>65</v>
      </c>
      <c r="AE871" t="str">
        <f t="shared" si="265"/>
        <v>Perkins</v>
      </c>
      <c r="AF871">
        <v>2</v>
      </c>
      <c r="AG871">
        <v>1</v>
      </c>
      <c r="AH871">
        <v>0</v>
      </c>
      <c r="AI871">
        <v>0</v>
      </c>
      <c r="AJ871">
        <v>0</v>
      </c>
      <c r="AK871" t="s">
        <v>65</v>
      </c>
      <c r="AL871">
        <v>0</v>
      </c>
      <c r="AO871">
        <f t="shared" si="272"/>
        <v>0</v>
      </c>
      <c r="AP871">
        <f t="shared" si="272"/>
        <v>0</v>
      </c>
      <c r="AQ871">
        <f t="shared" si="272"/>
        <v>0</v>
      </c>
      <c r="AR871">
        <f t="shared" si="272"/>
        <v>0</v>
      </c>
      <c r="AS871">
        <f t="shared" si="272"/>
        <v>0</v>
      </c>
      <c r="AT871">
        <f t="shared" si="272"/>
        <v>0</v>
      </c>
      <c r="AU871">
        <f t="shared" si="272"/>
        <v>0</v>
      </c>
      <c r="AV871">
        <f t="shared" si="272"/>
        <v>0</v>
      </c>
      <c r="AW871">
        <f t="shared" si="272"/>
        <v>0</v>
      </c>
      <c r="AX871">
        <f t="shared" si="272"/>
        <v>0</v>
      </c>
      <c r="AY871">
        <f t="shared" si="273"/>
        <v>0</v>
      </c>
      <c r="AZ871">
        <f t="shared" si="273"/>
        <v>0</v>
      </c>
      <c r="BA871">
        <f t="shared" si="273"/>
        <v>0</v>
      </c>
      <c r="BB871">
        <f t="shared" si="273"/>
        <v>0</v>
      </c>
      <c r="BC871">
        <f t="shared" si="273"/>
        <v>0</v>
      </c>
      <c r="BD871">
        <f t="shared" si="273"/>
        <v>0</v>
      </c>
      <c r="BE871">
        <f t="shared" si="273"/>
        <v>0</v>
      </c>
      <c r="BF871">
        <f t="shared" si="273"/>
        <v>0</v>
      </c>
      <c r="BG871">
        <f t="shared" si="273"/>
        <v>0</v>
      </c>
      <c r="BH871">
        <f t="shared" si="273"/>
        <v>0</v>
      </c>
      <c r="BI871">
        <f t="shared" si="274"/>
        <v>0</v>
      </c>
      <c r="BJ871">
        <f t="shared" si="274"/>
        <v>0</v>
      </c>
      <c r="BK871">
        <f t="shared" si="274"/>
        <v>0</v>
      </c>
      <c r="BL871">
        <f t="shared" si="274"/>
        <v>0</v>
      </c>
      <c r="BM871">
        <f t="shared" si="274"/>
        <v>0</v>
      </c>
      <c r="BN871">
        <f t="shared" si="274"/>
        <v>0</v>
      </c>
      <c r="BO871" t="str">
        <f t="shared" si="274"/>
        <v>Perkins</v>
      </c>
      <c r="BP871">
        <f t="shared" si="274"/>
        <v>0</v>
      </c>
      <c r="BQ871">
        <f t="shared" si="274"/>
        <v>0</v>
      </c>
      <c r="BR871">
        <f t="shared" si="274"/>
        <v>0</v>
      </c>
      <c r="BS871">
        <f t="shared" si="274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0"/>
  <sheetViews>
    <sheetView zoomScaleNormal="100" workbookViewId="0">
      <selection activeCell="Q27" sqref="Q27"/>
    </sheetView>
  </sheetViews>
  <sheetFormatPr baseColWidth="10" defaultColWidth="8.83203125" defaultRowHeight="16" x14ac:dyDescent="0.2"/>
  <cols>
    <col min="1" max="1" width="8.83203125" style="6"/>
    <col min="2" max="2" width="10.33203125" style="6" customWidth="1"/>
    <col min="3" max="4" width="7.6640625" style="6" customWidth="1"/>
    <col min="5" max="5" width="8" style="6" customWidth="1"/>
    <col min="6" max="6" width="7.6640625" style="6" customWidth="1"/>
    <col min="7" max="7" width="7.83203125" style="6" customWidth="1"/>
    <col min="8" max="8" width="7.5" style="6" customWidth="1"/>
    <col min="9" max="9" width="7.1640625" style="6" customWidth="1"/>
    <col min="10" max="11" width="7.5" style="6" customWidth="1"/>
    <col min="12" max="13" width="7.33203125" style="6" customWidth="1"/>
    <col min="14" max="14" width="8" style="6" customWidth="1"/>
    <col min="15" max="16" width="8.83203125" style="6"/>
    <col min="17" max="18" width="10" style="6" customWidth="1"/>
    <col min="19" max="16384" width="8.83203125" style="6"/>
  </cols>
  <sheetData>
    <row r="1" spans="1:21" ht="15.75" customHeight="1" x14ac:dyDescent="0.2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15.75" customHeight="1" x14ac:dyDescent="0.2">
      <c r="A2" s="7"/>
      <c r="B2" s="8" t="s">
        <v>615</v>
      </c>
      <c r="C2" s="9" t="s">
        <v>616</v>
      </c>
      <c r="D2" s="9" t="s">
        <v>617</v>
      </c>
      <c r="E2" s="9" t="s">
        <v>618</v>
      </c>
      <c r="F2" s="9" t="s">
        <v>619</v>
      </c>
      <c r="G2" s="9" t="s">
        <v>620</v>
      </c>
      <c r="H2" s="9" t="s">
        <v>621</v>
      </c>
      <c r="I2" s="9" t="s">
        <v>622</v>
      </c>
      <c r="J2" s="9" t="s">
        <v>623</v>
      </c>
      <c r="K2" s="9" t="s">
        <v>624</v>
      </c>
      <c r="L2" s="9" t="s">
        <v>625</v>
      </c>
      <c r="M2" s="9" t="s">
        <v>626</v>
      </c>
      <c r="N2" s="9" t="s">
        <v>627</v>
      </c>
      <c r="O2" s="10" t="s">
        <v>628</v>
      </c>
      <c r="P2" s="9" t="s">
        <v>629</v>
      </c>
      <c r="Q2" s="9" t="s">
        <v>630</v>
      </c>
      <c r="R2" s="9" t="s">
        <v>631</v>
      </c>
      <c r="S2" s="7"/>
      <c r="T2" s="7"/>
      <c r="U2" s="7"/>
    </row>
    <row r="3" spans="1:21" ht="15.75" customHeight="1" x14ac:dyDescent="0.2">
      <c r="A3" s="7"/>
      <c r="B3" s="7" t="s">
        <v>48</v>
      </c>
      <c r="C3" s="11">
        <v>1</v>
      </c>
      <c r="D3" s="11">
        <v>1</v>
      </c>
      <c r="E3" s="11">
        <v>1</v>
      </c>
      <c r="F3" s="11">
        <v>1</v>
      </c>
      <c r="G3" s="11">
        <v>1</v>
      </c>
      <c r="H3" s="11">
        <v>1</v>
      </c>
      <c r="I3" s="11">
        <v>1</v>
      </c>
      <c r="J3" s="11">
        <v>0</v>
      </c>
      <c r="K3" s="11">
        <v>1</v>
      </c>
      <c r="L3" s="11">
        <v>1</v>
      </c>
      <c r="M3" s="11">
        <v>0</v>
      </c>
      <c r="N3" s="11">
        <v>1</v>
      </c>
      <c r="O3" s="11">
        <f t="shared" ref="O3:O32" si="0">SUM(C3:N3)</f>
        <v>10</v>
      </c>
      <c r="P3" s="11">
        <v>12</v>
      </c>
      <c r="Q3" s="12">
        <f t="shared" ref="Q3:Q32" si="1">O3/P3</f>
        <v>0.83333333333333337</v>
      </c>
      <c r="R3" s="11">
        <f t="shared" ref="R3:R32" si="2">P3-O3</f>
        <v>2</v>
      </c>
      <c r="S3" s="7"/>
      <c r="T3" s="7"/>
      <c r="U3" s="7"/>
    </row>
    <row r="4" spans="1:21" ht="15.75" customHeight="1" x14ac:dyDescent="0.2">
      <c r="A4" s="7"/>
      <c r="B4" s="7" t="s">
        <v>632</v>
      </c>
      <c r="C4" s="11">
        <v>1</v>
      </c>
      <c r="D4" s="11">
        <v>1</v>
      </c>
      <c r="E4" s="11">
        <v>1</v>
      </c>
      <c r="F4" s="11">
        <v>1</v>
      </c>
      <c r="G4" s="11">
        <v>1</v>
      </c>
      <c r="H4" s="11">
        <v>0</v>
      </c>
      <c r="I4" s="11">
        <v>0</v>
      </c>
      <c r="J4" s="11">
        <v>1</v>
      </c>
      <c r="K4" s="11">
        <v>1</v>
      </c>
      <c r="L4" s="11">
        <v>1</v>
      </c>
      <c r="M4" s="11">
        <v>1</v>
      </c>
      <c r="N4" s="11">
        <v>0</v>
      </c>
      <c r="O4" s="11">
        <f t="shared" si="0"/>
        <v>9</v>
      </c>
      <c r="P4" s="11">
        <v>12</v>
      </c>
      <c r="Q4" s="12">
        <f t="shared" si="1"/>
        <v>0.75</v>
      </c>
      <c r="R4" s="11">
        <f t="shared" si="2"/>
        <v>3</v>
      </c>
      <c r="S4" s="7"/>
      <c r="T4" s="7"/>
      <c r="U4" s="7"/>
    </row>
    <row r="5" spans="1:21" ht="15.75" customHeight="1" x14ac:dyDescent="0.2">
      <c r="A5" s="7"/>
      <c r="B5" s="7" t="s">
        <v>40</v>
      </c>
      <c r="C5" s="11">
        <v>0</v>
      </c>
      <c r="D5" s="11">
        <v>1</v>
      </c>
      <c r="E5" s="11">
        <v>0</v>
      </c>
      <c r="F5" s="11">
        <v>1</v>
      </c>
      <c r="G5" s="11">
        <v>1</v>
      </c>
      <c r="H5" s="11">
        <v>1</v>
      </c>
      <c r="I5" s="11">
        <v>1</v>
      </c>
      <c r="J5" s="11">
        <v>1</v>
      </c>
      <c r="K5" s="11">
        <v>0</v>
      </c>
      <c r="L5" s="11">
        <v>1</v>
      </c>
      <c r="M5" s="11">
        <v>0</v>
      </c>
      <c r="N5" s="11">
        <v>1</v>
      </c>
      <c r="O5" s="11">
        <f t="shared" si="0"/>
        <v>8</v>
      </c>
      <c r="P5" s="11">
        <v>12</v>
      </c>
      <c r="Q5" s="12">
        <f t="shared" si="1"/>
        <v>0.66666666666666663</v>
      </c>
      <c r="R5" s="11">
        <f t="shared" si="2"/>
        <v>4</v>
      </c>
      <c r="S5" s="7"/>
      <c r="T5" s="7"/>
      <c r="U5" s="7"/>
    </row>
    <row r="6" spans="1:21" ht="15.75" customHeight="1" x14ac:dyDescent="0.2">
      <c r="A6" s="7"/>
      <c r="B6" s="7" t="s">
        <v>41</v>
      </c>
      <c r="C6" s="11">
        <v>1</v>
      </c>
      <c r="D6" s="11">
        <v>1</v>
      </c>
      <c r="E6" s="11">
        <v>1</v>
      </c>
      <c r="F6" s="11" t="s">
        <v>633</v>
      </c>
      <c r="G6" s="11">
        <v>0</v>
      </c>
      <c r="H6" s="11">
        <v>1</v>
      </c>
      <c r="I6" s="11">
        <v>0</v>
      </c>
      <c r="J6" s="11">
        <v>1</v>
      </c>
      <c r="K6" s="11">
        <v>1</v>
      </c>
      <c r="L6" s="11">
        <v>1</v>
      </c>
      <c r="M6" s="11">
        <v>0</v>
      </c>
      <c r="N6" s="11">
        <v>1</v>
      </c>
      <c r="O6" s="11">
        <f t="shared" si="0"/>
        <v>8</v>
      </c>
      <c r="P6" s="11">
        <v>11</v>
      </c>
      <c r="Q6" s="12">
        <f t="shared" si="1"/>
        <v>0.72727272727272729</v>
      </c>
      <c r="R6" s="11">
        <f t="shared" si="2"/>
        <v>3</v>
      </c>
      <c r="S6" s="7"/>
      <c r="T6" s="7"/>
      <c r="U6" s="7"/>
    </row>
    <row r="7" spans="1:21" ht="15.75" customHeight="1" x14ac:dyDescent="0.2">
      <c r="A7" s="7"/>
      <c r="B7" s="7" t="s">
        <v>49</v>
      </c>
      <c r="C7" s="11">
        <v>1</v>
      </c>
      <c r="D7" s="11">
        <v>0</v>
      </c>
      <c r="E7" s="11">
        <v>0</v>
      </c>
      <c r="F7" s="11">
        <v>1</v>
      </c>
      <c r="G7" s="11">
        <v>1</v>
      </c>
      <c r="H7" s="11">
        <v>1</v>
      </c>
      <c r="I7" s="11">
        <v>0</v>
      </c>
      <c r="J7" s="11">
        <v>0</v>
      </c>
      <c r="K7" s="11">
        <v>1</v>
      </c>
      <c r="L7" s="11" t="s">
        <v>633</v>
      </c>
      <c r="M7" s="11">
        <v>1</v>
      </c>
      <c r="N7" s="11">
        <v>1</v>
      </c>
      <c r="O7" s="11">
        <f t="shared" si="0"/>
        <v>7</v>
      </c>
      <c r="P7" s="11">
        <v>11</v>
      </c>
      <c r="Q7" s="12">
        <f t="shared" si="1"/>
        <v>0.63636363636363635</v>
      </c>
      <c r="R7" s="11">
        <f t="shared" si="2"/>
        <v>4</v>
      </c>
      <c r="S7" s="7"/>
      <c r="T7" s="7"/>
      <c r="U7" s="7"/>
    </row>
    <row r="8" spans="1:21" ht="15.75" customHeight="1" x14ac:dyDescent="0.2">
      <c r="A8" s="7"/>
      <c r="B8" s="7" t="s">
        <v>60</v>
      </c>
      <c r="C8" s="11" t="s">
        <v>633</v>
      </c>
      <c r="D8" s="11" t="s">
        <v>633</v>
      </c>
      <c r="E8" s="11">
        <v>1</v>
      </c>
      <c r="F8" s="11">
        <v>1</v>
      </c>
      <c r="G8" s="11">
        <v>1</v>
      </c>
      <c r="H8" s="11">
        <v>0</v>
      </c>
      <c r="I8" s="11">
        <v>1</v>
      </c>
      <c r="J8" s="11">
        <v>1</v>
      </c>
      <c r="K8" s="11">
        <v>0</v>
      </c>
      <c r="L8" s="11">
        <v>0</v>
      </c>
      <c r="M8" s="11">
        <v>1</v>
      </c>
      <c r="N8" s="11">
        <v>0</v>
      </c>
      <c r="O8" s="11">
        <f t="shared" si="0"/>
        <v>6</v>
      </c>
      <c r="P8" s="11">
        <v>10</v>
      </c>
      <c r="Q8" s="12">
        <f t="shared" si="1"/>
        <v>0.6</v>
      </c>
      <c r="R8" s="11">
        <f t="shared" si="2"/>
        <v>4</v>
      </c>
      <c r="S8" s="7"/>
      <c r="T8" s="7"/>
      <c r="U8" s="7"/>
    </row>
    <row r="9" spans="1:21" ht="15.75" customHeight="1" x14ac:dyDescent="0.2">
      <c r="A9" s="7"/>
      <c r="B9" s="7" t="s">
        <v>61</v>
      </c>
      <c r="C9" s="11" t="s">
        <v>633</v>
      </c>
      <c r="D9" s="11" t="s">
        <v>633</v>
      </c>
      <c r="E9" s="11">
        <v>1</v>
      </c>
      <c r="F9" s="11">
        <v>1</v>
      </c>
      <c r="G9" s="11">
        <v>1</v>
      </c>
      <c r="H9" s="11">
        <v>1</v>
      </c>
      <c r="I9" s="11">
        <v>0</v>
      </c>
      <c r="J9" s="11">
        <v>0</v>
      </c>
      <c r="K9" s="11">
        <v>1</v>
      </c>
      <c r="L9" s="11">
        <v>0</v>
      </c>
      <c r="M9" s="11" t="s">
        <v>633</v>
      </c>
      <c r="N9" s="11" t="s">
        <v>633</v>
      </c>
      <c r="O9" s="11">
        <f t="shared" si="0"/>
        <v>5</v>
      </c>
      <c r="P9" s="11">
        <v>8</v>
      </c>
      <c r="Q9" s="12">
        <f t="shared" si="1"/>
        <v>0.625</v>
      </c>
      <c r="R9" s="11">
        <f t="shared" si="2"/>
        <v>3</v>
      </c>
      <c r="S9" s="7"/>
      <c r="T9" s="7"/>
      <c r="U9" s="7"/>
    </row>
    <row r="10" spans="1:21" ht="15.75" customHeight="1" x14ac:dyDescent="0.2">
      <c r="A10" s="7"/>
      <c r="B10" s="7" t="s">
        <v>44</v>
      </c>
      <c r="C10" s="11">
        <v>0</v>
      </c>
      <c r="D10" s="11">
        <v>1</v>
      </c>
      <c r="E10" s="11">
        <v>0</v>
      </c>
      <c r="F10" s="11">
        <v>0</v>
      </c>
      <c r="G10" s="11">
        <v>0</v>
      </c>
      <c r="H10" s="11">
        <v>0</v>
      </c>
      <c r="I10" s="11">
        <v>1</v>
      </c>
      <c r="J10" s="11">
        <v>0</v>
      </c>
      <c r="K10" s="11">
        <v>1</v>
      </c>
      <c r="L10" s="11">
        <v>1</v>
      </c>
      <c r="M10" s="11">
        <v>0</v>
      </c>
      <c r="N10" s="11">
        <v>1</v>
      </c>
      <c r="O10" s="11">
        <f t="shared" si="0"/>
        <v>5</v>
      </c>
      <c r="P10" s="11">
        <v>12</v>
      </c>
      <c r="Q10" s="12">
        <f t="shared" si="1"/>
        <v>0.41666666666666669</v>
      </c>
      <c r="R10" s="11">
        <f t="shared" si="2"/>
        <v>7</v>
      </c>
      <c r="S10" s="7"/>
      <c r="T10" s="7"/>
      <c r="U10" s="7"/>
    </row>
    <row r="11" spans="1:21" ht="15.75" customHeight="1" x14ac:dyDescent="0.2">
      <c r="A11" s="7"/>
      <c r="B11" s="7" t="s">
        <v>54</v>
      </c>
      <c r="C11" s="11" t="s">
        <v>633</v>
      </c>
      <c r="D11" s="11">
        <v>0</v>
      </c>
      <c r="E11" s="11">
        <v>1</v>
      </c>
      <c r="F11" s="11">
        <v>1</v>
      </c>
      <c r="G11" s="11">
        <v>0</v>
      </c>
      <c r="H11" s="11">
        <v>1</v>
      </c>
      <c r="I11" s="11">
        <v>0</v>
      </c>
      <c r="J11" s="11">
        <v>0</v>
      </c>
      <c r="K11" s="11">
        <v>0</v>
      </c>
      <c r="L11" s="11">
        <v>0</v>
      </c>
      <c r="M11" s="11">
        <v>1</v>
      </c>
      <c r="N11" s="11">
        <v>0</v>
      </c>
      <c r="O11" s="11">
        <f t="shared" si="0"/>
        <v>4</v>
      </c>
      <c r="P11" s="11">
        <v>11</v>
      </c>
      <c r="Q11" s="12">
        <f t="shared" si="1"/>
        <v>0.36363636363636365</v>
      </c>
      <c r="R11" s="11">
        <f t="shared" si="2"/>
        <v>7</v>
      </c>
      <c r="S11" s="7"/>
      <c r="T11" s="7"/>
      <c r="U11" s="7"/>
    </row>
    <row r="12" spans="1:21" ht="15.75" customHeight="1" x14ac:dyDescent="0.2">
      <c r="A12" s="7"/>
      <c r="B12" s="7" t="s">
        <v>52</v>
      </c>
      <c r="C12" s="11" t="s">
        <v>633</v>
      </c>
      <c r="D12" s="11">
        <v>1</v>
      </c>
      <c r="E12" s="11">
        <v>0</v>
      </c>
      <c r="F12" s="11">
        <v>0</v>
      </c>
      <c r="G12" s="11">
        <v>0</v>
      </c>
      <c r="H12" s="11">
        <v>0</v>
      </c>
      <c r="I12" s="11">
        <v>1</v>
      </c>
      <c r="J12" s="11">
        <v>1</v>
      </c>
      <c r="K12" s="11">
        <v>1</v>
      </c>
      <c r="L12" s="11">
        <v>0</v>
      </c>
      <c r="M12" s="11">
        <v>0</v>
      </c>
      <c r="N12" s="11" t="s">
        <v>633</v>
      </c>
      <c r="O12" s="11">
        <f t="shared" si="0"/>
        <v>4</v>
      </c>
      <c r="P12" s="11">
        <v>10</v>
      </c>
      <c r="Q12" s="12">
        <f t="shared" si="1"/>
        <v>0.4</v>
      </c>
      <c r="R12" s="11">
        <f t="shared" si="2"/>
        <v>6</v>
      </c>
      <c r="S12" s="7"/>
      <c r="T12" s="7"/>
      <c r="U12" s="7"/>
    </row>
    <row r="13" spans="1:21" ht="15.75" customHeight="1" x14ac:dyDescent="0.2">
      <c r="A13" s="7"/>
      <c r="B13" s="7" t="s">
        <v>55</v>
      </c>
      <c r="C13" s="11" t="s">
        <v>633</v>
      </c>
      <c r="D13" s="11">
        <v>0</v>
      </c>
      <c r="E13" s="11">
        <v>1</v>
      </c>
      <c r="F13" s="11">
        <v>0</v>
      </c>
      <c r="G13" s="11">
        <v>0</v>
      </c>
      <c r="H13" s="11">
        <v>0</v>
      </c>
      <c r="I13" s="11">
        <v>1</v>
      </c>
      <c r="J13" s="11">
        <v>0</v>
      </c>
      <c r="K13" s="11">
        <v>1</v>
      </c>
      <c r="L13" s="11">
        <v>1</v>
      </c>
      <c r="M13" s="11">
        <v>0</v>
      </c>
      <c r="N13" s="11" t="s">
        <v>633</v>
      </c>
      <c r="O13" s="11">
        <f t="shared" si="0"/>
        <v>4</v>
      </c>
      <c r="P13" s="11">
        <v>10</v>
      </c>
      <c r="Q13" s="12">
        <f t="shared" si="1"/>
        <v>0.4</v>
      </c>
      <c r="R13" s="11">
        <f t="shared" si="2"/>
        <v>6</v>
      </c>
      <c r="S13" s="7"/>
      <c r="T13" s="7"/>
      <c r="U13" s="7"/>
    </row>
    <row r="14" spans="1:21" ht="15.75" customHeight="1" x14ac:dyDescent="0.2">
      <c r="A14" s="7"/>
      <c r="B14" s="7" t="s">
        <v>63</v>
      </c>
      <c r="C14" s="11" t="s">
        <v>633</v>
      </c>
      <c r="D14" s="11" t="s">
        <v>633</v>
      </c>
      <c r="E14" s="11" t="s">
        <v>633</v>
      </c>
      <c r="F14" s="11" t="s">
        <v>633</v>
      </c>
      <c r="G14" s="11">
        <v>1</v>
      </c>
      <c r="H14" s="11" t="s">
        <v>633</v>
      </c>
      <c r="I14" s="11" t="s">
        <v>633</v>
      </c>
      <c r="J14" s="11">
        <v>1</v>
      </c>
      <c r="K14" s="11">
        <v>1</v>
      </c>
      <c r="L14" s="11">
        <v>1</v>
      </c>
      <c r="M14" s="11">
        <v>0</v>
      </c>
      <c r="N14" s="11">
        <v>0</v>
      </c>
      <c r="O14" s="11">
        <f t="shared" si="0"/>
        <v>4</v>
      </c>
      <c r="P14" s="11">
        <v>6</v>
      </c>
      <c r="Q14" s="12">
        <f t="shared" si="1"/>
        <v>0.66666666666666663</v>
      </c>
      <c r="R14" s="11">
        <f t="shared" si="2"/>
        <v>2</v>
      </c>
      <c r="S14" s="7"/>
      <c r="T14" s="7"/>
      <c r="U14" s="7"/>
    </row>
    <row r="15" spans="1:21" ht="15.75" customHeight="1" x14ac:dyDescent="0.2">
      <c r="A15" s="7"/>
      <c r="B15" s="7" t="s">
        <v>58</v>
      </c>
      <c r="C15" s="11" t="s">
        <v>633</v>
      </c>
      <c r="D15" s="11" t="s">
        <v>633</v>
      </c>
      <c r="E15" s="11">
        <v>1</v>
      </c>
      <c r="F15" s="11">
        <v>0</v>
      </c>
      <c r="G15" s="11">
        <v>0</v>
      </c>
      <c r="H15" s="11">
        <v>1</v>
      </c>
      <c r="I15" s="11">
        <v>1</v>
      </c>
      <c r="J15" s="11" t="s">
        <v>633</v>
      </c>
      <c r="K15" s="11" t="s">
        <v>633</v>
      </c>
      <c r="L15" s="11">
        <v>0</v>
      </c>
      <c r="M15" s="11">
        <v>1</v>
      </c>
      <c r="N15" s="11" t="s">
        <v>633</v>
      </c>
      <c r="O15" s="11">
        <f t="shared" si="0"/>
        <v>4</v>
      </c>
      <c r="P15" s="11">
        <v>7</v>
      </c>
      <c r="Q15" s="12">
        <f t="shared" si="1"/>
        <v>0.5714285714285714</v>
      </c>
      <c r="R15" s="11">
        <f t="shared" si="2"/>
        <v>3</v>
      </c>
      <c r="S15" s="7"/>
      <c r="T15" s="7"/>
      <c r="U15" s="7"/>
    </row>
    <row r="16" spans="1:21" ht="15.75" customHeight="1" x14ac:dyDescent="0.2">
      <c r="A16" s="7"/>
      <c r="B16" s="7" t="s">
        <v>50</v>
      </c>
      <c r="C16" s="11">
        <v>0</v>
      </c>
      <c r="D16" s="11">
        <v>0</v>
      </c>
      <c r="E16" s="11">
        <v>0</v>
      </c>
      <c r="F16" s="11">
        <v>0</v>
      </c>
      <c r="G16" s="11">
        <v>0</v>
      </c>
      <c r="H16" s="11">
        <v>0</v>
      </c>
      <c r="I16" s="11">
        <v>1</v>
      </c>
      <c r="J16" s="11">
        <v>1</v>
      </c>
      <c r="K16" s="11">
        <v>0</v>
      </c>
      <c r="L16" s="11">
        <v>1</v>
      </c>
      <c r="M16" s="11">
        <v>1</v>
      </c>
      <c r="N16" s="11">
        <v>0</v>
      </c>
      <c r="O16" s="11">
        <f t="shared" si="0"/>
        <v>4</v>
      </c>
      <c r="P16" s="11">
        <v>12</v>
      </c>
      <c r="Q16" s="12">
        <f t="shared" si="1"/>
        <v>0.33333333333333331</v>
      </c>
      <c r="R16" s="11">
        <f t="shared" si="2"/>
        <v>8</v>
      </c>
      <c r="S16" s="7"/>
      <c r="T16" s="7"/>
      <c r="U16" s="7"/>
    </row>
    <row r="17" spans="1:21" ht="15.75" customHeight="1" x14ac:dyDescent="0.2">
      <c r="A17" s="7"/>
      <c r="B17" s="7" t="s">
        <v>66</v>
      </c>
      <c r="C17" s="11" t="s">
        <v>633</v>
      </c>
      <c r="D17" s="11" t="s">
        <v>633</v>
      </c>
      <c r="E17" s="11" t="s">
        <v>633</v>
      </c>
      <c r="F17" s="11" t="s">
        <v>633</v>
      </c>
      <c r="G17" s="11" t="s">
        <v>633</v>
      </c>
      <c r="H17" s="11" t="s">
        <v>633</v>
      </c>
      <c r="I17" s="11" t="s">
        <v>633</v>
      </c>
      <c r="J17" s="11">
        <v>1</v>
      </c>
      <c r="K17" s="11">
        <v>1</v>
      </c>
      <c r="L17" s="11">
        <v>1</v>
      </c>
      <c r="M17" s="11" t="s">
        <v>633</v>
      </c>
      <c r="N17" s="11">
        <v>1</v>
      </c>
      <c r="O17" s="11">
        <f t="shared" si="0"/>
        <v>4</v>
      </c>
      <c r="P17" s="11">
        <v>4</v>
      </c>
      <c r="Q17" s="12">
        <f t="shared" si="1"/>
        <v>1</v>
      </c>
      <c r="R17" s="11">
        <f t="shared" si="2"/>
        <v>0</v>
      </c>
      <c r="S17" s="7"/>
      <c r="T17" s="7"/>
      <c r="U17" s="7"/>
    </row>
    <row r="18" spans="1:21" ht="15.75" customHeight="1" x14ac:dyDescent="0.2">
      <c r="A18" s="7"/>
      <c r="B18" s="7" t="s">
        <v>53</v>
      </c>
      <c r="C18" s="11" t="s">
        <v>633</v>
      </c>
      <c r="D18" s="11">
        <v>1</v>
      </c>
      <c r="E18" s="11">
        <v>0</v>
      </c>
      <c r="F18" s="11">
        <v>0</v>
      </c>
      <c r="G18" s="11">
        <v>1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1</v>
      </c>
      <c r="N18" s="11">
        <v>1</v>
      </c>
      <c r="O18" s="11">
        <f t="shared" si="0"/>
        <v>4</v>
      </c>
      <c r="P18" s="11">
        <v>11</v>
      </c>
      <c r="Q18" s="12">
        <f t="shared" si="1"/>
        <v>0.36363636363636365</v>
      </c>
      <c r="R18" s="11">
        <f t="shared" si="2"/>
        <v>7</v>
      </c>
      <c r="S18" s="7"/>
      <c r="T18" s="7"/>
      <c r="U18" s="7"/>
    </row>
    <row r="19" spans="1:21" ht="15.75" customHeight="1" x14ac:dyDescent="0.2">
      <c r="A19" s="7"/>
      <c r="B19" s="7" t="s">
        <v>634</v>
      </c>
      <c r="C19" s="11" t="s">
        <v>633</v>
      </c>
      <c r="D19" s="11">
        <v>0</v>
      </c>
      <c r="E19" s="11">
        <v>0</v>
      </c>
      <c r="F19" s="11">
        <v>1</v>
      </c>
      <c r="G19" s="11">
        <v>0</v>
      </c>
      <c r="H19" s="11">
        <v>1</v>
      </c>
      <c r="I19" s="11">
        <v>1</v>
      </c>
      <c r="J19" s="11" t="s">
        <v>633</v>
      </c>
      <c r="K19" s="11" t="s">
        <v>633</v>
      </c>
      <c r="L19" s="11" t="s">
        <v>633</v>
      </c>
      <c r="M19" s="11" t="s">
        <v>633</v>
      </c>
      <c r="N19" s="11" t="s">
        <v>633</v>
      </c>
      <c r="O19" s="11">
        <f t="shared" si="0"/>
        <v>3</v>
      </c>
      <c r="P19" s="11">
        <v>6</v>
      </c>
      <c r="Q19" s="12">
        <f t="shared" si="1"/>
        <v>0.5</v>
      </c>
      <c r="R19" s="11">
        <f t="shared" si="2"/>
        <v>3</v>
      </c>
      <c r="S19" s="7"/>
      <c r="T19" s="7"/>
      <c r="U19" s="7"/>
    </row>
    <row r="20" spans="1:21" ht="15.75" customHeight="1" x14ac:dyDescent="0.2">
      <c r="A20" s="7"/>
      <c r="B20" s="7" t="s">
        <v>42</v>
      </c>
      <c r="C20" s="11">
        <v>0</v>
      </c>
      <c r="D20" s="11">
        <v>1</v>
      </c>
      <c r="E20" s="11">
        <v>0</v>
      </c>
      <c r="F20" s="11">
        <v>0</v>
      </c>
      <c r="G20" s="11">
        <v>0</v>
      </c>
      <c r="H20" s="11">
        <v>1</v>
      </c>
      <c r="I20" s="11">
        <v>1</v>
      </c>
      <c r="J20" s="11">
        <v>0</v>
      </c>
      <c r="K20" s="11">
        <v>0</v>
      </c>
      <c r="L20" s="11">
        <v>0</v>
      </c>
      <c r="M20" s="11">
        <v>0</v>
      </c>
      <c r="N20" s="11">
        <v>0</v>
      </c>
      <c r="O20" s="11">
        <f t="shared" si="0"/>
        <v>3</v>
      </c>
      <c r="P20" s="11">
        <v>12</v>
      </c>
      <c r="Q20" s="12">
        <f t="shared" si="1"/>
        <v>0.25</v>
      </c>
      <c r="R20" s="11">
        <f t="shared" si="2"/>
        <v>9</v>
      </c>
      <c r="S20" s="7"/>
      <c r="T20" s="7"/>
      <c r="U20" s="7"/>
    </row>
    <row r="21" spans="1:21" ht="15.75" customHeight="1" x14ac:dyDescent="0.2">
      <c r="A21" s="7"/>
      <c r="B21" s="7" t="s">
        <v>46</v>
      </c>
      <c r="C21" s="11">
        <v>0</v>
      </c>
      <c r="D21" s="11">
        <v>0</v>
      </c>
      <c r="E21" s="11">
        <v>0</v>
      </c>
      <c r="F21" s="11">
        <v>0</v>
      </c>
      <c r="G21" s="11">
        <v>1</v>
      </c>
      <c r="H21" s="11">
        <v>1</v>
      </c>
      <c r="I21" s="11">
        <v>0</v>
      </c>
      <c r="J21" s="11">
        <v>0</v>
      </c>
      <c r="K21" s="11" t="s">
        <v>633</v>
      </c>
      <c r="L21" s="11">
        <v>0</v>
      </c>
      <c r="M21" s="11">
        <v>0</v>
      </c>
      <c r="N21" s="11">
        <v>1</v>
      </c>
      <c r="O21" s="11">
        <f t="shared" si="0"/>
        <v>3</v>
      </c>
      <c r="P21" s="11">
        <v>11</v>
      </c>
      <c r="Q21" s="12">
        <f t="shared" si="1"/>
        <v>0.27272727272727271</v>
      </c>
      <c r="R21" s="11">
        <f t="shared" si="2"/>
        <v>8</v>
      </c>
      <c r="S21" s="7"/>
      <c r="T21" s="7"/>
      <c r="U21" s="7"/>
    </row>
    <row r="22" spans="1:21" ht="15.75" customHeight="1" x14ac:dyDescent="0.2">
      <c r="A22" s="7"/>
      <c r="B22" s="7" t="s">
        <v>43</v>
      </c>
      <c r="C22" s="11">
        <v>1</v>
      </c>
      <c r="D22" s="11" t="s">
        <v>633</v>
      </c>
      <c r="E22" s="11" t="s">
        <v>633</v>
      </c>
      <c r="F22" s="11" t="s">
        <v>633</v>
      </c>
      <c r="G22" s="11">
        <v>0</v>
      </c>
      <c r="H22" s="11">
        <v>0</v>
      </c>
      <c r="I22" s="11">
        <v>0</v>
      </c>
      <c r="J22" s="11" t="s">
        <v>633</v>
      </c>
      <c r="K22" s="11">
        <v>0</v>
      </c>
      <c r="L22" s="11" t="s">
        <v>633</v>
      </c>
      <c r="M22" s="11">
        <v>1</v>
      </c>
      <c r="N22" s="11">
        <v>1</v>
      </c>
      <c r="O22" s="11">
        <f t="shared" si="0"/>
        <v>3</v>
      </c>
      <c r="P22" s="11">
        <v>7</v>
      </c>
      <c r="Q22" s="12">
        <f t="shared" si="1"/>
        <v>0.42857142857142855</v>
      </c>
      <c r="R22" s="11">
        <f t="shared" si="2"/>
        <v>4</v>
      </c>
      <c r="S22" s="7"/>
      <c r="T22" s="7"/>
      <c r="U22" s="7"/>
    </row>
    <row r="23" spans="1:21" ht="15.75" customHeight="1" x14ac:dyDescent="0.2">
      <c r="A23" s="7"/>
      <c r="B23" s="7" t="s">
        <v>47</v>
      </c>
      <c r="C23" s="11">
        <v>0</v>
      </c>
      <c r="D23" s="11">
        <v>0</v>
      </c>
      <c r="E23" s="11">
        <v>1</v>
      </c>
      <c r="F23" s="11">
        <v>1</v>
      </c>
      <c r="G23" s="11" t="s">
        <v>633</v>
      </c>
      <c r="H23" s="11" t="s">
        <v>633</v>
      </c>
      <c r="I23" s="11" t="s">
        <v>633</v>
      </c>
      <c r="J23" s="11" t="s">
        <v>633</v>
      </c>
      <c r="K23" s="11" t="s">
        <v>633</v>
      </c>
      <c r="L23" s="11" t="s">
        <v>633</v>
      </c>
      <c r="M23" s="11" t="s">
        <v>633</v>
      </c>
      <c r="N23" s="11" t="s">
        <v>633</v>
      </c>
      <c r="O23" s="11">
        <f t="shared" si="0"/>
        <v>2</v>
      </c>
      <c r="P23" s="11">
        <v>4</v>
      </c>
      <c r="Q23" s="12">
        <f t="shared" si="1"/>
        <v>0.5</v>
      </c>
      <c r="R23" s="11">
        <f t="shared" si="2"/>
        <v>2</v>
      </c>
      <c r="S23" s="7"/>
      <c r="T23" s="7"/>
      <c r="U23" s="7"/>
    </row>
    <row r="24" spans="1:21" ht="15.75" customHeight="1" x14ac:dyDescent="0.2">
      <c r="A24" s="7"/>
      <c r="B24" s="7" t="s">
        <v>62</v>
      </c>
      <c r="C24" s="11" t="s">
        <v>633</v>
      </c>
      <c r="D24" s="11" t="s">
        <v>633</v>
      </c>
      <c r="E24" s="11" t="s">
        <v>633</v>
      </c>
      <c r="F24" s="11">
        <v>1</v>
      </c>
      <c r="G24" s="11">
        <v>0</v>
      </c>
      <c r="H24" s="11">
        <v>0</v>
      </c>
      <c r="I24" s="11">
        <v>0</v>
      </c>
      <c r="J24" s="11">
        <v>1</v>
      </c>
      <c r="K24" s="11">
        <v>0</v>
      </c>
      <c r="L24" s="11">
        <v>0</v>
      </c>
      <c r="M24" s="11">
        <v>0</v>
      </c>
      <c r="N24" s="11" t="s">
        <v>633</v>
      </c>
      <c r="O24" s="11">
        <f t="shared" si="0"/>
        <v>2</v>
      </c>
      <c r="P24" s="11">
        <v>8</v>
      </c>
      <c r="Q24" s="12">
        <f t="shared" si="1"/>
        <v>0.25</v>
      </c>
      <c r="R24" s="11">
        <f t="shared" si="2"/>
        <v>6</v>
      </c>
      <c r="S24" s="7"/>
      <c r="T24" s="7"/>
      <c r="U24" s="7"/>
    </row>
    <row r="25" spans="1:21" ht="15.75" customHeight="1" x14ac:dyDescent="0.2">
      <c r="A25" s="7"/>
      <c r="B25" s="7" t="s">
        <v>64</v>
      </c>
      <c r="C25" s="11" t="s">
        <v>633</v>
      </c>
      <c r="D25" s="11" t="s">
        <v>633</v>
      </c>
      <c r="E25" s="11" t="s">
        <v>633</v>
      </c>
      <c r="F25" s="11" t="s">
        <v>633</v>
      </c>
      <c r="G25" s="11" t="s">
        <v>633</v>
      </c>
      <c r="H25" s="11" t="s">
        <v>633</v>
      </c>
      <c r="I25" s="11" t="s">
        <v>633</v>
      </c>
      <c r="J25" s="11">
        <v>1</v>
      </c>
      <c r="K25" s="11">
        <v>0</v>
      </c>
      <c r="L25" s="11">
        <v>0</v>
      </c>
      <c r="M25" s="11">
        <v>1</v>
      </c>
      <c r="N25" s="11">
        <v>0</v>
      </c>
      <c r="O25" s="11">
        <f t="shared" si="0"/>
        <v>2</v>
      </c>
      <c r="P25" s="11">
        <v>5</v>
      </c>
      <c r="Q25" s="12">
        <f t="shared" si="1"/>
        <v>0.4</v>
      </c>
      <c r="R25" s="11">
        <f t="shared" si="2"/>
        <v>3</v>
      </c>
      <c r="S25" s="7"/>
      <c r="T25" s="7"/>
      <c r="U25" s="7"/>
    </row>
    <row r="26" spans="1:21" ht="15.75" customHeight="1" x14ac:dyDescent="0.2">
      <c r="A26" s="7"/>
      <c r="B26" s="7" t="s">
        <v>59</v>
      </c>
      <c r="C26" s="11" t="s">
        <v>633</v>
      </c>
      <c r="D26" s="11">
        <v>0</v>
      </c>
      <c r="E26" s="11">
        <v>0</v>
      </c>
      <c r="F26" s="11">
        <v>0</v>
      </c>
      <c r="G26" s="11">
        <v>1</v>
      </c>
      <c r="H26" s="11">
        <v>0</v>
      </c>
      <c r="I26" s="11">
        <v>0</v>
      </c>
      <c r="J26" s="11" t="s">
        <v>633</v>
      </c>
      <c r="K26" s="11" t="s">
        <v>633</v>
      </c>
      <c r="L26" s="11" t="s">
        <v>633</v>
      </c>
      <c r="M26" s="11">
        <v>1</v>
      </c>
      <c r="N26" s="11" t="s">
        <v>633</v>
      </c>
      <c r="O26" s="11">
        <f t="shared" si="0"/>
        <v>2</v>
      </c>
      <c r="P26" s="11">
        <v>7</v>
      </c>
      <c r="Q26" s="12">
        <f t="shared" si="1"/>
        <v>0.2857142857142857</v>
      </c>
      <c r="R26" s="11">
        <f t="shared" si="2"/>
        <v>5</v>
      </c>
      <c r="S26" s="7"/>
      <c r="T26" s="7"/>
      <c r="U26" s="7"/>
    </row>
    <row r="27" spans="1:21" ht="15.75" customHeight="1" x14ac:dyDescent="0.2">
      <c r="A27" s="7"/>
      <c r="B27" s="7" t="s">
        <v>67</v>
      </c>
      <c r="C27" s="11" t="s">
        <v>633</v>
      </c>
      <c r="D27" s="11" t="s">
        <v>633</v>
      </c>
      <c r="E27" s="11" t="s">
        <v>633</v>
      </c>
      <c r="F27" s="11" t="s">
        <v>633</v>
      </c>
      <c r="G27" s="11" t="s">
        <v>633</v>
      </c>
      <c r="H27" s="11" t="s">
        <v>633</v>
      </c>
      <c r="I27" s="11" t="s">
        <v>633</v>
      </c>
      <c r="J27" s="11">
        <v>1</v>
      </c>
      <c r="K27" s="11">
        <v>0</v>
      </c>
      <c r="L27" s="11" t="s">
        <v>633</v>
      </c>
      <c r="M27" s="11" t="s">
        <v>633</v>
      </c>
      <c r="N27" s="11">
        <v>0</v>
      </c>
      <c r="O27" s="11">
        <f t="shared" si="0"/>
        <v>1</v>
      </c>
      <c r="P27" s="11">
        <v>3</v>
      </c>
      <c r="Q27" s="12">
        <f t="shared" si="1"/>
        <v>0.33333333333333331</v>
      </c>
      <c r="R27" s="11">
        <f t="shared" si="2"/>
        <v>2</v>
      </c>
      <c r="S27" s="7"/>
      <c r="T27" s="7"/>
      <c r="U27" s="7"/>
    </row>
    <row r="28" spans="1:21" ht="15.75" customHeight="1" x14ac:dyDescent="0.2">
      <c r="A28" s="7"/>
      <c r="B28" s="7" t="s">
        <v>51</v>
      </c>
      <c r="C28" s="11">
        <v>1</v>
      </c>
      <c r="D28" s="11" t="s">
        <v>633</v>
      </c>
      <c r="E28" s="11" t="s">
        <v>633</v>
      </c>
      <c r="F28" s="11" t="s">
        <v>633</v>
      </c>
      <c r="G28" s="11" t="s">
        <v>633</v>
      </c>
      <c r="H28" s="11" t="s">
        <v>633</v>
      </c>
      <c r="I28" s="11" t="s">
        <v>633</v>
      </c>
      <c r="J28" s="11" t="s">
        <v>633</v>
      </c>
      <c r="K28" s="11" t="s">
        <v>633</v>
      </c>
      <c r="L28" s="11" t="s">
        <v>633</v>
      </c>
      <c r="M28" s="11" t="s">
        <v>633</v>
      </c>
      <c r="N28" s="11" t="s">
        <v>633</v>
      </c>
      <c r="O28" s="11">
        <f t="shared" si="0"/>
        <v>1</v>
      </c>
      <c r="P28" s="11">
        <v>1</v>
      </c>
      <c r="Q28" s="12">
        <f t="shared" si="1"/>
        <v>1</v>
      </c>
      <c r="R28" s="11">
        <f t="shared" si="2"/>
        <v>0</v>
      </c>
      <c r="S28" s="7"/>
      <c r="T28" s="7"/>
      <c r="U28" s="7"/>
    </row>
    <row r="29" spans="1:21" ht="15.75" customHeight="1" x14ac:dyDescent="0.2">
      <c r="A29" s="7"/>
      <c r="B29" s="7" t="s">
        <v>56</v>
      </c>
      <c r="C29" s="11" t="s">
        <v>633</v>
      </c>
      <c r="D29" s="11">
        <v>0</v>
      </c>
      <c r="E29" s="11">
        <v>1</v>
      </c>
      <c r="F29" s="11" t="s">
        <v>633</v>
      </c>
      <c r="G29" s="11" t="s">
        <v>633</v>
      </c>
      <c r="H29" s="11" t="s">
        <v>633</v>
      </c>
      <c r="I29" s="11" t="s">
        <v>633</v>
      </c>
      <c r="J29" s="11" t="s">
        <v>633</v>
      </c>
      <c r="K29" s="11" t="s">
        <v>633</v>
      </c>
      <c r="L29" s="11" t="s">
        <v>633</v>
      </c>
      <c r="M29" s="11" t="s">
        <v>633</v>
      </c>
      <c r="N29" s="11" t="s">
        <v>633</v>
      </c>
      <c r="O29" s="11">
        <f t="shared" si="0"/>
        <v>1</v>
      </c>
      <c r="P29" s="11">
        <v>2</v>
      </c>
      <c r="Q29" s="12">
        <f t="shared" si="1"/>
        <v>0.5</v>
      </c>
      <c r="R29" s="11">
        <f t="shared" si="2"/>
        <v>1</v>
      </c>
      <c r="S29" s="7"/>
      <c r="T29" s="7"/>
      <c r="U29" s="7"/>
    </row>
    <row r="30" spans="1:21" ht="15.75" customHeight="1" x14ac:dyDescent="0.2">
      <c r="A30" s="7"/>
      <c r="B30" s="7" t="s">
        <v>69</v>
      </c>
      <c r="C30" s="11" t="s">
        <v>633</v>
      </c>
      <c r="D30" s="11" t="s">
        <v>633</v>
      </c>
      <c r="E30" s="11" t="s">
        <v>633</v>
      </c>
      <c r="F30" s="11" t="s">
        <v>633</v>
      </c>
      <c r="G30" s="11" t="s">
        <v>633</v>
      </c>
      <c r="H30" s="11" t="s">
        <v>633</v>
      </c>
      <c r="I30" s="11" t="s">
        <v>633</v>
      </c>
      <c r="J30" s="11" t="s">
        <v>633</v>
      </c>
      <c r="K30" s="11" t="s">
        <v>633</v>
      </c>
      <c r="L30" s="11">
        <v>1</v>
      </c>
      <c r="M30" s="11" t="s">
        <v>633</v>
      </c>
      <c r="N30" s="11">
        <v>0</v>
      </c>
      <c r="O30" s="11">
        <f t="shared" si="0"/>
        <v>1</v>
      </c>
      <c r="P30" s="11">
        <v>2</v>
      </c>
      <c r="Q30" s="12">
        <f t="shared" si="1"/>
        <v>0.5</v>
      </c>
      <c r="R30" s="11">
        <f t="shared" si="2"/>
        <v>1</v>
      </c>
      <c r="S30" s="7"/>
      <c r="T30" s="7"/>
      <c r="U30" s="7"/>
    </row>
    <row r="31" spans="1:21" ht="15.75" customHeight="1" x14ac:dyDescent="0.2">
      <c r="A31" s="7"/>
      <c r="B31" s="7" t="s">
        <v>70</v>
      </c>
      <c r="C31" s="11" t="s">
        <v>633</v>
      </c>
      <c r="D31" s="11" t="s">
        <v>633</v>
      </c>
      <c r="E31" s="11" t="s">
        <v>633</v>
      </c>
      <c r="F31" s="11" t="s">
        <v>633</v>
      </c>
      <c r="G31" s="11" t="s">
        <v>633</v>
      </c>
      <c r="H31" s="11" t="s">
        <v>633</v>
      </c>
      <c r="I31" s="11" t="s">
        <v>633</v>
      </c>
      <c r="J31" s="11" t="s">
        <v>633</v>
      </c>
      <c r="K31" s="11" t="s">
        <v>633</v>
      </c>
      <c r="L31" s="11" t="s">
        <v>633</v>
      </c>
      <c r="M31" s="11" t="s">
        <v>633</v>
      </c>
      <c r="N31" s="11">
        <v>1</v>
      </c>
      <c r="O31" s="11">
        <f t="shared" si="0"/>
        <v>1</v>
      </c>
      <c r="P31" s="11">
        <v>1</v>
      </c>
      <c r="Q31" s="12">
        <f t="shared" si="1"/>
        <v>1</v>
      </c>
      <c r="R31" s="11">
        <f t="shared" si="2"/>
        <v>0</v>
      </c>
      <c r="S31" s="7"/>
      <c r="T31" s="7"/>
      <c r="U31" s="7"/>
    </row>
    <row r="32" spans="1:21" ht="15.75" customHeight="1" x14ac:dyDescent="0.2">
      <c r="A32" s="7"/>
      <c r="B32" s="7" t="s">
        <v>65</v>
      </c>
      <c r="C32" s="11" t="s">
        <v>633</v>
      </c>
      <c r="D32" s="11" t="s">
        <v>633</v>
      </c>
      <c r="E32" s="11" t="s">
        <v>633</v>
      </c>
      <c r="F32" s="11" t="s">
        <v>633</v>
      </c>
      <c r="G32" s="11" t="s">
        <v>633</v>
      </c>
      <c r="H32" s="11" t="s">
        <v>633</v>
      </c>
      <c r="I32" s="11" t="s">
        <v>633</v>
      </c>
      <c r="J32" s="11">
        <v>0</v>
      </c>
      <c r="K32" s="11" t="s">
        <v>633</v>
      </c>
      <c r="L32" s="11" t="s">
        <v>633</v>
      </c>
      <c r="M32" s="11" t="s">
        <v>633</v>
      </c>
      <c r="N32" s="11">
        <v>0</v>
      </c>
      <c r="O32" s="11">
        <f t="shared" si="0"/>
        <v>0</v>
      </c>
      <c r="P32" s="11">
        <v>2</v>
      </c>
      <c r="Q32" s="12">
        <f t="shared" si="1"/>
        <v>0</v>
      </c>
      <c r="R32" s="11">
        <f t="shared" si="2"/>
        <v>2</v>
      </c>
      <c r="S32" s="7"/>
      <c r="T32" s="7"/>
      <c r="U32" s="7"/>
    </row>
    <row r="33" spans="1:21" ht="15.75" customHeight="1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</row>
    <row r="34" spans="1:21" ht="15.75" customHeight="1" x14ac:dyDescent="0.2">
      <c r="A34" s="7"/>
      <c r="B34" s="7" t="s">
        <v>628</v>
      </c>
      <c r="C34" s="11">
        <f t="shared" ref="C34:P34" si="3">SUM(C3:C32)</f>
        <v>6</v>
      </c>
      <c r="D34" s="11">
        <f t="shared" si="3"/>
        <v>8</v>
      </c>
      <c r="E34" s="11">
        <f t="shared" si="3"/>
        <v>10</v>
      </c>
      <c r="F34" s="11">
        <f t="shared" si="3"/>
        <v>10</v>
      </c>
      <c r="G34" s="11">
        <f t="shared" si="3"/>
        <v>10</v>
      </c>
      <c r="H34" s="11">
        <f t="shared" si="3"/>
        <v>10</v>
      </c>
      <c r="I34" s="11">
        <f t="shared" si="3"/>
        <v>10</v>
      </c>
      <c r="J34" s="11">
        <f t="shared" si="3"/>
        <v>11</v>
      </c>
      <c r="K34" s="11">
        <f t="shared" si="3"/>
        <v>10</v>
      </c>
      <c r="L34" s="11">
        <f t="shared" si="3"/>
        <v>10</v>
      </c>
      <c r="M34" s="11">
        <f t="shared" si="3"/>
        <v>10</v>
      </c>
      <c r="N34" s="11">
        <f t="shared" si="3"/>
        <v>10</v>
      </c>
      <c r="O34" s="11">
        <f t="shared" si="3"/>
        <v>115</v>
      </c>
      <c r="P34" s="11">
        <f t="shared" si="3"/>
        <v>230</v>
      </c>
      <c r="Q34" s="7"/>
      <c r="R34" s="11">
        <f>SUM(R3:R32)</f>
        <v>115</v>
      </c>
      <c r="S34" s="7"/>
      <c r="T34" s="7"/>
      <c r="U34" s="7"/>
    </row>
    <row r="35" spans="1:21" ht="15.75" customHeight="1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</row>
    <row r="36" spans="1:21" ht="15.75" customHeight="1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</row>
    <row r="37" spans="1:21" ht="15.75" customHeight="1" x14ac:dyDescent="0.2">
      <c r="A37" s="7"/>
      <c r="B37" s="7" t="s">
        <v>635</v>
      </c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</row>
    <row r="38" spans="1:21" ht="15.75" customHeight="1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</row>
    <row r="39" spans="1:21" ht="15.75" customHeight="1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</row>
    <row r="40" spans="1:21" ht="15.75" customHeight="1" x14ac:dyDescent="0.2"/>
  </sheetData>
  <autoFilter ref="B3:R31" xr:uid="{00000000-0009-0000-0000-000001000000}">
    <sortState xmlns:xlrd2="http://schemas.microsoft.com/office/spreadsheetml/2017/richdata2" ref="B4:R31">
      <sortCondition descending="1" ref="C4:C31"/>
    </sortState>
  </autoFilter>
  <conditionalFormatting sqref="C3:N32">
    <cfRule type="cellIs" dxfId="1" priority="2" operator="equal">
      <formula>0</formula>
    </cfRule>
    <cfRule type="cellIs" dxfId="0" priority="3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O3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8.6640625" defaultRowHeight="15" x14ac:dyDescent="0.2"/>
  <cols>
    <col min="1" max="1" width="2" customWidth="1"/>
    <col min="2" max="2" width="14" customWidth="1"/>
    <col min="3" max="15" width="7" customWidth="1"/>
  </cols>
  <sheetData>
    <row r="1" spans="2:15" ht="15.75" customHeight="1" x14ac:dyDescent="0.2">
      <c r="B1" s="13" t="s">
        <v>636</v>
      </c>
    </row>
    <row r="2" spans="2:15" ht="15" customHeight="1" x14ac:dyDescent="0.2">
      <c r="B2" s="14" t="s">
        <v>637</v>
      </c>
    </row>
    <row r="3" spans="2:15" ht="15" customHeight="1" x14ac:dyDescent="0.2">
      <c r="B3" s="15" t="s">
        <v>615</v>
      </c>
      <c r="C3" s="15" t="s">
        <v>638</v>
      </c>
      <c r="D3" s="15" t="s">
        <v>639</v>
      </c>
      <c r="E3" s="15" t="s">
        <v>640</v>
      </c>
      <c r="F3" s="15" t="s">
        <v>641</v>
      </c>
      <c r="G3" s="15" t="s">
        <v>642</v>
      </c>
      <c r="H3" s="15" t="s">
        <v>643</v>
      </c>
      <c r="I3" s="15" t="s">
        <v>644</v>
      </c>
      <c r="J3" s="15" t="s">
        <v>645</v>
      </c>
      <c r="K3" s="15" t="s">
        <v>646</v>
      </c>
      <c r="L3" s="15" t="s">
        <v>647</v>
      </c>
      <c r="M3" s="15" t="s">
        <v>648</v>
      </c>
      <c r="N3" s="15" t="s">
        <v>649</v>
      </c>
      <c r="O3" s="15" t="s">
        <v>650</v>
      </c>
    </row>
    <row r="4" spans="2:15" ht="15" customHeight="1" x14ac:dyDescent="0.2">
      <c r="B4" s="16" t="s">
        <v>57</v>
      </c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2:15" ht="15" customHeight="1" x14ac:dyDescent="0.2">
      <c r="B5" s="16" t="s">
        <v>55</v>
      </c>
      <c r="C5" s="17"/>
      <c r="D5" s="18">
        <v>32.4</v>
      </c>
      <c r="E5" s="18">
        <v>24.8</v>
      </c>
      <c r="F5" s="18">
        <v>22</v>
      </c>
      <c r="G5" s="18">
        <v>18.899999999999999</v>
      </c>
      <c r="H5" s="18">
        <v>20.2</v>
      </c>
      <c r="I5" s="18">
        <v>17.8</v>
      </c>
      <c r="J5" s="18">
        <v>15.5</v>
      </c>
      <c r="K5" s="18">
        <v>15.2</v>
      </c>
      <c r="L5" s="18">
        <v>16</v>
      </c>
      <c r="M5" s="18">
        <v>16.5</v>
      </c>
      <c r="N5" s="17" t="s">
        <v>633</v>
      </c>
      <c r="O5" s="18">
        <f t="shared" ref="O5:O28" si="0">IFERROR(AVERAGE(C5:N5),"")</f>
        <v>19.93</v>
      </c>
    </row>
    <row r="6" spans="2:15" ht="15" customHeight="1" x14ac:dyDescent="0.2">
      <c r="B6" s="16" t="s">
        <v>45</v>
      </c>
      <c r="C6" s="18">
        <v>15</v>
      </c>
      <c r="D6" s="18">
        <v>12.4</v>
      </c>
      <c r="E6" s="18">
        <v>9.1</v>
      </c>
      <c r="F6" s="18">
        <v>10.1</v>
      </c>
      <c r="G6" s="18">
        <v>11.1</v>
      </c>
      <c r="H6" s="18">
        <v>10.5</v>
      </c>
      <c r="I6" s="18">
        <v>10.5</v>
      </c>
      <c r="J6" s="18">
        <v>10.8</v>
      </c>
      <c r="K6" s="18">
        <v>8.3000000000000007</v>
      </c>
      <c r="L6" s="18">
        <v>10.1</v>
      </c>
      <c r="M6" s="18">
        <v>9.5</v>
      </c>
      <c r="N6" s="18">
        <v>9.4</v>
      </c>
      <c r="O6" s="18">
        <f t="shared" si="0"/>
        <v>10.566666666666666</v>
      </c>
    </row>
    <row r="7" spans="2:15" ht="15" customHeight="1" x14ac:dyDescent="0.2">
      <c r="B7" s="16" t="s">
        <v>52</v>
      </c>
      <c r="C7" s="17"/>
      <c r="D7" s="18">
        <v>18.8</v>
      </c>
      <c r="E7" s="18">
        <v>16.7</v>
      </c>
      <c r="F7" s="18">
        <v>16.2</v>
      </c>
      <c r="G7" s="18">
        <v>15.5</v>
      </c>
      <c r="H7" s="18">
        <v>15.4</v>
      </c>
      <c r="I7" s="18">
        <v>16.399999999999999</v>
      </c>
      <c r="J7" s="18">
        <v>17.100000000000001</v>
      </c>
      <c r="K7" s="18">
        <v>18.3</v>
      </c>
      <c r="L7" s="18">
        <v>17.600000000000001</v>
      </c>
      <c r="M7" s="18">
        <v>17.600000000000001</v>
      </c>
      <c r="N7" s="17" t="s">
        <v>633</v>
      </c>
      <c r="O7" s="18">
        <f t="shared" si="0"/>
        <v>16.96</v>
      </c>
    </row>
    <row r="8" spans="2:15" ht="15" customHeight="1" x14ac:dyDescent="0.2">
      <c r="B8" s="16" t="s">
        <v>63</v>
      </c>
      <c r="C8" s="17"/>
      <c r="D8" s="17" t="s">
        <v>633</v>
      </c>
      <c r="E8" s="17" t="s">
        <v>633</v>
      </c>
      <c r="F8" s="17" t="s">
        <v>633</v>
      </c>
      <c r="G8" s="18">
        <v>14.2</v>
      </c>
      <c r="H8" s="17" t="s">
        <v>633</v>
      </c>
      <c r="I8" s="17" t="s">
        <v>633</v>
      </c>
      <c r="J8" s="18">
        <v>11.7</v>
      </c>
      <c r="K8" s="18">
        <v>10.7</v>
      </c>
      <c r="L8" s="18">
        <v>11.7</v>
      </c>
      <c r="M8" s="18">
        <v>9.5</v>
      </c>
      <c r="N8" s="18">
        <v>11.8</v>
      </c>
      <c r="O8" s="18">
        <f t="shared" si="0"/>
        <v>11.6</v>
      </c>
    </row>
    <row r="9" spans="2:15" ht="15" customHeight="1" x14ac:dyDescent="0.2">
      <c r="B9" s="16" t="s">
        <v>64</v>
      </c>
      <c r="C9" s="17"/>
      <c r="D9" s="17" t="s">
        <v>633</v>
      </c>
      <c r="E9" s="17" t="s">
        <v>633</v>
      </c>
      <c r="F9" s="17" t="s">
        <v>633</v>
      </c>
      <c r="G9" s="17" t="s">
        <v>633</v>
      </c>
      <c r="H9" s="17" t="s">
        <v>633</v>
      </c>
      <c r="I9" s="17" t="s">
        <v>633</v>
      </c>
      <c r="J9" s="18">
        <v>17.2</v>
      </c>
      <c r="K9" s="18">
        <v>18.5</v>
      </c>
      <c r="L9" s="18">
        <v>18.399999999999999</v>
      </c>
      <c r="M9" s="18">
        <v>17.2</v>
      </c>
      <c r="N9" s="18">
        <v>17.8</v>
      </c>
      <c r="O9" s="18">
        <f t="shared" si="0"/>
        <v>17.82</v>
      </c>
    </row>
    <row r="10" spans="2:15" ht="15" customHeight="1" x14ac:dyDescent="0.2">
      <c r="B10" s="16" t="s">
        <v>67</v>
      </c>
      <c r="C10" s="17"/>
      <c r="D10" s="17" t="s">
        <v>633</v>
      </c>
      <c r="E10" s="17" t="s">
        <v>633</v>
      </c>
      <c r="F10" s="17" t="s">
        <v>633</v>
      </c>
      <c r="G10" s="17" t="s">
        <v>633</v>
      </c>
      <c r="H10" s="17" t="s">
        <v>633</v>
      </c>
      <c r="I10" s="17" t="s">
        <v>633</v>
      </c>
      <c r="J10" s="17"/>
      <c r="K10" s="17"/>
      <c r="L10" s="17"/>
      <c r="M10" s="17" t="s">
        <v>633</v>
      </c>
      <c r="N10" s="18">
        <v>12.4</v>
      </c>
      <c r="O10" s="18">
        <f t="shared" si="0"/>
        <v>12.4</v>
      </c>
    </row>
    <row r="11" spans="2:15" ht="15" customHeight="1" x14ac:dyDescent="0.2">
      <c r="B11" s="16" t="s">
        <v>50</v>
      </c>
      <c r="C11" s="18">
        <v>28</v>
      </c>
      <c r="D11" s="18">
        <v>22.3</v>
      </c>
      <c r="E11" s="18">
        <v>19.899999999999999</v>
      </c>
      <c r="F11" s="18">
        <v>17.3</v>
      </c>
      <c r="G11" s="18">
        <v>15.2</v>
      </c>
      <c r="H11" s="18">
        <v>14.6</v>
      </c>
      <c r="I11" s="18">
        <v>14.8</v>
      </c>
      <c r="J11" s="18">
        <v>12.4</v>
      </c>
      <c r="K11" s="18">
        <v>13.5</v>
      </c>
      <c r="L11" s="18">
        <v>12.7</v>
      </c>
      <c r="M11" s="18">
        <v>10</v>
      </c>
      <c r="N11" s="18">
        <v>10.1</v>
      </c>
      <c r="O11" s="18">
        <f t="shared" si="0"/>
        <v>15.899999999999999</v>
      </c>
    </row>
    <row r="12" spans="2:15" ht="15" customHeight="1" x14ac:dyDescent="0.2">
      <c r="B12" s="16" t="s">
        <v>44</v>
      </c>
      <c r="C12" s="18">
        <v>15</v>
      </c>
      <c r="D12" s="18">
        <v>16.8</v>
      </c>
      <c r="E12" s="18">
        <v>13.4</v>
      </c>
      <c r="F12" s="18">
        <v>7.8</v>
      </c>
      <c r="G12" s="18">
        <v>4.5999999999999996</v>
      </c>
      <c r="H12" s="18">
        <v>3.9</v>
      </c>
      <c r="I12" s="18">
        <v>4</v>
      </c>
      <c r="J12" s="18">
        <v>3.3</v>
      </c>
      <c r="K12" s="18">
        <v>6.3</v>
      </c>
      <c r="L12" s="18">
        <v>6.7</v>
      </c>
      <c r="M12" s="18">
        <v>6.8</v>
      </c>
      <c r="N12" s="18">
        <v>6.7</v>
      </c>
      <c r="O12" s="18">
        <f t="shared" si="0"/>
        <v>7.9416666666666664</v>
      </c>
    </row>
    <row r="13" spans="2:15" ht="15" customHeight="1" x14ac:dyDescent="0.2">
      <c r="B13" s="16" t="s">
        <v>54</v>
      </c>
      <c r="C13" s="17"/>
      <c r="D13" s="18">
        <v>31.4</v>
      </c>
      <c r="E13" s="18">
        <v>25</v>
      </c>
      <c r="F13" s="18">
        <v>27.2</v>
      </c>
      <c r="G13" s="18">
        <v>26.2</v>
      </c>
      <c r="H13" s="18">
        <v>25.2</v>
      </c>
      <c r="I13" s="18">
        <v>23.5</v>
      </c>
      <c r="J13" s="18">
        <v>18.899999999999999</v>
      </c>
      <c r="K13" s="18">
        <v>19.2</v>
      </c>
      <c r="L13" s="18">
        <v>19.899999999999999</v>
      </c>
      <c r="M13" s="18">
        <v>18</v>
      </c>
      <c r="N13" s="18">
        <v>17.399999999999999</v>
      </c>
      <c r="O13" s="18">
        <f t="shared" si="0"/>
        <v>22.900000000000002</v>
      </c>
    </row>
    <row r="14" spans="2:15" ht="15" customHeight="1" x14ac:dyDescent="0.2">
      <c r="B14" s="16" t="s">
        <v>53</v>
      </c>
      <c r="C14" s="17"/>
      <c r="D14" s="18">
        <v>30</v>
      </c>
      <c r="E14" s="18">
        <v>25</v>
      </c>
      <c r="F14" s="18">
        <v>22.4</v>
      </c>
      <c r="G14" s="18">
        <v>19.2</v>
      </c>
      <c r="H14" s="18">
        <v>15.8</v>
      </c>
      <c r="I14" s="18">
        <v>16.899999999999999</v>
      </c>
      <c r="J14" s="18">
        <v>15.1</v>
      </c>
      <c r="K14" s="18">
        <v>12</v>
      </c>
      <c r="L14" s="18">
        <v>12.7</v>
      </c>
      <c r="M14" s="18">
        <v>13.1</v>
      </c>
      <c r="N14" s="18">
        <v>10.9</v>
      </c>
      <c r="O14" s="18">
        <f t="shared" si="0"/>
        <v>17.554545454545455</v>
      </c>
    </row>
    <row r="15" spans="2:15" ht="15" customHeight="1" x14ac:dyDescent="0.2">
      <c r="B15" s="16" t="s">
        <v>58</v>
      </c>
      <c r="C15" s="17"/>
      <c r="D15" s="17" t="s">
        <v>633</v>
      </c>
      <c r="E15" s="18">
        <v>11</v>
      </c>
      <c r="F15" s="18">
        <v>9.4</v>
      </c>
      <c r="G15" s="18">
        <v>6.8</v>
      </c>
      <c r="H15" s="18">
        <v>7.5</v>
      </c>
      <c r="I15" s="18">
        <v>7.3</v>
      </c>
      <c r="J15" s="17" t="s">
        <v>633</v>
      </c>
      <c r="K15" s="17" t="s">
        <v>633</v>
      </c>
      <c r="L15" s="18">
        <v>9</v>
      </c>
      <c r="M15" s="18">
        <v>8</v>
      </c>
      <c r="N15" s="17" t="s">
        <v>633</v>
      </c>
      <c r="O15" s="18">
        <f t="shared" si="0"/>
        <v>8.4285714285714288</v>
      </c>
    </row>
    <row r="16" spans="2:15" ht="15" customHeight="1" x14ac:dyDescent="0.2">
      <c r="B16" s="16" t="s">
        <v>40</v>
      </c>
      <c r="C16" s="18">
        <v>15</v>
      </c>
      <c r="D16" s="18">
        <v>14.1</v>
      </c>
      <c r="E16" s="18">
        <v>14.7</v>
      </c>
      <c r="F16" s="18">
        <v>13.1</v>
      </c>
      <c r="G16" s="18">
        <v>11.8</v>
      </c>
      <c r="H16" s="18">
        <v>12.5</v>
      </c>
      <c r="I16" s="18">
        <v>11.9</v>
      </c>
      <c r="J16" s="18">
        <v>12</v>
      </c>
      <c r="K16" s="18">
        <v>11.7</v>
      </c>
      <c r="L16" s="18">
        <v>11.7</v>
      </c>
      <c r="M16" s="18">
        <v>10.9</v>
      </c>
      <c r="N16" s="18">
        <v>11.6</v>
      </c>
      <c r="O16" s="18">
        <f t="shared" si="0"/>
        <v>12.583333333333334</v>
      </c>
    </row>
    <row r="17" spans="2:15" ht="15" customHeight="1" x14ac:dyDescent="0.2">
      <c r="B17" s="16" t="s">
        <v>47</v>
      </c>
      <c r="C17" s="18">
        <v>20</v>
      </c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8">
        <f t="shared" si="0"/>
        <v>20</v>
      </c>
    </row>
    <row r="18" spans="2:15" ht="15" customHeight="1" x14ac:dyDescent="0.2">
      <c r="B18" s="16" t="s">
        <v>41</v>
      </c>
      <c r="C18" s="18">
        <v>18</v>
      </c>
      <c r="D18" s="18">
        <v>18.399999999999999</v>
      </c>
      <c r="E18" s="18">
        <v>17.899999999999999</v>
      </c>
      <c r="F18" s="17" t="s">
        <v>633</v>
      </c>
      <c r="G18" s="18">
        <v>18.5</v>
      </c>
      <c r="H18" s="18">
        <v>18.399999999999999</v>
      </c>
      <c r="I18" s="18">
        <v>19.600000000000001</v>
      </c>
      <c r="J18" s="18">
        <v>19.600000000000001</v>
      </c>
      <c r="K18" s="18">
        <v>19.100000000000001</v>
      </c>
      <c r="L18" s="18">
        <v>17.100000000000001</v>
      </c>
      <c r="M18" s="18">
        <v>16.399999999999999</v>
      </c>
      <c r="N18" s="18">
        <v>16</v>
      </c>
      <c r="O18" s="18">
        <f t="shared" si="0"/>
        <v>18.09090909090909</v>
      </c>
    </row>
    <row r="19" spans="2:15" ht="15" customHeight="1" x14ac:dyDescent="0.2">
      <c r="B19" s="16" t="s">
        <v>42</v>
      </c>
      <c r="C19" s="18">
        <v>15</v>
      </c>
      <c r="D19" s="18">
        <v>12.8</v>
      </c>
      <c r="E19" s="18">
        <v>12.3</v>
      </c>
      <c r="F19" s="18">
        <v>12.5</v>
      </c>
      <c r="G19" s="18">
        <v>12.7</v>
      </c>
      <c r="H19" s="18">
        <v>12.5</v>
      </c>
      <c r="I19" s="18">
        <v>11.3</v>
      </c>
      <c r="J19" s="18">
        <v>9.1</v>
      </c>
      <c r="K19" s="18">
        <v>8.8000000000000007</v>
      </c>
      <c r="L19" s="18">
        <v>8.6999999999999993</v>
      </c>
      <c r="M19" s="18">
        <v>9.4</v>
      </c>
      <c r="N19" s="18">
        <v>7.4</v>
      </c>
      <c r="O19" s="18">
        <f t="shared" si="0"/>
        <v>11.041666666666666</v>
      </c>
    </row>
    <row r="20" spans="2:15" ht="15" customHeight="1" x14ac:dyDescent="0.2">
      <c r="B20" s="16" t="s">
        <v>48</v>
      </c>
      <c r="C20" s="18">
        <v>20</v>
      </c>
      <c r="D20" s="18">
        <v>18.8</v>
      </c>
      <c r="E20" s="18">
        <v>16</v>
      </c>
      <c r="F20" s="18">
        <v>13.9</v>
      </c>
      <c r="G20" s="18">
        <v>11.8</v>
      </c>
      <c r="H20" s="18">
        <v>14.4</v>
      </c>
      <c r="I20" s="18">
        <v>13.4</v>
      </c>
      <c r="J20" s="18">
        <v>8.9</v>
      </c>
      <c r="K20" s="18">
        <v>9.3000000000000007</v>
      </c>
      <c r="L20" s="18">
        <v>8.6999999999999993</v>
      </c>
      <c r="M20" s="18">
        <v>7.9</v>
      </c>
      <c r="N20" s="18">
        <v>8.9</v>
      </c>
      <c r="O20" s="18">
        <f t="shared" si="0"/>
        <v>12.66666666666667</v>
      </c>
    </row>
    <row r="21" spans="2:15" ht="15" customHeight="1" x14ac:dyDescent="0.2">
      <c r="B21" s="16" t="s">
        <v>51</v>
      </c>
      <c r="C21" s="18">
        <v>15</v>
      </c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8">
        <f t="shared" si="0"/>
        <v>15</v>
      </c>
    </row>
    <row r="22" spans="2:15" ht="15" customHeight="1" x14ac:dyDescent="0.2">
      <c r="B22" s="16" t="s">
        <v>46</v>
      </c>
      <c r="C22" s="18">
        <v>15</v>
      </c>
      <c r="D22" s="18">
        <v>15.7</v>
      </c>
      <c r="E22" s="18">
        <v>16.399999999999999</v>
      </c>
      <c r="F22" s="18">
        <v>15.9</v>
      </c>
      <c r="G22" s="18">
        <v>14.3</v>
      </c>
      <c r="H22" s="18">
        <v>14</v>
      </c>
      <c r="I22" s="18">
        <v>15.4</v>
      </c>
      <c r="J22" s="18">
        <v>14.5</v>
      </c>
      <c r="K22" s="17" t="s">
        <v>633</v>
      </c>
      <c r="L22" s="18">
        <v>15.9</v>
      </c>
      <c r="M22" s="18">
        <v>16.2</v>
      </c>
      <c r="N22" s="18">
        <v>14.7</v>
      </c>
      <c r="O22" s="18">
        <f t="shared" si="0"/>
        <v>15.27272727272727</v>
      </c>
    </row>
    <row r="23" spans="2:15" ht="15" customHeight="1" x14ac:dyDescent="0.2">
      <c r="B23" s="16" t="s">
        <v>61</v>
      </c>
      <c r="C23" s="17"/>
      <c r="D23" s="17" t="s">
        <v>633</v>
      </c>
      <c r="E23" s="18">
        <v>9.5</v>
      </c>
      <c r="F23" s="18">
        <v>8.6999999999999993</v>
      </c>
      <c r="G23" s="18">
        <v>7.5</v>
      </c>
      <c r="H23" s="18">
        <v>8.6</v>
      </c>
      <c r="I23" s="18">
        <v>8.3000000000000007</v>
      </c>
      <c r="J23" s="18">
        <v>4.2</v>
      </c>
      <c r="K23" s="18">
        <v>5.3</v>
      </c>
      <c r="L23" s="18">
        <v>5.7</v>
      </c>
      <c r="M23" s="17" t="s">
        <v>633</v>
      </c>
      <c r="N23" s="17" t="s">
        <v>633</v>
      </c>
      <c r="O23" s="18">
        <f t="shared" si="0"/>
        <v>7.2249999999999996</v>
      </c>
    </row>
    <row r="24" spans="2:15" ht="15" customHeight="1" x14ac:dyDescent="0.2">
      <c r="B24" s="16" t="s">
        <v>59</v>
      </c>
      <c r="C24" s="17"/>
      <c r="D24" s="17" t="s">
        <v>633</v>
      </c>
      <c r="E24" s="18">
        <v>18.7</v>
      </c>
      <c r="F24" s="18">
        <v>18.2</v>
      </c>
      <c r="G24" s="18">
        <v>18.600000000000001</v>
      </c>
      <c r="H24" s="18">
        <v>18.899999999999999</v>
      </c>
      <c r="I24" s="18">
        <v>15</v>
      </c>
      <c r="J24" s="17" t="s">
        <v>633</v>
      </c>
      <c r="K24" s="17" t="s">
        <v>633</v>
      </c>
      <c r="L24" s="17" t="s">
        <v>633</v>
      </c>
      <c r="M24" s="18">
        <v>18</v>
      </c>
      <c r="N24" s="17" t="s">
        <v>633</v>
      </c>
      <c r="O24" s="18">
        <f t="shared" si="0"/>
        <v>17.900000000000002</v>
      </c>
    </row>
    <row r="25" spans="2:15" ht="15" customHeight="1" x14ac:dyDescent="0.2">
      <c r="B25" s="16" t="s">
        <v>66</v>
      </c>
      <c r="C25" s="17"/>
      <c r="D25" s="17" t="s">
        <v>633</v>
      </c>
      <c r="E25" s="17" t="s">
        <v>633</v>
      </c>
      <c r="F25" s="17" t="s">
        <v>633</v>
      </c>
      <c r="G25" s="17" t="s">
        <v>633</v>
      </c>
      <c r="H25" s="17" t="s">
        <v>633</v>
      </c>
      <c r="I25" s="17" t="s">
        <v>633</v>
      </c>
      <c r="J25" s="18">
        <v>5.7</v>
      </c>
      <c r="K25" s="18">
        <v>8.8000000000000007</v>
      </c>
      <c r="L25" s="18">
        <v>6.8</v>
      </c>
      <c r="M25" s="17" t="s">
        <v>633</v>
      </c>
      <c r="N25" s="18">
        <v>10.5</v>
      </c>
      <c r="O25" s="18">
        <f t="shared" si="0"/>
        <v>7.95</v>
      </c>
    </row>
    <row r="26" spans="2:15" ht="15" customHeight="1" x14ac:dyDescent="0.2">
      <c r="B26" s="16" t="s">
        <v>65</v>
      </c>
      <c r="C26" s="17"/>
      <c r="D26" s="17" t="s">
        <v>633</v>
      </c>
      <c r="E26" s="17" t="s">
        <v>633</v>
      </c>
      <c r="F26" s="17" t="s">
        <v>633</v>
      </c>
      <c r="G26" s="17" t="s">
        <v>633</v>
      </c>
      <c r="H26" s="17" t="s">
        <v>633</v>
      </c>
      <c r="I26" s="17" t="s">
        <v>633</v>
      </c>
      <c r="J26" s="18">
        <v>10.1</v>
      </c>
      <c r="K26" s="17" t="s">
        <v>633</v>
      </c>
      <c r="L26" s="17" t="s">
        <v>633</v>
      </c>
      <c r="M26" s="17" t="s">
        <v>633</v>
      </c>
      <c r="N26" s="18">
        <v>9</v>
      </c>
      <c r="O26" s="18">
        <f t="shared" si="0"/>
        <v>9.5500000000000007</v>
      </c>
    </row>
    <row r="27" spans="2:15" ht="15" customHeight="1" x14ac:dyDescent="0.2">
      <c r="B27" s="16" t="s">
        <v>43</v>
      </c>
      <c r="C27" s="18">
        <v>10</v>
      </c>
      <c r="D27" s="17" t="s">
        <v>633</v>
      </c>
      <c r="E27" s="17" t="s">
        <v>633</v>
      </c>
      <c r="F27" s="17" t="s">
        <v>633</v>
      </c>
      <c r="G27" s="18">
        <v>9.5</v>
      </c>
      <c r="H27" s="18">
        <v>7.5</v>
      </c>
      <c r="I27" s="18">
        <v>7.7</v>
      </c>
      <c r="J27" s="17" t="s">
        <v>633</v>
      </c>
      <c r="K27" s="18">
        <v>4.5</v>
      </c>
      <c r="L27" s="17" t="s">
        <v>633</v>
      </c>
      <c r="M27" s="18">
        <v>5.7</v>
      </c>
      <c r="N27" s="18">
        <v>4.3</v>
      </c>
      <c r="O27" s="18">
        <f t="shared" si="0"/>
        <v>7.0285714285714294</v>
      </c>
    </row>
    <row r="28" spans="2:15" ht="15" customHeight="1" x14ac:dyDescent="0.2">
      <c r="B28" s="16" t="s">
        <v>69</v>
      </c>
      <c r="C28" s="17"/>
      <c r="D28" s="17" t="s">
        <v>633</v>
      </c>
      <c r="E28" s="17" t="s">
        <v>633</v>
      </c>
      <c r="F28" s="17" t="s">
        <v>633</v>
      </c>
      <c r="G28" s="17" t="s">
        <v>633</v>
      </c>
      <c r="H28" s="17" t="s">
        <v>633</v>
      </c>
      <c r="I28" s="17" t="s">
        <v>633</v>
      </c>
      <c r="J28" s="17" t="s">
        <v>633</v>
      </c>
      <c r="K28" s="17" t="s">
        <v>633</v>
      </c>
      <c r="L28" s="18">
        <v>14.6</v>
      </c>
      <c r="M28" s="17" t="s">
        <v>633</v>
      </c>
      <c r="N28" s="18">
        <v>12.1</v>
      </c>
      <c r="O28" s="18">
        <f t="shared" si="0"/>
        <v>13.35</v>
      </c>
    </row>
    <row r="29" spans="2:15" ht="15" customHeight="1" x14ac:dyDescent="0.2">
      <c r="B29" s="16" t="s">
        <v>68</v>
      </c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</row>
    <row r="30" spans="2:15" ht="15" customHeight="1" x14ac:dyDescent="0.2">
      <c r="B30" s="16" t="s">
        <v>651</v>
      </c>
      <c r="C30" s="18">
        <v>30</v>
      </c>
      <c r="D30" s="18">
        <v>21.8</v>
      </c>
      <c r="E30" s="18">
        <v>17.7</v>
      </c>
      <c r="F30" s="18">
        <v>17.3</v>
      </c>
      <c r="G30" s="18">
        <v>16.5</v>
      </c>
      <c r="H30" s="18">
        <v>16.2</v>
      </c>
      <c r="I30" s="18">
        <v>14.6</v>
      </c>
      <c r="J30" s="18">
        <v>14.6</v>
      </c>
      <c r="K30" s="18">
        <v>14.4</v>
      </c>
      <c r="L30" s="17" t="s">
        <v>633</v>
      </c>
      <c r="M30" s="18">
        <v>12.9</v>
      </c>
      <c r="N30" s="18">
        <v>12.9</v>
      </c>
      <c r="O30" s="18">
        <f>IFERROR(AVERAGE(C30:N30),"")</f>
        <v>17.172727272727272</v>
      </c>
    </row>
    <row r="31" spans="2:15" ht="15" customHeight="1" x14ac:dyDescent="0.2">
      <c r="B31" s="16" t="s">
        <v>70</v>
      </c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</row>
    <row r="32" spans="2:15" ht="15" customHeight="1" x14ac:dyDescent="0.2">
      <c r="B32" s="16" t="s">
        <v>56</v>
      </c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</row>
    <row r="33" spans="2:15" ht="15" customHeight="1" x14ac:dyDescent="0.2">
      <c r="B33" s="16" t="s">
        <v>62</v>
      </c>
      <c r="C33" s="17"/>
      <c r="D33" s="17" t="s">
        <v>633</v>
      </c>
      <c r="E33" s="17" t="s">
        <v>633</v>
      </c>
      <c r="F33" s="18">
        <v>12.7</v>
      </c>
      <c r="G33" s="18">
        <v>13.6</v>
      </c>
      <c r="H33" s="18">
        <v>15</v>
      </c>
      <c r="I33" s="18">
        <v>13.6</v>
      </c>
      <c r="J33" s="18">
        <v>9</v>
      </c>
      <c r="K33" s="18">
        <v>9.3000000000000007</v>
      </c>
      <c r="L33" s="18">
        <v>10</v>
      </c>
      <c r="M33" s="18">
        <v>9.5</v>
      </c>
      <c r="N33" s="17" t="s">
        <v>633</v>
      </c>
      <c r="O33" s="18">
        <f>IFERROR(AVERAGE(C33:N33),"")</f>
        <v>11.5875</v>
      </c>
    </row>
    <row r="34" spans="2:15" ht="15" customHeight="1" x14ac:dyDescent="0.2">
      <c r="B34" s="16" t="s">
        <v>60</v>
      </c>
      <c r="C34" s="17"/>
      <c r="D34" s="17" t="s">
        <v>633</v>
      </c>
      <c r="E34" s="18">
        <v>14.3</v>
      </c>
      <c r="F34" s="18">
        <v>13</v>
      </c>
      <c r="G34" s="18">
        <v>11.9</v>
      </c>
      <c r="H34" s="18">
        <v>11.1</v>
      </c>
      <c r="I34" s="18">
        <v>9.9</v>
      </c>
      <c r="J34" s="18">
        <v>10.199999999999999</v>
      </c>
      <c r="K34" s="18">
        <v>10.4</v>
      </c>
      <c r="L34" s="18">
        <v>8.9</v>
      </c>
      <c r="M34" s="18">
        <v>10.199999999999999</v>
      </c>
      <c r="N34" s="18">
        <v>8.6</v>
      </c>
      <c r="O34" s="18">
        <f>IFERROR(AVERAGE(C34:N34),"")</f>
        <v>10.850000000000001</v>
      </c>
    </row>
  </sheetData>
  <conditionalFormatting sqref="C4:N34">
    <cfRule type="colorScale" priority="2">
      <colorScale>
        <cfvo type="num" val="3"/>
        <cfvo type="num" val="15"/>
        <cfvo type="num" val="33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187"/>
  <sheetViews>
    <sheetView zoomScaleNormal="100" workbookViewId="0">
      <selection activeCell="AH24" sqref="AH24"/>
    </sheetView>
  </sheetViews>
  <sheetFormatPr baseColWidth="10" defaultColWidth="8.83203125" defaultRowHeight="15" x14ac:dyDescent="0.2"/>
  <sheetData>
    <row r="1" spans="1:38" ht="15" customHeight="1" x14ac:dyDescent="0.2">
      <c r="A1" s="3" t="s">
        <v>0</v>
      </c>
      <c r="B1" s="3" t="s">
        <v>652</v>
      </c>
      <c r="C1" s="3" t="s">
        <v>653</v>
      </c>
      <c r="D1" s="3" t="s">
        <v>654</v>
      </c>
      <c r="E1" s="3" t="s">
        <v>655</v>
      </c>
      <c r="F1" s="3" t="s">
        <v>656</v>
      </c>
      <c r="G1" s="3" t="s">
        <v>657</v>
      </c>
      <c r="H1" s="3" t="s">
        <v>658</v>
      </c>
      <c r="I1" s="3" t="s">
        <v>659</v>
      </c>
      <c r="J1" s="3" t="s">
        <v>660</v>
      </c>
      <c r="K1" s="3" t="s">
        <v>661</v>
      </c>
      <c r="L1" s="3" t="s">
        <v>662</v>
      </c>
      <c r="M1" s="3" t="s">
        <v>663</v>
      </c>
      <c r="N1" s="3" t="s">
        <v>664</v>
      </c>
      <c r="O1" s="3" t="s">
        <v>665</v>
      </c>
      <c r="P1" s="3" t="s">
        <v>666</v>
      </c>
      <c r="Q1" s="3" t="s">
        <v>667</v>
      </c>
      <c r="R1" s="3" t="s">
        <v>668</v>
      </c>
      <c r="S1" s="3" t="s">
        <v>669</v>
      </c>
      <c r="T1" s="3" t="s">
        <v>670</v>
      </c>
      <c r="U1" s="3">
        <v>1</v>
      </c>
      <c r="V1" s="3">
        <v>2</v>
      </c>
      <c r="W1" s="3">
        <v>3</v>
      </c>
      <c r="X1" s="3">
        <v>4</v>
      </c>
      <c r="Y1" s="3">
        <v>5</v>
      </c>
      <c r="Z1" s="3">
        <v>6</v>
      </c>
      <c r="AA1" s="3">
        <v>7</v>
      </c>
      <c r="AB1" s="3">
        <v>8</v>
      </c>
      <c r="AC1" s="3">
        <v>9</v>
      </c>
      <c r="AD1" s="3">
        <v>10</v>
      </c>
      <c r="AE1" s="3">
        <v>11</v>
      </c>
      <c r="AF1" s="3">
        <v>12</v>
      </c>
      <c r="AG1" s="3" t="s">
        <v>628</v>
      </c>
      <c r="AH1" s="3" t="s">
        <v>671</v>
      </c>
      <c r="AI1" s="3" t="s">
        <v>672</v>
      </c>
      <c r="AJ1" s="3" t="s">
        <v>673</v>
      </c>
      <c r="AK1" s="3" t="s">
        <v>674</v>
      </c>
      <c r="AL1" s="3" t="s">
        <v>675</v>
      </c>
    </row>
    <row r="2" spans="1:38" ht="15" customHeight="1" x14ac:dyDescent="0.2">
      <c r="U2" t="s">
        <v>676</v>
      </c>
      <c r="V2" t="s">
        <v>677</v>
      </c>
      <c r="W2" t="s">
        <v>678</v>
      </c>
      <c r="X2" t="s">
        <v>679</v>
      </c>
      <c r="Y2" t="s">
        <v>680</v>
      </c>
      <c r="Z2" t="s">
        <v>681</v>
      </c>
      <c r="AA2" t="s">
        <v>349</v>
      </c>
      <c r="AB2" t="s">
        <v>397</v>
      </c>
      <c r="AC2" t="s">
        <v>678</v>
      </c>
      <c r="AD2" t="s">
        <v>682</v>
      </c>
      <c r="AE2" t="s">
        <v>98</v>
      </c>
      <c r="AF2" t="s">
        <v>683</v>
      </c>
    </row>
    <row r="3" spans="1:38" ht="15" customHeight="1" x14ac:dyDescent="0.2">
      <c r="B3" t="s">
        <v>45</v>
      </c>
      <c r="C3" t="s">
        <v>45</v>
      </c>
      <c r="T3" t="s">
        <v>57</v>
      </c>
      <c r="U3" t="s">
        <v>684</v>
      </c>
      <c r="V3">
        <v>2</v>
      </c>
      <c r="W3">
        <v>2</v>
      </c>
      <c r="X3">
        <v>4.5</v>
      </c>
      <c r="Y3" t="s">
        <v>684</v>
      </c>
      <c r="Z3">
        <v>2</v>
      </c>
      <c r="AA3">
        <v>2.5</v>
      </c>
      <c r="AB3" t="s">
        <v>684</v>
      </c>
      <c r="AC3" t="s">
        <v>684</v>
      </c>
      <c r="AD3" t="s">
        <v>684</v>
      </c>
      <c r="AE3" t="s">
        <v>684</v>
      </c>
      <c r="AF3" t="s">
        <v>684</v>
      </c>
      <c r="AG3">
        <v>13</v>
      </c>
      <c r="AI3">
        <v>2</v>
      </c>
      <c r="AJ3">
        <v>4.5</v>
      </c>
      <c r="AK3">
        <v>2.6</v>
      </c>
      <c r="AL3">
        <v>2.5</v>
      </c>
    </row>
    <row r="4" spans="1:38" ht="15" customHeight="1" x14ac:dyDescent="0.2">
      <c r="T4" t="s">
        <v>55</v>
      </c>
      <c r="U4" t="s">
        <v>684</v>
      </c>
      <c r="V4">
        <v>0.5</v>
      </c>
      <c r="W4">
        <v>3.5</v>
      </c>
      <c r="X4">
        <v>2.5</v>
      </c>
      <c r="Y4">
        <v>1</v>
      </c>
      <c r="Z4">
        <v>4</v>
      </c>
      <c r="AA4">
        <v>4.5</v>
      </c>
      <c r="AB4">
        <v>3.5</v>
      </c>
      <c r="AC4">
        <v>2.5</v>
      </c>
      <c r="AD4">
        <v>4.5</v>
      </c>
      <c r="AE4">
        <v>3.5</v>
      </c>
      <c r="AF4" t="s">
        <v>684</v>
      </c>
      <c r="AG4">
        <v>30</v>
      </c>
      <c r="AI4">
        <v>0.5</v>
      </c>
      <c r="AJ4">
        <v>4.5</v>
      </c>
      <c r="AK4">
        <v>3</v>
      </c>
      <c r="AL4">
        <v>4</v>
      </c>
    </row>
    <row r="5" spans="1:38" ht="15" customHeight="1" x14ac:dyDescent="0.2">
      <c r="C5" t="s">
        <v>685</v>
      </c>
      <c r="T5" t="s">
        <v>45</v>
      </c>
      <c r="U5">
        <v>6</v>
      </c>
      <c r="V5">
        <v>3.5</v>
      </c>
      <c r="W5">
        <v>4.5</v>
      </c>
      <c r="X5">
        <v>3.5</v>
      </c>
      <c r="Y5">
        <v>4</v>
      </c>
      <c r="Z5">
        <v>2</v>
      </c>
      <c r="AA5">
        <v>2</v>
      </c>
      <c r="AB5">
        <v>4</v>
      </c>
      <c r="AC5">
        <v>3.5</v>
      </c>
      <c r="AD5">
        <v>6</v>
      </c>
      <c r="AE5">
        <v>5</v>
      </c>
      <c r="AF5">
        <v>6.5</v>
      </c>
      <c r="AG5">
        <v>50.5</v>
      </c>
      <c r="AI5">
        <v>2</v>
      </c>
      <c r="AJ5">
        <v>6.5</v>
      </c>
      <c r="AK5">
        <v>4.2083333333333304</v>
      </c>
      <c r="AL5">
        <v>4.5</v>
      </c>
    </row>
    <row r="6" spans="1:38" ht="15" customHeight="1" x14ac:dyDescent="0.2">
      <c r="C6">
        <v>1</v>
      </c>
      <c r="D6">
        <v>2</v>
      </c>
      <c r="E6">
        <v>3</v>
      </c>
      <c r="F6">
        <v>4</v>
      </c>
      <c r="G6">
        <v>5</v>
      </c>
      <c r="H6">
        <v>6</v>
      </c>
      <c r="I6">
        <v>7</v>
      </c>
      <c r="J6">
        <v>8</v>
      </c>
      <c r="K6">
        <v>9</v>
      </c>
      <c r="L6">
        <v>10</v>
      </c>
      <c r="M6">
        <v>11</v>
      </c>
      <c r="N6">
        <v>12</v>
      </c>
      <c r="O6" t="s">
        <v>686</v>
      </c>
      <c r="T6" t="s">
        <v>69</v>
      </c>
      <c r="U6" t="s">
        <v>684</v>
      </c>
      <c r="V6" t="s">
        <v>684</v>
      </c>
      <c r="W6" t="s">
        <v>684</v>
      </c>
      <c r="X6" t="s">
        <v>684</v>
      </c>
      <c r="Y6" t="s">
        <v>684</v>
      </c>
      <c r="Z6" t="s">
        <v>684</v>
      </c>
      <c r="AA6" t="s">
        <v>684</v>
      </c>
      <c r="AB6" t="s">
        <v>684</v>
      </c>
      <c r="AC6" t="s">
        <v>684</v>
      </c>
      <c r="AD6">
        <v>3</v>
      </c>
      <c r="AE6" t="s">
        <v>684</v>
      </c>
      <c r="AF6">
        <v>6</v>
      </c>
      <c r="AG6">
        <v>9</v>
      </c>
      <c r="AI6">
        <v>3</v>
      </c>
      <c r="AJ6">
        <v>6</v>
      </c>
      <c r="AK6">
        <v>4.5</v>
      </c>
      <c r="AL6">
        <v>3</v>
      </c>
    </row>
    <row r="7" spans="1:38" ht="15" customHeight="1" x14ac:dyDescent="0.2">
      <c r="B7" t="s">
        <v>687</v>
      </c>
      <c r="C7">
        <v>6</v>
      </c>
      <c r="D7">
        <v>3.5</v>
      </c>
      <c r="E7">
        <v>4.5</v>
      </c>
      <c r="F7">
        <v>3.5</v>
      </c>
      <c r="G7">
        <v>4</v>
      </c>
      <c r="H7">
        <v>2</v>
      </c>
      <c r="I7">
        <v>2</v>
      </c>
      <c r="J7">
        <v>4</v>
      </c>
      <c r="K7">
        <v>3.5</v>
      </c>
      <c r="L7">
        <v>6</v>
      </c>
      <c r="M7">
        <v>5</v>
      </c>
      <c r="N7">
        <v>6.5</v>
      </c>
      <c r="O7">
        <v>50.5</v>
      </c>
      <c r="T7" t="s">
        <v>52</v>
      </c>
      <c r="U7" t="s">
        <v>684</v>
      </c>
      <c r="V7">
        <v>2.5</v>
      </c>
      <c r="W7">
        <v>2</v>
      </c>
      <c r="X7">
        <v>3.5</v>
      </c>
      <c r="Y7">
        <v>1</v>
      </c>
      <c r="Z7">
        <v>2.5</v>
      </c>
      <c r="AA7">
        <v>1.5</v>
      </c>
      <c r="AB7">
        <v>2.5</v>
      </c>
      <c r="AC7">
        <v>1</v>
      </c>
      <c r="AD7">
        <v>3</v>
      </c>
      <c r="AE7">
        <v>2.5</v>
      </c>
      <c r="AF7" t="s">
        <v>684</v>
      </c>
      <c r="AG7">
        <v>22</v>
      </c>
      <c r="AI7">
        <v>1</v>
      </c>
      <c r="AJ7">
        <v>3.5</v>
      </c>
      <c r="AK7">
        <v>2.2000000000000002</v>
      </c>
      <c r="AL7">
        <v>2.5</v>
      </c>
    </row>
    <row r="8" spans="1:38" ht="15" customHeight="1" x14ac:dyDescent="0.2">
      <c r="T8" t="s">
        <v>63</v>
      </c>
      <c r="U8" t="s">
        <v>684</v>
      </c>
      <c r="V8" t="s">
        <v>684</v>
      </c>
      <c r="W8" t="s">
        <v>684</v>
      </c>
      <c r="X8" t="s">
        <v>684</v>
      </c>
      <c r="Y8">
        <v>4</v>
      </c>
      <c r="Z8" t="s">
        <v>684</v>
      </c>
      <c r="AA8" t="s">
        <v>684</v>
      </c>
      <c r="AB8">
        <v>3</v>
      </c>
      <c r="AC8">
        <v>3</v>
      </c>
      <c r="AD8">
        <v>2</v>
      </c>
      <c r="AE8">
        <v>2.5</v>
      </c>
      <c r="AF8">
        <v>4</v>
      </c>
      <c r="AG8">
        <v>18.5</v>
      </c>
      <c r="AI8">
        <v>2</v>
      </c>
      <c r="AJ8">
        <v>4</v>
      </c>
      <c r="AK8">
        <v>3.0833333333333299</v>
      </c>
      <c r="AL8">
        <v>2</v>
      </c>
    </row>
    <row r="9" spans="1:38" ht="15" customHeight="1" x14ac:dyDescent="0.2">
      <c r="B9" t="s">
        <v>40</v>
      </c>
      <c r="C9" t="s">
        <v>40</v>
      </c>
      <c r="T9" t="s">
        <v>64</v>
      </c>
      <c r="U9" t="s">
        <v>684</v>
      </c>
      <c r="V9" t="s">
        <v>684</v>
      </c>
      <c r="W9" t="s">
        <v>684</v>
      </c>
      <c r="X9" t="s">
        <v>684</v>
      </c>
      <c r="Y9" t="s">
        <v>684</v>
      </c>
      <c r="Z9" t="s">
        <v>684</v>
      </c>
      <c r="AA9" t="s">
        <v>684</v>
      </c>
      <c r="AB9">
        <v>1.5</v>
      </c>
      <c r="AC9">
        <v>4.5</v>
      </c>
      <c r="AD9">
        <v>5</v>
      </c>
      <c r="AE9">
        <v>4.5</v>
      </c>
      <c r="AF9">
        <v>5</v>
      </c>
      <c r="AG9">
        <v>20.5</v>
      </c>
      <c r="AI9">
        <v>1.5</v>
      </c>
      <c r="AJ9">
        <v>5</v>
      </c>
      <c r="AK9">
        <v>4.0999999999999996</v>
      </c>
      <c r="AL9">
        <v>3.5</v>
      </c>
    </row>
    <row r="10" spans="1:38" ht="15" customHeight="1" x14ac:dyDescent="0.2">
      <c r="T10" t="s">
        <v>67</v>
      </c>
      <c r="U10" t="s">
        <v>684</v>
      </c>
      <c r="V10" t="s">
        <v>684</v>
      </c>
      <c r="W10" t="s">
        <v>684</v>
      </c>
      <c r="X10" t="s">
        <v>684</v>
      </c>
      <c r="Y10" t="s">
        <v>684</v>
      </c>
      <c r="Z10" t="s">
        <v>684</v>
      </c>
      <c r="AA10" t="s">
        <v>684</v>
      </c>
      <c r="AB10">
        <v>3</v>
      </c>
      <c r="AC10">
        <v>3</v>
      </c>
      <c r="AD10" t="s">
        <v>684</v>
      </c>
      <c r="AE10" t="s">
        <v>684</v>
      </c>
      <c r="AF10">
        <v>1</v>
      </c>
      <c r="AG10">
        <v>7</v>
      </c>
      <c r="AI10">
        <v>1</v>
      </c>
      <c r="AJ10">
        <v>3</v>
      </c>
      <c r="AK10">
        <v>2.3333333333333299</v>
      </c>
      <c r="AL10">
        <v>2</v>
      </c>
    </row>
    <row r="11" spans="1:38" ht="15" customHeight="1" x14ac:dyDescent="0.2">
      <c r="C11" t="s">
        <v>685</v>
      </c>
      <c r="T11" t="s">
        <v>50</v>
      </c>
      <c r="U11">
        <v>5.5</v>
      </c>
      <c r="V11">
        <v>2.5</v>
      </c>
      <c r="W11">
        <v>5</v>
      </c>
      <c r="X11">
        <v>2.5</v>
      </c>
      <c r="Y11">
        <v>4.5</v>
      </c>
      <c r="Z11">
        <v>3</v>
      </c>
      <c r="AA11">
        <v>4.5</v>
      </c>
      <c r="AB11">
        <v>3.5</v>
      </c>
      <c r="AC11">
        <v>2.5</v>
      </c>
      <c r="AD11">
        <v>4</v>
      </c>
      <c r="AE11">
        <v>5</v>
      </c>
      <c r="AF11">
        <v>3.5</v>
      </c>
      <c r="AG11">
        <v>46</v>
      </c>
      <c r="AI11">
        <v>2.5</v>
      </c>
      <c r="AJ11">
        <v>5.5</v>
      </c>
      <c r="AK11">
        <v>3.8333333333333299</v>
      </c>
      <c r="AL11">
        <v>3</v>
      </c>
    </row>
    <row r="12" spans="1:38" ht="15" customHeight="1" x14ac:dyDescent="0.2">
      <c r="C12">
        <v>1</v>
      </c>
      <c r="D12">
        <v>2</v>
      </c>
      <c r="E12">
        <v>3</v>
      </c>
      <c r="F12">
        <v>4</v>
      </c>
      <c r="G12">
        <v>5</v>
      </c>
      <c r="H12">
        <v>6</v>
      </c>
      <c r="I12">
        <v>7</v>
      </c>
      <c r="J12">
        <v>8</v>
      </c>
      <c r="K12">
        <v>9</v>
      </c>
      <c r="L12">
        <v>10</v>
      </c>
      <c r="M12">
        <v>11</v>
      </c>
      <c r="N12">
        <v>12</v>
      </c>
      <c r="O12" t="s">
        <v>686</v>
      </c>
      <c r="T12" t="s">
        <v>44</v>
      </c>
      <c r="U12">
        <v>2</v>
      </c>
      <c r="V12">
        <v>1.5</v>
      </c>
      <c r="W12">
        <v>0.5</v>
      </c>
      <c r="X12">
        <v>5.5</v>
      </c>
      <c r="Y12">
        <v>3</v>
      </c>
      <c r="Z12">
        <v>3</v>
      </c>
      <c r="AA12">
        <v>4</v>
      </c>
      <c r="AB12">
        <v>3</v>
      </c>
      <c r="AC12">
        <v>2</v>
      </c>
      <c r="AD12">
        <v>4</v>
      </c>
      <c r="AE12">
        <v>1.5</v>
      </c>
      <c r="AF12">
        <v>6.5</v>
      </c>
      <c r="AG12">
        <v>36.5</v>
      </c>
      <c r="AI12">
        <v>0.5</v>
      </c>
      <c r="AJ12">
        <v>6.5</v>
      </c>
      <c r="AK12">
        <v>3.0416666666666701</v>
      </c>
      <c r="AL12">
        <v>6</v>
      </c>
    </row>
    <row r="13" spans="1:38" ht="15" customHeight="1" x14ac:dyDescent="0.2">
      <c r="B13" t="s">
        <v>687</v>
      </c>
      <c r="C13">
        <v>2.5</v>
      </c>
      <c r="D13">
        <v>5</v>
      </c>
      <c r="E13">
        <v>1</v>
      </c>
      <c r="F13">
        <v>5</v>
      </c>
      <c r="G13">
        <v>2.5</v>
      </c>
      <c r="H13">
        <v>4.5</v>
      </c>
      <c r="I13">
        <v>6.5</v>
      </c>
      <c r="J13">
        <v>4.5</v>
      </c>
      <c r="K13">
        <v>2</v>
      </c>
      <c r="L13">
        <v>5</v>
      </c>
      <c r="M13">
        <v>0.5</v>
      </c>
      <c r="N13">
        <v>4</v>
      </c>
      <c r="O13">
        <v>43</v>
      </c>
      <c r="T13" t="s">
        <v>54</v>
      </c>
      <c r="U13" t="s">
        <v>684</v>
      </c>
      <c r="V13">
        <v>2</v>
      </c>
      <c r="W13">
        <v>3</v>
      </c>
      <c r="X13">
        <v>3</v>
      </c>
      <c r="Y13">
        <v>1</v>
      </c>
      <c r="Z13">
        <v>0.5</v>
      </c>
      <c r="AA13">
        <v>3</v>
      </c>
      <c r="AB13">
        <v>3</v>
      </c>
      <c r="AC13">
        <v>4.5</v>
      </c>
      <c r="AD13">
        <v>1.5</v>
      </c>
      <c r="AE13">
        <v>4.5</v>
      </c>
      <c r="AF13">
        <v>4</v>
      </c>
      <c r="AG13">
        <v>30</v>
      </c>
      <c r="AI13">
        <v>0.5</v>
      </c>
      <c r="AJ13">
        <v>4.5</v>
      </c>
      <c r="AK13">
        <v>2.7272727272727302</v>
      </c>
      <c r="AL13">
        <v>4</v>
      </c>
    </row>
    <row r="14" spans="1:38" ht="15" customHeight="1" x14ac:dyDescent="0.2">
      <c r="T14" t="s">
        <v>53</v>
      </c>
      <c r="U14" t="s">
        <v>684</v>
      </c>
      <c r="V14">
        <v>5.5</v>
      </c>
      <c r="W14">
        <v>3.5</v>
      </c>
      <c r="X14">
        <v>5.5</v>
      </c>
      <c r="Y14">
        <v>5</v>
      </c>
      <c r="Z14">
        <v>5</v>
      </c>
      <c r="AA14">
        <v>4.5</v>
      </c>
      <c r="AB14">
        <v>1</v>
      </c>
      <c r="AC14">
        <v>4.5</v>
      </c>
      <c r="AD14">
        <v>0</v>
      </c>
      <c r="AE14">
        <v>3.5</v>
      </c>
      <c r="AF14">
        <v>4</v>
      </c>
      <c r="AG14">
        <v>42</v>
      </c>
      <c r="AI14">
        <v>0</v>
      </c>
      <c r="AJ14">
        <v>5.5</v>
      </c>
      <c r="AK14">
        <v>3.8181818181818201</v>
      </c>
      <c r="AL14">
        <v>5.5</v>
      </c>
    </row>
    <row r="15" spans="1:38" ht="15" customHeight="1" x14ac:dyDescent="0.2">
      <c r="B15" t="s">
        <v>41</v>
      </c>
      <c r="C15" t="s">
        <v>41</v>
      </c>
      <c r="T15" t="s">
        <v>58</v>
      </c>
      <c r="U15" t="s">
        <v>684</v>
      </c>
      <c r="V15" t="s">
        <v>684</v>
      </c>
      <c r="W15">
        <v>4</v>
      </c>
      <c r="X15">
        <v>4</v>
      </c>
      <c r="Y15">
        <v>3.5</v>
      </c>
      <c r="Z15">
        <v>4.5</v>
      </c>
      <c r="AA15">
        <v>7</v>
      </c>
      <c r="AB15" t="s">
        <v>684</v>
      </c>
      <c r="AC15" t="s">
        <v>684</v>
      </c>
      <c r="AD15">
        <v>5.5</v>
      </c>
      <c r="AE15">
        <v>2.5</v>
      </c>
      <c r="AF15" t="s">
        <v>684</v>
      </c>
      <c r="AG15">
        <v>31</v>
      </c>
      <c r="AI15">
        <v>2.5</v>
      </c>
      <c r="AJ15">
        <v>7</v>
      </c>
      <c r="AK15">
        <v>4.4285714285714297</v>
      </c>
      <c r="AL15">
        <v>4.5</v>
      </c>
    </row>
    <row r="16" spans="1:38" ht="15" customHeight="1" x14ac:dyDescent="0.2">
      <c r="T16" t="s">
        <v>40</v>
      </c>
      <c r="U16">
        <v>2.5</v>
      </c>
      <c r="V16">
        <v>5</v>
      </c>
      <c r="W16">
        <v>1</v>
      </c>
      <c r="X16">
        <v>5</v>
      </c>
      <c r="Y16">
        <v>2.5</v>
      </c>
      <c r="Z16">
        <v>4.5</v>
      </c>
      <c r="AA16">
        <v>6.5</v>
      </c>
      <c r="AB16">
        <v>4.5</v>
      </c>
      <c r="AC16">
        <v>2</v>
      </c>
      <c r="AD16">
        <v>5</v>
      </c>
      <c r="AE16">
        <v>0.5</v>
      </c>
      <c r="AF16">
        <v>4</v>
      </c>
      <c r="AG16">
        <v>43</v>
      </c>
      <c r="AI16">
        <v>0.5</v>
      </c>
      <c r="AJ16">
        <v>6.5</v>
      </c>
      <c r="AK16">
        <v>3.5833333333333299</v>
      </c>
      <c r="AL16">
        <v>6</v>
      </c>
    </row>
    <row r="17" spans="2:38" ht="15" customHeight="1" x14ac:dyDescent="0.2">
      <c r="C17" t="s">
        <v>685</v>
      </c>
      <c r="T17" t="s">
        <v>47</v>
      </c>
      <c r="U17">
        <v>3.5</v>
      </c>
      <c r="V17">
        <v>2</v>
      </c>
      <c r="W17">
        <v>3</v>
      </c>
      <c r="X17">
        <v>0</v>
      </c>
      <c r="Y17" t="s">
        <v>684</v>
      </c>
      <c r="Z17" t="s">
        <v>684</v>
      </c>
      <c r="AA17" t="s">
        <v>684</v>
      </c>
      <c r="AB17" t="s">
        <v>684</v>
      </c>
      <c r="AC17" t="s">
        <v>684</v>
      </c>
      <c r="AD17" t="s">
        <v>684</v>
      </c>
      <c r="AE17" t="s">
        <v>684</v>
      </c>
      <c r="AF17" t="s">
        <v>684</v>
      </c>
      <c r="AG17">
        <v>8.5</v>
      </c>
      <c r="AI17">
        <v>0</v>
      </c>
      <c r="AJ17">
        <v>3.5</v>
      </c>
      <c r="AK17">
        <v>2.125</v>
      </c>
      <c r="AL17">
        <v>3.5</v>
      </c>
    </row>
    <row r="18" spans="2:38" ht="15" customHeight="1" x14ac:dyDescent="0.2">
      <c r="C18">
        <v>1</v>
      </c>
      <c r="D18">
        <v>2</v>
      </c>
      <c r="E18">
        <v>3</v>
      </c>
      <c r="F18">
        <v>5</v>
      </c>
      <c r="G18">
        <v>6</v>
      </c>
      <c r="H18">
        <v>7</v>
      </c>
      <c r="I18">
        <v>8</v>
      </c>
      <c r="J18">
        <v>9</v>
      </c>
      <c r="K18">
        <v>10</v>
      </c>
      <c r="L18">
        <v>11</v>
      </c>
      <c r="M18">
        <v>12</v>
      </c>
      <c r="N18" t="s">
        <v>686</v>
      </c>
      <c r="T18" t="s">
        <v>41</v>
      </c>
      <c r="U18">
        <v>2.5</v>
      </c>
      <c r="V18">
        <v>2</v>
      </c>
      <c r="W18">
        <v>2.5</v>
      </c>
      <c r="X18" t="s">
        <v>684</v>
      </c>
      <c r="Y18">
        <v>3</v>
      </c>
      <c r="Z18">
        <v>3.5</v>
      </c>
      <c r="AA18">
        <v>2</v>
      </c>
      <c r="AB18">
        <v>3</v>
      </c>
      <c r="AC18">
        <v>3.5</v>
      </c>
      <c r="AD18">
        <v>3</v>
      </c>
      <c r="AE18">
        <v>5.5</v>
      </c>
      <c r="AF18">
        <v>4.5</v>
      </c>
      <c r="AG18">
        <v>35</v>
      </c>
      <c r="AI18">
        <v>2</v>
      </c>
      <c r="AJ18">
        <v>5.5</v>
      </c>
      <c r="AK18">
        <v>3.1818181818181799</v>
      </c>
      <c r="AL18">
        <v>3.5</v>
      </c>
    </row>
    <row r="19" spans="2:38" ht="15" customHeight="1" x14ac:dyDescent="0.2">
      <c r="B19" t="s">
        <v>687</v>
      </c>
      <c r="C19">
        <v>2.5</v>
      </c>
      <c r="D19">
        <v>2</v>
      </c>
      <c r="E19">
        <v>2.5</v>
      </c>
      <c r="F19">
        <v>3</v>
      </c>
      <c r="G19">
        <v>3.5</v>
      </c>
      <c r="H19">
        <v>2</v>
      </c>
      <c r="I19">
        <v>3</v>
      </c>
      <c r="J19">
        <v>3.5</v>
      </c>
      <c r="K19">
        <v>3</v>
      </c>
      <c r="L19">
        <v>5.5</v>
      </c>
      <c r="M19">
        <v>4.5</v>
      </c>
      <c r="N19">
        <v>35</v>
      </c>
      <c r="T19" t="s">
        <v>42</v>
      </c>
      <c r="U19">
        <v>3.5</v>
      </c>
      <c r="V19">
        <v>6</v>
      </c>
      <c r="W19">
        <v>5</v>
      </c>
      <c r="X19">
        <v>2.5</v>
      </c>
      <c r="Y19">
        <v>3.5</v>
      </c>
      <c r="Z19">
        <v>6.5</v>
      </c>
      <c r="AA19">
        <v>4</v>
      </c>
      <c r="AB19">
        <v>2.5</v>
      </c>
      <c r="AC19">
        <v>1</v>
      </c>
      <c r="AD19">
        <v>5.5</v>
      </c>
      <c r="AE19">
        <v>2.5</v>
      </c>
      <c r="AF19">
        <v>3.5</v>
      </c>
      <c r="AG19">
        <v>46</v>
      </c>
      <c r="AI19">
        <v>1</v>
      </c>
      <c r="AJ19">
        <v>6.5</v>
      </c>
      <c r="AK19">
        <v>3.8333333333333299</v>
      </c>
      <c r="AL19">
        <v>5.5</v>
      </c>
    </row>
    <row r="20" spans="2:38" ht="15" customHeight="1" x14ac:dyDescent="0.2">
      <c r="T20" t="s">
        <v>48</v>
      </c>
      <c r="U20">
        <v>1.5</v>
      </c>
      <c r="V20">
        <v>4</v>
      </c>
      <c r="W20">
        <v>4</v>
      </c>
      <c r="X20">
        <v>4</v>
      </c>
      <c r="Y20">
        <v>3.5</v>
      </c>
      <c r="Z20">
        <v>1.5</v>
      </c>
      <c r="AA20">
        <v>4.5</v>
      </c>
      <c r="AB20">
        <v>4</v>
      </c>
      <c r="AC20">
        <v>5.5</v>
      </c>
      <c r="AD20">
        <v>3.5</v>
      </c>
      <c r="AE20">
        <v>2</v>
      </c>
      <c r="AF20">
        <v>3</v>
      </c>
      <c r="AG20">
        <v>41</v>
      </c>
      <c r="AI20">
        <v>1.5</v>
      </c>
      <c r="AJ20">
        <v>5.5</v>
      </c>
      <c r="AK20">
        <v>3.4166666666666701</v>
      </c>
      <c r="AL20">
        <v>4</v>
      </c>
    </row>
    <row r="21" spans="2:38" ht="15" customHeight="1" x14ac:dyDescent="0.2">
      <c r="B21" t="s">
        <v>42</v>
      </c>
      <c r="C21" t="s">
        <v>42</v>
      </c>
      <c r="T21" t="s">
        <v>51</v>
      </c>
      <c r="U21">
        <v>1.5</v>
      </c>
      <c r="V21" t="s">
        <v>684</v>
      </c>
      <c r="W21" t="s">
        <v>684</v>
      </c>
      <c r="X21" t="s">
        <v>684</v>
      </c>
      <c r="Y21" t="s">
        <v>684</v>
      </c>
      <c r="Z21" t="s">
        <v>684</v>
      </c>
      <c r="AA21" t="s">
        <v>684</v>
      </c>
      <c r="AB21" t="s">
        <v>684</v>
      </c>
      <c r="AC21" t="s">
        <v>684</v>
      </c>
      <c r="AD21" t="s">
        <v>684</v>
      </c>
      <c r="AE21" t="s">
        <v>684</v>
      </c>
      <c r="AF21" t="s">
        <v>684</v>
      </c>
      <c r="AG21">
        <v>1.5</v>
      </c>
      <c r="AI21">
        <v>1.5</v>
      </c>
      <c r="AJ21">
        <v>1.5</v>
      </c>
      <c r="AK21">
        <v>1.5</v>
      </c>
      <c r="AL21">
        <v>0</v>
      </c>
    </row>
    <row r="22" spans="2:38" ht="15" customHeight="1" x14ac:dyDescent="0.2">
      <c r="T22" t="s">
        <v>46</v>
      </c>
      <c r="U22">
        <v>0</v>
      </c>
      <c r="V22">
        <v>3.5</v>
      </c>
      <c r="W22">
        <v>3</v>
      </c>
      <c r="X22">
        <v>2</v>
      </c>
      <c r="Y22">
        <v>5</v>
      </c>
      <c r="Z22">
        <v>1</v>
      </c>
      <c r="AA22">
        <v>2.5</v>
      </c>
      <c r="AB22">
        <v>1</v>
      </c>
      <c r="AC22" t="s">
        <v>684</v>
      </c>
      <c r="AD22">
        <v>3.5</v>
      </c>
      <c r="AE22">
        <v>1.5</v>
      </c>
      <c r="AF22">
        <v>5.5</v>
      </c>
      <c r="AG22">
        <v>28.5</v>
      </c>
      <c r="AI22">
        <v>0</v>
      </c>
      <c r="AJ22">
        <v>5.5</v>
      </c>
      <c r="AK22">
        <v>2.5909090909090899</v>
      </c>
      <c r="AL22">
        <v>5.5</v>
      </c>
    </row>
    <row r="23" spans="2:38" ht="15" customHeight="1" x14ac:dyDescent="0.2">
      <c r="C23" t="s">
        <v>685</v>
      </c>
      <c r="T23" t="s">
        <v>61</v>
      </c>
      <c r="U23" t="s">
        <v>684</v>
      </c>
      <c r="V23" t="s">
        <v>684</v>
      </c>
      <c r="W23">
        <v>2.5</v>
      </c>
      <c r="X23">
        <v>3.5</v>
      </c>
      <c r="Y23">
        <v>3.5</v>
      </c>
      <c r="Z23">
        <v>5.5</v>
      </c>
      <c r="AA23">
        <v>3</v>
      </c>
      <c r="AB23">
        <v>3</v>
      </c>
      <c r="AC23">
        <v>4</v>
      </c>
      <c r="AD23">
        <v>3</v>
      </c>
      <c r="AE23" t="s">
        <v>684</v>
      </c>
      <c r="AF23" t="s">
        <v>684</v>
      </c>
      <c r="AG23">
        <v>28</v>
      </c>
      <c r="AI23">
        <v>2.5</v>
      </c>
      <c r="AJ23">
        <v>5.5</v>
      </c>
      <c r="AK23">
        <v>3.5</v>
      </c>
      <c r="AL23">
        <v>3</v>
      </c>
    </row>
    <row r="24" spans="2:38" ht="15" customHeight="1" x14ac:dyDescent="0.2">
      <c r="C24">
        <v>1</v>
      </c>
      <c r="D24">
        <v>2</v>
      </c>
      <c r="E24">
        <v>3</v>
      </c>
      <c r="F24">
        <v>4</v>
      </c>
      <c r="G24">
        <v>5</v>
      </c>
      <c r="H24">
        <v>6</v>
      </c>
      <c r="I24">
        <v>7</v>
      </c>
      <c r="J24">
        <v>8</v>
      </c>
      <c r="K24">
        <v>9</v>
      </c>
      <c r="L24">
        <v>10</v>
      </c>
      <c r="M24">
        <v>11</v>
      </c>
      <c r="N24">
        <v>12</v>
      </c>
      <c r="O24" t="s">
        <v>686</v>
      </c>
      <c r="T24" t="s">
        <v>59</v>
      </c>
      <c r="U24" t="s">
        <v>684</v>
      </c>
      <c r="V24" t="s">
        <v>684</v>
      </c>
      <c r="W24">
        <v>2.5</v>
      </c>
      <c r="X24">
        <v>2</v>
      </c>
      <c r="Y24">
        <v>5.5</v>
      </c>
      <c r="Z24">
        <v>4</v>
      </c>
      <c r="AA24">
        <v>2</v>
      </c>
      <c r="AB24" t="s">
        <v>684</v>
      </c>
      <c r="AC24" t="s">
        <v>684</v>
      </c>
      <c r="AD24" t="s">
        <v>684</v>
      </c>
      <c r="AE24">
        <v>5</v>
      </c>
      <c r="AF24" t="s">
        <v>684</v>
      </c>
      <c r="AG24">
        <v>21</v>
      </c>
      <c r="AI24">
        <v>2</v>
      </c>
      <c r="AJ24">
        <v>5.5</v>
      </c>
      <c r="AK24">
        <v>3.5</v>
      </c>
      <c r="AL24">
        <v>3.5</v>
      </c>
    </row>
    <row r="25" spans="2:38" ht="15" customHeight="1" x14ac:dyDescent="0.2">
      <c r="B25" t="s">
        <v>687</v>
      </c>
      <c r="C25">
        <v>3.5</v>
      </c>
      <c r="D25">
        <v>6</v>
      </c>
      <c r="E25">
        <v>5</v>
      </c>
      <c r="F25">
        <v>2.5</v>
      </c>
      <c r="G25">
        <v>3.5</v>
      </c>
      <c r="H25">
        <v>6.5</v>
      </c>
      <c r="I25">
        <v>4</v>
      </c>
      <c r="J25">
        <v>2.5</v>
      </c>
      <c r="K25">
        <v>1</v>
      </c>
      <c r="L25">
        <v>5.5</v>
      </c>
      <c r="M25">
        <v>2.5</v>
      </c>
      <c r="N25">
        <v>3.5</v>
      </c>
      <c r="O25">
        <v>46</v>
      </c>
      <c r="T25" t="s">
        <v>66</v>
      </c>
      <c r="U25" t="s">
        <v>684</v>
      </c>
      <c r="V25" t="s">
        <v>684</v>
      </c>
      <c r="W25" t="s">
        <v>684</v>
      </c>
      <c r="X25" t="s">
        <v>684</v>
      </c>
      <c r="Y25" t="s">
        <v>684</v>
      </c>
      <c r="Z25" t="s">
        <v>684</v>
      </c>
      <c r="AA25" t="s">
        <v>684</v>
      </c>
      <c r="AB25">
        <v>5.5</v>
      </c>
      <c r="AC25">
        <v>6</v>
      </c>
      <c r="AD25">
        <v>2</v>
      </c>
      <c r="AE25" t="s">
        <v>684</v>
      </c>
      <c r="AF25">
        <v>5</v>
      </c>
      <c r="AG25">
        <v>18.5</v>
      </c>
      <c r="AI25">
        <v>2</v>
      </c>
      <c r="AJ25">
        <v>6</v>
      </c>
      <c r="AK25">
        <v>4.625</v>
      </c>
      <c r="AL25">
        <v>4</v>
      </c>
    </row>
    <row r="26" spans="2:38" ht="15" customHeight="1" x14ac:dyDescent="0.2">
      <c r="T26" t="s">
        <v>65</v>
      </c>
      <c r="U26" t="s">
        <v>684</v>
      </c>
      <c r="V26" t="s">
        <v>684</v>
      </c>
      <c r="W26" t="s">
        <v>684</v>
      </c>
      <c r="X26" t="s">
        <v>684</v>
      </c>
      <c r="Y26" t="s">
        <v>684</v>
      </c>
      <c r="Z26" t="s">
        <v>684</v>
      </c>
      <c r="AA26" t="s">
        <v>684</v>
      </c>
      <c r="AB26">
        <v>1.5</v>
      </c>
      <c r="AC26" t="s">
        <v>684</v>
      </c>
      <c r="AD26" t="s">
        <v>684</v>
      </c>
      <c r="AE26" t="s">
        <v>684</v>
      </c>
      <c r="AF26">
        <v>1</v>
      </c>
      <c r="AG26">
        <v>2.5</v>
      </c>
      <c r="AI26">
        <v>1</v>
      </c>
      <c r="AJ26">
        <v>1.5</v>
      </c>
      <c r="AK26">
        <v>1.25</v>
      </c>
      <c r="AL26">
        <v>0.5</v>
      </c>
    </row>
    <row r="27" spans="2:38" ht="15" customHeight="1" x14ac:dyDescent="0.2">
      <c r="B27" t="s">
        <v>43</v>
      </c>
      <c r="C27" t="s">
        <v>43</v>
      </c>
      <c r="T27" t="s">
        <v>43</v>
      </c>
      <c r="U27">
        <v>3.5</v>
      </c>
      <c r="V27" t="s">
        <v>684</v>
      </c>
      <c r="W27" t="s">
        <v>684</v>
      </c>
      <c r="X27" t="s">
        <v>684</v>
      </c>
      <c r="Y27">
        <v>3.5</v>
      </c>
      <c r="Z27">
        <v>0</v>
      </c>
      <c r="AA27">
        <v>4.5</v>
      </c>
      <c r="AB27" t="s">
        <v>684</v>
      </c>
      <c r="AC27">
        <v>4.5</v>
      </c>
      <c r="AD27" t="s">
        <v>684</v>
      </c>
      <c r="AE27">
        <v>5</v>
      </c>
      <c r="AF27">
        <v>6</v>
      </c>
      <c r="AG27">
        <v>27</v>
      </c>
      <c r="AI27">
        <v>0</v>
      </c>
      <c r="AJ27">
        <v>6</v>
      </c>
      <c r="AK27">
        <v>3.8571428571428599</v>
      </c>
      <c r="AL27">
        <v>6</v>
      </c>
    </row>
    <row r="28" spans="2:38" ht="15" customHeight="1" x14ac:dyDescent="0.2">
      <c r="T28" t="s">
        <v>68</v>
      </c>
      <c r="U28" t="s">
        <v>684</v>
      </c>
      <c r="V28" t="s">
        <v>684</v>
      </c>
      <c r="W28" t="s">
        <v>684</v>
      </c>
      <c r="X28" t="s">
        <v>684</v>
      </c>
      <c r="Y28" t="s">
        <v>684</v>
      </c>
      <c r="Z28" t="s">
        <v>684</v>
      </c>
      <c r="AA28" t="s">
        <v>684</v>
      </c>
      <c r="AB28">
        <v>2.5</v>
      </c>
      <c r="AC28" t="s">
        <v>684</v>
      </c>
      <c r="AD28" t="s">
        <v>684</v>
      </c>
      <c r="AE28" t="s">
        <v>684</v>
      </c>
      <c r="AF28" t="s">
        <v>684</v>
      </c>
      <c r="AG28">
        <v>2.5</v>
      </c>
      <c r="AI28">
        <v>2.5</v>
      </c>
      <c r="AJ28">
        <v>2.5</v>
      </c>
      <c r="AK28">
        <v>2.5</v>
      </c>
      <c r="AL28">
        <v>0</v>
      </c>
    </row>
    <row r="29" spans="2:38" ht="15" customHeight="1" x14ac:dyDescent="0.2">
      <c r="C29" t="s">
        <v>685</v>
      </c>
      <c r="T29" t="s">
        <v>651</v>
      </c>
      <c r="U29">
        <v>4</v>
      </c>
      <c r="V29">
        <v>3</v>
      </c>
      <c r="W29">
        <v>1.5</v>
      </c>
      <c r="X29">
        <v>2.5</v>
      </c>
      <c r="Y29">
        <v>0.5</v>
      </c>
      <c r="Z29">
        <v>5.5</v>
      </c>
      <c r="AA29">
        <v>3.5</v>
      </c>
      <c r="AB29">
        <v>2.5</v>
      </c>
      <c r="AC29">
        <v>1</v>
      </c>
      <c r="AD29" t="s">
        <v>684</v>
      </c>
      <c r="AE29">
        <v>1.5</v>
      </c>
      <c r="AF29">
        <v>1.5</v>
      </c>
      <c r="AG29">
        <v>27</v>
      </c>
      <c r="AI29">
        <v>0.5</v>
      </c>
      <c r="AJ29">
        <v>5.5</v>
      </c>
      <c r="AK29">
        <v>2.4545454545454599</v>
      </c>
      <c r="AL29">
        <v>5</v>
      </c>
    </row>
    <row r="30" spans="2:38" ht="15" customHeight="1" x14ac:dyDescent="0.2">
      <c r="C30">
        <v>1</v>
      </c>
      <c r="D30">
        <v>5</v>
      </c>
      <c r="E30">
        <v>6</v>
      </c>
      <c r="F30">
        <v>7</v>
      </c>
      <c r="G30">
        <v>9</v>
      </c>
      <c r="H30">
        <v>11</v>
      </c>
      <c r="I30">
        <v>12</v>
      </c>
      <c r="J30" t="s">
        <v>686</v>
      </c>
      <c r="T30" t="s">
        <v>70</v>
      </c>
      <c r="U30" t="s">
        <v>684</v>
      </c>
      <c r="V30" t="s">
        <v>684</v>
      </c>
      <c r="W30" t="s">
        <v>684</v>
      </c>
      <c r="X30" t="s">
        <v>684</v>
      </c>
      <c r="Y30" t="s">
        <v>684</v>
      </c>
      <c r="Z30" t="s">
        <v>684</v>
      </c>
      <c r="AA30" t="s">
        <v>684</v>
      </c>
      <c r="AB30" t="s">
        <v>684</v>
      </c>
      <c r="AC30" t="s">
        <v>684</v>
      </c>
      <c r="AD30" t="s">
        <v>684</v>
      </c>
      <c r="AE30" t="s">
        <v>684</v>
      </c>
      <c r="AF30">
        <v>4</v>
      </c>
      <c r="AG30">
        <v>4</v>
      </c>
      <c r="AI30">
        <v>4</v>
      </c>
      <c r="AJ30">
        <v>4</v>
      </c>
      <c r="AK30">
        <v>4</v>
      </c>
      <c r="AL30">
        <v>0</v>
      </c>
    </row>
    <row r="31" spans="2:38" ht="15" customHeight="1" x14ac:dyDescent="0.2">
      <c r="B31" t="s">
        <v>687</v>
      </c>
      <c r="C31">
        <v>3.5</v>
      </c>
      <c r="D31">
        <v>3.5</v>
      </c>
      <c r="E31">
        <v>0</v>
      </c>
      <c r="F31">
        <v>4.5</v>
      </c>
      <c r="G31">
        <v>4.5</v>
      </c>
      <c r="H31">
        <v>5</v>
      </c>
      <c r="I31">
        <v>6</v>
      </c>
      <c r="J31">
        <v>27</v>
      </c>
      <c r="T31" t="s">
        <v>56</v>
      </c>
      <c r="U31" t="s">
        <v>684</v>
      </c>
      <c r="V31">
        <v>2.5</v>
      </c>
      <c r="W31">
        <v>3</v>
      </c>
      <c r="X31">
        <v>3</v>
      </c>
      <c r="Y31" t="s">
        <v>684</v>
      </c>
      <c r="Z31" t="s">
        <v>684</v>
      </c>
      <c r="AA31" t="s">
        <v>684</v>
      </c>
      <c r="AB31" t="s">
        <v>684</v>
      </c>
      <c r="AC31" t="s">
        <v>684</v>
      </c>
      <c r="AD31" t="s">
        <v>684</v>
      </c>
      <c r="AE31" t="s">
        <v>684</v>
      </c>
      <c r="AF31" t="s">
        <v>684</v>
      </c>
      <c r="AG31">
        <v>8.5</v>
      </c>
      <c r="AI31">
        <v>2.5</v>
      </c>
      <c r="AJ31">
        <v>3</v>
      </c>
      <c r="AK31">
        <v>2.8333333333333299</v>
      </c>
      <c r="AL31">
        <v>0.5</v>
      </c>
    </row>
    <row r="32" spans="2:38" ht="15" customHeight="1" x14ac:dyDescent="0.2">
      <c r="T32" t="s">
        <v>62</v>
      </c>
      <c r="U32" t="s">
        <v>684</v>
      </c>
      <c r="V32" t="s">
        <v>684</v>
      </c>
      <c r="W32" t="s">
        <v>684</v>
      </c>
      <c r="X32">
        <v>2</v>
      </c>
      <c r="Y32">
        <v>3</v>
      </c>
      <c r="Z32">
        <v>5.5</v>
      </c>
      <c r="AA32">
        <v>3</v>
      </c>
      <c r="AB32">
        <v>3</v>
      </c>
      <c r="AC32">
        <v>3</v>
      </c>
      <c r="AD32">
        <v>5</v>
      </c>
      <c r="AE32">
        <v>4</v>
      </c>
      <c r="AF32" t="s">
        <v>684</v>
      </c>
      <c r="AG32">
        <v>28.5</v>
      </c>
      <c r="AI32">
        <v>2</v>
      </c>
      <c r="AJ32">
        <v>5.5</v>
      </c>
      <c r="AK32">
        <v>3.5625</v>
      </c>
      <c r="AL32">
        <v>3.5</v>
      </c>
    </row>
    <row r="33" spans="2:38" ht="15" customHeight="1" x14ac:dyDescent="0.2">
      <c r="B33" t="s">
        <v>44</v>
      </c>
      <c r="C33" t="s">
        <v>44</v>
      </c>
      <c r="T33" t="s">
        <v>60</v>
      </c>
      <c r="U33" t="s">
        <v>684</v>
      </c>
      <c r="V33" t="s">
        <v>684</v>
      </c>
      <c r="W33">
        <v>4</v>
      </c>
      <c r="X33">
        <v>4</v>
      </c>
      <c r="Y33">
        <v>4.5</v>
      </c>
      <c r="Z33">
        <v>1</v>
      </c>
      <c r="AA33">
        <v>6</v>
      </c>
      <c r="AB33">
        <v>4.5</v>
      </c>
      <c r="AC33">
        <v>3.5</v>
      </c>
      <c r="AD33">
        <v>1</v>
      </c>
      <c r="AE33">
        <v>2.5</v>
      </c>
      <c r="AF33">
        <v>1.5</v>
      </c>
      <c r="AG33">
        <v>32.5</v>
      </c>
      <c r="AI33">
        <v>1</v>
      </c>
      <c r="AJ33">
        <v>6</v>
      </c>
      <c r="AK33">
        <v>3.25</v>
      </c>
      <c r="AL33">
        <v>5</v>
      </c>
    </row>
    <row r="34" spans="2:38" ht="15" customHeight="1" x14ac:dyDescent="0.2">
      <c r="T34" t="s">
        <v>688</v>
      </c>
    </row>
    <row r="35" spans="2:38" ht="15" customHeight="1" x14ac:dyDescent="0.2">
      <c r="C35" t="s">
        <v>685</v>
      </c>
    </row>
    <row r="36" spans="2:38" ht="15" customHeight="1" x14ac:dyDescent="0.2">
      <c r="C36">
        <v>1</v>
      </c>
      <c r="D36">
        <v>2</v>
      </c>
      <c r="E36">
        <v>3</v>
      </c>
      <c r="F36">
        <v>4</v>
      </c>
      <c r="G36">
        <v>5</v>
      </c>
      <c r="H36">
        <v>6</v>
      </c>
      <c r="I36">
        <v>7</v>
      </c>
      <c r="J36">
        <v>8</v>
      </c>
      <c r="K36">
        <v>9</v>
      </c>
      <c r="L36">
        <v>10</v>
      </c>
      <c r="M36">
        <v>11</v>
      </c>
      <c r="N36">
        <v>12</v>
      </c>
      <c r="O36" t="s">
        <v>686</v>
      </c>
    </row>
    <row r="37" spans="2:38" ht="15" customHeight="1" x14ac:dyDescent="0.2">
      <c r="B37" t="s">
        <v>687</v>
      </c>
      <c r="C37">
        <v>2</v>
      </c>
      <c r="D37">
        <v>1.5</v>
      </c>
      <c r="E37">
        <v>0.5</v>
      </c>
      <c r="F37">
        <v>5.5</v>
      </c>
      <c r="G37">
        <v>3</v>
      </c>
      <c r="H37">
        <v>3</v>
      </c>
      <c r="I37">
        <v>4</v>
      </c>
      <c r="J37">
        <v>3</v>
      </c>
      <c r="K37">
        <v>2</v>
      </c>
      <c r="L37">
        <v>4</v>
      </c>
      <c r="M37">
        <v>1.5</v>
      </c>
      <c r="N37">
        <v>6.5</v>
      </c>
      <c r="O37">
        <v>36.5</v>
      </c>
    </row>
    <row r="39" spans="2:38" ht="15" customHeight="1" x14ac:dyDescent="0.2">
      <c r="B39" t="s">
        <v>46</v>
      </c>
      <c r="C39" t="s">
        <v>46</v>
      </c>
    </row>
    <row r="41" spans="2:38" ht="15" customHeight="1" x14ac:dyDescent="0.2">
      <c r="C41" t="s">
        <v>685</v>
      </c>
    </row>
    <row r="42" spans="2:38" ht="15" customHeight="1" x14ac:dyDescent="0.2">
      <c r="C42">
        <v>1</v>
      </c>
      <c r="D42">
        <v>2</v>
      </c>
      <c r="E42">
        <v>3</v>
      </c>
      <c r="F42">
        <v>4</v>
      </c>
      <c r="G42">
        <v>5</v>
      </c>
      <c r="H42">
        <v>6</v>
      </c>
      <c r="I42">
        <v>7</v>
      </c>
      <c r="J42">
        <v>8</v>
      </c>
      <c r="K42">
        <v>10</v>
      </c>
      <c r="L42">
        <v>11</v>
      </c>
      <c r="M42">
        <v>12</v>
      </c>
      <c r="N42" t="s">
        <v>686</v>
      </c>
    </row>
    <row r="43" spans="2:38" ht="15" customHeight="1" x14ac:dyDescent="0.2">
      <c r="B43" t="s">
        <v>687</v>
      </c>
      <c r="C43">
        <v>0</v>
      </c>
      <c r="D43">
        <v>3.5</v>
      </c>
      <c r="E43">
        <v>3</v>
      </c>
      <c r="F43">
        <v>2</v>
      </c>
      <c r="G43">
        <v>5</v>
      </c>
      <c r="H43">
        <v>1</v>
      </c>
      <c r="I43">
        <v>2.5</v>
      </c>
      <c r="J43">
        <v>1</v>
      </c>
      <c r="K43">
        <v>3.5</v>
      </c>
      <c r="L43">
        <v>1.5</v>
      </c>
      <c r="M43">
        <v>5.5</v>
      </c>
      <c r="N43">
        <v>28.5</v>
      </c>
    </row>
    <row r="45" spans="2:38" ht="15" customHeight="1" x14ac:dyDescent="0.2">
      <c r="B45" t="s">
        <v>47</v>
      </c>
      <c r="C45" t="s">
        <v>47</v>
      </c>
    </row>
    <row r="47" spans="2:38" ht="15" customHeight="1" x14ac:dyDescent="0.2">
      <c r="C47" t="s">
        <v>685</v>
      </c>
    </row>
    <row r="48" spans="2:38" ht="15" customHeight="1" x14ac:dyDescent="0.2">
      <c r="C48">
        <v>1</v>
      </c>
      <c r="D48">
        <v>2</v>
      </c>
      <c r="E48">
        <v>3</v>
      </c>
      <c r="F48">
        <v>4</v>
      </c>
      <c r="G48" t="s">
        <v>686</v>
      </c>
    </row>
    <row r="49" spans="2:15" ht="15" customHeight="1" x14ac:dyDescent="0.2">
      <c r="B49" t="s">
        <v>687</v>
      </c>
      <c r="C49">
        <v>3.5</v>
      </c>
      <c r="D49">
        <v>2</v>
      </c>
      <c r="E49">
        <v>3</v>
      </c>
      <c r="F49">
        <v>0</v>
      </c>
      <c r="G49">
        <v>8.5</v>
      </c>
    </row>
    <row r="51" spans="2:15" ht="15" customHeight="1" x14ac:dyDescent="0.2">
      <c r="B51" t="s">
        <v>48</v>
      </c>
      <c r="C51" t="s">
        <v>48</v>
      </c>
    </row>
    <row r="53" spans="2:15" ht="15" customHeight="1" x14ac:dyDescent="0.2">
      <c r="C53" t="s">
        <v>685</v>
      </c>
    </row>
    <row r="54" spans="2:15" ht="15" customHeight="1" x14ac:dyDescent="0.2">
      <c r="C54">
        <v>1</v>
      </c>
      <c r="D54">
        <v>2</v>
      </c>
      <c r="E54">
        <v>3</v>
      </c>
      <c r="F54">
        <v>4</v>
      </c>
      <c r="G54">
        <v>5</v>
      </c>
      <c r="H54">
        <v>6</v>
      </c>
      <c r="I54">
        <v>7</v>
      </c>
      <c r="J54">
        <v>8</v>
      </c>
      <c r="K54">
        <v>9</v>
      </c>
      <c r="L54">
        <v>10</v>
      </c>
      <c r="M54">
        <v>11</v>
      </c>
      <c r="N54">
        <v>12</v>
      </c>
      <c r="O54" t="s">
        <v>686</v>
      </c>
    </row>
    <row r="55" spans="2:15" ht="15" customHeight="1" x14ac:dyDescent="0.2">
      <c r="B55" t="s">
        <v>687</v>
      </c>
      <c r="C55">
        <v>1.5</v>
      </c>
      <c r="D55">
        <v>4</v>
      </c>
      <c r="E55">
        <v>4</v>
      </c>
      <c r="F55">
        <v>4</v>
      </c>
      <c r="G55">
        <v>3.5</v>
      </c>
      <c r="H55">
        <v>1.5</v>
      </c>
      <c r="I55">
        <v>4.5</v>
      </c>
      <c r="J55">
        <v>4</v>
      </c>
      <c r="K55">
        <v>5.5</v>
      </c>
      <c r="L55">
        <v>3.5</v>
      </c>
      <c r="M55">
        <v>2</v>
      </c>
      <c r="N55">
        <v>3</v>
      </c>
      <c r="O55">
        <v>41</v>
      </c>
    </row>
    <row r="57" spans="2:15" ht="15" customHeight="1" x14ac:dyDescent="0.2">
      <c r="B57" t="s">
        <v>651</v>
      </c>
      <c r="C57" t="s">
        <v>651</v>
      </c>
    </row>
    <row r="59" spans="2:15" ht="15" customHeight="1" x14ac:dyDescent="0.2">
      <c r="C59" t="s">
        <v>685</v>
      </c>
    </row>
    <row r="60" spans="2:15" ht="15" customHeight="1" x14ac:dyDescent="0.2">
      <c r="C60">
        <v>1</v>
      </c>
      <c r="D60">
        <v>2</v>
      </c>
      <c r="E60">
        <v>3</v>
      </c>
      <c r="F60">
        <v>4</v>
      </c>
      <c r="G60">
        <v>5</v>
      </c>
      <c r="H60">
        <v>6</v>
      </c>
      <c r="I60">
        <v>7</v>
      </c>
      <c r="J60">
        <v>8</v>
      </c>
      <c r="K60">
        <v>9</v>
      </c>
      <c r="L60">
        <v>11</v>
      </c>
      <c r="M60">
        <v>12</v>
      </c>
      <c r="N60" t="s">
        <v>686</v>
      </c>
    </row>
    <row r="61" spans="2:15" ht="15" customHeight="1" x14ac:dyDescent="0.2">
      <c r="B61" t="s">
        <v>687</v>
      </c>
      <c r="C61">
        <v>4</v>
      </c>
      <c r="D61">
        <v>3</v>
      </c>
      <c r="E61">
        <v>1.5</v>
      </c>
      <c r="F61">
        <v>2.5</v>
      </c>
      <c r="G61">
        <v>0.5</v>
      </c>
      <c r="H61">
        <v>5.5</v>
      </c>
      <c r="I61">
        <v>3.5</v>
      </c>
      <c r="J61">
        <v>2.5</v>
      </c>
      <c r="K61">
        <v>1</v>
      </c>
      <c r="L61">
        <v>1.5</v>
      </c>
      <c r="M61">
        <v>1.5</v>
      </c>
      <c r="N61">
        <v>27</v>
      </c>
    </row>
    <row r="63" spans="2:15" ht="15" customHeight="1" x14ac:dyDescent="0.2">
      <c r="B63" t="s">
        <v>50</v>
      </c>
      <c r="C63" t="s">
        <v>50</v>
      </c>
    </row>
    <row r="65" spans="2:15" ht="15" customHeight="1" x14ac:dyDescent="0.2">
      <c r="C65" t="s">
        <v>685</v>
      </c>
    </row>
    <row r="66" spans="2:15" ht="15" customHeight="1" x14ac:dyDescent="0.2">
      <c r="C66">
        <v>1</v>
      </c>
      <c r="D66">
        <v>2</v>
      </c>
      <c r="E66">
        <v>3</v>
      </c>
      <c r="F66">
        <v>4</v>
      </c>
      <c r="G66">
        <v>5</v>
      </c>
      <c r="H66">
        <v>6</v>
      </c>
      <c r="I66">
        <v>7</v>
      </c>
      <c r="J66">
        <v>8</v>
      </c>
      <c r="K66">
        <v>9</v>
      </c>
      <c r="L66">
        <v>10</v>
      </c>
      <c r="M66">
        <v>11</v>
      </c>
      <c r="N66">
        <v>12</v>
      </c>
      <c r="O66" t="s">
        <v>686</v>
      </c>
    </row>
    <row r="67" spans="2:15" ht="15" customHeight="1" x14ac:dyDescent="0.2">
      <c r="B67" t="s">
        <v>687</v>
      </c>
      <c r="C67">
        <v>5.5</v>
      </c>
      <c r="D67">
        <v>2.5</v>
      </c>
      <c r="E67">
        <v>5</v>
      </c>
      <c r="F67">
        <v>2.5</v>
      </c>
      <c r="G67">
        <v>4.5</v>
      </c>
      <c r="H67">
        <v>3</v>
      </c>
      <c r="I67">
        <v>4.5</v>
      </c>
      <c r="J67">
        <v>3.5</v>
      </c>
      <c r="K67">
        <v>2.5</v>
      </c>
      <c r="L67">
        <v>4</v>
      </c>
      <c r="M67">
        <v>5</v>
      </c>
      <c r="N67">
        <v>3.5</v>
      </c>
      <c r="O67">
        <v>46</v>
      </c>
    </row>
    <row r="69" spans="2:15" ht="15" customHeight="1" x14ac:dyDescent="0.2">
      <c r="B69" t="s">
        <v>51</v>
      </c>
      <c r="C69" t="s">
        <v>51</v>
      </c>
    </row>
    <row r="71" spans="2:15" ht="15" customHeight="1" x14ac:dyDescent="0.2">
      <c r="C71" t="s">
        <v>685</v>
      </c>
    </row>
    <row r="72" spans="2:15" ht="15" customHeight="1" x14ac:dyDescent="0.2">
      <c r="C72">
        <v>1</v>
      </c>
      <c r="D72" t="s">
        <v>686</v>
      </c>
    </row>
    <row r="73" spans="2:15" ht="15" customHeight="1" x14ac:dyDescent="0.2">
      <c r="B73" t="s">
        <v>687</v>
      </c>
      <c r="C73">
        <v>1.5</v>
      </c>
      <c r="D73">
        <v>1.5</v>
      </c>
    </row>
    <row r="75" spans="2:15" ht="15" customHeight="1" x14ac:dyDescent="0.2">
      <c r="B75" t="s">
        <v>52</v>
      </c>
      <c r="C75" t="s">
        <v>52</v>
      </c>
    </row>
    <row r="77" spans="2:15" ht="15" customHeight="1" x14ac:dyDescent="0.2">
      <c r="C77" t="s">
        <v>685</v>
      </c>
    </row>
    <row r="78" spans="2:15" ht="15" customHeight="1" x14ac:dyDescent="0.2">
      <c r="C78">
        <v>2</v>
      </c>
      <c r="D78">
        <v>3</v>
      </c>
      <c r="E78">
        <v>4</v>
      </c>
      <c r="F78">
        <v>5</v>
      </c>
      <c r="G78">
        <v>6</v>
      </c>
      <c r="H78">
        <v>7</v>
      </c>
      <c r="I78">
        <v>8</v>
      </c>
      <c r="J78">
        <v>9</v>
      </c>
      <c r="K78">
        <v>10</v>
      </c>
      <c r="L78">
        <v>11</v>
      </c>
      <c r="M78" t="s">
        <v>686</v>
      </c>
    </row>
    <row r="79" spans="2:15" ht="15" customHeight="1" x14ac:dyDescent="0.2">
      <c r="B79" t="s">
        <v>687</v>
      </c>
      <c r="C79">
        <v>2.5</v>
      </c>
      <c r="D79">
        <v>2</v>
      </c>
      <c r="E79">
        <v>3.5</v>
      </c>
      <c r="F79">
        <v>1</v>
      </c>
      <c r="G79">
        <v>2.5</v>
      </c>
      <c r="H79">
        <v>1.5</v>
      </c>
      <c r="I79">
        <v>2.5</v>
      </c>
      <c r="J79">
        <v>1</v>
      </c>
      <c r="K79">
        <v>3</v>
      </c>
      <c r="L79">
        <v>2.5</v>
      </c>
      <c r="M79">
        <v>22</v>
      </c>
    </row>
    <row r="81" spans="2:14" ht="15" customHeight="1" x14ac:dyDescent="0.2">
      <c r="B81" t="s">
        <v>53</v>
      </c>
      <c r="C81" t="s">
        <v>53</v>
      </c>
    </row>
    <row r="83" spans="2:14" ht="15" customHeight="1" x14ac:dyDescent="0.2">
      <c r="C83" t="s">
        <v>685</v>
      </c>
    </row>
    <row r="84" spans="2:14" ht="15" customHeight="1" x14ac:dyDescent="0.2">
      <c r="C84">
        <v>2</v>
      </c>
      <c r="D84">
        <v>3</v>
      </c>
      <c r="E84">
        <v>4</v>
      </c>
      <c r="F84">
        <v>5</v>
      </c>
      <c r="G84">
        <v>6</v>
      </c>
      <c r="H84">
        <v>7</v>
      </c>
      <c r="I84">
        <v>8</v>
      </c>
      <c r="J84">
        <v>9</v>
      </c>
      <c r="K84">
        <v>10</v>
      </c>
      <c r="L84">
        <v>11</v>
      </c>
      <c r="M84">
        <v>12</v>
      </c>
      <c r="N84" t="s">
        <v>686</v>
      </c>
    </row>
    <row r="85" spans="2:14" ht="15" customHeight="1" x14ac:dyDescent="0.2">
      <c r="B85" t="s">
        <v>687</v>
      </c>
      <c r="C85">
        <v>5.5</v>
      </c>
      <c r="D85">
        <v>3.5</v>
      </c>
      <c r="E85">
        <v>5.5</v>
      </c>
      <c r="F85">
        <v>5</v>
      </c>
      <c r="G85">
        <v>5</v>
      </c>
      <c r="H85">
        <v>4.5</v>
      </c>
      <c r="I85">
        <v>1</v>
      </c>
      <c r="J85">
        <v>4.5</v>
      </c>
      <c r="K85">
        <v>0</v>
      </c>
      <c r="L85">
        <v>3.5</v>
      </c>
      <c r="M85">
        <v>4</v>
      </c>
      <c r="N85">
        <v>42</v>
      </c>
    </row>
    <row r="87" spans="2:14" ht="15" customHeight="1" x14ac:dyDescent="0.2">
      <c r="B87" t="s">
        <v>54</v>
      </c>
      <c r="C87" t="s">
        <v>54</v>
      </c>
    </row>
    <row r="89" spans="2:14" ht="15" customHeight="1" x14ac:dyDescent="0.2">
      <c r="C89" t="s">
        <v>685</v>
      </c>
    </row>
    <row r="90" spans="2:14" ht="15" customHeight="1" x14ac:dyDescent="0.2">
      <c r="C90">
        <v>2</v>
      </c>
      <c r="D90">
        <v>3</v>
      </c>
      <c r="E90">
        <v>4</v>
      </c>
      <c r="F90">
        <v>5</v>
      </c>
      <c r="G90">
        <v>6</v>
      </c>
      <c r="H90">
        <v>7</v>
      </c>
      <c r="I90">
        <v>8</v>
      </c>
      <c r="J90">
        <v>9</v>
      </c>
      <c r="K90">
        <v>10</v>
      </c>
      <c r="L90">
        <v>11</v>
      </c>
      <c r="M90">
        <v>12</v>
      </c>
      <c r="N90" t="s">
        <v>686</v>
      </c>
    </row>
    <row r="91" spans="2:14" ht="15" customHeight="1" x14ac:dyDescent="0.2">
      <c r="B91" t="s">
        <v>687</v>
      </c>
      <c r="C91">
        <v>2</v>
      </c>
      <c r="D91">
        <v>3</v>
      </c>
      <c r="E91">
        <v>3</v>
      </c>
      <c r="F91">
        <v>1</v>
      </c>
      <c r="G91">
        <v>0.5</v>
      </c>
      <c r="H91">
        <v>3</v>
      </c>
      <c r="I91">
        <v>3</v>
      </c>
      <c r="J91">
        <v>4.5</v>
      </c>
      <c r="K91">
        <v>1.5</v>
      </c>
      <c r="L91">
        <v>4.5</v>
      </c>
      <c r="M91">
        <v>4</v>
      </c>
      <c r="N91">
        <v>30</v>
      </c>
    </row>
    <row r="93" spans="2:14" ht="15" customHeight="1" x14ac:dyDescent="0.2">
      <c r="B93" t="s">
        <v>55</v>
      </c>
      <c r="C93" t="s">
        <v>55</v>
      </c>
    </row>
    <row r="95" spans="2:14" ht="15" customHeight="1" x14ac:dyDescent="0.2">
      <c r="C95" t="s">
        <v>685</v>
      </c>
    </row>
    <row r="96" spans="2:14" ht="15" customHeight="1" x14ac:dyDescent="0.2">
      <c r="C96">
        <v>2</v>
      </c>
      <c r="D96">
        <v>3</v>
      </c>
      <c r="E96">
        <v>4</v>
      </c>
      <c r="F96">
        <v>5</v>
      </c>
      <c r="G96">
        <v>6</v>
      </c>
      <c r="H96">
        <v>7</v>
      </c>
      <c r="I96">
        <v>8</v>
      </c>
      <c r="J96">
        <v>9</v>
      </c>
      <c r="K96">
        <v>10</v>
      </c>
      <c r="L96">
        <v>11</v>
      </c>
      <c r="M96" t="s">
        <v>686</v>
      </c>
    </row>
    <row r="97" spans="2:13" ht="15" customHeight="1" x14ac:dyDescent="0.2">
      <c r="B97" t="s">
        <v>687</v>
      </c>
      <c r="C97">
        <v>0.5</v>
      </c>
      <c r="D97">
        <v>3.5</v>
      </c>
      <c r="E97">
        <v>2.5</v>
      </c>
      <c r="F97">
        <v>1</v>
      </c>
      <c r="G97">
        <v>4</v>
      </c>
      <c r="H97">
        <v>4.5</v>
      </c>
      <c r="I97">
        <v>3.5</v>
      </c>
      <c r="J97">
        <v>2.5</v>
      </c>
      <c r="K97">
        <v>4.5</v>
      </c>
      <c r="L97">
        <v>3.5</v>
      </c>
      <c r="M97">
        <v>30</v>
      </c>
    </row>
    <row r="99" spans="2:13" ht="15" customHeight="1" x14ac:dyDescent="0.2">
      <c r="B99" t="s">
        <v>56</v>
      </c>
      <c r="C99" t="s">
        <v>56</v>
      </c>
    </row>
    <row r="101" spans="2:13" ht="15" customHeight="1" x14ac:dyDescent="0.2">
      <c r="C101" t="s">
        <v>685</v>
      </c>
    </row>
    <row r="102" spans="2:13" ht="15" customHeight="1" x14ac:dyDescent="0.2">
      <c r="C102">
        <v>2</v>
      </c>
      <c r="D102">
        <v>3</v>
      </c>
      <c r="E102">
        <v>4</v>
      </c>
      <c r="F102" t="s">
        <v>686</v>
      </c>
    </row>
    <row r="103" spans="2:13" ht="15" customHeight="1" x14ac:dyDescent="0.2">
      <c r="B103" t="s">
        <v>687</v>
      </c>
      <c r="C103">
        <v>2.5</v>
      </c>
      <c r="D103">
        <v>3</v>
      </c>
      <c r="E103">
        <v>3</v>
      </c>
      <c r="F103">
        <v>8.5</v>
      </c>
    </row>
    <row r="105" spans="2:13" ht="15" customHeight="1" x14ac:dyDescent="0.2">
      <c r="B105" t="s">
        <v>57</v>
      </c>
      <c r="C105" t="s">
        <v>57</v>
      </c>
    </row>
    <row r="107" spans="2:13" ht="15" customHeight="1" x14ac:dyDescent="0.2">
      <c r="C107" t="s">
        <v>685</v>
      </c>
    </row>
    <row r="108" spans="2:13" ht="15" customHeight="1" x14ac:dyDescent="0.2">
      <c r="C108">
        <v>2</v>
      </c>
      <c r="D108">
        <v>3</v>
      </c>
      <c r="E108">
        <v>4</v>
      </c>
      <c r="F108">
        <v>6</v>
      </c>
      <c r="G108">
        <v>7</v>
      </c>
      <c r="H108" t="s">
        <v>686</v>
      </c>
    </row>
    <row r="109" spans="2:13" ht="15" customHeight="1" x14ac:dyDescent="0.2">
      <c r="B109" t="s">
        <v>687</v>
      </c>
      <c r="C109">
        <v>2</v>
      </c>
      <c r="D109">
        <v>2</v>
      </c>
      <c r="E109">
        <v>4.5</v>
      </c>
      <c r="F109">
        <v>2</v>
      </c>
      <c r="G109">
        <v>2.5</v>
      </c>
      <c r="H109">
        <v>13</v>
      </c>
    </row>
    <row r="111" spans="2:13" ht="15" customHeight="1" x14ac:dyDescent="0.2">
      <c r="B111" t="s">
        <v>58</v>
      </c>
      <c r="C111" t="s">
        <v>58</v>
      </c>
    </row>
    <row r="113" spans="2:13" ht="15" customHeight="1" x14ac:dyDescent="0.2">
      <c r="C113" t="s">
        <v>685</v>
      </c>
    </row>
    <row r="114" spans="2:13" ht="15" customHeight="1" x14ac:dyDescent="0.2">
      <c r="C114">
        <v>3</v>
      </c>
      <c r="D114">
        <v>4</v>
      </c>
      <c r="E114">
        <v>5</v>
      </c>
      <c r="F114">
        <v>6</v>
      </c>
      <c r="G114">
        <v>7</v>
      </c>
      <c r="H114">
        <v>10</v>
      </c>
      <c r="I114">
        <v>11</v>
      </c>
      <c r="J114" t="s">
        <v>686</v>
      </c>
    </row>
    <row r="115" spans="2:13" ht="15" customHeight="1" x14ac:dyDescent="0.2">
      <c r="B115" t="s">
        <v>687</v>
      </c>
      <c r="C115">
        <v>4</v>
      </c>
      <c r="D115">
        <v>4</v>
      </c>
      <c r="E115">
        <v>3.5</v>
      </c>
      <c r="F115">
        <v>4.5</v>
      </c>
      <c r="G115">
        <v>7</v>
      </c>
      <c r="H115">
        <v>5.5</v>
      </c>
      <c r="I115">
        <v>2.5</v>
      </c>
      <c r="J115">
        <v>31</v>
      </c>
    </row>
    <row r="117" spans="2:13" ht="15" customHeight="1" x14ac:dyDescent="0.2">
      <c r="B117" t="s">
        <v>59</v>
      </c>
      <c r="C117" t="s">
        <v>59</v>
      </c>
    </row>
    <row r="119" spans="2:13" ht="15" customHeight="1" x14ac:dyDescent="0.2">
      <c r="C119" t="s">
        <v>685</v>
      </c>
    </row>
    <row r="120" spans="2:13" ht="15" customHeight="1" x14ac:dyDescent="0.2">
      <c r="C120">
        <v>3</v>
      </c>
      <c r="D120">
        <v>4</v>
      </c>
      <c r="E120">
        <v>5</v>
      </c>
      <c r="F120">
        <v>6</v>
      </c>
      <c r="G120">
        <v>7</v>
      </c>
      <c r="H120">
        <v>11</v>
      </c>
      <c r="I120" t="s">
        <v>686</v>
      </c>
    </row>
    <row r="121" spans="2:13" ht="15" customHeight="1" x14ac:dyDescent="0.2">
      <c r="B121" t="s">
        <v>687</v>
      </c>
      <c r="C121">
        <v>2.5</v>
      </c>
      <c r="D121">
        <v>2</v>
      </c>
      <c r="E121">
        <v>5.5</v>
      </c>
      <c r="F121">
        <v>4</v>
      </c>
      <c r="G121">
        <v>2</v>
      </c>
      <c r="H121">
        <v>5</v>
      </c>
      <c r="I121">
        <v>21</v>
      </c>
    </row>
    <row r="123" spans="2:13" ht="15" customHeight="1" x14ac:dyDescent="0.2">
      <c r="B123" t="s">
        <v>60</v>
      </c>
      <c r="C123" t="s">
        <v>60</v>
      </c>
    </row>
    <row r="125" spans="2:13" ht="15" customHeight="1" x14ac:dyDescent="0.2">
      <c r="C125" t="s">
        <v>685</v>
      </c>
    </row>
    <row r="126" spans="2:13" ht="15" customHeight="1" x14ac:dyDescent="0.2">
      <c r="C126">
        <v>3</v>
      </c>
      <c r="D126">
        <v>4</v>
      </c>
      <c r="E126">
        <v>5</v>
      </c>
      <c r="F126">
        <v>6</v>
      </c>
      <c r="G126">
        <v>7</v>
      </c>
      <c r="H126">
        <v>8</v>
      </c>
      <c r="I126">
        <v>9</v>
      </c>
      <c r="J126">
        <v>10</v>
      </c>
      <c r="K126">
        <v>11</v>
      </c>
      <c r="L126">
        <v>12</v>
      </c>
      <c r="M126" t="s">
        <v>686</v>
      </c>
    </row>
    <row r="127" spans="2:13" ht="15" customHeight="1" x14ac:dyDescent="0.2">
      <c r="B127" t="s">
        <v>687</v>
      </c>
      <c r="C127">
        <v>4</v>
      </c>
      <c r="D127">
        <v>4</v>
      </c>
      <c r="E127">
        <v>4.5</v>
      </c>
      <c r="F127">
        <v>1</v>
      </c>
      <c r="G127">
        <v>6</v>
      </c>
      <c r="H127">
        <v>4.5</v>
      </c>
      <c r="I127">
        <v>3.5</v>
      </c>
      <c r="J127">
        <v>1</v>
      </c>
      <c r="K127">
        <v>2.5</v>
      </c>
      <c r="L127">
        <v>1.5</v>
      </c>
      <c r="M127">
        <v>32.5</v>
      </c>
    </row>
    <row r="129" spans="2:11" ht="15" customHeight="1" x14ac:dyDescent="0.2">
      <c r="B129" t="s">
        <v>61</v>
      </c>
      <c r="C129" t="s">
        <v>61</v>
      </c>
    </row>
    <row r="131" spans="2:11" ht="15" customHeight="1" x14ac:dyDescent="0.2">
      <c r="C131" t="s">
        <v>685</v>
      </c>
    </row>
    <row r="132" spans="2:11" ht="15" customHeight="1" x14ac:dyDescent="0.2">
      <c r="C132">
        <v>3</v>
      </c>
      <c r="D132">
        <v>4</v>
      </c>
      <c r="E132">
        <v>5</v>
      </c>
      <c r="F132">
        <v>6</v>
      </c>
      <c r="G132">
        <v>7</v>
      </c>
      <c r="H132">
        <v>8</v>
      </c>
      <c r="I132">
        <v>9</v>
      </c>
      <c r="J132">
        <v>10</v>
      </c>
      <c r="K132" t="s">
        <v>686</v>
      </c>
    </row>
    <row r="133" spans="2:11" ht="15" customHeight="1" x14ac:dyDescent="0.2">
      <c r="B133" t="s">
        <v>687</v>
      </c>
      <c r="C133">
        <v>2.5</v>
      </c>
      <c r="D133">
        <v>3.5</v>
      </c>
      <c r="E133">
        <v>3.5</v>
      </c>
      <c r="F133">
        <v>5.5</v>
      </c>
      <c r="G133">
        <v>3</v>
      </c>
      <c r="H133">
        <v>3</v>
      </c>
      <c r="I133">
        <v>4</v>
      </c>
      <c r="J133">
        <v>3</v>
      </c>
      <c r="K133">
        <v>28</v>
      </c>
    </row>
    <row r="135" spans="2:11" ht="15" customHeight="1" x14ac:dyDescent="0.2">
      <c r="B135" t="s">
        <v>62</v>
      </c>
      <c r="C135" t="s">
        <v>62</v>
      </c>
    </row>
    <row r="137" spans="2:11" ht="15" customHeight="1" x14ac:dyDescent="0.2">
      <c r="C137" t="s">
        <v>685</v>
      </c>
    </row>
    <row r="138" spans="2:11" ht="15" customHeight="1" x14ac:dyDescent="0.2">
      <c r="C138">
        <v>4</v>
      </c>
      <c r="D138">
        <v>5</v>
      </c>
      <c r="E138">
        <v>6</v>
      </c>
      <c r="F138">
        <v>7</v>
      </c>
      <c r="G138">
        <v>8</v>
      </c>
      <c r="H138">
        <v>9</v>
      </c>
      <c r="I138">
        <v>10</v>
      </c>
      <c r="J138">
        <v>11</v>
      </c>
      <c r="K138" t="s">
        <v>686</v>
      </c>
    </row>
    <row r="139" spans="2:11" ht="15" customHeight="1" x14ac:dyDescent="0.2">
      <c r="B139" t="s">
        <v>687</v>
      </c>
      <c r="C139">
        <v>2</v>
      </c>
      <c r="D139">
        <v>3</v>
      </c>
      <c r="E139">
        <v>5.5</v>
      </c>
      <c r="F139">
        <v>3</v>
      </c>
      <c r="G139">
        <v>3</v>
      </c>
      <c r="H139">
        <v>3</v>
      </c>
      <c r="I139">
        <v>5</v>
      </c>
      <c r="J139">
        <v>4</v>
      </c>
      <c r="K139">
        <v>28.5</v>
      </c>
    </row>
    <row r="141" spans="2:11" ht="15" customHeight="1" x14ac:dyDescent="0.2">
      <c r="B141" t="s">
        <v>63</v>
      </c>
      <c r="C141" t="s">
        <v>63</v>
      </c>
    </row>
    <row r="143" spans="2:11" ht="15" customHeight="1" x14ac:dyDescent="0.2">
      <c r="C143" t="s">
        <v>685</v>
      </c>
    </row>
    <row r="144" spans="2:11" ht="15" customHeight="1" x14ac:dyDescent="0.2">
      <c r="C144">
        <v>5</v>
      </c>
      <c r="D144">
        <v>8</v>
      </c>
      <c r="E144">
        <v>9</v>
      </c>
      <c r="F144">
        <v>10</v>
      </c>
      <c r="G144">
        <v>11</v>
      </c>
      <c r="H144">
        <v>12</v>
      </c>
      <c r="I144" t="s">
        <v>686</v>
      </c>
    </row>
    <row r="145" spans="2:9" ht="15" customHeight="1" x14ac:dyDescent="0.2">
      <c r="B145" t="s">
        <v>687</v>
      </c>
      <c r="C145">
        <v>4</v>
      </c>
      <c r="D145">
        <v>3</v>
      </c>
      <c r="E145">
        <v>3</v>
      </c>
      <c r="F145">
        <v>2</v>
      </c>
      <c r="G145">
        <v>2.5</v>
      </c>
      <c r="H145">
        <v>4</v>
      </c>
      <c r="I145">
        <v>18.5</v>
      </c>
    </row>
    <row r="147" spans="2:9" ht="15" customHeight="1" x14ac:dyDescent="0.2">
      <c r="B147" t="s">
        <v>65</v>
      </c>
      <c r="C147" t="s">
        <v>65</v>
      </c>
    </row>
    <row r="149" spans="2:9" ht="15" customHeight="1" x14ac:dyDescent="0.2">
      <c r="C149" t="s">
        <v>685</v>
      </c>
    </row>
    <row r="150" spans="2:9" ht="15" customHeight="1" x14ac:dyDescent="0.2">
      <c r="C150">
        <v>8</v>
      </c>
      <c r="D150">
        <v>12</v>
      </c>
      <c r="E150" t="s">
        <v>686</v>
      </c>
    </row>
    <row r="151" spans="2:9" ht="15" customHeight="1" x14ac:dyDescent="0.2">
      <c r="B151" t="s">
        <v>687</v>
      </c>
      <c r="C151">
        <v>1.5</v>
      </c>
      <c r="D151">
        <v>1</v>
      </c>
      <c r="E151">
        <v>2.5</v>
      </c>
    </row>
    <row r="153" spans="2:9" ht="15" customHeight="1" x14ac:dyDescent="0.2">
      <c r="B153" t="s">
        <v>66</v>
      </c>
      <c r="C153" t="s">
        <v>66</v>
      </c>
    </row>
    <row r="155" spans="2:9" ht="15" customHeight="1" x14ac:dyDescent="0.2">
      <c r="C155" t="s">
        <v>685</v>
      </c>
    </row>
    <row r="156" spans="2:9" ht="15" customHeight="1" x14ac:dyDescent="0.2">
      <c r="C156">
        <v>8</v>
      </c>
      <c r="D156">
        <v>9</v>
      </c>
      <c r="E156">
        <v>10</v>
      </c>
      <c r="F156">
        <v>12</v>
      </c>
      <c r="G156" t="s">
        <v>686</v>
      </c>
    </row>
    <row r="157" spans="2:9" ht="15" customHeight="1" x14ac:dyDescent="0.2">
      <c r="B157" t="s">
        <v>687</v>
      </c>
      <c r="C157">
        <v>5.5</v>
      </c>
      <c r="D157">
        <v>6</v>
      </c>
      <c r="E157">
        <v>2</v>
      </c>
      <c r="F157">
        <v>5</v>
      </c>
      <c r="G157">
        <v>18.5</v>
      </c>
    </row>
    <row r="159" spans="2:9" ht="15" customHeight="1" x14ac:dyDescent="0.2">
      <c r="B159" t="s">
        <v>67</v>
      </c>
      <c r="C159" t="s">
        <v>67</v>
      </c>
    </row>
    <row r="161" spans="2:8" ht="15" customHeight="1" x14ac:dyDescent="0.2">
      <c r="C161" t="s">
        <v>685</v>
      </c>
    </row>
    <row r="162" spans="2:8" ht="15" customHeight="1" x14ac:dyDescent="0.2">
      <c r="C162">
        <v>8</v>
      </c>
      <c r="D162">
        <v>9</v>
      </c>
      <c r="E162">
        <v>12</v>
      </c>
      <c r="F162" t="s">
        <v>686</v>
      </c>
    </row>
    <row r="163" spans="2:8" ht="15" customHeight="1" x14ac:dyDescent="0.2">
      <c r="B163" t="s">
        <v>687</v>
      </c>
      <c r="C163">
        <v>3</v>
      </c>
      <c r="D163">
        <v>3</v>
      </c>
      <c r="E163">
        <v>1</v>
      </c>
      <c r="F163">
        <v>7</v>
      </c>
    </row>
    <row r="165" spans="2:8" ht="15" customHeight="1" x14ac:dyDescent="0.2">
      <c r="B165" t="s">
        <v>68</v>
      </c>
      <c r="C165" t="s">
        <v>68</v>
      </c>
    </row>
    <row r="167" spans="2:8" ht="15" customHeight="1" x14ac:dyDescent="0.2">
      <c r="C167" t="s">
        <v>685</v>
      </c>
    </row>
    <row r="168" spans="2:8" ht="15" customHeight="1" x14ac:dyDescent="0.2">
      <c r="C168">
        <v>8</v>
      </c>
      <c r="D168" t="s">
        <v>686</v>
      </c>
    </row>
    <row r="169" spans="2:8" ht="15" customHeight="1" x14ac:dyDescent="0.2">
      <c r="B169" t="s">
        <v>687</v>
      </c>
      <c r="C169">
        <v>2.5</v>
      </c>
      <c r="D169">
        <v>2.5</v>
      </c>
    </row>
    <row r="171" spans="2:8" ht="15" customHeight="1" x14ac:dyDescent="0.2">
      <c r="B171" t="s">
        <v>64</v>
      </c>
      <c r="C171" t="s">
        <v>64</v>
      </c>
    </row>
    <row r="173" spans="2:8" ht="15" customHeight="1" x14ac:dyDescent="0.2">
      <c r="C173" t="s">
        <v>685</v>
      </c>
    </row>
    <row r="174" spans="2:8" ht="15" customHeight="1" x14ac:dyDescent="0.2">
      <c r="C174">
        <v>8</v>
      </c>
      <c r="D174">
        <v>9</v>
      </c>
      <c r="E174">
        <v>10</v>
      </c>
      <c r="F174">
        <v>11</v>
      </c>
      <c r="G174">
        <v>12</v>
      </c>
      <c r="H174" t="s">
        <v>686</v>
      </c>
    </row>
    <row r="175" spans="2:8" ht="15" customHeight="1" x14ac:dyDescent="0.2">
      <c r="B175" t="s">
        <v>687</v>
      </c>
      <c r="C175">
        <v>1.5</v>
      </c>
      <c r="D175">
        <v>4.5</v>
      </c>
      <c r="E175">
        <v>5</v>
      </c>
      <c r="F175">
        <v>4.5</v>
      </c>
      <c r="G175">
        <v>5</v>
      </c>
      <c r="H175">
        <v>20.5</v>
      </c>
    </row>
    <row r="177" spans="2:5" ht="15" customHeight="1" x14ac:dyDescent="0.2">
      <c r="B177" t="s">
        <v>69</v>
      </c>
      <c r="C177" t="s">
        <v>69</v>
      </c>
    </row>
    <row r="179" spans="2:5" ht="15" customHeight="1" x14ac:dyDescent="0.2">
      <c r="C179" t="s">
        <v>685</v>
      </c>
    </row>
    <row r="180" spans="2:5" ht="15" customHeight="1" x14ac:dyDescent="0.2">
      <c r="C180">
        <v>10</v>
      </c>
      <c r="D180">
        <v>12</v>
      </c>
      <c r="E180" t="s">
        <v>686</v>
      </c>
    </row>
    <row r="181" spans="2:5" ht="15" customHeight="1" x14ac:dyDescent="0.2">
      <c r="B181" t="s">
        <v>687</v>
      </c>
      <c r="C181">
        <v>3</v>
      </c>
      <c r="D181">
        <v>6</v>
      </c>
      <c r="E181">
        <v>9</v>
      </c>
    </row>
    <row r="183" spans="2:5" ht="15" customHeight="1" x14ac:dyDescent="0.2">
      <c r="B183" t="s">
        <v>70</v>
      </c>
      <c r="C183" t="s">
        <v>70</v>
      </c>
    </row>
    <row r="185" spans="2:5" ht="15" customHeight="1" x14ac:dyDescent="0.2">
      <c r="C185" t="s">
        <v>685</v>
      </c>
    </row>
    <row r="186" spans="2:5" ht="15" customHeight="1" x14ac:dyDescent="0.2">
      <c r="C186">
        <v>12</v>
      </c>
      <c r="D186" t="s">
        <v>686</v>
      </c>
    </row>
    <row r="187" spans="2:5" ht="15" customHeight="1" x14ac:dyDescent="0.2">
      <c r="B187" t="s">
        <v>687</v>
      </c>
      <c r="C187">
        <v>4</v>
      </c>
      <c r="D187">
        <v>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72"/>
  <sheetViews>
    <sheetView zoomScaleNormal="100" workbookViewId="0"/>
  </sheetViews>
  <sheetFormatPr baseColWidth="10" defaultColWidth="8.83203125" defaultRowHeight="15" x14ac:dyDescent="0.2"/>
  <sheetData>
    <row r="1" spans="1:33" ht="15" customHeight="1" x14ac:dyDescent="0.2">
      <c r="A1" s="3" t="s">
        <v>0</v>
      </c>
      <c r="B1" s="3" t="s">
        <v>652</v>
      </c>
      <c r="C1" s="3" t="s">
        <v>653</v>
      </c>
      <c r="D1" s="3" t="s">
        <v>654</v>
      </c>
      <c r="E1" s="3" t="s">
        <v>655</v>
      </c>
      <c r="F1" s="3" t="s">
        <v>656</v>
      </c>
      <c r="G1" s="3" t="s">
        <v>657</v>
      </c>
      <c r="H1" s="3" t="s">
        <v>658</v>
      </c>
      <c r="I1" s="3" t="s">
        <v>659</v>
      </c>
      <c r="J1" s="3" t="s">
        <v>660</v>
      </c>
      <c r="K1" s="3" t="s">
        <v>661</v>
      </c>
      <c r="L1" s="3" t="s">
        <v>662</v>
      </c>
      <c r="M1" s="3" t="s">
        <v>663</v>
      </c>
      <c r="N1" s="3" t="s">
        <v>664</v>
      </c>
      <c r="O1" s="3" t="s">
        <v>665</v>
      </c>
      <c r="P1" s="3" t="s">
        <v>666</v>
      </c>
      <c r="Q1" s="3" t="s">
        <v>667</v>
      </c>
      <c r="R1" s="3" t="s">
        <v>668</v>
      </c>
      <c r="S1" s="3" t="s">
        <v>669</v>
      </c>
      <c r="T1" s="3" t="s">
        <v>689</v>
      </c>
      <c r="U1" s="3" t="s">
        <v>690</v>
      </c>
      <c r="V1" s="3" t="s">
        <v>691</v>
      </c>
      <c r="W1" s="3" t="s">
        <v>692</v>
      </c>
      <c r="X1" s="3" t="s">
        <v>693</v>
      </c>
      <c r="Y1" s="3" t="s">
        <v>694</v>
      </c>
      <c r="Z1" s="3" t="s">
        <v>695</v>
      </c>
      <c r="AA1" s="3" t="s">
        <v>696</v>
      </c>
      <c r="AB1" s="3" t="s">
        <v>697</v>
      </c>
      <c r="AC1" s="3" t="s">
        <v>698</v>
      </c>
      <c r="AD1" s="3" t="s">
        <v>699</v>
      </c>
      <c r="AE1" s="3" t="s">
        <v>700</v>
      </c>
      <c r="AF1" s="3" t="s">
        <v>701</v>
      </c>
      <c r="AG1" s="3" t="s">
        <v>702</v>
      </c>
    </row>
    <row r="3" spans="1:33" ht="15" customHeight="1" x14ac:dyDescent="0.2">
      <c r="A3" t="s">
        <v>45</v>
      </c>
      <c r="B3" t="s">
        <v>45</v>
      </c>
    </row>
    <row r="5" spans="1:33" ht="15" customHeight="1" x14ac:dyDescent="0.2">
      <c r="A5" t="s">
        <v>687</v>
      </c>
      <c r="B5" t="s">
        <v>703</v>
      </c>
      <c r="C5" t="s">
        <v>704</v>
      </c>
      <c r="D5" t="s">
        <v>705</v>
      </c>
      <c r="E5" t="s">
        <v>706</v>
      </c>
    </row>
    <row r="6" spans="1:33" ht="15" customHeight="1" x14ac:dyDescent="0.2">
      <c r="A6">
        <v>50.5</v>
      </c>
      <c r="B6">
        <v>39</v>
      </c>
      <c r="C6">
        <v>23</v>
      </c>
      <c r="D6">
        <v>9</v>
      </c>
      <c r="E6">
        <v>0.61267605633802802</v>
      </c>
      <c r="H6" t="s">
        <v>707</v>
      </c>
      <c r="P6" t="s">
        <v>708</v>
      </c>
      <c r="S6" t="s">
        <v>709</v>
      </c>
      <c r="V6" t="s">
        <v>710</v>
      </c>
      <c r="Y6" t="s">
        <v>711</v>
      </c>
      <c r="AC6" t="s">
        <v>712</v>
      </c>
      <c r="AF6" t="s">
        <v>713</v>
      </c>
    </row>
    <row r="7" spans="1:33" ht="15" customHeight="1" x14ac:dyDescent="0.2">
      <c r="H7" t="s">
        <v>714</v>
      </c>
      <c r="I7" t="s">
        <v>715</v>
      </c>
      <c r="J7" t="s">
        <v>706</v>
      </c>
      <c r="K7" t="s">
        <v>716</v>
      </c>
      <c r="L7" t="s">
        <v>717</v>
      </c>
      <c r="M7" t="s">
        <v>718</v>
      </c>
      <c r="N7" t="s">
        <v>719</v>
      </c>
      <c r="P7" t="s">
        <v>714</v>
      </c>
      <c r="Q7" t="s">
        <v>715</v>
      </c>
      <c r="S7" t="s">
        <v>714</v>
      </c>
      <c r="T7" t="s">
        <v>715</v>
      </c>
      <c r="V7" t="s">
        <v>714</v>
      </c>
      <c r="W7" t="s">
        <v>706</v>
      </c>
      <c r="Y7" t="s">
        <v>714</v>
      </c>
      <c r="Z7" t="s">
        <v>706</v>
      </c>
      <c r="AA7" t="s">
        <v>720</v>
      </c>
      <c r="AC7" t="s">
        <v>714</v>
      </c>
      <c r="AD7" t="s">
        <v>706</v>
      </c>
      <c r="AF7" t="s">
        <v>714</v>
      </c>
      <c r="AG7" t="s">
        <v>721</v>
      </c>
    </row>
    <row r="8" spans="1:33" ht="15" customHeight="1" x14ac:dyDescent="0.2">
      <c r="A8" t="s">
        <v>40</v>
      </c>
      <c r="B8" t="s">
        <v>40</v>
      </c>
      <c r="H8" t="s">
        <v>45</v>
      </c>
      <c r="I8">
        <v>50.5</v>
      </c>
      <c r="J8">
        <v>0.61267605633802802</v>
      </c>
      <c r="K8">
        <v>12</v>
      </c>
      <c r="L8">
        <v>0</v>
      </c>
      <c r="M8">
        <v>12</v>
      </c>
      <c r="N8">
        <v>4.2083333333333304</v>
      </c>
      <c r="P8" t="s">
        <v>45</v>
      </c>
      <c r="Q8">
        <v>50.5</v>
      </c>
      <c r="S8" t="s">
        <v>66</v>
      </c>
      <c r="T8">
        <v>4.625</v>
      </c>
      <c r="V8" t="s">
        <v>58</v>
      </c>
      <c r="W8">
        <v>0.65476190476190499</v>
      </c>
      <c r="Y8" t="s">
        <v>722</v>
      </c>
      <c r="Z8">
        <v>1</v>
      </c>
      <c r="AA8">
        <v>2</v>
      </c>
      <c r="AC8" t="s">
        <v>69</v>
      </c>
      <c r="AD8">
        <v>1</v>
      </c>
      <c r="AF8" t="s">
        <v>48</v>
      </c>
      <c r="AG8">
        <v>10</v>
      </c>
    </row>
    <row r="9" spans="1:33" ht="15" customHeight="1" x14ac:dyDescent="0.2">
      <c r="H9" t="s">
        <v>40</v>
      </c>
      <c r="I9">
        <v>43</v>
      </c>
      <c r="J9">
        <v>0.54929577464788704</v>
      </c>
      <c r="K9">
        <v>12</v>
      </c>
      <c r="L9">
        <v>0</v>
      </c>
      <c r="M9">
        <v>12</v>
      </c>
      <c r="N9">
        <v>3.5833333333333299</v>
      </c>
      <c r="P9" t="s">
        <v>50</v>
      </c>
      <c r="Q9">
        <v>46</v>
      </c>
      <c r="S9" t="s">
        <v>69</v>
      </c>
      <c r="T9">
        <v>4.5</v>
      </c>
      <c r="V9" t="s">
        <v>64</v>
      </c>
      <c r="W9">
        <v>0.63793103448275901</v>
      </c>
      <c r="Y9" t="s">
        <v>723</v>
      </c>
      <c r="Z9">
        <v>1</v>
      </c>
      <c r="AA9">
        <v>2</v>
      </c>
      <c r="AC9" t="s">
        <v>70</v>
      </c>
      <c r="AD9">
        <v>1</v>
      </c>
      <c r="AF9" t="s">
        <v>45</v>
      </c>
      <c r="AG9">
        <v>9</v>
      </c>
    </row>
    <row r="10" spans="1:33" ht="15" customHeight="1" x14ac:dyDescent="0.2">
      <c r="A10" t="s">
        <v>687</v>
      </c>
      <c r="B10" t="s">
        <v>703</v>
      </c>
      <c r="C10" t="s">
        <v>704</v>
      </c>
      <c r="D10" t="s">
        <v>705</v>
      </c>
      <c r="E10" t="s">
        <v>706</v>
      </c>
      <c r="H10" t="s">
        <v>41</v>
      </c>
      <c r="I10">
        <v>35</v>
      </c>
      <c r="J10">
        <v>0.4765625</v>
      </c>
      <c r="K10">
        <v>10</v>
      </c>
      <c r="L10">
        <v>0.69230769230769196</v>
      </c>
      <c r="M10">
        <v>10.692307692307701</v>
      </c>
      <c r="N10">
        <v>3.2733812949640302</v>
      </c>
      <c r="P10" t="s">
        <v>42</v>
      </c>
      <c r="Q10">
        <v>46</v>
      </c>
      <c r="S10" t="s">
        <v>58</v>
      </c>
      <c r="T10">
        <v>4.4285714285714297</v>
      </c>
      <c r="V10" t="s">
        <v>66</v>
      </c>
      <c r="W10">
        <v>0.62</v>
      </c>
      <c r="Y10" t="s">
        <v>724</v>
      </c>
      <c r="Z10">
        <v>1</v>
      </c>
      <c r="AA10">
        <v>2</v>
      </c>
      <c r="AC10" t="s">
        <v>58</v>
      </c>
      <c r="AD10">
        <v>0.78571428571428603</v>
      </c>
      <c r="AF10" t="s">
        <v>40</v>
      </c>
      <c r="AG10">
        <v>8</v>
      </c>
    </row>
    <row r="11" spans="1:33" ht="15" customHeight="1" x14ac:dyDescent="0.2">
      <c r="A11">
        <v>43</v>
      </c>
      <c r="B11">
        <v>36</v>
      </c>
      <c r="C11">
        <v>29</v>
      </c>
      <c r="D11">
        <v>6</v>
      </c>
      <c r="E11">
        <v>0.54929577464788704</v>
      </c>
      <c r="H11" t="s">
        <v>42</v>
      </c>
      <c r="I11">
        <v>46</v>
      </c>
      <c r="J11">
        <v>0.60563380281690105</v>
      </c>
      <c r="K11">
        <v>12</v>
      </c>
      <c r="L11">
        <v>0</v>
      </c>
      <c r="M11">
        <v>12</v>
      </c>
      <c r="N11">
        <v>3.8333333333333299</v>
      </c>
      <c r="P11" t="s">
        <v>40</v>
      </c>
      <c r="Q11">
        <v>43</v>
      </c>
      <c r="S11" t="s">
        <v>64</v>
      </c>
      <c r="T11">
        <v>4.3688524590163897</v>
      </c>
      <c r="V11" t="s">
        <v>45</v>
      </c>
      <c r="W11">
        <v>0.61267605633802802</v>
      </c>
      <c r="Y11" t="s">
        <v>725</v>
      </c>
      <c r="Z11">
        <v>1</v>
      </c>
      <c r="AA11">
        <v>2</v>
      </c>
      <c r="AC11" t="s">
        <v>43</v>
      </c>
      <c r="AD11">
        <v>0.78571428571428603</v>
      </c>
      <c r="AF11" t="s">
        <v>41</v>
      </c>
      <c r="AG11">
        <v>8</v>
      </c>
    </row>
    <row r="12" spans="1:33" ht="15" customHeight="1" x14ac:dyDescent="0.2">
      <c r="H12" t="s">
        <v>43</v>
      </c>
      <c r="I12">
        <v>27</v>
      </c>
      <c r="J12">
        <v>0.52325581395348797</v>
      </c>
      <c r="K12">
        <v>7</v>
      </c>
      <c r="L12">
        <v>0</v>
      </c>
      <c r="M12">
        <v>7</v>
      </c>
      <c r="N12">
        <v>3.8571428571428599</v>
      </c>
      <c r="P12" t="s">
        <v>53</v>
      </c>
      <c r="Q12">
        <v>42</v>
      </c>
      <c r="S12" t="s">
        <v>45</v>
      </c>
      <c r="T12">
        <v>4.2083333333333304</v>
      </c>
      <c r="V12" t="s">
        <v>42</v>
      </c>
      <c r="W12">
        <v>0.60563380281690105</v>
      </c>
      <c r="Y12" t="s">
        <v>726</v>
      </c>
      <c r="Z12">
        <v>1</v>
      </c>
      <c r="AA12">
        <v>2</v>
      </c>
      <c r="AC12" t="s">
        <v>66</v>
      </c>
      <c r="AD12">
        <v>0.75</v>
      </c>
      <c r="AF12" t="s">
        <v>651</v>
      </c>
      <c r="AG12">
        <v>7</v>
      </c>
    </row>
    <row r="13" spans="1:33" ht="15" customHeight="1" x14ac:dyDescent="0.2">
      <c r="A13" t="s">
        <v>41</v>
      </c>
      <c r="B13" t="s">
        <v>41</v>
      </c>
      <c r="H13" t="s">
        <v>44</v>
      </c>
      <c r="I13">
        <v>36.5</v>
      </c>
      <c r="J13">
        <v>0.46478873239436602</v>
      </c>
      <c r="K13">
        <v>12</v>
      </c>
      <c r="L13">
        <v>0</v>
      </c>
      <c r="M13">
        <v>12</v>
      </c>
      <c r="N13">
        <v>3.0416666666666701</v>
      </c>
      <c r="P13" t="s">
        <v>48</v>
      </c>
      <c r="Q13">
        <v>41</v>
      </c>
      <c r="S13" t="s">
        <v>70</v>
      </c>
      <c r="T13">
        <v>4</v>
      </c>
      <c r="V13" t="s">
        <v>68</v>
      </c>
      <c r="W13">
        <v>0.6</v>
      </c>
      <c r="Y13" t="s">
        <v>727</v>
      </c>
      <c r="Z13">
        <v>1</v>
      </c>
      <c r="AA13">
        <v>2</v>
      </c>
      <c r="AC13" t="s">
        <v>61</v>
      </c>
      <c r="AD13">
        <v>0.7</v>
      </c>
      <c r="AF13" t="s">
        <v>60</v>
      </c>
      <c r="AG13">
        <v>6</v>
      </c>
    </row>
    <row r="14" spans="1:33" ht="15" customHeight="1" x14ac:dyDescent="0.2">
      <c r="H14" t="s">
        <v>46</v>
      </c>
      <c r="I14">
        <v>28.5</v>
      </c>
      <c r="J14">
        <v>0.4296875</v>
      </c>
      <c r="K14">
        <v>10</v>
      </c>
      <c r="L14">
        <v>0.69230769230769196</v>
      </c>
      <c r="M14">
        <v>10.692307692307701</v>
      </c>
      <c r="N14">
        <v>2.66546762589928</v>
      </c>
      <c r="P14" t="s">
        <v>44</v>
      </c>
      <c r="Q14">
        <v>36.5</v>
      </c>
      <c r="S14" t="s">
        <v>53</v>
      </c>
      <c r="T14">
        <v>3.9280575539568399</v>
      </c>
      <c r="V14" t="s">
        <v>50</v>
      </c>
      <c r="W14">
        <v>0.58450704225352101</v>
      </c>
      <c r="Y14" t="s">
        <v>728</v>
      </c>
      <c r="Z14">
        <v>1</v>
      </c>
      <c r="AA14">
        <v>2</v>
      </c>
      <c r="AC14" t="s">
        <v>45</v>
      </c>
      <c r="AD14">
        <v>0.66666666666666696</v>
      </c>
      <c r="AF14" t="s">
        <v>44</v>
      </c>
      <c r="AG14">
        <v>5</v>
      </c>
    </row>
    <row r="15" spans="1:33" ht="15" customHeight="1" x14ac:dyDescent="0.2">
      <c r="A15" t="s">
        <v>687</v>
      </c>
      <c r="B15" t="s">
        <v>703</v>
      </c>
      <c r="C15" t="s">
        <v>704</v>
      </c>
      <c r="D15" t="s">
        <v>705</v>
      </c>
      <c r="E15" t="s">
        <v>706</v>
      </c>
      <c r="H15" t="s">
        <v>47</v>
      </c>
      <c r="I15">
        <v>8.5</v>
      </c>
      <c r="J15">
        <v>0.35714285714285698</v>
      </c>
      <c r="K15">
        <v>4</v>
      </c>
      <c r="L15">
        <v>0</v>
      </c>
      <c r="M15">
        <v>4</v>
      </c>
      <c r="N15">
        <v>2.125</v>
      </c>
      <c r="P15" t="s">
        <v>41</v>
      </c>
      <c r="Q15">
        <v>35</v>
      </c>
      <c r="S15" t="s">
        <v>43</v>
      </c>
      <c r="T15">
        <v>3.8571428571428599</v>
      </c>
      <c r="V15" t="s">
        <v>53</v>
      </c>
      <c r="W15">
        <v>0.57692307692307698</v>
      </c>
      <c r="Y15" t="s">
        <v>729</v>
      </c>
      <c r="Z15">
        <v>1</v>
      </c>
      <c r="AA15">
        <v>2</v>
      </c>
      <c r="AC15" t="s">
        <v>53</v>
      </c>
      <c r="AD15">
        <v>0.625</v>
      </c>
      <c r="AF15" t="s">
        <v>61</v>
      </c>
      <c r="AG15">
        <v>5</v>
      </c>
    </row>
    <row r="16" spans="1:33" ht="15" customHeight="1" x14ac:dyDescent="0.2">
      <c r="A16">
        <v>35</v>
      </c>
      <c r="B16">
        <v>27</v>
      </c>
      <c r="C16">
        <v>30</v>
      </c>
      <c r="D16">
        <v>7</v>
      </c>
      <c r="E16">
        <v>0.4765625</v>
      </c>
      <c r="H16" t="s">
        <v>48</v>
      </c>
      <c r="I16">
        <v>41</v>
      </c>
      <c r="J16">
        <v>0.54225352112676095</v>
      </c>
      <c r="K16">
        <v>12</v>
      </c>
      <c r="L16">
        <v>0</v>
      </c>
      <c r="M16">
        <v>12</v>
      </c>
      <c r="N16">
        <v>3.4166666666666701</v>
      </c>
      <c r="P16" t="s">
        <v>60</v>
      </c>
      <c r="Q16">
        <v>32.5</v>
      </c>
      <c r="S16" t="s">
        <v>50</v>
      </c>
      <c r="T16">
        <v>3.8333333333333299</v>
      </c>
      <c r="V16" t="s">
        <v>40</v>
      </c>
      <c r="W16">
        <v>0.54929577464788704</v>
      </c>
      <c r="Y16" t="s">
        <v>730</v>
      </c>
      <c r="Z16">
        <v>1</v>
      </c>
      <c r="AA16">
        <v>2</v>
      </c>
      <c r="AC16" t="s">
        <v>60</v>
      </c>
      <c r="AD16">
        <v>0.625</v>
      </c>
      <c r="AF16" t="s">
        <v>55</v>
      </c>
      <c r="AG16">
        <v>4</v>
      </c>
    </row>
    <row r="17" spans="1:33" ht="15" customHeight="1" x14ac:dyDescent="0.2">
      <c r="H17" t="s">
        <v>651</v>
      </c>
      <c r="I17">
        <v>27</v>
      </c>
      <c r="J17">
        <v>0.4</v>
      </c>
      <c r="K17">
        <v>11</v>
      </c>
      <c r="L17">
        <v>0</v>
      </c>
      <c r="M17">
        <v>11</v>
      </c>
      <c r="N17">
        <v>2.4545454545454599</v>
      </c>
      <c r="P17" t="s">
        <v>58</v>
      </c>
      <c r="Q17">
        <v>31</v>
      </c>
      <c r="S17" t="s">
        <v>42</v>
      </c>
      <c r="T17">
        <v>3.8333333333333299</v>
      </c>
      <c r="V17" t="s">
        <v>48</v>
      </c>
      <c r="W17">
        <v>0.54225352112676095</v>
      </c>
      <c r="Y17" t="s">
        <v>731</v>
      </c>
      <c r="Z17">
        <v>1</v>
      </c>
      <c r="AA17">
        <v>2</v>
      </c>
      <c r="AC17" t="s">
        <v>64</v>
      </c>
      <c r="AD17">
        <v>0.58333333333333304</v>
      </c>
      <c r="AF17" t="s">
        <v>52</v>
      </c>
      <c r="AG17">
        <v>4</v>
      </c>
    </row>
    <row r="18" spans="1:33" ht="15" customHeight="1" x14ac:dyDescent="0.2">
      <c r="A18" t="s">
        <v>42</v>
      </c>
      <c r="B18" t="s">
        <v>42</v>
      </c>
      <c r="H18" t="s">
        <v>50</v>
      </c>
      <c r="I18">
        <v>46</v>
      </c>
      <c r="J18">
        <v>0.58450704225352101</v>
      </c>
      <c r="K18">
        <v>12</v>
      </c>
      <c r="L18">
        <v>0</v>
      </c>
      <c r="M18">
        <v>12</v>
      </c>
      <c r="N18">
        <v>3.8333333333333299</v>
      </c>
      <c r="P18" t="s">
        <v>55</v>
      </c>
      <c r="Q18">
        <v>30</v>
      </c>
      <c r="S18" t="s">
        <v>68</v>
      </c>
      <c r="T18">
        <v>3.6111111111111098</v>
      </c>
      <c r="V18" t="s">
        <v>69</v>
      </c>
      <c r="W18">
        <v>0.53846153846153799</v>
      </c>
      <c r="Y18" t="s">
        <v>732</v>
      </c>
      <c r="Z18">
        <v>1</v>
      </c>
      <c r="AA18">
        <v>2</v>
      </c>
      <c r="AC18" t="s">
        <v>59</v>
      </c>
      <c r="AD18">
        <v>0.58333333333333304</v>
      </c>
      <c r="AF18" t="s">
        <v>63</v>
      </c>
      <c r="AG18">
        <v>4</v>
      </c>
    </row>
    <row r="19" spans="1:33" ht="15" customHeight="1" x14ac:dyDescent="0.2">
      <c r="H19" t="s">
        <v>51</v>
      </c>
      <c r="I19">
        <v>1.5</v>
      </c>
      <c r="J19">
        <v>0.3</v>
      </c>
      <c r="K19">
        <v>1</v>
      </c>
      <c r="L19">
        <v>0</v>
      </c>
      <c r="M19">
        <v>1</v>
      </c>
      <c r="N19">
        <v>1.5</v>
      </c>
      <c r="P19" t="s">
        <v>54</v>
      </c>
      <c r="Q19">
        <v>30</v>
      </c>
      <c r="S19" t="s">
        <v>40</v>
      </c>
      <c r="T19">
        <v>3.5833333333333299</v>
      </c>
      <c r="V19" t="s">
        <v>59</v>
      </c>
      <c r="W19">
        <v>0.52777777777777801</v>
      </c>
      <c r="Y19" t="s">
        <v>733</v>
      </c>
      <c r="Z19">
        <v>1</v>
      </c>
      <c r="AA19">
        <v>2</v>
      </c>
      <c r="AC19" t="s">
        <v>55</v>
      </c>
      <c r="AD19">
        <v>0.55000000000000004</v>
      </c>
      <c r="AF19" t="s">
        <v>50</v>
      </c>
      <c r="AG19">
        <v>4</v>
      </c>
    </row>
    <row r="20" spans="1:33" ht="15" customHeight="1" x14ac:dyDescent="0.2">
      <c r="A20" t="s">
        <v>687</v>
      </c>
      <c r="B20" t="s">
        <v>703</v>
      </c>
      <c r="C20" t="s">
        <v>704</v>
      </c>
      <c r="D20" t="s">
        <v>705</v>
      </c>
      <c r="E20" t="s">
        <v>706</v>
      </c>
      <c r="H20" t="s">
        <v>52</v>
      </c>
      <c r="I20">
        <v>22</v>
      </c>
      <c r="J20">
        <v>0.34745762711864397</v>
      </c>
      <c r="K20">
        <v>10</v>
      </c>
      <c r="L20">
        <v>0</v>
      </c>
      <c r="M20">
        <v>10</v>
      </c>
      <c r="N20">
        <v>2.2000000000000002</v>
      </c>
      <c r="P20" t="s">
        <v>46</v>
      </c>
      <c r="Q20">
        <v>28.5</v>
      </c>
      <c r="S20" t="s">
        <v>62</v>
      </c>
      <c r="T20">
        <v>3.5625</v>
      </c>
      <c r="V20" t="s">
        <v>43</v>
      </c>
      <c r="W20">
        <v>0.52325581395348797</v>
      </c>
      <c r="Y20" t="s">
        <v>734</v>
      </c>
      <c r="Z20">
        <v>1</v>
      </c>
      <c r="AA20">
        <v>2</v>
      </c>
      <c r="AC20" t="s">
        <v>54</v>
      </c>
      <c r="AD20">
        <v>0.54545454545454497</v>
      </c>
      <c r="AF20" t="s">
        <v>54</v>
      </c>
      <c r="AG20">
        <v>4</v>
      </c>
    </row>
    <row r="21" spans="1:33" ht="15" customHeight="1" x14ac:dyDescent="0.2">
      <c r="A21">
        <v>46</v>
      </c>
      <c r="B21">
        <v>39</v>
      </c>
      <c r="C21">
        <v>24</v>
      </c>
      <c r="D21">
        <v>8</v>
      </c>
      <c r="E21">
        <v>0.60563380281690105</v>
      </c>
      <c r="H21" t="s">
        <v>53</v>
      </c>
      <c r="I21">
        <v>42</v>
      </c>
      <c r="J21">
        <v>0.57692307692307698</v>
      </c>
      <c r="K21">
        <v>10</v>
      </c>
      <c r="L21">
        <v>0.69230769230769196</v>
      </c>
      <c r="M21">
        <v>10.692307692307701</v>
      </c>
      <c r="N21">
        <v>3.9280575539568399</v>
      </c>
      <c r="P21" t="s">
        <v>62</v>
      </c>
      <c r="Q21">
        <v>28.5</v>
      </c>
      <c r="S21" t="s">
        <v>61</v>
      </c>
      <c r="T21">
        <v>3.5</v>
      </c>
      <c r="V21" t="s">
        <v>62</v>
      </c>
      <c r="W21">
        <v>0.51020408163265296</v>
      </c>
      <c r="Y21" t="s">
        <v>735</v>
      </c>
      <c r="Z21">
        <v>1</v>
      </c>
      <c r="AA21">
        <v>2</v>
      </c>
      <c r="AC21" t="s">
        <v>50</v>
      </c>
      <c r="AD21">
        <v>0.54166666666666696</v>
      </c>
      <c r="AF21" t="s">
        <v>53</v>
      </c>
      <c r="AG21">
        <v>4</v>
      </c>
    </row>
    <row r="22" spans="1:33" ht="15" customHeight="1" x14ac:dyDescent="0.2">
      <c r="H22" t="s">
        <v>54</v>
      </c>
      <c r="I22">
        <v>30</v>
      </c>
      <c r="J22">
        <v>0.39393939393939398</v>
      </c>
      <c r="K22">
        <v>11</v>
      </c>
      <c r="L22">
        <v>0</v>
      </c>
      <c r="M22">
        <v>11</v>
      </c>
      <c r="N22">
        <v>2.7272727272727302</v>
      </c>
      <c r="P22" t="s">
        <v>61</v>
      </c>
      <c r="Q22">
        <v>28</v>
      </c>
      <c r="S22" t="s">
        <v>59</v>
      </c>
      <c r="T22">
        <v>3.5</v>
      </c>
      <c r="V22" t="s">
        <v>61</v>
      </c>
      <c r="W22">
        <v>0.5</v>
      </c>
      <c r="Y22" t="s">
        <v>736</v>
      </c>
      <c r="Z22">
        <v>1</v>
      </c>
      <c r="AA22">
        <v>2</v>
      </c>
      <c r="AC22" t="s">
        <v>40</v>
      </c>
      <c r="AD22">
        <v>0.5</v>
      </c>
      <c r="AF22" t="s">
        <v>58</v>
      </c>
      <c r="AG22">
        <v>4</v>
      </c>
    </row>
    <row r="23" spans="1:33" ht="15" customHeight="1" x14ac:dyDescent="0.2">
      <c r="A23" t="s">
        <v>43</v>
      </c>
      <c r="B23" t="s">
        <v>43</v>
      </c>
      <c r="H23" t="s">
        <v>55</v>
      </c>
      <c r="I23">
        <v>30</v>
      </c>
      <c r="J23">
        <v>0.44067796610169502</v>
      </c>
      <c r="K23">
        <v>10</v>
      </c>
      <c r="L23">
        <v>0</v>
      </c>
      <c r="M23">
        <v>10</v>
      </c>
      <c r="N23">
        <v>3</v>
      </c>
      <c r="P23" t="s">
        <v>43</v>
      </c>
      <c r="Q23">
        <v>27</v>
      </c>
      <c r="S23" t="s">
        <v>48</v>
      </c>
      <c r="T23">
        <v>3.4166666666666701</v>
      </c>
      <c r="V23" t="s">
        <v>56</v>
      </c>
      <c r="W23">
        <v>0.5</v>
      </c>
      <c r="Y23" t="s">
        <v>737</v>
      </c>
      <c r="Z23">
        <v>1</v>
      </c>
      <c r="AA23">
        <v>2</v>
      </c>
      <c r="AC23" t="s">
        <v>41</v>
      </c>
      <c r="AD23">
        <v>0.5</v>
      </c>
      <c r="AF23" t="s">
        <v>66</v>
      </c>
      <c r="AG23">
        <v>4</v>
      </c>
    </row>
    <row r="24" spans="1:33" ht="15" customHeight="1" x14ac:dyDescent="0.2">
      <c r="H24" t="s">
        <v>56</v>
      </c>
      <c r="I24">
        <v>8.5</v>
      </c>
      <c r="J24">
        <v>0.5</v>
      </c>
      <c r="K24">
        <v>3</v>
      </c>
      <c r="L24">
        <v>0</v>
      </c>
      <c r="M24">
        <v>3</v>
      </c>
      <c r="N24">
        <v>2.8333333333333299</v>
      </c>
      <c r="P24" t="s">
        <v>651</v>
      </c>
      <c r="Q24">
        <v>27</v>
      </c>
      <c r="S24" t="s">
        <v>41</v>
      </c>
      <c r="T24">
        <v>3.2733812949640302</v>
      </c>
      <c r="V24" t="s">
        <v>41</v>
      </c>
      <c r="W24">
        <v>0.4765625</v>
      </c>
      <c r="Y24" t="s">
        <v>738</v>
      </c>
      <c r="Z24">
        <v>1</v>
      </c>
      <c r="AA24">
        <v>2</v>
      </c>
      <c r="AC24" t="s">
        <v>62</v>
      </c>
      <c r="AD24">
        <v>0.5</v>
      </c>
      <c r="AF24" t="s">
        <v>57</v>
      </c>
      <c r="AG24">
        <v>3</v>
      </c>
    </row>
    <row r="25" spans="1:33" ht="15" customHeight="1" x14ac:dyDescent="0.2">
      <c r="A25" t="s">
        <v>687</v>
      </c>
      <c r="B25" t="s">
        <v>703</v>
      </c>
      <c r="C25" t="s">
        <v>704</v>
      </c>
      <c r="D25" t="s">
        <v>705</v>
      </c>
      <c r="E25" t="s">
        <v>706</v>
      </c>
      <c r="H25" t="s">
        <v>57</v>
      </c>
      <c r="I25">
        <v>13</v>
      </c>
      <c r="J25">
        <v>0.44827586206896602</v>
      </c>
      <c r="K25">
        <v>5</v>
      </c>
      <c r="L25">
        <v>0</v>
      </c>
      <c r="M25">
        <v>5</v>
      </c>
      <c r="N25">
        <v>2.6</v>
      </c>
      <c r="P25" t="s">
        <v>52</v>
      </c>
      <c r="Q25">
        <v>22</v>
      </c>
      <c r="S25" t="s">
        <v>60</v>
      </c>
      <c r="T25">
        <v>3.25</v>
      </c>
      <c r="V25" t="s">
        <v>60</v>
      </c>
      <c r="W25">
        <v>0.46721311475409799</v>
      </c>
      <c r="Y25" t="s">
        <v>739</v>
      </c>
      <c r="Z25">
        <v>1</v>
      </c>
      <c r="AA25">
        <v>2</v>
      </c>
      <c r="AC25" t="s">
        <v>42</v>
      </c>
      <c r="AD25">
        <v>0.45833333333333298</v>
      </c>
      <c r="AF25" t="s">
        <v>42</v>
      </c>
      <c r="AG25">
        <v>3</v>
      </c>
    </row>
    <row r="26" spans="1:33" ht="15" customHeight="1" x14ac:dyDescent="0.2">
      <c r="A26">
        <v>27</v>
      </c>
      <c r="B26">
        <v>19</v>
      </c>
      <c r="C26">
        <v>17</v>
      </c>
      <c r="D26">
        <v>7</v>
      </c>
      <c r="E26">
        <v>0.52325581395348797</v>
      </c>
      <c r="H26" t="s">
        <v>58</v>
      </c>
      <c r="I26">
        <v>31</v>
      </c>
      <c r="J26">
        <v>0.65476190476190499</v>
      </c>
      <c r="K26">
        <v>7</v>
      </c>
      <c r="L26">
        <v>0</v>
      </c>
      <c r="M26">
        <v>7</v>
      </c>
      <c r="N26">
        <v>4.4285714285714297</v>
      </c>
      <c r="P26" t="s">
        <v>59</v>
      </c>
      <c r="Q26">
        <v>21</v>
      </c>
      <c r="S26" t="s">
        <v>63</v>
      </c>
      <c r="T26">
        <v>3.0833333333333299</v>
      </c>
      <c r="V26" t="s">
        <v>44</v>
      </c>
      <c r="W26">
        <v>0.46478873239436602</v>
      </c>
      <c r="Y26" t="s">
        <v>740</v>
      </c>
      <c r="Z26">
        <v>1</v>
      </c>
      <c r="AA26">
        <v>2</v>
      </c>
      <c r="AC26" t="s">
        <v>44</v>
      </c>
      <c r="AD26">
        <v>0.41666666666666702</v>
      </c>
      <c r="AF26" t="s">
        <v>46</v>
      </c>
      <c r="AG26">
        <v>3</v>
      </c>
    </row>
    <row r="27" spans="1:33" ht="15" customHeight="1" x14ac:dyDescent="0.2">
      <c r="H27" t="s">
        <v>59</v>
      </c>
      <c r="I27">
        <v>21</v>
      </c>
      <c r="J27">
        <v>0.52777777777777801</v>
      </c>
      <c r="K27">
        <v>6</v>
      </c>
      <c r="L27">
        <v>0</v>
      </c>
      <c r="M27">
        <v>6</v>
      </c>
      <c r="N27">
        <v>3.5</v>
      </c>
      <c r="P27" t="s">
        <v>64</v>
      </c>
      <c r="Q27">
        <v>20.5</v>
      </c>
      <c r="S27" t="s">
        <v>44</v>
      </c>
      <c r="T27">
        <v>3.0416666666666701</v>
      </c>
      <c r="V27" t="s">
        <v>63</v>
      </c>
      <c r="W27">
        <v>0.45945945945945998</v>
      </c>
      <c r="Y27" t="s">
        <v>741</v>
      </c>
      <c r="Z27">
        <v>1</v>
      </c>
      <c r="AA27">
        <v>1</v>
      </c>
      <c r="AC27" t="s">
        <v>48</v>
      </c>
      <c r="AD27">
        <v>0.375</v>
      </c>
      <c r="AF27" t="s">
        <v>43</v>
      </c>
      <c r="AG27">
        <v>3</v>
      </c>
    </row>
    <row r="28" spans="1:33" ht="15" customHeight="1" x14ac:dyDescent="0.2">
      <c r="A28" t="s">
        <v>44</v>
      </c>
      <c r="B28" t="s">
        <v>44</v>
      </c>
      <c r="H28" t="s">
        <v>60</v>
      </c>
      <c r="I28">
        <v>32.5</v>
      </c>
      <c r="J28">
        <v>0.46721311475409799</v>
      </c>
      <c r="K28">
        <v>10</v>
      </c>
      <c r="L28">
        <v>0</v>
      </c>
      <c r="M28">
        <v>10</v>
      </c>
      <c r="N28">
        <v>3.25</v>
      </c>
      <c r="P28" t="s">
        <v>63</v>
      </c>
      <c r="Q28">
        <v>18.5</v>
      </c>
      <c r="S28" t="s">
        <v>55</v>
      </c>
      <c r="T28">
        <v>3</v>
      </c>
      <c r="V28" t="s">
        <v>57</v>
      </c>
      <c r="W28">
        <v>0.44827586206896602</v>
      </c>
      <c r="Y28" t="s">
        <v>742</v>
      </c>
      <c r="Z28">
        <v>1</v>
      </c>
      <c r="AA28">
        <v>1</v>
      </c>
      <c r="AC28" t="s">
        <v>63</v>
      </c>
      <c r="AD28">
        <v>0.33333333333333298</v>
      </c>
      <c r="AF28" t="s">
        <v>64</v>
      </c>
      <c r="AG28">
        <v>2</v>
      </c>
    </row>
    <row r="29" spans="1:33" ht="15" customHeight="1" x14ac:dyDescent="0.2">
      <c r="H29" t="s">
        <v>61</v>
      </c>
      <c r="I29">
        <v>28</v>
      </c>
      <c r="J29">
        <v>0.5</v>
      </c>
      <c r="K29">
        <v>8</v>
      </c>
      <c r="L29">
        <v>0</v>
      </c>
      <c r="M29">
        <v>8</v>
      </c>
      <c r="N29">
        <v>3.5</v>
      </c>
      <c r="P29" t="s">
        <v>66</v>
      </c>
      <c r="Q29">
        <v>18.5</v>
      </c>
      <c r="S29" t="s">
        <v>56</v>
      </c>
      <c r="T29">
        <v>2.8333333333333299</v>
      </c>
      <c r="V29" t="s">
        <v>55</v>
      </c>
      <c r="W29">
        <v>0.44067796610169502</v>
      </c>
      <c r="Y29" t="s">
        <v>743</v>
      </c>
      <c r="Z29">
        <v>1</v>
      </c>
      <c r="AA29">
        <v>1</v>
      </c>
      <c r="AC29" t="s">
        <v>56</v>
      </c>
      <c r="AD29">
        <v>0.33333333333333298</v>
      </c>
      <c r="AF29" t="s">
        <v>47</v>
      </c>
      <c r="AG29">
        <v>2</v>
      </c>
    </row>
    <row r="30" spans="1:33" ht="15" customHeight="1" x14ac:dyDescent="0.2">
      <c r="A30" t="s">
        <v>687</v>
      </c>
      <c r="B30" t="s">
        <v>703</v>
      </c>
      <c r="C30" t="s">
        <v>704</v>
      </c>
      <c r="D30" t="s">
        <v>705</v>
      </c>
      <c r="E30" t="s">
        <v>706</v>
      </c>
      <c r="H30" t="s">
        <v>62</v>
      </c>
      <c r="I30">
        <v>28.5</v>
      </c>
      <c r="J30">
        <v>0.51020408163265296</v>
      </c>
      <c r="K30">
        <v>8</v>
      </c>
      <c r="L30">
        <v>0</v>
      </c>
      <c r="M30">
        <v>8</v>
      </c>
      <c r="N30">
        <v>3.5625</v>
      </c>
      <c r="P30" t="s">
        <v>57</v>
      </c>
      <c r="Q30">
        <v>13</v>
      </c>
      <c r="S30" t="s">
        <v>54</v>
      </c>
      <c r="T30">
        <v>2.7272727272727302</v>
      </c>
      <c r="V30" t="s">
        <v>46</v>
      </c>
      <c r="W30">
        <v>0.4296875</v>
      </c>
      <c r="Y30" t="s">
        <v>744</v>
      </c>
      <c r="Z30">
        <v>1</v>
      </c>
      <c r="AA30">
        <v>1</v>
      </c>
      <c r="AC30" t="s">
        <v>46</v>
      </c>
      <c r="AD30">
        <v>0.3</v>
      </c>
      <c r="AF30" t="s">
        <v>59</v>
      </c>
      <c r="AG30">
        <v>2</v>
      </c>
    </row>
    <row r="31" spans="1:33" ht="15" customHeight="1" x14ac:dyDescent="0.2">
      <c r="A31">
        <v>36.5</v>
      </c>
      <c r="B31">
        <v>29</v>
      </c>
      <c r="C31">
        <v>34</v>
      </c>
      <c r="D31">
        <v>8</v>
      </c>
      <c r="E31">
        <v>0.46478873239436602</v>
      </c>
      <c r="H31" t="s">
        <v>63</v>
      </c>
      <c r="I31">
        <v>18.5</v>
      </c>
      <c r="J31">
        <v>0.45945945945945998</v>
      </c>
      <c r="K31">
        <v>6</v>
      </c>
      <c r="L31">
        <v>0</v>
      </c>
      <c r="M31">
        <v>6</v>
      </c>
      <c r="N31">
        <v>3.0833333333333299</v>
      </c>
      <c r="P31" t="s">
        <v>69</v>
      </c>
      <c r="Q31">
        <v>9</v>
      </c>
      <c r="S31" t="s">
        <v>46</v>
      </c>
      <c r="T31">
        <v>2.66546762589928</v>
      </c>
      <c r="V31" t="s">
        <v>70</v>
      </c>
      <c r="W31">
        <v>0.42857142857142899</v>
      </c>
      <c r="Y31" t="s">
        <v>745</v>
      </c>
      <c r="Z31">
        <v>1</v>
      </c>
      <c r="AA31">
        <v>1</v>
      </c>
      <c r="AC31" t="s">
        <v>651</v>
      </c>
      <c r="AD31">
        <v>0.27272727272727298</v>
      </c>
      <c r="AF31" t="s">
        <v>62</v>
      </c>
      <c r="AG31">
        <v>2</v>
      </c>
    </row>
    <row r="32" spans="1:33" ht="15" customHeight="1" x14ac:dyDescent="0.2">
      <c r="H32" t="s">
        <v>67</v>
      </c>
      <c r="I32">
        <v>7</v>
      </c>
      <c r="J32">
        <v>0.38888888888888901</v>
      </c>
      <c r="K32">
        <v>3</v>
      </c>
      <c r="L32">
        <v>0.69230769230769196</v>
      </c>
      <c r="M32">
        <v>3.6923076923076898</v>
      </c>
      <c r="N32">
        <v>1.8958333333333299</v>
      </c>
      <c r="P32" t="s">
        <v>47</v>
      </c>
      <c r="Q32">
        <v>8.5</v>
      </c>
      <c r="S32" t="s">
        <v>57</v>
      </c>
      <c r="T32">
        <v>2.6</v>
      </c>
      <c r="V32" t="s">
        <v>651</v>
      </c>
      <c r="W32">
        <v>0.4</v>
      </c>
      <c r="Y32" t="s">
        <v>746</v>
      </c>
      <c r="Z32">
        <v>0.875</v>
      </c>
      <c r="AA32">
        <v>8</v>
      </c>
      <c r="AC32" t="s">
        <v>52</v>
      </c>
      <c r="AD32">
        <v>0.25</v>
      </c>
      <c r="AF32" t="s">
        <v>67</v>
      </c>
      <c r="AG32">
        <v>1</v>
      </c>
    </row>
    <row r="33" spans="1:33" ht="15" customHeight="1" x14ac:dyDescent="0.2">
      <c r="A33" t="s">
        <v>46</v>
      </c>
      <c r="B33" t="s">
        <v>46</v>
      </c>
      <c r="H33" t="s">
        <v>68</v>
      </c>
      <c r="I33">
        <v>2.5</v>
      </c>
      <c r="J33">
        <v>0.6</v>
      </c>
      <c r="K33">
        <v>0</v>
      </c>
      <c r="L33">
        <v>0.69230769230769196</v>
      </c>
      <c r="M33">
        <v>0.69230769230769196</v>
      </c>
      <c r="N33">
        <v>3.6111111111111098</v>
      </c>
      <c r="P33" t="s">
        <v>56</v>
      </c>
      <c r="Q33">
        <v>8.5</v>
      </c>
      <c r="S33" t="s">
        <v>651</v>
      </c>
      <c r="T33">
        <v>2.4545454545454599</v>
      </c>
      <c r="V33" t="s">
        <v>54</v>
      </c>
      <c r="W33">
        <v>0.39393939393939398</v>
      </c>
      <c r="Y33" t="s">
        <v>747</v>
      </c>
      <c r="Z33">
        <v>0.875</v>
      </c>
      <c r="AA33">
        <v>4</v>
      </c>
      <c r="AC33" t="s">
        <v>67</v>
      </c>
      <c r="AD33">
        <v>0.25</v>
      </c>
      <c r="AF33" t="s">
        <v>51</v>
      </c>
      <c r="AG33">
        <v>1</v>
      </c>
    </row>
    <row r="34" spans="1:33" ht="15" customHeight="1" x14ac:dyDescent="0.2">
      <c r="H34" t="s">
        <v>66</v>
      </c>
      <c r="I34">
        <v>18.5</v>
      </c>
      <c r="J34">
        <v>0.62</v>
      </c>
      <c r="K34">
        <v>4</v>
      </c>
      <c r="L34">
        <v>0</v>
      </c>
      <c r="M34">
        <v>4</v>
      </c>
      <c r="N34">
        <v>4.625</v>
      </c>
      <c r="P34" t="s">
        <v>67</v>
      </c>
      <c r="Q34">
        <v>7</v>
      </c>
      <c r="S34" t="s">
        <v>52</v>
      </c>
      <c r="T34">
        <v>2.2000000000000002</v>
      </c>
      <c r="V34" t="s">
        <v>67</v>
      </c>
      <c r="W34">
        <v>0.38888888888888901</v>
      </c>
      <c r="Y34" t="s">
        <v>748</v>
      </c>
      <c r="Z34">
        <v>0.875</v>
      </c>
      <c r="AA34">
        <v>4</v>
      </c>
      <c r="AC34" t="s">
        <v>47</v>
      </c>
      <c r="AD34">
        <v>0.25</v>
      </c>
      <c r="AF34" t="s">
        <v>69</v>
      </c>
      <c r="AG34">
        <v>1</v>
      </c>
    </row>
    <row r="35" spans="1:33" ht="15" customHeight="1" x14ac:dyDescent="0.2">
      <c r="A35" t="s">
        <v>687</v>
      </c>
      <c r="B35" t="s">
        <v>703</v>
      </c>
      <c r="C35" t="s">
        <v>704</v>
      </c>
      <c r="D35" t="s">
        <v>705</v>
      </c>
      <c r="E35" t="s">
        <v>706</v>
      </c>
      <c r="H35" t="s">
        <v>65</v>
      </c>
      <c r="I35">
        <v>2.5</v>
      </c>
      <c r="J35">
        <v>0.230769230769231</v>
      </c>
      <c r="K35">
        <v>2</v>
      </c>
      <c r="L35">
        <v>0</v>
      </c>
      <c r="M35">
        <v>2</v>
      </c>
      <c r="N35">
        <v>1.25</v>
      </c>
      <c r="P35" t="s">
        <v>70</v>
      </c>
      <c r="Q35">
        <v>4</v>
      </c>
      <c r="S35" t="s">
        <v>47</v>
      </c>
      <c r="T35">
        <v>2.125</v>
      </c>
      <c r="V35" t="s">
        <v>47</v>
      </c>
      <c r="W35">
        <v>0.35714285714285698</v>
      </c>
      <c r="Y35" t="s">
        <v>749</v>
      </c>
      <c r="Z35">
        <v>0.83333333333333304</v>
      </c>
      <c r="AA35">
        <v>6</v>
      </c>
      <c r="AC35" t="s">
        <v>57</v>
      </c>
      <c r="AD35">
        <v>0.2</v>
      </c>
      <c r="AF35" t="s">
        <v>70</v>
      </c>
      <c r="AG35">
        <v>1</v>
      </c>
    </row>
    <row r="36" spans="1:33" ht="15" customHeight="1" x14ac:dyDescent="0.2">
      <c r="A36">
        <v>28.5</v>
      </c>
      <c r="B36">
        <v>22</v>
      </c>
      <c r="C36">
        <v>31</v>
      </c>
      <c r="D36">
        <v>11</v>
      </c>
      <c r="E36">
        <v>0.4296875</v>
      </c>
      <c r="H36" t="s">
        <v>64</v>
      </c>
      <c r="I36">
        <v>20.5</v>
      </c>
      <c r="J36">
        <v>0.63793103448275901</v>
      </c>
      <c r="K36">
        <v>4</v>
      </c>
      <c r="L36">
        <v>0.69230769230769196</v>
      </c>
      <c r="M36">
        <v>4.6923076923076898</v>
      </c>
      <c r="N36">
        <v>4.3688524590163897</v>
      </c>
      <c r="P36" t="s">
        <v>65</v>
      </c>
      <c r="Q36">
        <v>2.5</v>
      </c>
      <c r="S36" t="s">
        <v>67</v>
      </c>
      <c r="T36">
        <v>1.8958333333333299</v>
      </c>
      <c r="V36" t="s">
        <v>52</v>
      </c>
      <c r="W36">
        <v>0.34745762711864397</v>
      </c>
      <c r="Y36" t="s">
        <v>750</v>
      </c>
      <c r="Z36">
        <v>0.83333333333333304</v>
      </c>
      <c r="AA36">
        <v>3</v>
      </c>
      <c r="AC36" t="s">
        <v>51</v>
      </c>
      <c r="AD36">
        <v>0</v>
      </c>
      <c r="AF36" t="s">
        <v>56</v>
      </c>
      <c r="AG36">
        <v>1</v>
      </c>
    </row>
    <row r="37" spans="1:33" ht="15" customHeight="1" x14ac:dyDescent="0.2">
      <c r="H37" t="s">
        <v>69</v>
      </c>
      <c r="I37">
        <v>9</v>
      </c>
      <c r="J37">
        <v>0.53846153846153799</v>
      </c>
      <c r="K37">
        <v>2</v>
      </c>
      <c r="L37">
        <v>0</v>
      </c>
      <c r="M37">
        <v>2</v>
      </c>
      <c r="N37">
        <v>4.5</v>
      </c>
      <c r="P37" t="s">
        <v>68</v>
      </c>
      <c r="Q37">
        <v>2.5</v>
      </c>
      <c r="S37" t="s">
        <v>51</v>
      </c>
      <c r="T37">
        <v>1.5</v>
      </c>
      <c r="V37" t="s">
        <v>51</v>
      </c>
      <c r="W37">
        <v>0.3</v>
      </c>
      <c r="Y37" t="s">
        <v>751</v>
      </c>
      <c r="Z37">
        <v>0.75</v>
      </c>
      <c r="AA37">
        <v>10</v>
      </c>
      <c r="AC37" t="s">
        <v>65</v>
      </c>
      <c r="AD37">
        <v>0</v>
      </c>
    </row>
    <row r="38" spans="1:33" ht="15" customHeight="1" x14ac:dyDescent="0.2">
      <c r="A38" t="s">
        <v>47</v>
      </c>
      <c r="B38" t="s">
        <v>47</v>
      </c>
      <c r="H38" t="s">
        <v>70</v>
      </c>
      <c r="I38">
        <v>4</v>
      </c>
      <c r="J38">
        <v>0.42857142857142899</v>
      </c>
      <c r="K38">
        <v>1</v>
      </c>
      <c r="L38">
        <v>0</v>
      </c>
      <c r="M38">
        <v>1</v>
      </c>
      <c r="N38">
        <v>4</v>
      </c>
      <c r="P38" t="s">
        <v>51</v>
      </c>
      <c r="Q38">
        <v>1.5</v>
      </c>
      <c r="S38" t="s">
        <v>65</v>
      </c>
      <c r="T38">
        <v>1.25</v>
      </c>
      <c r="V38" t="s">
        <v>65</v>
      </c>
      <c r="W38">
        <v>0.230769230769231</v>
      </c>
      <c r="Y38" t="s">
        <v>752</v>
      </c>
      <c r="Z38">
        <v>0.75</v>
      </c>
      <c r="AA38">
        <v>4</v>
      </c>
    </row>
    <row r="39" spans="1:33" ht="15" customHeight="1" x14ac:dyDescent="0.2">
      <c r="Y39" t="s">
        <v>753</v>
      </c>
      <c r="Z39">
        <v>0.75</v>
      </c>
      <c r="AA39">
        <v>2</v>
      </c>
    </row>
    <row r="40" spans="1:33" ht="15" customHeight="1" x14ac:dyDescent="0.2">
      <c r="A40" t="s">
        <v>687</v>
      </c>
      <c r="B40" t="s">
        <v>703</v>
      </c>
      <c r="C40" t="s">
        <v>704</v>
      </c>
      <c r="D40" t="s">
        <v>705</v>
      </c>
      <c r="E40" t="s">
        <v>706</v>
      </c>
      <c r="S40" t="s">
        <v>754</v>
      </c>
      <c r="Y40" t="s">
        <v>755</v>
      </c>
      <c r="Z40">
        <v>0.75</v>
      </c>
      <c r="AA40">
        <v>2</v>
      </c>
    </row>
    <row r="41" spans="1:33" ht="15" customHeight="1" x14ac:dyDescent="0.2">
      <c r="A41">
        <v>8.5</v>
      </c>
      <c r="B41">
        <v>6</v>
      </c>
      <c r="C41">
        <v>12</v>
      </c>
      <c r="D41">
        <v>3</v>
      </c>
      <c r="E41">
        <v>0.35714285714285698</v>
      </c>
      <c r="S41" t="s">
        <v>756</v>
      </c>
      <c r="Y41" t="s">
        <v>757</v>
      </c>
      <c r="Z41">
        <v>0.75</v>
      </c>
      <c r="AA41">
        <v>2</v>
      </c>
    </row>
    <row r="42" spans="1:33" ht="15" customHeight="1" x14ac:dyDescent="0.2">
      <c r="S42" t="s">
        <v>758</v>
      </c>
      <c r="Y42" t="s">
        <v>759</v>
      </c>
      <c r="Z42">
        <v>0.75</v>
      </c>
      <c r="AA42">
        <v>2</v>
      </c>
    </row>
    <row r="43" spans="1:33" ht="15" customHeight="1" x14ac:dyDescent="0.2">
      <c r="A43" t="s">
        <v>48</v>
      </c>
      <c r="B43" t="s">
        <v>48</v>
      </c>
      <c r="Y43" t="s">
        <v>760</v>
      </c>
      <c r="Z43">
        <v>0.75</v>
      </c>
      <c r="AA43">
        <v>2</v>
      </c>
    </row>
    <row r="44" spans="1:33" ht="15" customHeight="1" x14ac:dyDescent="0.2">
      <c r="Y44" t="s">
        <v>761</v>
      </c>
      <c r="Z44">
        <v>0.75</v>
      </c>
      <c r="AA44">
        <v>2</v>
      </c>
    </row>
    <row r="45" spans="1:33" ht="15" customHeight="1" x14ac:dyDescent="0.2">
      <c r="A45" t="s">
        <v>687</v>
      </c>
      <c r="B45" t="s">
        <v>703</v>
      </c>
      <c r="C45" t="s">
        <v>704</v>
      </c>
      <c r="D45" t="s">
        <v>705</v>
      </c>
      <c r="E45" t="s">
        <v>706</v>
      </c>
      <c r="Y45" t="s">
        <v>762</v>
      </c>
      <c r="Z45">
        <v>0.75</v>
      </c>
      <c r="AA45">
        <v>2</v>
      </c>
    </row>
    <row r="46" spans="1:33" ht="15" customHeight="1" x14ac:dyDescent="0.2">
      <c r="A46">
        <v>41</v>
      </c>
      <c r="B46">
        <v>35</v>
      </c>
      <c r="C46">
        <v>29</v>
      </c>
      <c r="D46">
        <v>7</v>
      </c>
      <c r="E46">
        <v>0.54225352112676095</v>
      </c>
      <c r="Y46" t="s">
        <v>763</v>
      </c>
      <c r="Z46">
        <v>0.75</v>
      </c>
      <c r="AA46">
        <v>2</v>
      </c>
    </row>
    <row r="47" spans="1:33" ht="15" customHeight="1" x14ac:dyDescent="0.2">
      <c r="Y47" t="s">
        <v>764</v>
      </c>
      <c r="Z47">
        <v>0.75</v>
      </c>
      <c r="AA47">
        <v>2</v>
      </c>
    </row>
    <row r="48" spans="1:33" ht="15" customHeight="1" x14ac:dyDescent="0.2">
      <c r="A48" t="s">
        <v>651</v>
      </c>
      <c r="B48" t="s">
        <v>651</v>
      </c>
      <c r="Y48" t="s">
        <v>765</v>
      </c>
      <c r="Z48">
        <v>0.75</v>
      </c>
      <c r="AA48">
        <v>2</v>
      </c>
    </row>
    <row r="49" spans="1:27" ht="15" customHeight="1" x14ac:dyDescent="0.2">
      <c r="Y49" t="s">
        <v>766</v>
      </c>
      <c r="Z49">
        <v>0.75</v>
      </c>
      <c r="AA49">
        <v>2</v>
      </c>
    </row>
    <row r="50" spans="1:27" ht="15" customHeight="1" x14ac:dyDescent="0.2">
      <c r="A50" t="s">
        <v>687</v>
      </c>
      <c r="B50" t="s">
        <v>703</v>
      </c>
      <c r="C50" t="s">
        <v>704</v>
      </c>
      <c r="D50" t="s">
        <v>705</v>
      </c>
      <c r="E50" t="s">
        <v>706</v>
      </c>
      <c r="Y50" t="s">
        <v>767</v>
      </c>
      <c r="Z50">
        <v>0.75</v>
      </c>
      <c r="AA50">
        <v>2</v>
      </c>
    </row>
    <row r="51" spans="1:27" ht="15" customHeight="1" x14ac:dyDescent="0.2">
      <c r="A51">
        <v>27</v>
      </c>
      <c r="B51">
        <v>23</v>
      </c>
      <c r="C51">
        <v>36</v>
      </c>
      <c r="D51">
        <v>6</v>
      </c>
      <c r="E51">
        <v>0.4</v>
      </c>
      <c r="Y51" t="s">
        <v>768</v>
      </c>
      <c r="Z51">
        <v>0.68181818181818199</v>
      </c>
      <c r="AA51">
        <v>11</v>
      </c>
    </row>
    <row r="52" spans="1:27" ht="15" customHeight="1" x14ac:dyDescent="0.2">
      <c r="Y52" t="s">
        <v>769</v>
      </c>
      <c r="Z52">
        <v>0.66666666666666696</v>
      </c>
      <c r="AA52">
        <v>6</v>
      </c>
    </row>
    <row r="53" spans="1:27" ht="15" customHeight="1" x14ac:dyDescent="0.2">
      <c r="A53" t="s">
        <v>50</v>
      </c>
      <c r="B53" t="s">
        <v>50</v>
      </c>
      <c r="Y53" t="s">
        <v>770</v>
      </c>
      <c r="Z53">
        <v>0.66666666666666696</v>
      </c>
      <c r="AA53">
        <v>3</v>
      </c>
    </row>
    <row r="54" spans="1:27" ht="15" customHeight="1" x14ac:dyDescent="0.2">
      <c r="Y54" t="s">
        <v>771</v>
      </c>
      <c r="Z54">
        <v>0.625</v>
      </c>
      <c r="AA54">
        <v>4</v>
      </c>
    </row>
    <row r="55" spans="1:27" ht="15" customHeight="1" x14ac:dyDescent="0.2">
      <c r="A55" t="s">
        <v>687</v>
      </c>
      <c r="B55" t="s">
        <v>703</v>
      </c>
      <c r="C55" t="s">
        <v>704</v>
      </c>
      <c r="D55" t="s">
        <v>705</v>
      </c>
      <c r="E55" t="s">
        <v>706</v>
      </c>
      <c r="Y55" t="s">
        <v>772</v>
      </c>
      <c r="Z55">
        <v>0.625</v>
      </c>
      <c r="AA55">
        <v>4</v>
      </c>
    </row>
    <row r="56" spans="1:27" ht="15" customHeight="1" x14ac:dyDescent="0.2">
      <c r="A56">
        <v>46</v>
      </c>
      <c r="B56">
        <v>38</v>
      </c>
      <c r="C56">
        <v>26</v>
      </c>
      <c r="D56">
        <v>7</v>
      </c>
      <c r="E56">
        <v>0.58450704225352101</v>
      </c>
      <c r="Y56" t="s">
        <v>773</v>
      </c>
      <c r="Z56">
        <v>0.625</v>
      </c>
      <c r="AA56">
        <v>4</v>
      </c>
    </row>
    <row r="57" spans="1:27" ht="15" customHeight="1" x14ac:dyDescent="0.2">
      <c r="Y57" t="s">
        <v>774</v>
      </c>
      <c r="Z57">
        <v>0.625</v>
      </c>
      <c r="AA57">
        <v>4</v>
      </c>
    </row>
    <row r="58" spans="1:27" ht="15" customHeight="1" x14ac:dyDescent="0.2">
      <c r="A58" t="s">
        <v>51</v>
      </c>
      <c r="B58" t="s">
        <v>51</v>
      </c>
      <c r="Y58" t="s">
        <v>775</v>
      </c>
      <c r="Z58">
        <v>0.625</v>
      </c>
      <c r="AA58">
        <v>4</v>
      </c>
    </row>
    <row r="59" spans="1:27" ht="15" customHeight="1" x14ac:dyDescent="0.2">
      <c r="Y59" t="s">
        <v>776</v>
      </c>
      <c r="Z59">
        <v>0.625</v>
      </c>
      <c r="AA59">
        <v>4</v>
      </c>
    </row>
    <row r="60" spans="1:27" ht="15" customHeight="1" x14ac:dyDescent="0.2">
      <c r="A60" t="s">
        <v>687</v>
      </c>
      <c r="B60" t="s">
        <v>703</v>
      </c>
      <c r="C60" t="s">
        <v>704</v>
      </c>
      <c r="D60" t="s">
        <v>705</v>
      </c>
      <c r="E60" t="s">
        <v>706</v>
      </c>
      <c r="Y60" t="s">
        <v>777</v>
      </c>
      <c r="Z60">
        <v>0.625</v>
      </c>
      <c r="AA60">
        <v>4</v>
      </c>
    </row>
    <row r="61" spans="1:27" ht="15" customHeight="1" x14ac:dyDescent="0.2">
      <c r="A61">
        <v>1.5</v>
      </c>
      <c r="B61">
        <v>1</v>
      </c>
      <c r="C61">
        <v>3</v>
      </c>
      <c r="D61">
        <v>1</v>
      </c>
      <c r="E61">
        <v>0.3</v>
      </c>
      <c r="Y61" t="s">
        <v>778</v>
      </c>
      <c r="Z61">
        <v>0.625</v>
      </c>
      <c r="AA61">
        <v>4</v>
      </c>
    </row>
    <row r="62" spans="1:27" ht="15" customHeight="1" x14ac:dyDescent="0.2">
      <c r="Y62" t="s">
        <v>779</v>
      </c>
      <c r="Z62">
        <v>0.625</v>
      </c>
      <c r="AA62">
        <v>4</v>
      </c>
    </row>
    <row r="63" spans="1:27" ht="15" customHeight="1" x14ac:dyDescent="0.2">
      <c r="A63" t="s">
        <v>52</v>
      </c>
      <c r="B63" t="s">
        <v>52</v>
      </c>
      <c r="Y63" t="s">
        <v>780</v>
      </c>
      <c r="Z63">
        <v>0.625</v>
      </c>
      <c r="AA63">
        <v>4</v>
      </c>
    </row>
    <row r="64" spans="1:27" ht="15" customHeight="1" x14ac:dyDescent="0.2">
      <c r="Y64" t="s">
        <v>781</v>
      </c>
      <c r="Z64">
        <v>0.625</v>
      </c>
      <c r="AA64">
        <v>4</v>
      </c>
    </row>
    <row r="65" spans="1:27" ht="15" customHeight="1" x14ac:dyDescent="0.2">
      <c r="A65" t="s">
        <v>687</v>
      </c>
      <c r="B65" t="s">
        <v>703</v>
      </c>
      <c r="C65" t="s">
        <v>704</v>
      </c>
      <c r="D65" t="s">
        <v>705</v>
      </c>
      <c r="E65" t="s">
        <v>706</v>
      </c>
      <c r="Y65" t="s">
        <v>782</v>
      </c>
      <c r="Z65">
        <v>0.625</v>
      </c>
      <c r="AA65">
        <v>4</v>
      </c>
    </row>
    <row r="66" spans="1:27" ht="15" customHeight="1" x14ac:dyDescent="0.2">
      <c r="A66">
        <v>22</v>
      </c>
      <c r="B66">
        <v>16</v>
      </c>
      <c r="C66">
        <v>34</v>
      </c>
      <c r="D66">
        <v>9</v>
      </c>
      <c r="E66">
        <v>0.34745762711864397</v>
      </c>
      <c r="Y66" t="s">
        <v>783</v>
      </c>
      <c r="Z66">
        <v>0.6</v>
      </c>
      <c r="AA66">
        <v>15</v>
      </c>
    </row>
    <row r="67" spans="1:27" ht="15" customHeight="1" x14ac:dyDescent="0.2">
      <c r="Y67" t="s">
        <v>784</v>
      </c>
      <c r="Z67">
        <v>0.58333333333333304</v>
      </c>
      <c r="AA67">
        <v>6</v>
      </c>
    </row>
    <row r="68" spans="1:27" ht="15" customHeight="1" x14ac:dyDescent="0.2">
      <c r="A68" t="s">
        <v>53</v>
      </c>
      <c r="B68" t="s">
        <v>53</v>
      </c>
      <c r="Y68" t="s">
        <v>785</v>
      </c>
      <c r="Z68">
        <v>0.58333333333333304</v>
      </c>
      <c r="AA68">
        <v>6</v>
      </c>
    </row>
    <row r="69" spans="1:27" ht="15" customHeight="1" x14ac:dyDescent="0.2">
      <c r="Y69" t="s">
        <v>786</v>
      </c>
      <c r="Z69">
        <v>0.58333333333333304</v>
      </c>
      <c r="AA69">
        <v>6</v>
      </c>
    </row>
    <row r="70" spans="1:27" ht="15" customHeight="1" x14ac:dyDescent="0.2">
      <c r="A70" t="s">
        <v>687</v>
      </c>
      <c r="B70" t="s">
        <v>703</v>
      </c>
      <c r="C70" t="s">
        <v>704</v>
      </c>
      <c r="D70" t="s">
        <v>705</v>
      </c>
      <c r="E70" t="s">
        <v>706</v>
      </c>
      <c r="Y70" t="s">
        <v>787</v>
      </c>
      <c r="Z70">
        <v>0.57142857142857095</v>
      </c>
      <c r="AA70">
        <v>7</v>
      </c>
    </row>
    <row r="71" spans="1:27" ht="15" customHeight="1" x14ac:dyDescent="0.2">
      <c r="A71">
        <v>42</v>
      </c>
      <c r="B71">
        <v>34</v>
      </c>
      <c r="C71">
        <v>24</v>
      </c>
      <c r="D71">
        <v>7</v>
      </c>
      <c r="E71">
        <v>0.57692307692307698</v>
      </c>
      <c r="Y71" t="s">
        <v>788</v>
      </c>
      <c r="Z71">
        <v>0.5</v>
      </c>
      <c r="AA71">
        <v>6</v>
      </c>
    </row>
    <row r="72" spans="1:27" ht="15" customHeight="1" x14ac:dyDescent="0.2">
      <c r="Y72" t="s">
        <v>789</v>
      </c>
      <c r="Z72">
        <v>0.5</v>
      </c>
      <c r="AA72">
        <v>6</v>
      </c>
    </row>
    <row r="73" spans="1:27" ht="15" customHeight="1" x14ac:dyDescent="0.2">
      <c r="A73" t="s">
        <v>54</v>
      </c>
      <c r="B73" t="s">
        <v>54</v>
      </c>
      <c r="Y73" t="s">
        <v>790</v>
      </c>
      <c r="Z73">
        <v>0.5</v>
      </c>
      <c r="AA73">
        <v>6</v>
      </c>
    </row>
    <row r="74" spans="1:27" ht="15" customHeight="1" x14ac:dyDescent="0.2">
      <c r="Y74" t="s">
        <v>791</v>
      </c>
      <c r="Z74">
        <v>0.5</v>
      </c>
      <c r="AA74">
        <v>6</v>
      </c>
    </row>
    <row r="75" spans="1:27" ht="15" customHeight="1" x14ac:dyDescent="0.2">
      <c r="A75" t="s">
        <v>687</v>
      </c>
      <c r="B75" t="s">
        <v>703</v>
      </c>
      <c r="C75" t="s">
        <v>704</v>
      </c>
      <c r="D75" t="s">
        <v>705</v>
      </c>
      <c r="E75" t="s">
        <v>706</v>
      </c>
      <c r="Y75" t="s">
        <v>792</v>
      </c>
      <c r="Z75">
        <v>0.5</v>
      </c>
      <c r="AA75">
        <v>4</v>
      </c>
    </row>
    <row r="76" spans="1:27" ht="15" customHeight="1" x14ac:dyDescent="0.2">
      <c r="A76">
        <v>30</v>
      </c>
      <c r="B76">
        <v>24</v>
      </c>
      <c r="C76">
        <v>38</v>
      </c>
      <c r="D76">
        <v>4</v>
      </c>
      <c r="E76">
        <v>0.39393939393939398</v>
      </c>
      <c r="Y76" t="s">
        <v>793</v>
      </c>
      <c r="Z76">
        <v>0.5</v>
      </c>
      <c r="AA76">
        <v>4</v>
      </c>
    </row>
    <row r="77" spans="1:27" ht="15" customHeight="1" x14ac:dyDescent="0.2">
      <c r="Y77" t="s">
        <v>794</v>
      </c>
      <c r="Z77">
        <v>0.5</v>
      </c>
      <c r="AA77">
        <v>4</v>
      </c>
    </row>
    <row r="78" spans="1:27" ht="15" customHeight="1" x14ac:dyDescent="0.2">
      <c r="A78" t="s">
        <v>55</v>
      </c>
      <c r="B78" t="s">
        <v>55</v>
      </c>
      <c r="Y78" t="s">
        <v>795</v>
      </c>
      <c r="Z78">
        <v>0.5</v>
      </c>
      <c r="AA78">
        <v>4</v>
      </c>
    </row>
    <row r="79" spans="1:27" ht="15" customHeight="1" x14ac:dyDescent="0.2">
      <c r="Y79" t="s">
        <v>796</v>
      </c>
      <c r="Z79">
        <v>0.5</v>
      </c>
      <c r="AA79">
        <v>4</v>
      </c>
    </row>
    <row r="80" spans="1:27" ht="15" customHeight="1" x14ac:dyDescent="0.2">
      <c r="A80" t="s">
        <v>687</v>
      </c>
      <c r="B80" t="s">
        <v>703</v>
      </c>
      <c r="C80" t="s">
        <v>704</v>
      </c>
      <c r="D80" t="s">
        <v>705</v>
      </c>
      <c r="E80" t="s">
        <v>706</v>
      </c>
      <c r="Y80" t="s">
        <v>797</v>
      </c>
      <c r="Z80">
        <v>0.5</v>
      </c>
      <c r="AA80">
        <v>4</v>
      </c>
    </row>
    <row r="81" spans="1:27" ht="15" customHeight="1" x14ac:dyDescent="0.2">
      <c r="A81">
        <v>30</v>
      </c>
      <c r="B81">
        <v>23</v>
      </c>
      <c r="C81">
        <v>30</v>
      </c>
      <c r="D81">
        <v>6</v>
      </c>
      <c r="E81">
        <v>0.44067796610169502</v>
      </c>
      <c r="Y81" t="s">
        <v>798</v>
      </c>
      <c r="Z81">
        <v>0.5</v>
      </c>
      <c r="AA81">
        <v>4</v>
      </c>
    </row>
    <row r="82" spans="1:27" ht="15" customHeight="1" x14ac:dyDescent="0.2">
      <c r="Y82" t="s">
        <v>799</v>
      </c>
      <c r="Z82">
        <v>0.5</v>
      </c>
      <c r="AA82">
        <v>2</v>
      </c>
    </row>
    <row r="83" spans="1:27" ht="15" customHeight="1" x14ac:dyDescent="0.2">
      <c r="A83" t="s">
        <v>56</v>
      </c>
      <c r="B83" t="s">
        <v>56</v>
      </c>
      <c r="Y83" t="s">
        <v>800</v>
      </c>
      <c r="Z83">
        <v>0.5</v>
      </c>
      <c r="AA83">
        <v>2</v>
      </c>
    </row>
    <row r="84" spans="1:27" ht="15" customHeight="1" x14ac:dyDescent="0.2">
      <c r="Y84" t="s">
        <v>801</v>
      </c>
      <c r="Z84">
        <v>0.5</v>
      </c>
      <c r="AA84">
        <v>2</v>
      </c>
    </row>
    <row r="85" spans="1:27" ht="15" customHeight="1" x14ac:dyDescent="0.2">
      <c r="A85" t="s">
        <v>687</v>
      </c>
      <c r="B85" t="s">
        <v>703</v>
      </c>
      <c r="C85" t="s">
        <v>704</v>
      </c>
      <c r="D85" t="s">
        <v>705</v>
      </c>
      <c r="E85" t="s">
        <v>706</v>
      </c>
      <c r="Y85" t="s">
        <v>802</v>
      </c>
      <c r="Z85">
        <v>0.5</v>
      </c>
      <c r="AA85">
        <v>2</v>
      </c>
    </row>
    <row r="86" spans="1:27" ht="15" customHeight="1" x14ac:dyDescent="0.2">
      <c r="A86">
        <v>8.5</v>
      </c>
      <c r="B86">
        <v>7</v>
      </c>
      <c r="C86">
        <v>7</v>
      </c>
      <c r="D86">
        <v>2</v>
      </c>
      <c r="E86">
        <v>0.5</v>
      </c>
      <c r="Y86" t="s">
        <v>803</v>
      </c>
      <c r="Z86">
        <v>0.5</v>
      </c>
      <c r="AA86">
        <v>2</v>
      </c>
    </row>
    <row r="87" spans="1:27" ht="15" customHeight="1" x14ac:dyDescent="0.2">
      <c r="Y87" t="s">
        <v>804</v>
      </c>
      <c r="Z87">
        <v>0.5</v>
      </c>
      <c r="AA87">
        <v>2</v>
      </c>
    </row>
    <row r="88" spans="1:27" ht="15" customHeight="1" x14ac:dyDescent="0.2">
      <c r="A88" t="s">
        <v>57</v>
      </c>
      <c r="B88" t="s">
        <v>57</v>
      </c>
      <c r="Y88" t="s">
        <v>805</v>
      </c>
      <c r="Z88">
        <v>0.5</v>
      </c>
      <c r="AA88">
        <v>2</v>
      </c>
    </row>
    <row r="89" spans="1:27" ht="15" customHeight="1" x14ac:dyDescent="0.2">
      <c r="Y89" t="s">
        <v>806</v>
      </c>
      <c r="Z89">
        <v>0.5</v>
      </c>
      <c r="AA89">
        <v>2</v>
      </c>
    </row>
    <row r="90" spans="1:27" ht="15" customHeight="1" x14ac:dyDescent="0.2">
      <c r="A90" t="s">
        <v>687</v>
      </c>
      <c r="B90" t="s">
        <v>703</v>
      </c>
      <c r="C90" t="s">
        <v>704</v>
      </c>
      <c r="D90" t="s">
        <v>705</v>
      </c>
      <c r="E90" t="s">
        <v>706</v>
      </c>
      <c r="Y90" t="s">
        <v>807</v>
      </c>
      <c r="Z90">
        <v>0.5</v>
      </c>
      <c r="AA90">
        <v>2</v>
      </c>
    </row>
    <row r="91" spans="1:27" ht="15" customHeight="1" x14ac:dyDescent="0.2">
      <c r="A91">
        <v>13</v>
      </c>
      <c r="B91">
        <v>11</v>
      </c>
      <c r="C91">
        <v>14</v>
      </c>
      <c r="D91">
        <v>4</v>
      </c>
      <c r="E91">
        <v>0.44827586206896602</v>
      </c>
      <c r="Y91" t="s">
        <v>808</v>
      </c>
      <c r="Z91">
        <v>0.5</v>
      </c>
      <c r="AA91">
        <v>2</v>
      </c>
    </row>
    <row r="92" spans="1:27" ht="15" customHeight="1" x14ac:dyDescent="0.2">
      <c r="Y92" t="s">
        <v>809</v>
      </c>
      <c r="Z92">
        <v>0.5</v>
      </c>
      <c r="AA92">
        <v>2</v>
      </c>
    </row>
    <row r="93" spans="1:27" ht="15" customHeight="1" x14ac:dyDescent="0.2">
      <c r="A93" t="s">
        <v>58</v>
      </c>
      <c r="B93" t="s">
        <v>58</v>
      </c>
      <c r="Y93" t="s">
        <v>810</v>
      </c>
      <c r="Z93">
        <v>0.5</v>
      </c>
      <c r="AA93">
        <v>2</v>
      </c>
    </row>
    <row r="94" spans="1:27" ht="15" customHeight="1" x14ac:dyDescent="0.2">
      <c r="Y94" t="s">
        <v>811</v>
      </c>
      <c r="Z94">
        <v>0.5</v>
      </c>
      <c r="AA94">
        <v>2</v>
      </c>
    </row>
    <row r="95" spans="1:27" ht="15" customHeight="1" x14ac:dyDescent="0.2">
      <c r="A95" t="s">
        <v>687</v>
      </c>
      <c r="B95" t="s">
        <v>703</v>
      </c>
      <c r="C95" t="s">
        <v>704</v>
      </c>
      <c r="D95" t="s">
        <v>705</v>
      </c>
      <c r="E95" t="s">
        <v>706</v>
      </c>
      <c r="Y95" t="s">
        <v>812</v>
      </c>
      <c r="Z95">
        <v>0.5</v>
      </c>
      <c r="AA95">
        <v>2</v>
      </c>
    </row>
    <row r="96" spans="1:27" ht="15" customHeight="1" x14ac:dyDescent="0.2">
      <c r="A96">
        <v>31</v>
      </c>
      <c r="B96">
        <v>24</v>
      </c>
      <c r="C96">
        <v>11</v>
      </c>
      <c r="D96">
        <v>7</v>
      </c>
      <c r="E96">
        <v>0.65476190476190499</v>
      </c>
      <c r="Y96" t="s">
        <v>813</v>
      </c>
      <c r="Z96">
        <v>0.5</v>
      </c>
      <c r="AA96">
        <v>2</v>
      </c>
    </row>
    <row r="97" spans="1:27" ht="15" customHeight="1" x14ac:dyDescent="0.2">
      <c r="Y97" t="s">
        <v>814</v>
      </c>
      <c r="Z97">
        <v>0.5</v>
      </c>
      <c r="AA97">
        <v>2</v>
      </c>
    </row>
    <row r="98" spans="1:27" ht="15" customHeight="1" x14ac:dyDescent="0.2">
      <c r="A98" t="s">
        <v>59</v>
      </c>
      <c r="B98" t="s">
        <v>59</v>
      </c>
      <c r="Y98" t="s">
        <v>815</v>
      </c>
      <c r="Z98">
        <v>0.5</v>
      </c>
      <c r="AA98">
        <v>2</v>
      </c>
    </row>
    <row r="99" spans="1:27" ht="15" customHeight="1" x14ac:dyDescent="0.2">
      <c r="Y99" t="s">
        <v>816</v>
      </c>
      <c r="Z99">
        <v>0.5</v>
      </c>
      <c r="AA99">
        <v>2</v>
      </c>
    </row>
    <row r="100" spans="1:27" ht="15" customHeight="1" x14ac:dyDescent="0.2">
      <c r="A100" t="s">
        <v>687</v>
      </c>
      <c r="B100" t="s">
        <v>703</v>
      </c>
      <c r="C100" t="s">
        <v>704</v>
      </c>
      <c r="D100" t="s">
        <v>705</v>
      </c>
      <c r="E100" t="s">
        <v>706</v>
      </c>
      <c r="Y100" t="s">
        <v>817</v>
      </c>
      <c r="Z100">
        <v>0.5</v>
      </c>
      <c r="AA100">
        <v>2</v>
      </c>
    </row>
    <row r="101" spans="1:27" ht="15" customHeight="1" x14ac:dyDescent="0.2">
      <c r="A101">
        <v>21</v>
      </c>
      <c r="B101">
        <v>16</v>
      </c>
      <c r="C101">
        <v>14</v>
      </c>
      <c r="D101">
        <v>6</v>
      </c>
      <c r="E101">
        <v>0.52777777777777801</v>
      </c>
      <c r="Y101" t="s">
        <v>818</v>
      </c>
      <c r="Z101">
        <v>0.5</v>
      </c>
      <c r="AA101">
        <v>2</v>
      </c>
    </row>
    <row r="102" spans="1:27" ht="15" customHeight="1" x14ac:dyDescent="0.2">
      <c r="Y102" t="s">
        <v>819</v>
      </c>
      <c r="Z102">
        <v>0.5</v>
      </c>
      <c r="AA102">
        <v>2</v>
      </c>
    </row>
    <row r="103" spans="1:27" ht="15" customHeight="1" x14ac:dyDescent="0.2">
      <c r="A103" t="s">
        <v>60</v>
      </c>
      <c r="B103" t="s">
        <v>60</v>
      </c>
      <c r="Y103" t="s">
        <v>820</v>
      </c>
      <c r="Z103">
        <v>0.5</v>
      </c>
      <c r="AA103">
        <v>2</v>
      </c>
    </row>
    <row r="104" spans="1:27" ht="15" customHeight="1" x14ac:dyDescent="0.2">
      <c r="Y104" t="s">
        <v>821</v>
      </c>
      <c r="Z104">
        <v>0.5</v>
      </c>
      <c r="AA104">
        <v>2</v>
      </c>
    </row>
    <row r="105" spans="1:27" ht="15" customHeight="1" x14ac:dyDescent="0.2">
      <c r="A105" t="s">
        <v>687</v>
      </c>
      <c r="B105" t="s">
        <v>703</v>
      </c>
      <c r="C105" t="s">
        <v>704</v>
      </c>
      <c r="D105" t="s">
        <v>705</v>
      </c>
      <c r="E105" t="s">
        <v>706</v>
      </c>
      <c r="Y105" t="s">
        <v>822</v>
      </c>
      <c r="Z105">
        <v>0.5</v>
      </c>
      <c r="AA105">
        <v>2</v>
      </c>
    </row>
    <row r="106" spans="1:27" ht="15" customHeight="1" x14ac:dyDescent="0.2">
      <c r="A106">
        <v>32.5</v>
      </c>
      <c r="B106">
        <v>25</v>
      </c>
      <c r="C106">
        <v>29</v>
      </c>
      <c r="D106">
        <v>7</v>
      </c>
      <c r="E106">
        <v>0.46721311475409799</v>
      </c>
      <c r="Y106" t="s">
        <v>823</v>
      </c>
      <c r="Z106">
        <v>0.5</v>
      </c>
      <c r="AA106">
        <v>2</v>
      </c>
    </row>
    <row r="107" spans="1:27" ht="15" customHeight="1" x14ac:dyDescent="0.2">
      <c r="Y107" t="s">
        <v>824</v>
      </c>
      <c r="Z107">
        <v>0.5</v>
      </c>
      <c r="AA107">
        <v>2</v>
      </c>
    </row>
    <row r="108" spans="1:27" ht="15" customHeight="1" x14ac:dyDescent="0.2">
      <c r="A108" t="s">
        <v>61</v>
      </c>
      <c r="B108" t="s">
        <v>61</v>
      </c>
      <c r="Y108" t="s">
        <v>825</v>
      </c>
      <c r="Z108">
        <v>0.5</v>
      </c>
      <c r="AA108">
        <v>2</v>
      </c>
    </row>
    <row r="109" spans="1:27" ht="15" customHeight="1" x14ac:dyDescent="0.2">
      <c r="Y109" t="s">
        <v>826</v>
      </c>
      <c r="Z109">
        <v>0.45833333333333298</v>
      </c>
      <c r="AA109">
        <v>12</v>
      </c>
    </row>
    <row r="110" spans="1:27" ht="15" customHeight="1" x14ac:dyDescent="0.2">
      <c r="A110" t="s">
        <v>687</v>
      </c>
      <c r="B110" t="s">
        <v>703</v>
      </c>
      <c r="C110" t="s">
        <v>704</v>
      </c>
      <c r="D110" t="s">
        <v>705</v>
      </c>
      <c r="E110" t="s">
        <v>706</v>
      </c>
      <c r="Y110" t="s">
        <v>827</v>
      </c>
      <c r="Z110">
        <v>0.41666666666666702</v>
      </c>
      <c r="AA110">
        <v>6</v>
      </c>
    </row>
    <row r="111" spans="1:27" ht="15" customHeight="1" x14ac:dyDescent="0.2">
      <c r="A111">
        <v>28</v>
      </c>
      <c r="B111">
        <v>21</v>
      </c>
      <c r="C111">
        <v>21</v>
      </c>
      <c r="D111">
        <v>6</v>
      </c>
      <c r="E111">
        <v>0.5</v>
      </c>
      <c r="Y111" t="s">
        <v>828</v>
      </c>
      <c r="Z111">
        <v>0.41666666666666702</v>
      </c>
      <c r="AA111">
        <v>6</v>
      </c>
    </row>
    <row r="112" spans="1:27" ht="15" customHeight="1" x14ac:dyDescent="0.2">
      <c r="Y112" t="s">
        <v>829</v>
      </c>
      <c r="Z112">
        <v>0.375</v>
      </c>
      <c r="AA112">
        <v>4</v>
      </c>
    </row>
    <row r="113" spans="1:27" ht="15" customHeight="1" x14ac:dyDescent="0.2">
      <c r="A113" t="s">
        <v>62</v>
      </c>
      <c r="B113" t="s">
        <v>62</v>
      </c>
      <c r="Y113" t="s">
        <v>830</v>
      </c>
      <c r="Z113">
        <v>0.375</v>
      </c>
      <c r="AA113">
        <v>4</v>
      </c>
    </row>
    <row r="114" spans="1:27" ht="15" customHeight="1" x14ac:dyDescent="0.2">
      <c r="Y114" t="s">
        <v>831</v>
      </c>
      <c r="Z114">
        <v>0.375</v>
      </c>
      <c r="AA114">
        <v>4</v>
      </c>
    </row>
    <row r="115" spans="1:27" ht="15" customHeight="1" x14ac:dyDescent="0.2">
      <c r="A115" t="s">
        <v>687</v>
      </c>
      <c r="B115" t="s">
        <v>703</v>
      </c>
      <c r="C115" t="s">
        <v>704</v>
      </c>
      <c r="D115" t="s">
        <v>705</v>
      </c>
      <c r="E115" t="s">
        <v>706</v>
      </c>
      <c r="Y115" t="s">
        <v>832</v>
      </c>
      <c r="Z115">
        <v>0.375</v>
      </c>
      <c r="AA115">
        <v>4</v>
      </c>
    </row>
    <row r="116" spans="1:27" ht="15" customHeight="1" x14ac:dyDescent="0.2">
      <c r="A116">
        <v>28.5</v>
      </c>
      <c r="B116">
        <v>22</v>
      </c>
      <c r="C116">
        <v>21</v>
      </c>
      <c r="D116">
        <v>6</v>
      </c>
      <c r="E116">
        <v>0.51020408163265296</v>
      </c>
      <c r="Y116" t="s">
        <v>833</v>
      </c>
      <c r="Z116">
        <v>0.33333333333333298</v>
      </c>
      <c r="AA116">
        <v>6</v>
      </c>
    </row>
    <row r="117" spans="1:27" ht="15" customHeight="1" x14ac:dyDescent="0.2">
      <c r="Y117" t="s">
        <v>834</v>
      </c>
      <c r="Z117">
        <v>0.33333333333333298</v>
      </c>
      <c r="AA117">
        <v>6</v>
      </c>
    </row>
    <row r="118" spans="1:27" ht="15" customHeight="1" x14ac:dyDescent="0.2">
      <c r="A118" t="s">
        <v>63</v>
      </c>
      <c r="B118" t="s">
        <v>63</v>
      </c>
      <c r="Y118" t="s">
        <v>835</v>
      </c>
      <c r="Z118">
        <v>0.33333333333333298</v>
      </c>
      <c r="AA118">
        <v>3</v>
      </c>
    </row>
    <row r="119" spans="1:27" ht="15" customHeight="1" x14ac:dyDescent="0.2">
      <c r="Y119" t="s">
        <v>836</v>
      </c>
      <c r="Z119">
        <v>0.33333333333333298</v>
      </c>
      <c r="AA119">
        <v>3</v>
      </c>
    </row>
    <row r="120" spans="1:27" ht="15" customHeight="1" x14ac:dyDescent="0.2">
      <c r="A120" t="s">
        <v>687</v>
      </c>
      <c r="B120" t="s">
        <v>703</v>
      </c>
      <c r="C120" t="s">
        <v>704</v>
      </c>
      <c r="D120" t="s">
        <v>705</v>
      </c>
      <c r="E120" t="s">
        <v>706</v>
      </c>
      <c r="Y120" t="s">
        <v>837</v>
      </c>
      <c r="Z120">
        <v>0.25</v>
      </c>
      <c r="AA120">
        <v>4</v>
      </c>
    </row>
    <row r="121" spans="1:27" ht="15" customHeight="1" x14ac:dyDescent="0.2">
      <c r="A121">
        <v>18.5</v>
      </c>
      <c r="B121">
        <v>14</v>
      </c>
      <c r="C121">
        <v>17</v>
      </c>
      <c r="D121">
        <v>6</v>
      </c>
      <c r="E121">
        <v>0.45945945945945998</v>
      </c>
      <c r="Y121" t="s">
        <v>838</v>
      </c>
      <c r="Z121">
        <v>0.25</v>
      </c>
      <c r="AA121">
        <v>4</v>
      </c>
    </row>
    <row r="122" spans="1:27" ht="15" customHeight="1" x14ac:dyDescent="0.2">
      <c r="Y122" t="s">
        <v>839</v>
      </c>
      <c r="Z122">
        <v>0.25</v>
      </c>
      <c r="AA122">
        <v>4</v>
      </c>
    </row>
    <row r="123" spans="1:27" ht="15" customHeight="1" x14ac:dyDescent="0.2">
      <c r="A123" t="s">
        <v>65</v>
      </c>
      <c r="B123" t="s">
        <v>65</v>
      </c>
      <c r="Y123" t="s">
        <v>840</v>
      </c>
      <c r="Z123">
        <v>0.25</v>
      </c>
      <c r="AA123">
        <v>2</v>
      </c>
    </row>
    <row r="124" spans="1:27" ht="15" customHeight="1" x14ac:dyDescent="0.2">
      <c r="Y124" t="s">
        <v>841</v>
      </c>
      <c r="Z124">
        <v>0.25</v>
      </c>
      <c r="AA124">
        <v>2</v>
      </c>
    </row>
    <row r="125" spans="1:27" ht="15" customHeight="1" x14ac:dyDescent="0.2">
      <c r="A125" t="s">
        <v>687</v>
      </c>
      <c r="B125" t="s">
        <v>703</v>
      </c>
      <c r="C125" t="s">
        <v>704</v>
      </c>
      <c r="D125" t="s">
        <v>705</v>
      </c>
      <c r="E125" t="s">
        <v>706</v>
      </c>
      <c r="Y125" t="s">
        <v>842</v>
      </c>
      <c r="Z125">
        <v>0.25</v>
      </c>
      <c r="AA125">
        <v>2</v>
      </c>
    </row>
    <row r="126" spans="1:27" ht="15" customHeight="1" x14ac:dyDescent="0.2">
      <c r="A126">
        <v>2.5</v>
      </c>
      <c r="B126">
        <v>2</v>
      </c>
      <c r="C126">
        <v>9</v>
      </c>
      <c r="D126">
        <v>2</v>
      </c>
      <c r="E126">
        <v>0.230769230769231</v>
      </c>
      <c r="Y126" t="s">
        <v>843</v>
      </c>
      <c r="Z126">
        <v>0.25</v>
      </c>
      <c r="AA126">
        <v>2</v>
      </c>
    </row>
    <row r="127" spans="1:27" ht="15" customHeight="1" x14ac:dyDescent="0.2">
      <c r="Y127" t="s">
        <v>844</v>
      </c>
      <c r="Z127">
        <v>0.25</v>
      </c>
      <c r="AA127">
        <v>2</v>
      </c>
    </row>
    <row r="128" spans="1:27" ht="15" customHeight="1" x14ac:dyDescent="0.2">
      <c r="A128" t="s">
        <v>66</v>
      </c>
      <c r="B128" t="s">
        <v>66</v>
      </c>
      <c r="Y128" t="s">
        <v>845</v>
      </c>
      <c r="Z128">
        <v>0.25</v>
      </c>
      <c r="AA128">
        <v>2</v>
      </c>
    </row>
    <row r="129" spans="1:27" ht="15" customHeight="1" x14ac:dyDescent="0.2">
      <c r="Y129" t="s">
        <v>846</v>
      </c>
      <c r="Z129">
        <v>0.25</v>
      </c>
      <c r="AA129">
        <v>2</v>
      </c>
    </row>
    <row r="130" spans="1:27" ht="15" customHeight="1" x14ac:dyDescent="0.2">
      <c r="A130" t="s">
        <v>687</v>
      </c>
      <c r="B130" t="s">
        <v>703</v>
      </c>
      <c r="C130" t="s">
        <v>704</v>
      </c>
      <c r="D130" t="s">
        <v>705</v>
      </c>
      <c r="E130" t="s">
        <v>706</v>
      </c>
      <c r="Y130" t="s">
        <v>847</v>
      </c>
      <c r="Z130">
        <v>0.25</v>
      </c>
      <c r="AA130">
        <v>2</v>
      </c>
    </row>
    <row r="131" spans="1:27" ht="15" customHeight="1" x14ac:dyDescent="0.2">
      <c r="A131">
        <v>18.5</v>
      </c>
      <c r="B131">
        <v>14</v>
      </c>
      <c r="C131">
        <v>8</v>
      </c>
      <c r="D131">
        <v>3</v>
      </c>
      <c r="E131">
        <v>0.62</v>
      </c>
      <c r="Y131" t="s">
        <v>848</v>
      </c>
      <c r="Z131">
        <v>0.25</v>
      </c>
      <c r="AA131">
        <v>2</v>
      </c>
    </row>
    <row r="132" spans="1:27" ht="15" customHeight="1" x14ac:dyDescent="0.2">
      <c r="Y132" t="s">
        <v>849</v>
      </c>
      <c r="Z132">
        <v>0.25</v>
      </c>
      <c r="AA132">
        <v>2</v>
      </c>
    </row>
    <row r="133" spans="1:27" ht="15" customHeight="1" x14ac:dyDescent="0.2">
      <c r="A133" t="s">
        <v>67</v>
      </c>
      <c r="B133" t="s">
        <v>67</v>
      </c>
      <c r="Y133" t="s">
        <v>850</v>
      </c>
      <c r="Z133">
        <v>0.25</v>
      </c>
      <c r="AA133">
        <v>2</v>
      </c>
    </row>
    <row r="134" spans="1:27" ht="15" customHeight="1" x14ac:dyDescent="0.2">
      <c r="Y134" t="s">
        <v>851</v>
      </c>
      <c r="Z134">
        <v>0.25</v>
      </c>
      <c r="AA134">
        <v>2</v>
      </c>
    </row>
    <row r="135" spans="1:27" ht="15" customHeight="1" x14ac:dyDescent="0.2">
      <c r="A135" t="s">
        <v>687</v>
      </c>
      <c r="B135" t="s">
        <v>703</v>
      </c>
      <c r="C135" t="s">
        <v>704</v>
      </c>
      <c r="D135" t="s">
        <v>705</v>
      </c>
      <c r="E135" t="s">
        <v>706</v>
      </c>
      <c r="Y135" t="s">
        <v>852</v>
      </c>
      <c r="Z135">
        <v>0.25</v>
      </c>
      <c r="AA135">
        <v>2</v>
      </c>
    </row>
    <row r="136" spans="1:27" ht="15" customHeight="1" x14ac:dyDescent="0.2">
      <c r="A136">
        <v>7</v>
      </c>
      <c r="B136">
        <v>5</v>
      </c>
      <c r="C136">
        <v>9</v>
      </c>
      <c r="D136">
        <v>4</v>
      </c>
      <c r="E136">
        <v>0.38888888888888901</v>
      </c>
      <c r="Y136" t="s">
        <v>853</v>
      </c>
      <c r="Z136">
        <v>0.25</v>
      </c>
      <c r="AA136">
        <v>2</v>
      </c>
    </row>
    <row r="137" spans="1:27" ht="15" customHeight="1" x14ac:dyDescent="0.2">
      <c r="Y137" t="s">
        <v>854</v>
      </c>
      <c r="Z137">
        <v>0.2</v>
      </c>
      <c r="AA137">
        <v>5</v>
      </c>
    </row>
    <row r="138" spans="1:27" ht="15" customHeight="1" x14ac:dyDescent="0.2">
      <c r="A138" t="s">
        <v>68</v>
      </c>
      <c r="B138" t="s">
        <v>68</v>
      </c>
      <c r="Y138" t="s">
        <v>855</v>
      </c>
      <c r="Z138">
        <v>0.16666666666666699</v>
      </c>
      <c r="AA138">
        <v>6</v>
      </c>
    </row>
    <row r="139" spans="1:27" ht="15" customHeight="1" x14ac:dyDescent="0.2">
      <c r="Y139" t="s">
        <v>856</v>
      </c>
      <c r="Z139">
        <v>0.16666666666666699</v>
      </c>
      <c r="AA139">
        <v>3</v>
      </c>
    </row>
    <row r="140" spans="1:27" ht="15" customHeight="1" x14ac:dyDescent="0.2">
      <c r="A140" t="s">
        <v>687</v>
      </c>
      <c r="B140" t="s">
        <v>703</v>
      </c>
      <c r="C140" t="s">
        <v>704</v>
      </c>
      <c r="D140" t="s">
        <v>705</v>
      </c>
      <c r="E140" t="s">
        <v>706</v>
      </c>
      <c r="Y140" t="s">
        <v>857</v>
      </c>
      <c r="Z140">
        <v>0</v>
      </c>
      <c r="AA140">
        <v>4</v>
      </c>
    </row>
    <row r="141" spans="1:27" ht="15" customHeight="1" x14ac:dyDescent="0.2">
      <c r="A141">
        <v>2.5</v>
      </c>
      <c r="B141">
        <v>3</v>
      </c>
      <c r="C141">
        <v>2</v>
      </c>
      <c r="D141">
        <v>0</v>
      </c>
      <c r="E141">
        <v>0.6</v>
      </c>
      <c r="Y141" t="s">
        <v>858</v>
      </c>
      <c r="Z141">
        <v>0</v>
      </c>
      <c r="AA141">
        <v>4</v>
      </c>
    </row>
    <row r="142" spans="1:27" ht="15" customHeight="1" x14ac:dyDescent="0.2">
      <c r="Y142" t="s">
        <v>859</v>
      </c>
      <c r="Z142">
        <v>0</v>
      </c>
      <c r="AA142">
        <v>3</v>
      </c>
    </row>
    <row r="143" spans="1:27" ht="15" customHeight="1" x14ac:dyDescent="0.2">
      <c r="A143" t="s">
        <v>64</v>
      </c>
      <c r="B143" t="s">
        <v>64</v>
      </c>
      <c r="Y143" t="s">
        <v>860</v>
      </c>
      <c r="Z143">
        <v>0</v>
      </c>
      <c r="AA143">
        <v>2</v>
      </c>
    </row>
    <row r="144" spans="1:27" ht="15" customHeight="1" x14ac:dyDescent="0.2">
      <c r="Y144" t="s">
        <v>861</v>
      </c>
      <c r="Z144">
        <v>0</v>
      </c>
      <c r="AA144">
        <v>2</v>
      </c>
    </row>
    <row r="145" spans="1:27" ht="15" customHeight="1" x14ac:dyDescent="0.2">
      <c r="A145" t="s">
        <v>687</v>
      </c>
      <c r="B145" t="s">
        <v>703</v>
      </c>
      <c r="C145" t="s">
        <v>704</v>
      </c>
      <c r="D145" t="s">
        <v>705</v>
      </c>
      <c r="E145" t="s">
        <v>706</v>
      </c>
      <c r="Y145" t="s">
        <v>862</v>
      </c>
      <c r="Z145">
        <v>0</v>
      </c>
      <c r="AA145">
        <v>2</v>
      </c>
    </row>
    <row r="146" spans="1:27" ht="15" customHeight="1" x14ac:dyDescent="0.2">
      <c r="A146">
        <v>20.5</v>
      </c>
      <c r="B146">
        <v>17</v>
      </c>
      <c r="C146">
        <v>9</v>
      </c>
      <c r="D146">
        <v>3</v>
      </c>
      <c r="E146">
        <v>0.63793103448275901</v>
      </c>
      <c r="Y146" t="s">
        <v>863</v>
      </c>
      <c r="Z146">
        <v>0</v>
      </c>
      <c r="AA146">
        <v>2</v>
      </c>
    </row>
    <row r="147" spans="1:27" ht="15" customHeight="1" x14ac:dyDescent="0.2">
      <c r="Y147" t="s">
        <v>864</v>
      </c>
      <c r="Z147">
        <v>0</v>
      </c>
      <c r="AA147">
        <v>2</v>
      </c>
    </row>
    <row r="148" spans="1:27" ht="15" customHeight="1" x14ac:dyDescent="0.2">
      <c r="A148" t="s">
        <v>69</v>
      </c>
      <c r="B148" t="s">
        <v>69</v>
      </c>
      <c r="Y148" t="s">
        <v>865</v>
      </c>
      <c r="Z148">
        <v>0</v>
      </c>
      <c r="AA148">
        <v>2</v>
      </c>
    </row>
    <row r="149" spans="1:27" ht="15" customHeight="1" x14ac:dyDescent="0.2">
      <c r="Y149" t="s">
        <v>866</v>
      </c>
      <c r="Z149">
        <v>0</v>
      </c>
      <c r="AA149">
        <v>2</v>
      </c>
    </row>
    <row r="150" spans="1:27" ht="15" customHeight="1" x14ac:dyDescent="0.2">
      <c r="A150" t="s">
        <v>687</v>
      </c>
      <c r="B150" t="s">
        <v>703</v>
      </c>
      <c r="C150" t="s">
        <v>704</v>
      </c>
      <c r="D150" t="s">
        <v>705</v>
      </c>
      <c r="E150" t="s">
        <v>706</v>
      </c>
      <c r="Y150" t="s">
        <v>867</v>
      </c>
      <c r="Z150">
        <v>0</v>
      </c>
      <c r="AA150">
        <v>2</v>
      </c>
    </row>
    <row r="151" spans="1:27" ht="15" customHeight="1" x14ac:dyDescent="0.2">
      <c r="A151">
        <v>9</v>
      </c>
      <c r="B151">
        <v>6</v>
      </c>
      <c r="C151">
        <v>5</v>
      </c>
      <c r="D151">
        <v>2</v>
      </c>
      <c r="E151">
        <v>0.53846153846153799</v>
      </c>
      <c r="Y151" t="s">
        <v>868</v>
      </c>
      <c r="Z151">
        <v>0</v>
      </c>
      <c r="AA151">
        <v>2</v>
      </c>
    </row>
    <row r="152" spans="1:27" ht="15" customHeight="1" x14ac:dyDescent="0.2">
      <c r="Y152" t="s">
        <v>869</v>
      </c>
      <c r="Z152">
        <v>0</v>
      </c>
      <c r="AA152">
        <v>2</v>
      </c>
    </row>
    <row r="153" spans="1:27" ht="15" customHeight="1" x14ac:dyDescent="0.2">
      <c r="A153" t="s">
        <v>70</v>
      </c>
      <c r="B153" t="s">
        <v>70</v>
      </c>
      <c r="Y153" t="s">
        <v>870</v>
      </c>
      <c r="Z153">
        <v>0</v>
      </c>
      <c r="AA153">
        <v>2</v>
      </c>
    </row>
    <row r="154" spans="1:27" ht="15" customHeight="1" x14ac:dyDescent="0.2">
      <c r="Y154" t="s">
        <v>871</v>
      </c>
      <c r="Z154">
        <v>0</v>
      </c>
      <c r="AA154">
        <v>2</v>
      </c>
    </row>
    <row r="155" spans="1:27" ht="15" customHeight="1" x14ac:dyDescent="0.2">
      <c r="A155" t="s">
        <v>687</v>
      </c>
      <c r="B155" t="s">
        <v>703</v>
      </c>
      <c r="C155" t="s">
        <v>704</v>
      </c>
      <c r="D155" t="s">
        <v>705</v>
      </c>
      <c r="E155" t="s">
        <v>706</v>
      </c>
      <c r="Y155" t="s">
        <v>872</v>
      </c>
      <c r="Z155">
        <v>0</v>
      </c>
      <c r="AA155">
        <v>2</v>
      </c>
    </row>
    <row r="156" spans="1:27" ht="15" customHeight="1" x14ac:dyDescent="0.2">
      <c r="A156">
        <v>4</v>
      </c>
      <c r="B156">
        <v>2</v>
      </c>
      <c r="C156">
        <v>3</v>
      </c>
      <c r="D156">
        <v>2</v>
      </c>
      <c r="E156">
        <v>0.42857142857142899</v>
      </c>
      <c r="Y156" t="s">
        <v>873</v>
      </c>
      <c r="Z156">
        <v>0</v>
      </c>
      <c r="AA156">
        <v>2</v>
      </c>
    </row>
    <row r="157" spans="1:27" ht="15" customHeight="1" x14ac:dyDescent="0.2">
      <c r="Y157" t="s">
        <v>874</v>
      </c>
      <c r="Z157">
        <v>0</v>
      </c>
      <c r="AA157">
        <v>2</v>
      </c>
    </row>
    <row r="158" spans="1:27" ht="15" customHeight="1" x14ac:dyDescent="0.2">
      <c r="Y158" t="s">
        <v>875</v>
      </c>
      <c r="Z158">
        <v>0</v>
      </c>
      <c r="AA158">
        <v>2</v>
      </c>
    </row>
    <row r="159" spans="1:27" ht="15" customHeight="1" x14ac:dyDescent="0.2">
      <c r="Y159" t="s">
        <v>876</v>
      </c>
      <c r="Z159">
        <v>0</v>
      </c>
      <c r="AA159">
        <v>2</v>
      </c>
    </row>
    <row r="160" spans="1:27" ht="15" customHeight="1" x14ac:dyDescent="0.2">
      <c r="Y160" t="s">
        <v>877</v>
      </c>
      <c r="Z160">
        <v>0</v>
      </c>
      <c r="AA160">
        <v>2</v>
      </c>
    </row>
    <row r="161" spans="25:27" ht="15" customHeight="1" x14ac:dyDescent="0.2">
      <c r="Y161" t="s">
        <v>878</v>
      </c>
      <c r="Z161">
        <v>0</v>
      </c>
      <c r="AA161">
        <v>2</v>
      </c>
    </row>
    <row r="162" spans="25:27" ht="15" customHeight="1" x14ac:dyDescent="0.2">
      <c r="Y162" t="s">
        <v>879</v>
      </c>
      <c r="Z162">
        <v>0</v>
      </c>
      <c r="AA162">
        <v>2</v>
      </c>
    </row>
    <row r="163" spans="25:27" ht="15" customHeight="1" x14ac:dyDescent="0.2">
      <c r="Y163" t="s">
        <v>880</v>
      </c>
      <c r="Z163">
        <v>0</v>
      </c>
      <c r="AA163">
        <v>2</v>
      </c>
    </row>
    <row r="164" spans="25:27" ht="15" customHeight="1" x14ac:dyDescent="0.2">
      <c r="Y164" t="s">
        <v>881</v>
      </c>
      <c r="Z164">
        <v>0</v>
      </c>
      <c r="AA164">
        <v>2</v>
      </c>
    </row>
    <row r="165" spans="25:27" ht="15" customHeight="1" x14ac:dyDescent="0.2">
      <c r="Y165" t="s">
        <v>882</v>
      </c>
      <c r="Z165">
        <v>0</v>
      </c>
      <c r="AA165">
        <v>2</v>
      </c>
    </row>
    <row r="166" spans="25:27" ht="15" customHeight="1" x14ac:dyDescent="0.2">
      <c r="Y166" t="s">
        <v>883</v>
      </c>
      <c r="Z166">
        <v>0</v>
      </c>
      <c r="AA166">
        <v>1</v>
      </c>
    </row>
    <row r="167" spans="25:27" ht="15" customHeight="1" x14ac:dyDescent="0.2">
      <c r="Y167" t="s">
        <v>884</v>
      </c>
      <c r="Z167">
        <v>0</v>
      </c>
      <c r="AA167">
        <v>1</v>
      </c>
    </row>
    <row r="168" spans="25:27" ht="15" customHeight="1" x14ac:dyDescent="0.2">
      <c r="Y168" t="s">
        <v>885</v>
      </c>
      <c r="Z168">
        <v>0</v>
      </c>
      <c r="AA168">
        <v>1</v>
      </c>
    </row>
    <row r="169" spans="25:27" ht="15" customHeight="1" x14ac:dyDescent="0.2">
      <c r="Y169" t="s">
        <v>886</v>
      </c>
      <c r="Z169">
        <v>0</v>
      </c>
      <c r="AA169">
        <v>1</v>
      </c>
    </row>
    <row r="170" spans="25:27" ht="15" customHeight="1" x14ac:dyDescent="0.2">
      <c r="Y170" t="s">
        <v>887</v>
      </c>
      <c r="Z170">
        <v>0</v>
      </c>
      <c r="AA170">
        <v>1</v>
      </c>
    </row>
    <row r="171" spans="25:27" ht="15" customHeight="1" x14ac:dyDescent="0.2">
      <c r="Y171" t="s">
        <v>888</v>
      </c>
      <c r="Z171">
        <v>0</v>
      </c>
      <c r="AA171">
        <v>1</v>
      </c>
    </row>
    <row r="172" spans="25:27" ht="15" customHeight="1" x14ac:dyDescent="0.2">
      <c r="Y172" t="s">
        <v>889</v>
      </c>
      <c r="Z172">
        <v>0</v>
      </c>
      <c r="AA172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37"/>
  <sheetViews>
    <sheetView zoomScaleNormal="100" workbookViewId="0"/>
  </sheetViews>
  <sheetFormatPr baseColWidth="10" defaultColWidth="8.83203125" defaultRowHeight="15" x14ac:dyDescent="0.2"/>
  <sheetData>
    <row r="1" spans="1:34" ht="15" customHeight="1" x14ac:dyDescent="0.2">
      <c r="A1" s="3" t="s">
        <v>0</v>
      </c>
      <c r="B1" s="3" t="s">
        <v>652</v>
      </c>
      <c r="C1" s="3" t="s">
        <v>653</v>
      </c>
      <c r="D1" s="3" t="s">
        <v>654</v>
      </c>
      <c r="E1" s="3" t="s">
        <v>655</v>
      </c>
      <c r="F1" s="3" t="s">
        <v>656</v>
      </c>
      <c r="G1" s="3" t="s">
        <v>657</v>
      </c>
      <c r="H1" s="3" t="s">
        <v>658</v>
      </c>
      <c r="I1" s="3" t="s">
        <v>659</v>
      </c>
      <c r="J1" s="3" t="s">
        <v>660</v>
      </c>
      <c r="K1" s="3" t="s">
        <v>661</v>
      </c>
      <c r="L1" s="3" t="s">
        <v>662</v>
      </c>
      <c r="M1" s="3" t="s">
        <v>663</v>
      </c>
      <c r="N1" s="3" t="s">
        <v>664</v>
      </c>
      <c r="O1" s="3" t="s">
        <v>665</v>
      </c>
      <c r="P1" s="3" t="s">
        <v>666</v>
      </c>
      <c r="Q1" s="3" t="s">
        <v>667</v>
      </c>
      <c r="R1" s="3" t="s">
        <v>668</v>
      </c>
      <c r="S1" s="3" t="s">
        <v>669</v>
      </c>
      <c r="T1" s="3" t="s">
        <v>689</v>
      </c>
      <c r="U1" s="3" t="s">
        <v>690</v>
      </c>
      <c r="V1" s="3" t="s">
        <v>691</v>
      </c>
      <c r="W1" s="3" t="s">
        <v>692</v>
      </c>
      <c r="X1" s="3" t="s">
        <v>693</v>
      </c>
      <c r="Y1" s="3" t="s">
        <v>694</v>
      </c>
      <c r="Z1" s="3" t="s">
        <v>695</v>
      </c>
      <c r="AA1" s="3" t="s">
        <v>696</v>
      </c>
      <c r="AB1" s="3" t="s">
        <v>697</v>
      </c>
      <c r="AC1" s="3" t="s">
        <v>698</v>
      </c>
      <c r="AD1" s="3" t="s">
        <v>699</v>
      </c>
      <c r="AE1" s="3" t="s">
        <v>700</v>
      </c>
      <c r="AF1" s="3" t="s">
        <v>701</v>
      </c>
      <c r="AG1" s="3" t="s">
        <v>702</v>
      </c>
    </row>
    <row r="3" spans="1:34" ht="15" customHeight="1" x14ac:dyDescent="0.2">
      <c r="C3" t="s">
        <v>27</v>
      </c>
      <c r="D3" t="s">
        <v>890</v>
      </c>
    </row>
    <row r="4" spans="1:34" ht="15" customHeight="1" x14ac:dyDescent="0.2">
      <c r="C4" t="s">
        <v>891</v>
      </c>
    </row>
    <row r="5" spans="1:34" ht="15" customHeight="1" x14ac:dyDescent="0.2">
      <c r="C5" t="s">
        <v>703</v>
      </c>
      <c r="D5" t="s">
        <v>685</v>
      </c>
    </row>
    <row r="6" spans="1:34" ht="15" customHeight="1" x14ac:dyDescent="0.2">
      <c r="C6" t="s">
        <v>892</v>
      </c>
      <c r="D6" t="s">
        <v>57</v>
      </c>
      <c r="E6" t="s">
        <v>55</v>
      </c>
      <c r="F6" t="s">
        <v>45</v>
      </c>
      <c r="G6" t="s">
        <v>69</v>
      </c>
      <c r="H6" t="s">
        <v>52</v>
      </c>
      <c r="I6" t="s">
        <v>63</v>
      </c>
      <c r="J6" t="s">
        <v>64</v>
      </c>
      <c r="K6" t="s">
        <v>67</v>
      </c>
      <c r="L6" t="s">
        <v>50</v>
      </c>
      <c r="M6" t="s">
        <v>44</v>
      </c>
      <c r="N6" t="s">
        <v>54</v>
      </c>
      <c r="O6" t="s">
        <v>53</v>
      </c>
      <c r="P6" t="s">
        <v>58</v>
      </c>
      <c r="Q6" t="s">
        <v>40</v>
      </c>
      <c r="R6" t="s">
        <v>47</v>
      </c>
      <c r="S6" t="s">
        <v>41</v>
      </c>
      <c r="T6" t="s">
        <v>42</v>
      </c>
      <c r="U6" t="s">
        <v>48</v>
      </c>
      <c r="V6" t="s">
        <v>51</v>
      </c>
      <c r="W6" t="s">
        <v>46</v>
      </c>
      <c r="X6" t="s">
        <v>61</v>
      </c>
      <c r="Y6" t="s">
        <v>59</v>
      </c>
      <c r="Z6" t="s">
        <v>66</v>
      </c>
      <c r="AA6" t="s">
        <v>65</v>
      </c>
      <c r="AB6" t="s">
        <v>43</v>
      </c>
      <c r="AC6" t="s">
        <v>651</v>
      </c>
      <c r="AD6" t="s">
        <v>70</v>
      </c>
      <c r="AE6" t="s">
        <v>56</v>
      </c>
      <c r="AF6" t="s">
        <v>62</v>
      </c>
      <c r="AG6" t="s">
        <v>60</v>
      </c>
      <c r="AH6" t="s">
        <v>686</v>
      </c>
    </row>
    <row r="7" spans="1:34" ht="15" customHeight="1" x14ac:dyDescent="0.2">
      <c r="C7" t="s">
        <v>57</v>
      </c>
      <c r="F7">
        <v>0</v>
      </c>
      <c r="T7">
        <v>1</v>
      </c>
      <c r="AF7">
        <v>0</v>
      </c>
      <c r="AG7">
        <v>0</v>
      </c>
      <c r="AH7">
        <v>1</v>
      </c>
    </row>
    <row r="8" spans="1:34" ht="15" customHeight="1" x14ac:dyDescent="0.2">
      <c r="C8" t="s">
        <v>55</v>
      </c>
      <c r="H8">
        <v>2</v>
      </c>
      <c r="L8">
        <v>0</v>
      </c>
      <c r="O8">
        <v>0</v>
      </c>
      <c r="Q8">
        <v>0</v>
      </c>
      <c r="U8">
        <v>0</v>
      </c>
      <c r="W8">
        <v>1</v>
      </c>
      <c r="Y8">
        <v>1</v>
      </c>
      <c r="AC8">
        <v>1</v>
      </c>
      <c r="AH8">
        <v>5</v>
      </c>
    </row>
    <row r="9" spans="1:34" ht="15" customHeight="1" x14ac:dyDescent="0.2">
      <c r="C9" t="s">
        <v>45</v>
      </c>
      <c r="D9">
        <v>1</v>
      </c>
      <c r="I9">
        <v>1</v>
      </c>
      <c r="P9">
        <v>0</v>
      </c>
      <c r="Q9">
        <v>2</v>
      </c>
      <c r="T9">
        <v>1</v>
      </c>
      <c r="X9">
        <v>1</v>
      </c>
      <c r="AC9">
        <v>0</v>
      </c>
      <c r="AF9">
        <v>1</v>
      </c>
      <c r="AG9">
        <v>1</v>
      </c>
      <c r="AH9">
        <v>8</v>
      </c>
    </row>
    <row r="10" spans="1:34" ht="15" customHeight="1" x14ac:dyDescent="0.2">
      <c r="C10" t="s">
        <v>69</v>
      </c>
      <c r="N10">
        <v>1</v>
      </c>
      <c r="AC10">
        <v>1</v>
      </c>
      <c r="AH10">
        <v>2</v>
      </c>
    </row>
    <row r="11" spans="1:34" ht="15" customHeight="1" x14ac:dyDescent="0.2">
      <c r="B11" t="s">
        <v>893</v>
      </c>
      <c r="C11" t="s">
        <v>52</v>
      </c>
      <c r="E11">
        <v>0</v>
      </c>
      <c r="K11">
        <v>0</v>
      </c>
      <c r="N11">
        <v>1</v>
      </c>
      <c r="R11">
        <v>1</v>
      </c>
      <c r="W11">
        <v>0</v>
      </c>
      <c r="AC11">
        <v>0</v>
      </c>
      <c r="AH11">
        <v>2</v>
      </c>
    </row>
    <row r="12" spans="1:34" ht="15" customHeight="1" x14ac:dyDescent="0.2">
      <c r="B12" t="s">
        <v>894</v>
      </c>
      <c r="C12" t="s">
        <v>63</v>
      </c>
      <c r="F12">
        <v>0</v>
      </c>
      <c r="J12">
        <v>1</v>
      </c>
      <c r="N12">
        <v>0</v>
      </c>
      <c r="S12">
        <v>0</v>
      </c>
      <c r="T12">
        <v>0</v>
      </c>
      <c r="W12">
        <v>1</v>
      </c>
      <c r="AH12">
        <v>2</v>
      </c>
    </row>
    <row r="13" spans="1:34" ht="15" customHeight="1" x14ac:dyDescent="0.2">
      <c r="C13" t="s">
        <v>64</v>
      </c>
      <c r="I13">
        <v>0</v>
      </c>
      <c r="S13">
        <v>1</v>
      </c>
      <c r="U13">
        <v>1</v>
      </c>
      <c r="W13">
        <v>1</v>
      </c>
      <c r="X13">
        <v>0</v>
      </c>
      <c r="AH13">
        <v>3</v>
      </c>
    </row>
    <row r="14" spans="1:34" ht="15" customHeight="1" x14ac:dyDescent="0.2">
      <c r="C14" t="s">
        <v>67</v>
      </c>
      <c r="H14">
        <v>0</v>
      </c>
      <c r="AD14">
        <v>0</v>
      </c>
      <c r="AH14">
        <v>0</v>
      </c>
    </row>
    <row r="15" spans="1:34" ht="15" customHeight="1" x14ac:dyDescent="0.2">
      <c r="C15" t="s">
        <v>50</v>
      </c>
      <c r="E15">
        <v>1</v>
      </c>
      <c r="M15">
        <v>1</v>
      </c>
      <c r="O15">
        <v>0</v>
      </c>
      <c r="Q15">
        <v>1</v>
      </c>
      <c r="S15">
        <v>0</v>
      </c>
      <c r="U15">
        <v>0</v>
      </c>
      <c r="W15">
        <v>0</v>
      </c>
      <c r="X15">
        <v>0</v>
      </c>
      <c r="AC15">
        <v>2</v>
      </c>
      <c r="AE15">
        <v>1</v>
      </c>
      <c r="AH15">
        <v>6</v>
      </c>
    </row>
    <row r="16" spans="1:34" ht="15" customHeight="1" x14ac:dyDescent="0.2">
      <c r="C16" t="s">
        <v>44</v>
      </c>
      <c r="L16">
        <v>0</v>
      </c>
      <c r="P16">
        <v>0</v>
      </c>
      <c r="V16">
        <v>1</v>
      </c>
      <c r="X16">
        <v>0</v>
      </c>
      <c r="Y16">
        <v>0</v>
      </c>
      <c r="AA16">
        <v>1</v>
      </c>
      <c r="AB16">
        <v>0</v>
      </c>
      <c r="AF16">
        <v>2</v>
      </c>
      <c r="AH16">
        <v>4</v>
      </c>
    </row>
    <row r="17" spans="3:34" ht="15" customHeight="1" x14ac:dyDescent="0.2">
      <c r="C17" t="s">
        <v>54</v>
      </c>
      <c r="G17">
        <v>0</v>
      </c>
      <c r="H17">
        <v>3</v>
      </c>
      <c r="I17">
        <v>1</v>
      </c>
      <c r="O17">
        <v>0</v>
      </c>
      <c r="S17">
        <v>1</v>
      </c>
      <c r="Y17">
        <v>1</v>
      </c>
      <c r="AH17">
        <v>6</v>
      </c>
    </row>
    <row r="18" spans="3:34" ht="15" customHeight="1" x14ac:dyDescent="0.2">
      <c r="C18" t="s">
        <v>53</v>
      </c>
      <c r="E18">
        <v>1</v>
      </c>
      <c r="L18">
        <v>1</v>
      </c>
      <c r="N18">
        <v>1</v>
      </c>
      <c r="Q18">
        <v>0</v>
      </c>
      <c r="R18">
        <v>1</v>
      </c>
      <c r="S18">
        <v>1</v>
      </c>
      <c r="U18">
        <v>1</v>
      </c>
      <c r="Z18">
        <v>0</v>
      </c>
      <c r="AC18">
        <v>1</v>
      </c>
      <c r="AF18">
        <v>0</v>
      </c>
      <c r="AG18">
        <v>0</v>
      </c>
      <c r="AH18">
        <v>7</v>
      </c>
    </row>
    <row r="19" spans="3:34" ht="15" customHeight="1" x14ac:dyDescent="0.2">
      <c r="C19" t="s">
        <v>58</v>
      </c>
      <c r="F19">
        <v>2</v>
      </c>
      <c r="M19">
        <v>2</v>
      </c>
      <c r="S19">
        <v>0</v>
      </c>
      <c r="AF19">
        <v>1</v>
      </c>
      <c r="AG19">
        <v>0</v>
      </c>
      <c r="AH19">
        <v>5</v>
      </c>
    </row>
    <row r="20" spans="3:34" ht="15" customHeight="1" x14ac:dyDescent="0.2">
      <c r="C20" t="s">
        <v>40</v>
      </c>
      <c r="E20">
        <v>1</v>
      </c>
      <c r="F20">
        <v>0</v>
      </c>
      <c r="L20">
        <v>1</v>
      </c>
      <c r="O20">
        <v>1</v>
      </c>
      <c r="W20">
        <v>1</v>
      </c>
      <c r="X20">
        <v>0</v>
      </c>
      <c r="AB20">
        <v>0</v>
      </c>
      <c r="AC20">
        <v>1</v>
      </c>
      <c r="AE20">
        <v>1</v>
      </c>
      <c r="AH20">
        <v>6</v>
      </c>
    </row>
    <row r="21" spans="3:34" ht="15" customHeight="1" x14ac:dyDescent="0.2">
      <c r="C21" t="s">
        <v>47</v>
      </c>
      <c r="H21">
        <v>0</v>
      </c>
      <c r="O21">
        <v>0</v>
      </c>
      <c r="U21">
        <v>0</v>
      </c>
      <c r="Y21">
        <v>0</v>
      </c>
      <c r="AH21">
        <v>0</v>
      </c>
    </row>
    <row r="22" spans="3:34" ht="15" customHeight="1" x14ac:dyDescent="0.2">
      <c r="C22" t="s">
        <v>41</v>
      </c>
      <c r="I22">
        <v>1</v>
      </c>
      <c r="J22">
        <v>0</v>
      </c>
      <c r="L22">
        <v>1</v>
      </c>
      <c r="N22">
        <v>0</v>
      </c>
      <c r="O22">
        <v>0</v>
      </c>
      <c r="P22">
        <v>1</v>
      </c>
      <c r="W22">
        <v>1</v>
      </c>
      <c r="AB22">
        <v>1</v>
      </c>
      <c r="AG22">
        <v>0</v>
      </c>
      <c r="AH22">
        <v>5</v>
      </c>
    </row>
    <row r="23" spans="3:34" ht="15" customHeight="1" x14ac:dyDescent="0.2">
      <c r="C23" t="s">
        <v>42</v>
      </c>
      <c r="D23">
        <v>1</v>
      </c>
      <c r="F23">
        <v>0</v>
      </c>
      <c r="I23">
        <v>1</v>
      </c>
      <c r="U23">
        <v>1</v>
      </c>
      <c r="X23">
        <v>1</v>
      </c>
      <c r="AB23">
        <v>0</v>
      </c>
      <c r="AG23">
        <v>1</v>
      </c>
      <c r="AH23">
        <v>5</v>
      </c>
    </row>
    <row r="24" spans="3:34" ht="15" customHeight="1" x14ac:dyDescent="0.2">
      <c r="C24" t="s">
        <v>48</v>
      </c>
      <c r="E24">
        <v>1</v>
      </c>
      <c r="J24">
        <v>0</v>
      </c>
      <c r="L24">
        <v>1</v>
      </c>
      <c r="O24">
        <v>0</v>
      </c>
      <c r="R24">
        <v>0</v>
      </c>
      <c r="T24">
        <v>1</v>
      </c>
      <c r="AB24">
        <v>0</v>
      </c>
      <c r="AC24">
        <v>1</v>
      </c>
      <c r="AE24">
        <v>0</v>
      </c>
      <c r="AF24">
        <v>0</v>
      </c>
      <c r="AH24">
        <v>4</v>
      </c>
    </row>
    <row r="25" spans="3:34" ht="15" customHeight="1" x14ac:dyDescent="0.2">
      <c r="C25" t="s">
        <v>51</v>
      </c>
      <c r="M25">
        <v>0</v>
      </c>
      <c r="AH25">
        <v>0</v>
      </c>
    </row>
    <row r="26" spans="3:34" ht="15" customHeight="1" x14ac:dyDescent="0.2">
      <c r="C26" t="s">
        <v>46</v>
      </c>
      <c r="E26">
        <v>0</v>
      </c>
      <c r="H26">
        <v>1</v>
      </c>
      <c r="I26">
        <v>0</v>
      </c>
      <c r="J26">
        <v>0</v>
      </c>
      <c r="L26">
        <v>0</v>
      </c>
      <c r="Q26">
        <v>0</v>
      </c>
      <c r="S26">
        <v>1</v>
      </c>
      <c r="AG26">
        <v>0</v>
      </c>
      <c r="AH26">
        <v>2</v>
      </c>
    </row>
    <row r="27" spans="3:34" ht="15" customHeight="1" x14ac:dyDescent="0.2">
      <c r="C27" t="s">
        <v>61</v>
      </c>
      <c r="F27">
        <v>0</v>
      </c>
      <c r="J27">
        <v>1</v>
      </c>
      <c r="L27">
        <v>1</v>
      </c>
      <c r="M27">
        <v>1</v>
      </c>
      <c r="Q27">
        <v>1</v>
      </c>
      <c r="T27">
        <v>1</v>
      </c>
      <c r="Z27">
        <v>1</v>
      </c>
      <c r="AH27">
        <v>6</v>
      </c>
    </row>
    <row r="28" spans="3:34" ht="15" customHeight="1" x14ac:dyDescent="0.2">
      <c r="C28" t="s">
        <v>59</v>
      </c>
      <c r="E28">
        <v>0</v>
      </c>
      <c r="M28">
        <v>1</v>
      </c>
      <c r="N28">
        <v>2</v>
      </c>
      <c r="R28">
        <v>0</v>
      </c>
      <c r="AH28">
        <v>3</v>
      </c>
    </row>
    <row r="29" spans="3:34" ht="15" customHeight="1" x14ac:dyDescent="0.2">
      <c r="C29" t="s">
        <v>66</v>
      </c>
      <c r="O29">
        <v>1</v>
      </c>
      <c r="X29">
        <v>0</v>
      </c>
      <c r="AA29">
        <v>1</v>
      </c>
      <c r="AG29">
        <v>1</v>
      </c>
      <c r="AH29">
        <v>3</v>
      </c>
    </row>
    <row r="30" spans="3:34" ht="15" customHeight="1" x14ac:dyDescent="0.2">
      <c r="C30" t="s">
        <v>65</v>
      </c>
      <c r="M30">
        <v>0</v>
      </c>
      <c r="Z30">
        <v>0</v>
      </c>
      <c r="AH30">
        <v>0</v>
      </c>
    </row>
    <row r="31" spans="3:34" ht="15" customHeight="1" x14ac:dyDescent="0.2">
      <c r="C31" t="s">
        <v>43</v>
      </c>
      <c r="M31">
        <v>1</v>
      </c>
      <c r="Q31">
        <v>2</v>
      </c>
      <c r="S31">
        <v>0</v>
      </c>
      <c r="T31">
        <v>1</v>
      </c>
      <c r="U31">
        <v>1</v>
      </c>
      <c r="AH31">
        <v>5</v>
      </c>
    </row>
    <row r="32" spans="3:34" ht="15" customHeight="1" x14ac:dyDescent="0.2">
      <c r="C32" t="s">
        <v>651</v>
      </c>
      <c r="E32">
        <v>0</v>
      </c>
      <c r="F32">
        <v>1</v>
      </c>
      <c r="G32">
        <v>0</v>
      </c>
      <c r="H32">
        <v>1</v>
      </c>
      <c r="L32">
        <v>0</v>
      </c>
      <c r="O32">
        <v>0</v>
      </c>
      <c r="Q32">
        <v>0</v>
      </c>
      <c r="U32">
        <v>1</v>
      </c>
      <c r="AG32">
        <v>0</v>
      </c>
      <c r="AH32">
        <v>3</v>
      </c>
    </row>
    <row r="33" spans="3:34" ht="15" customHeight="1" x14ac:dyDescent="0.2">
      <c r="C33" t="s">
        <v>70</v>
      </c>
      <c r="K33">
        <v>1</v>
      </c>
      <c r="AH33">
        <v>1</v>
      </c>
    </row>
    <row r="34" spans="3:34" ht="15" customHeight="1" x14ac:dyDescent="0.2">
      <c r="C34" t="s">
        <v>56</v>
      </c>
      <c r="L34">
        <v>0</v>
      </c>
      <c r="Q34">
        <v>0</v>
      </c>
      <c r="U34">
        <v>1</v>
      </c>
      <c r="AH34">
        <v>1</v>
      </c>
    </row>
    <row r="35" spans="3:34" ht="15" customHeight="1" x14ac:dyDescent="0.2">
      <c r="C35" t="s">
        <v>62</v>
      </c>
      <c r="D35">
        <v>1</v>
      </c>
      <c r="F35">
        <v>1</v>
      </c>
      <c r="M35">
        <v>0</v>
      </c>
      <c r="O35">
        <v>1</v>
      </c>
      <c r="P35">
        <v>0</v>
      </c>
      <c r="U35">
        <v>1</v>
      </c>
      <c r="AH35">
        <v>4</v>
      </c>
    </row>
    <row r="36" spans="3:34" ht="15" customHeight="1" x14ac:dyDescent="0.2">
      <c r="C36" t="s">
        <v>60</v>
      </c>
      <c r="D36">
        <v>1</v>
      </c>
      <c r="F36">
        <v>0</v>
      </c>
      <c r="O36">
        <v>1</v>
      </c>
      <c r="P36">
        <v>0</v>
      </c>
      <c r="S36">
        <v>1</v>
      </c>
      <c r="T36">
        <v>1</v>
      </c>
      <c r="W36">
        <v>1</v>
      </c>
      <c r="Z36">
        <v>0</v>
      </c>
      <c r="AC36">
        <v>1</v>
      </c>
      <c r="AH36">
        <v>6</v>
      </c>
    </row>
    <row r="37" spans="3:34" ht="15" customHeight="1" x14ac:dyDescent="0.2">
      <c r="C37" t="s">
        <v>686</v>
      </c>
      <c r="D37">
        <v>4</v>
      </c>
      <c r="E37">
        <v>4</v>
      </c>
      <c r="F37">
        <v>4</v>
      </c>
      <c r="G37">
        <v>0</v>
      </c>
      <c r="H37">
        <v>7</v>
      </c>
      <c r="I37">
        <v>4</v>
      </c>
      <c r="J37">
        <v>2</v>
      </c>
      <c r="K37">
        <v>1</v>
      </c>
      <c r="L37">
        <v>5</v>
      </c>
      <c r="M37">
        <v>6</v>
      </c>
      <c r="N37">
        <v>5</v>
      </c>
      <c r="O37">
        <v>4</v>
      </c>
      <c r="P37">
        <v>1</v>
      </c>
      <c r="Q37">
        <v>6</v>
      </c>
      <c r="R37">
        <v>2</v>
      </c>
      <c r="S37">
        <v>5</v>
      </c>
      <c r="T37">
        <v>6</v>
      </c>
      <c r="U37">
        <v>7</v>
      </c>
      <c r="V37">
        <v>1</v>
      </c>
      <c r="W37">
        <v>6</v>
      </c>
      <c r="X37">
        <v>2</v>
      </c>
      <c r="Y37">
        <v>2</v>
      </c>
      <c r="Z37">
        <v>1</v>
      </c>
      <c r="AA37">
        <v>2</v>
      </c>
      <c r="AB37">
        <v>1</v>
      </c>
      <c r="AC37">
        <v>8</v>
      </c>
      <c r="AD37">
        <v>0</v>
      </c>
      <c r="AE37">
        <v>2</v>
      </c>
      <c r="AF37">
        <v>4</v>
      </c>
      <c r="AG37">
        <v>3</v>
      </c>
      <c r="AH37">
        <v>105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J41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/>
    </sheetView>
  </sheetViews>
  <sheetFormatPr baseColWidth="10" defaultColWidth="8.83203125" defaultRowHeight="15" x14ac:dyDescent="0.2"/>
  <cols>
    <col min="1" max="1" width="2" customWidth="1"/>
    <col min="2" max="2" width="16" customWidth="1"/>
    <col min="3" max="3" width="6" customWidth="1"/>
    <col min="4" max="4" width="9" customWidth="1"/>
    <col min="5" max="5" width="10" customWidth="1"/>
    <col min="6" max="6" width="11" customWidth="1"/>
    <col min="7" max="7" width="12" customWidth="1"/>
    <col min="8" max="8" width="9" customWidth="1"/>
    <col min="9" max="9" width="10" customWidth="1"/>
    <col min="10" max="10" width="9" customWidth="1"/>
  </cols>
  <sheetData>
    <row r="1" spans="2:10" ht="17.25" customHeight="1" x14ac:dyDescent="0.25">
      <c r="B1" s="19" t="s">
        <v>895</v>
      </c>
    </row>
    <row r="3" spans="2:10" ht="30" customHeight="1" x14ac:dyDescent="0.2">
      <c r="B3" s="20" t="s">
        <v>896</v>
      </c>
      <c r="C3" s="2" t="s">
        <v>897</v>
      </c>
      <c r="D3" s="2"/>
      <c r="E3" s="2"/>
      <c r="F3" s="2"/>
      <c r="G3" s="2"/>
      <c r="H3" s="2"/>
      <c r="I3" s="2"/>
      <c r="J3" s="2"/>
    </row>
    <row r="4" spans="2:10" ht="30" customHeight="1" x14ac:dyDescent="0.2">
      <c r="B4" s="20" t="s">
        <v>898</v>
      </c>
      <c r="C4" s="2" t="s">
        <v>899</v>
      </c>
      <c r="D4" s="2"/>
      <c r="E4" s="2"/>
      <c r="F4" s="2"/>
      <c r="G4" s="2"/>
      <c r="H4" s="2"/>
      <c r="I4" s="2"/>
      <c r="J4" s="2"/>
    </row>
    <row r="5" spans="2:10" ht="30" customHeight="1" x14ac:dyDescent="0.2">
      <c r="B5" s="20" t="s">
        <v>900</v>
      </c>
      <c r="C5" s="2" t="s">
        <v>901</v>
      </c>
      <c r="D5" s="2"/>
      <c r="E5" s="2"/>
      <c r="F5" s="2"/>
      <c r="G5" s="2"/>
      <c r="H5" s="2"/>
      <c r="I5" s="2"/>
      <c r="J5" s="2"/>
    </row>
    <row r="6" spans="2:10" ht="30" customHeight="1" x14ac:dyDescent="0.2">
      <c r="B6" s="20" t="s">
        <v>902</v>
      </c>
      <c r="C6" s="2" t="s">
        <v>903</v>
      </c>
      <c r="D6" s="2"/>
      <c r="E6" s="2"/>
      <c r="F6" s="2"/>
      <c r="G6" s="2"/>
      <c r="H6" s="2"/>
      <c r="I6" s="2"/>
      <c r="J6" s="2"/>
    </row>
    <row r="7" spans="2:10" ht="30" customHeight="1" x14ac:dyDescent="0.2">
      <c r="B7" s="20" t="s">
        <v>904</v>
      </c>
      <c r="C7" s="2" t="s">
        <v>905</v>
      </c>
      <c r="D7" s="2"/>
      <c r="E7" s="2"/>
      <c r="F7" s="2"/>
      <c r="G7" s="2"/>
      <c r="H7" s="2"/>
      <c r="I7" s="2"/>
      <c r="J7" s="2"/>
    </row>
    <row r="9" spans="2:10" ht="30" customHeight="1" x14ac:dyDescent="0.2">
      <c r="B9" s="21" t="s">
        <v>615</v>
      </c>
      <c r="C9" s="21" t="s">
        <v>906</v>
      </c>
      <c r="D9" s="21" t="s">
        <v>907</v>
      </c>
      <c r="E9" s="21" t="s">
        <v>908</v>
      </c>
      <c r="F9" s="22" t="s">
        <v>909</v>
      </c>
      <c r="G9" s="22" t="s">
        <v>910</v>
      </c>
      <c r="H9" s="23" t="s">
        <v>911</v>
      </c>
      <c r="I9" s="21" t="s">
        <v>912</v>
      </c>
      <c r="J9" s="24" t="s">
        <v>913</v>
      </c>
    </row>
    <row r="10" spans="2:10" ht="15" customHeight="1" x14ac:dyDescent="0.2">
      <c r="B10" s="25" t="s">
        <v>66</v>
      </c>
      <c r="C10" s="26">
        <v>4</v>
      </c>
      <c r="D10" s="27">
        <v>4</v>
      </c>
      <c r="E10" s="27">
        <v>4.625</v>
      </c>
      <c r="F10" s="28">
        <v>5.9400000000000001E-2</v>
      </c>
      <c r="G10" s="28">
        <v>-5.0000000000000001E-3</v>
      </c>
      <c r="H10" s="28">
        <v>-0.12590000000000001</v>
      </c>
      <c r="I10" s="29">
        <f t="shared" ref="I10:I35" si="0">E10+F10+G10+H10</f>
        <v>4.5535000000000005</v>
      </c>
      <c r="J10" s="28">
        <f t="shared" ref="J10:J35" si="1">I10-E10</f>
        <v>-7.1499999999999453E-2</v>
      </c>
    </row>
    <row r="11" spans="2:10" ht="15" customHeight="1" x14ac:dyDescent="0.2">
      <c r="B11" s="25" t="s">
        <v>58</v>
      </c>
      <c r="C11" s="26">
        <v>7</v>
      </c>
      <c r="D11" s="27">
        <v>7</v>
      </c>
      <c r="E11" s="27">
        <v>4.4286000000000003</v>
      </c>
      <c r="F11" s="28">
        <v>-2.5700000000000001E-2</v>
      </c>
      <c r="G11" s="28">
        <v>0.1368</v>
      </c>
      <c r="H11" s="28">
        <v>-0.1033</v>
      </c>
      <c r="I11" s="29">
        <f t="shared" si="0"/>
        <v>4.4364000000000008</v>
      </c>
      <c r="J11" s="28">
        <f t="shared" si="1"/>
        <v>7.8000000000004732E-3</v>
      </c>
    </row>
    <row r="12" spans="2:10" ht="15" customHeight="1" x14ac:dyDescent="0.2">
      <c r="B12" s="25" t="s">
        <v>64</v>
      </c>
      <c r="C12" s="26">
        <v>5</v>
      </c>
      <c r="D12" s="27">
        <v>4.6900000000000004</v>
      </c>
      <c r="E12" s="27">
        <v>4.3689</v>
      </c>
      <c r="F12" s="28">
        <v>-9.6799999999999997E-2</v>
      </c>
      <c r="G12" s="28">
        <v>-0.10340000000000001</v>
      </c>
      <c r="H12" s="28">
        <v>0.1968</v>
      </c>
      <c r="I12" s="29">
        <f t="shared" si="0"/>
        <v>4.3654999999999999</v>
      </c>
      <c r="J12" s="28">
        <f t="shared" si="1"/>
        <v>-3.4000000000000696E-3</v>
      </c>
    </row>
    <row r="13" spans="2:10" ht="15" customHeight="1" x14ac:dyDescent="0.2">
      <c r="B13" s="25" t="s">
        <v>45</v>
      </c>
      <c r="C13" s="26">
        <v>12</v>
      </c>
      <c r="D13" s="27">
        <v>12</v>
      </c>
      <c r="E13" s="27">
        <v>4.2083000000000004</v>
      </c>
      <c r="F13" s="28">
        <v>6.4000000000000003E-3</v>
      </c>
      <c r="G13" s="28">
        <v>0.113</v>
      </c>
      <c r="H13" s="28">
        <v>-1.3299999999999999E-2</v>
      </c>
      <c r="I13" s="29">
        <f t="shared" si="0"/>
        <v>4.3144000000000009</v>
      </c>
      <c r="J13" s="28">
        <f t="shared" si="1"/>
        <v>0.10610000000000053</v>
      </c>
    </row>
    <row r="14" spans="2:10" ht="15" customHeight="1" x14ac:dyDescent="0.2">
      <c r="B14" s="25" t="s">
        <v>53</v>
      </c>
      <c r="C14" s="26">
        <v>11</v>
      </c>
      <c r="D14" s="27">
        <v>10.69</v>
      </c>
      <c r="E14" s="27">
        <v>3.9281000000000001</v>
      </c>
      <c r="F14" s="28">
        <v>-3.3599999999999998E-2</v>
      </c>
      <c r="G14" s="28">
        <v>-5.8999999999999999E-3</v>
      </c>
      <c r="H14" s="28">
        <v>4.0500000000000001E-2</v>
      </c>
      <c r="I14" s="29">
        <f t="shared" si="0"/>
        <v>3.9291000000000005</v>
      </c>
      <c r="J14" s="28">
        <f t="shared" si="1"/>
        <v>1.000000000000334E-3</v>
      </c>
    </row>
    <row r="15" spans="2:10" ht="15" customHeight="1" x14ac:dyDescent="0.2">
      <c r="B15" s="25" t="s">
        <v>50</v>
      </c>
      <c r="C15" s="26">
        <v>12</v>
      </c>
      <c r="D15" s="27">
        <v>12</v>
      </c>
      <c r="E15" s="27">
        <v>3.8332999999999999</v>
      </c>
      <c r="F15" s="28">
        <v>-5.3900000000000003E-2</v>
      </c>
      <c r="G15" s="28">
        <v>6.0499999999999998E-2</v>
      </c>
      <c r="H15" s="28">
        <v>4.99E-2</v>
      </c>
      <c r="I15" s="29">
        <f t="shared" si="0"/>
        <v>3.8898000000000001</v>
      </c>
      <c r="J15" s="28">
        <f t="shared" si="1"/>
        <v>5.6500000000000217E-2</v>
      </c>
    </row>
    <row r="16" spans="2:10" ht="15" customHeight="1" x14ac:dyDescent="0.2">
      <c r="B16" s="25" t="s">
        <v>42</v>
      </c>
      <c r="C16" s="26">
        <v>12</v>
      </c>
      <c r="D16" s="27">
        <v>12</v>
      </c>
      <c r="E16" s="27">
        <v>3.8332999999999999</v>
      </c>
      <c r="F16" s="28">
        <v>-6.9699999999999998E-2</v>
      </c>
      <c r="G16" s="28">
        <v>0.1142</v>
      </c>
      <c r="H16" s="28">
        <v>9.5999999999999992E-3</v>
      </c>
      <c r="I16" s="29">
        <f t="shared" si="0"/>
        <v>3.8873999999999995</v>
      </c>
      <c r="J16" s="28">
        <f t="shared" si="1"/>
        <v>5.4099999999999593E-2</v>
      </c>
    </row>
    <row r="17" spans="2:10" ht="15" customHeight="1" x14ac:dyDescent="0.2">
      <c r="B17" s="25" t="s">
        <v>62</v>
      </c>
      <c r="C17" s="26">
        <v>8</v>
      </c>
      <c r="D17" s="27">
        <v>8</v>
      </c>
      <c r="E17" s="27">
        <v>3.5625</v>
      </c>
      <c r="F17" s="28">
        <v>7.0999999999999994E-2</v>
      </c>
      <c r="G17" s="28">
        <v>0.15609999999999999</v>
      </c>
      <c r="H17" s="28">
        <v>3.6400000000000002E-2</v>
      </c>
      <c r="I17" s="29">
        <f t="shared" si="0"/>
        <v>3.8260000000000001</v>
      </c>
      <c r="J17" s="28">
        <f t="shared" si="1"/>
        <v>0.26350000000000007</v>
      </c>
    </row>
    <row r="18" spans="2:10" ht="15" customHeight="1" x14ac:dyDescent="0.2">
      <c r="B18" s="25" t="s">
        <v>43</v>
      </c>
      <c r="C18" s="26">
        <v>7</v>
      </c>
      <c r="D18" s="27">
        <v>7</v>
      </c>
      <c r="E18" s="27">
        <v>3.8571</v>
      </c>
      <c r="F18" s="28">
        <v>5.1799999999999999E-2</v>
      </c>
      <c r="G18" s="28">
        <v>-1.6299999999999999E-2</v>
      </c>
      <c r="H18" s="28">
        <v>-0.12759999999999999</v>
      </c>
      <c r="I18" s="29">
        <f t="shared" si="0"/>
        <v>3.7649999999999997</v>
      </c>
      <c r="J18" s="28">
        <f t="shared" si="1"/>
        <v>-9.2100000000000293E-2</v>
      </c>
    </row>
    <row r="19" spans="2:10" ht="15" customHeight="1" x14ac:dyDescent="0.2">
      <c r="B19" s="25" t="s">
        <v>61</v>
      </c>
      <c r="C19" s="26">
        <v>8</v>
      </c>
      <c r="D19" s="27">
        <v>8</v>
      </c>
      <c r="E19" s="27">
        <v>3.5</v>
      </c>
      <c r="F19" s="28">
        <v>5.5E-2</v>
      </c>
      <c r="G19" s="28">
        <v>0.31340000000000001</v>
      </c>
      <c r="H19" s="28">
        <v>-0.1187</v>
      </c>
      <c r="I19" s="29">
        <f t="shared" si="0"/>
        <v>3.7497000000000003</v>
      </c>
      <c r="J19" s="28">
        <f t="shared" si="1"/>
        <v>0.24970000000000026</v>
      </c>
    </row>
    <row r="20" spans="2:10" ht="15" customHeight="1" x14ac:dyDescent="0.2">
      <c r="B20" s="25" t="s">
        <v>40</v>
      </c>
      <c r="C20" s="26">
        <v>12</v>
      </c>
      <c r="D20" s="27">
        <v>12</v>
      </c>
      <c r="E20" s="27">
        <v>3.5832999999999999</v>
      </c>
      <c r="F20" s="28">
        <v>-1.6899999999999998E-2</v>
      </c>
      <c r="G20" s="28">
        <v>3.0099999999999998E-2</v>
      </c>
      <c r="H20" s="28">
        <v>-3.8100000000000002E-2</v>
      </c>
      <c r="I20" s="29">
        <f t="shared" si="0"/>
        <v>3.5583999999999998</v>
      </c>
      <c r="J20" s="28">
        <f t="shared" si="1"/>
        <v>-2.4900000000000144E-2</v>
      </c>
    </row>
    <row r="21" spans="2:10" ht="15" customHeight="1" x14ac:dyDescent="0.2">
      <c r="B21" s="25" t="s">
        <v>48</v>
      </c>
      <c r="C21" s="26">
        <v>12</v>
      </c>
      <c r="D21" s="27">
        <v>12</v>
      </c>
      <c r="E21" s="27">
        <v>3.4167000000000001</v>
      </c>
      <c r="F21" s="28">
        <v>5.3800000000000001E-2</v>
      </c>
      <c r="G21" s="28">
        <v>0.11459999999999999</v>
      </c>
      <c r="H21" s="28">
        <v>-4.8500000000000001E-2</v>
      </c>
      <c r="I21" s="29">
        <f t="shared" si="0"/>
        <v>3.5365999999999995</v>
      </c>
      <c r="J21" s="28">
        <f t="shared" si="1"/>
        <v>0.11989999999999945</v>
      </c>
    </row>
    <row r="22" spans="2:10" ht="15" customHeight="1" x14ac:dyDescent="0.2">
      <c r="B22" s="25" t="s">
        <v>41</v>
      </c>
      <c r="C22" s="26">
        <v>11</v>
      </c>
      <c r="D22" s="27">
        <v>10.69</v>
      </c>
      <c r="E22" s="27">
        <v>3.2734000000000001</v>
      </c>
      <c r="F22" s="28">
        <v>-3.1699999999999999E-2</v>
      </c>
      <c r="G22" s="28">
        <v>-5.8299999999999998E-2</v>
      </c>
      <c r="H22" s="28">
        <v>7.3499999999999996E-2</v>
      </c>
      <c r="I22" s="29">
        <f t="shared" si="0"/>
        <v>3.2569000000000004</v>
      </c>
      <c r="J22" s="28">
        <f t="shared" si="1"/>
        <v>-1.6499999999999737E-2</v>
      </c>
    </row>
    <row r="23" spans="2:10" ht="15" customHeight="1" x14ac:dyDescent="0.2">
      <c r="B23" s="25" t="s">
        <v>60</v>
      </c>
      <c r="C23" s="26">
        <v>10</v>
      </c>
      <c r="D23" s="27">
        <v>10</v>
      </c>
      <c r="E23" s="27">
        <v>3.25</v>
      </c>
      <c r="F23" s="28">
        <v>-8.5099999999999995E-2</v>
      </c>
      <c r="G23" s="28">
        <v>0.14249999999999999</v>
      </c>
      <c r="H23" s="28">
        <v>-7.9600000000000004E-2</v>
      </c>
      <c r="I23" s="29">
        <f t="shared" si="0"/>
        <v>3.2277999999999998</v>
      </c>
      <c r="J23" s="28">
        <f t="shared" si="1"/>
        <v>-2.220000000000022E-2</v>
      </c>
    </row>
    <row r="24" spans="2:10" ht="15" customHeight="1" x14ac:dyDescent="0.2">
      <c r="B24" s="25" t="s">
        <v>56</v>
      </c>
      <c r="C24" s="26">
        <v>3</v>
      </c>
      <c r="D24" s="27">
        <v>3</v>
      </c>
      <c r="E24" s="27">
        <v>2.8332999999999999</v>
      </c>
      <c r="F24" s="28">
        <v>0.16170000000000001</v>
      </c>
      <c r="G24" s="28">
        <v>0.15240000000000001</v>
      </c>
      <c r="H24" s="28">
        <v>0</v>
      </c>
      <c r="I24" s="29">
        <f t="shared" si="0"/>
        <v>3.1474000000000002</v>
      </c>
      <c r="J24" s="28">
        <f t="shared" si="1"/>
        <v>0.31410000000000027</v>
      </c>
    </row>
    <row r="25" spans="2:10" ht="15" customHeight="1" x14ac:dyDescent="0.2">
      <c r="B25" s="25" t="s">
        <v>55</v>
      </c>
      <c r="C25" s="26">
        <v>10</v>
      </c>
      <c r="D25" s="27">
        <v>10</v>
      </c>
      <c r="E25" s="27">
        <v>3</v>
      </c>
      <c r="F25" s="28">
        <v>-2.1100000000000001E-2</v>
      </c>
      <c r="G25" s="28">
        <v>-3.32E-2</v>
      </c>
      <c r="H25" s="28">
        <v>0.1198</v>
      </c>
      <c r="I25" s="29">
        <f t="shared" si="0"/>
        <v>3.0655000000000001</v>
      </c>
      <c r="J25" s="28">
        <f t="shared" si="1"/>
        <v>6.5500000000000114E-2</v>
      </c>
    </row>
    <row r="26" spans="2:10" ht="15" customHeight="1" x14ac:dyDescent="0.2">
      <c r="B26" s="25" t="s">
        <v>59</v>
      </c>
      <c r="C26" s="26">
        <v>6</v>
      </c>
      <c r="D26" s="27">
        <v>6</v>
      </c>
      <c r="E26" s="27">
        <v>3.5</v>
      </c>
      <c r="F26" s="28">
        <v>-8.0399999999999999E-2</v>
      </c>
      <c r="G26" s="28">
        <v>-0.36199999999999999</v>
      </c>
      <c r="H26" s="28">
        <v>4.1999999999999997E-3</v>
      </c>
      <c r="I26" s="29">
        <f t="shared" si="0"/>
        <v>3.0617999999999999</v>
      </c>
      <c r="J26" s="28">
        <f t="shared" si="1"/>
        <v>-0.43820000000000014</v>
      </c>
    </row>
    <row r="27" spans="2:10" ht="15" customHeight="1" x14ac:dyDescent="0.2">
      <c r="B27" s="25" t="s">
        <v>44</v>
      </c>
      <c r="C27" s="26">
        <v>12</v>
      </c>
      <c r="D27" s="27">
        <v>12</v>
      </c>
      <c r="E27" s="27">
        <v>3.0417000000000001</v>
      </c>
      <c r="F27" s="28">
        <v>-2.3E-2</v>
      </c>
      <c r="G27" s="28">
        <v>0.13639999999999999</v>
      </c>
      <c r="H27" s="28">
        <v>-9.5000000000000001E-2</v>
      </c>
      <c r="I27" s="29">
        <f t="shared" si="0"/>
        <v>3.0600999999999998</v>
      </c>
      <c r="J27" s="28">
        <f t="shared" si="1"/>
        <v>1.839999999999975E-2</v>
      </c>
    </row>
    <row r="28" spans="2:10" ht="15" customHeight="1" x14ac:dyDescent="0.2">
      <c r="B28" s="25" t="s">
        <v>63</v>
      </c>
      <c r="C28" s="26">
        <v>6</v>
      </c>
      <c r="D28" s="27">
        <v>6</v>
      </c>
      <c r="E28" s="27">
        <v>3.0832999999999999</v>
      </c>
      <c r="F28" s="28">
        <v>8.9399999999999993E-2</v>
      </c>
      <c r="G28" s="28">
        <v>-0.11409999999999999</v>
      </c>
      <c r="H28" s="28">
        <v>-7.5399999999999995E-2</v>
      </c>
      <c r="I28" s="29">
        <f t="shared" si="0"/>
        <v>2.9831999999999996</v>
      </c>
      <c r="J28" s="28">
        <f t="shared" si="1"/>
        <v>-0.1001000000000003</v>
      </c>
    </row>
    <row r="29" spans="2:10" ht="15" customHeight="1" x14ac:dyDescent="0.2">
      <c r="B29" s="25" t="s">
        <v>54</v>
      </c>
      <c r="C29" s="26">
        <v>11</v>
      </c>
      <c r="D29" s="27">
        <v>11</v>
      </c>
      <c r="E29" s="27">
        <v>2.7273000000000001</v>
      </c>
      <c r="F29" s="28">
        <v>-1.6500000000000001E-2</v>
      </c>
      <c r="G29" s="28">
        <v>-9.4000000000000004E-3</v>
      </c>
      <c r="H29" s="28">
        <v>0.1883</v>
      </c>
      <c r="I29" s="29">
        <f t="shared" si="0"/>
        <v>2.8896999999999999</v>
      </c>
      <c r="J29" s="28">
        <f t="shared" si="1"/>
        <v>0.16239999999999988</v>
      </c>
    </row>
    <row r="30" spans="2:10" ht="15" customHeight="1" x14ac:dyDescent="0.2">
      <c r="B30" s="25" t="s">
        <v>57</v>
      </c>
      <c r="C30" s="26">
        <v>5</v>
      </c>
      <c r="D30" s="27">
        <v>5</v>
      </c>
      <c r="E30" s="27">
        <v>2.6</v>
      </c>
      <c r="F30" s="28">
        <v>0.2104</v>
      </c>
      <c r="G30" s="28">
        <v>5.96E-2</v>
      </c>
      <c r="H30" s="28">
        <v>0</v>
      </c>
      <c r="I30" s="29">
        <f t="shared" si="0"/>
        <v>2.87</v>
      </c>
      <c r="J30" s="28">
        <f t="shared" si="1"/>
        <v>0.27</v>
      </c>
    </row>
    <row r="31" spans="2:10" ht="15" customHeight="1" x14ac:dyDescent="0.2">
      <c r="B31" s="25" t="s">
        <v>46</v>
      </c>
      <c r="C31" s="26">
        <v>11</v>
      </c>
      <c r="D31" s="27">
        <v>10.69</v>
      </c>
      <c r="E31" s="27">
        <v>2.6655000000000002</v>
      </c>
      <c r="F31" s="28">
        <v>0.06</v>
      </c>
      <c r="G31" s="28">
        <v>-9.2899999999999996E-2</v>
      </c>
      <c r="H31" s="28">
        <v>2.0999999999999999E-3</v>
      </c>
      <c r="I31" s="29">
        <f t="shared" si="0"/>
        <v>2.6347</v>
      </c>
      <c r="J31" s="28">
        <f t="shared" si="1"/>
        <v>-3.0800000000000161E-2</v>
      </c>
    </row>
    <row r="32" spans="2:10" ht="15" customHeight="1" x14ac:dyDescent="0.2">
      <c r="B32" s="25" t="s">
        <v>651</v>
      </c>
      <c r="C32" s="26">
        <v>11</v>
      </c>
      <c r="D32" s="27">
        <v>11</v>
      </c>
      <c r="E32" s="27">
        <v>2.4544999999999999</v>
      </c>
      <c r="F32" s="28">
        <v>-1.6400000000000001E-2</v>
      </c>
      <c r="G32" s="28">
        <v>8.5000000000000006E-3</v>
      </c>
      <c r="H32" s="28">
        <v>5.1999999999999998E-2</v>
      </c>
      <c r="I32" s="29">
        <f t="shared" si="0"/>
        <v>2.4986000000000002</v>
      </c>
      <c r="J32" s="28">
        <f t="shared" si="1"/>
        <v>4.410000000000025E-2</v>
      </c>
    </row>
    <row r="33" spans="2:10" ht="15" customHeight="1" x14ac:dyDescent="0.2">
      <c r="B33" s="25" t="s">
        <v>67</v>
      </c>
      <c r="C33" s="26">
        <v>3</v>
      </c>
      <c r="D33" s="27">
        <v>2.69</v>
      </c>
      <c r="E33" s="27">
        <v>2.6</v>
      </c>
      <c r="F33" s="28">
        <v>-6.6500000000000004E-2</v>
      </c>
      <c r="G33" s="28">
        <v>-0.1857</v>
      </c>
      <c r="H33" s="28">
        <v>5.6500000000000002E-2</v>
      </c>
      <c r="I33" s="29">
        <f t="shared" si="0"/>
        <v>2.4043000000000001</v>
      </c>
      <c r="J33" s="28">
        <f t="shared" si="1"/>
        <v>-0.19569999999999999</v>
      </c>
    </row>
    <row r="34" spans="2:10" ht="15" customHeight="1" x14ac:dyDescent="0.2">
      <c r="B34" s="25" t="s">
        <v>47</v>
      </c>
      <c r="C34" s="26">
        <v>4</v>
      </c>
      <c r="D34" s="27">
        <v>4</v>
      </c>
      <c r="E34" s="27">
        <v>2.125</v>
      </c>
      <c r="F34" s="28">
        <v>0.02</v>
      </c>
      <c r="G34" s="28">
        <v>-0.10059999999999999</v>
      </c>
      <c r="H34" s="28">
        <v>1.37E-2</v>
      </c>
      <c r="I34" s="29">
        <f t="shared" si="0"/>
        <v>2.0581</v>
      </c>
      <c r="J34" s="28">
        <f t="shared" si="1"/>
        <v>-6.6899999999999959E-2</v>
      </c>
    </row>
    <row r="35" spans="2:10" ht="15" customHeight="1" x14ac:dyDescent="0.2">
      <c r="B35" s="25" t="s">
        <v>52</v>
      </c>
      <c r="C35" s="26">
        <v>10</v>
      </c>
      <c r="D35" s="27">
        <v>10</v>
      </c>
      <c r="E35" s="27">
        <v>2.2000000000000002</v>
      </c>
      <c r="F35" s="28">
        <v>-5.2400000000000002E-2</v>
      </c>
      <c r="G35" s="28">
        <v>-0.33400000000000002</v>
      </c>
      <c r="H35" s="28">
        <v>-3.7699999999999997E-2</v>
      </c>
      <c r="I35" s="29">
        <f t="shared" si="0"/>
        <v>1.7759</v>
      </c>
      <c r="J35" s="28">
        <f t="shared" si="1"/>
        <v>-0.42410000000000014</v>
      </c>
    </row>
    <row r="37" spans="2:10" ht="15" customHeight="1" x14ac:dyDescent="0.2">
      <c r="B37" s="30" t="s">
        <v>914</v>
      </c>
    </row>
    <row r="38" spans="2:10" ht="15" customHeight="1" x14ac:dyDescent="0.2">
      <c r="B38" s="31" t="s">
        <v>915</v>
      </c>
      <c r="C38" s="32" t="s">
        <v>61</v>
      </c>
      <c r="D38" s="1" t="s">
        <v>916</v>
      </c>
      <c r="E38" s="1"/>
      <c r="F38" s="1"/>
      <c r="G38" s="1"/>
      <c r="H38" s="1"/>
      <c r="I38" s="1"/>
      <c r="J38" s="1"/>
    </row>
    <row r="39" spans="2:10" ht="15" customHeight="1" x14ac:dyDescent="0.2">
      <c r="B39" s="31" t="s">
        <v>917</v>
      </c>
      <c r="C39" s="32" t="s">
        <v>64</v>
      </c>
      <c r="D39" s="1" t="s">
        <v>918</v>
      </c>
      <c r="E39" s="1"/>
      <c r="F39" s="1"/>
      <c r="G39" s="1"/>
      <c r="H39" s="1"/>
      <c r="I39" s="1"/>
      <c r="J39" s="1"/>
    </row>
    <row r="40" spans="2:10" ht="15" customHeight="1" x14ac:dyDescent="0.2">
      <c r="B40" s="31" t="s">
        <v>919</v>
      </c>
      <c r="C40" s="32" t="s">
        <v>57</v>
      </c>
      <c r="D40" s="1" t="s">
        <v>920</v>
      </c>
      <c r="E40" s="1"/>
      <c r="F40" s="1"/>
      <c r="G40" s="1"/>
      <c r="H40" s="1"/>
      <c r="I40" s="1"/>
      <c r="J40" s="1"/>
    </row>
    <row r="41" spans="2:10" ht="15" customHeight="1" x14ac:dyDescent="0.2">
      <c r="B41" s="31" t="s">
        <v>921</v>
      </c>
      <c r="C41" s="32" t="s">
        <v>59</v>
      </c>
      <c r="D41" s="1" t="s">
        <v>922</v>
      </c>
      <c r="E41" s="1"/>
      <c r="F41" s="1"/>
      <c r="G41" s="1"/>
      <c r="H41" s="1"/>
      <c r="I41" s="1"/>
      <c r="J41" s="1"/>
    </row>
  </sheetData>
  <mergeCells count="9">
    <mergeCell ref="D38:J38"/>
    <mergeCell ref="D39:J39"/>
    <mergeCell ref="D40:J40"/>
    <mergeCell ref="D41:J41"/>
    <mergeCell ref="C3:J3"/>
    <mergeCell ref="C4:J4"/>
    <mergeCell ref="C5:J5"/>
    <mergeCell ref="C6:J6"/>
    <mergeCell ref="C7:J7"/>
  </mergeCells>
  <conditionalFormatting sqref="F10:F35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G10:G35">
    <cfRule type="colorScale" priority="4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H10:H35">
    <cfRule type="colorScale" priority="6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  <cfRule type="colorScale" priority="7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I10:I35">
    <cfRule type="colorScale" priority="8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  <cfRule type="colorScale" priority="9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J10:J35">
    <cfRule type="colorScale" priority="10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  <cfRule type="colorScale" priority="11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399"/>
  <sheetViews>
    <sheetView tabSelected="1" zoomScaleNormal="100" workbookViewId="0"/>
  </sheetViews>
  <sheetFormatPr baseColWidth="10" defaultColWidth="8.83203125" defaultRowHeight="15" x14ac:dyDescent="0.2"/>
  <sheetData>
    <row r="1" spans="1:18" ht="15" customHeight="1" x14ac:dyDescent="0.2">
      <c r="A1" s="3" t="s">
        <v>0</v>
      </c>
      <c r="B1" s="3" t="s">
        <v>652</v>
      </c>
      <c r="C1" s="3" t="s">
        <v>653</v>
      </c>
      <c r="D1" s="3" t="s">
        <v>654</v>
      </c>
      <c r="E1" s="3" t="s">
        <v>923</v>
      </c>
      <c r="F1" s="3" t="s">
        <v>656</v>
      </c>
      <c r="G1" s="3" t="s">
        <v>657</v>
      </c>
      <c r="H1" s="3" t="s">
        <v>658</v>
      </c>
      <c r="I1" s="3" t="s">
        <v>659</v>
      </c>
      <c r="J1" s="3" t="s">
        <v>660</v>
      </c>
      <c r="K1" s="3" t="s">
        <v>661</v>
      </c>
      <c r="L1" s="3" t="s">
        <v>662</v>
      </c>
      <c r="M1" s="3" t="s">
        <v>663</v>
      </c>
      <c r="N1" s="3" t="s">
        <v>664</v>
      </c>
      <c r="O1" s="3" t="s">
        <v>665</v>
      </c>
      <c r="P1" s="3" t="s">
        <v>666</v>
      </c>
      <c r="Q1" s="3" t="s">
        <v>667</v>
      </c>
      <c r="R1" s="3" t="s">
        <v>668</v>
      </c>
    </row>
    <row r="3" spans="1:18" ht="15" customHeight="1" x14ac:dyDescent="0.2">
      <c r="E3" t="s">
        <v>924</v>
      </c>
      <c r="F3" t="s">
        <v>21</v>
      </c>
      <c r="G3" t="s">
        <v>24</v>
      </c>
      <c r="H3" t="s">
        <v>925</v>
      </c>
      <c r="I3" t="s">
        <v>926</v>
      </c>
      <c r="N3" t="s">
        <v>927</v>
      </c>
      <c r="O3" t="s">
        <v>928</v>
      </c>
      <c r="P3" t="s">
        <v>929</v>
      </c>
      <c r="Q3" t="s">
        <v>930</v>
      </c>
      <c r="R3" t="s">
        <v>931</v>
      </c>
    </row>
    <row r="4" spans="1:18" ht="15" customHeight="1" x14ac:dyDescent="0.2">
      <c r="E4" t="s">
        <v>80</v>
      </c>
      <c r="F4" t="s">
        <v>40</v>
      </c>
      <c r="G4" t="s">
        <v>47</v>
      </c>
      <c r="H4">
        <v>0.35714285714285698</v>
      </c>
      <c r="I4">
        <v>0.546875</v>
      </c>
      <c r="M4" t="s">
        <v>50</v>
      </c>
      <c r="N4">
        <v>21.925411892056498</v>
      </c>
      <c r="O4">
        <v>42</v>
      </c>
      <c r="P4">
        <v>0.52203361647753499</v>
      </c>
      <c r="Q4">
        <v>2.2033616477534899E-2</v>
      </c>
      <c r="R4">
        <v>4.4067232955069799E-2</v>
      </c>
    </row>
    <row r="5" spans="1:18" ht="15" customHeight="1" x14ac:dyDescent="0.2">
      <c r="E5" t="s">
        <v>80</v>
      </c>
      <c r="F5" t="s">
        <v>41</v>
      </c>
      <c r="G5" t="s">
        <v>48</v>
      </c>
      <c r="H5">
        <v>0.5546875</v>
      </c>
      <c r="I5">
        <v>0.47321428571428598</v>
      </c>
      <c r="M5" t="s">
        <v>44</v>
      </c>
      <c r="N5">
        <v>21.8272246922342</v>
      </c>
      <c r="O5">
        <v>42</v>
      </c>
      <c r="P5">
        <v>0.51969582600557596</v>
      </c>
      <c r="Q5">
        <v>1.9695826005576001E-2</v>
      </c>
      <c r="R5">
        <v>3.9391652011151898E-2</v>
      </c>
    </row>
    <row r="6" spans="1:18" ht="15" customHeight="1" x14ac:dyDescent="0.2">
      <c r="E6" t="s">
        <v>80</v>
      </c>
      <c r="F6" t="s">
        <v>50</v>
      </c>
      <c r="G6" t="s">
        <v>42</v>
      </c>
      <c r="H6">
        <v>0.6171875</v>
      </c>
      <c r="I6">
        <v>0.59523809523809501</v>
      </c>
      <c r="M6" t="s">
        <v>42</v>
      </c>
      <c r="N6">
        <v>22.1613143027059</v>
      </c>
      <c r="O6">
        <v>42</v>
      </c>
      <c r="P6">
        <v>0.52765034054061699</v>
      </c>
      <c r="Q6">
        <v>2.7650340540617099E-2</v>
      </c>
      <c r="R6">
        <v>5.5300681081234197E-2</v>
      </c>
    </row>
    <row r="7" spans="1:18" ht="15" customHeight="1" x14ac:dyDescent="0.2">
      <c r="E7" t="s">
        <v>80</v>
      </c>
      <c r="F7" t="s">
        <v>51</v>
      </c>
      <c r="G7" t="s">
        <v>43</v>
      </c>
      <c r="H7">
        <v>0.48611111111111099</v>
      </c>
      <c r="I7">
        <v>0.3</v>
      </c>
      <c r="M7" t="s">
        <v>60</v>
      </c>
      <c r="N7">
        <v>17.9719863647788</v>
      </c>
      <c r="O7">
        <v>32</v>
      </c>
      <c r="P7">
        <v>0.56162457389933695</v>
      </c>
      <c r="Q7">
        <v>6.1624573899337197E-2</v>
      </c>
      <c r="R7">
        <v>0.12324914779867401</v>
      </c>
    </row>
    <row r="8" spans="1:18" ht="15" customHeight="1" x14ac:dyDescent="0.2">
      <c r="E8" t="s">
        <v>80</v>
      </c>
      <c r="F8" t="s">
        <v>44</v>
      </c>
      <c r="G8" t="s">
        <v>46</v>
      </c>
      <c r="H8">
        <v>0.38392857142857201</v>
      </c>
      <c r="I8">
        <v>0.4296875</v>
      </c>
      <c r="M8" t="s">
        <v>45</v>
      </c>
      <c r="N8">
        <v>20.159660293678499</v>
      </c>
      <c r="O8">
        <v>42</v>
      </c>
      <c r="P8">
        <v>0.47999191175424899</v>
      </c>
      <c r="Q8">
        <v>-2.0008088245751E-2</v>
      </c>
      <c r="R8">
        <v>-4.0016176491501902E-2</v>
      </c>
    </row>
    <row r="9" spans="1:18" ht="15" customHeight="1" x14ac:dyDescent="0.2">
      <c r="E9" t="s">
        <v>80</v>
      </c>
      <c r="F9" t="s">
        <v>45</v>
      </c>
      <c r="G9" t="s">
        <v>651</v>
      </c>
      <c r="H9">
        <v>0.42105263157894701</v>
      </c>
      <c r="I9">
        <v>0.59375</v>
      </c>
      <c r="M9" t="s">
        <v>651</v>
      </c>
      <c r="N9">
        <v>18.015283344001901</v>
      </c>
      <c r="O9">
        <v>37</v>
      </c>
      <c r="P9">
        <v>0.48689954983789002</v>
      </c>
      <c r="Q9">
        <v>-1.310045016211E-2</v>
      </c>
      <c r="R9">
        <v>-2.6200900324220101E-2</v>
      </c>
    </row>
    <row r="10" spans="1:18" ht="15" customHeight="1" x14ac:dyDescent="0.2">
      <c r="E10" t="s">
        <v>80</v>
      </c>
      <c r="F10" t="s">
        <v>40</v>
      </c>
      <c r="G10" t="s">
        <v>47</v>
      </c>
      <c r="H10">
        <v>0.35714285714285698</v>
      </c>
      <c r="I10">
        <v>0.546875</v>
      </c>
      <c r="M10" t="s">
        <v>61</v>
      </c>
      <c r="N10">
        <v>15.619690867352</v>
      </c>
      <c r="O10">
        <v>32</v>
      </c>
      <c r="P10">
        <v>0.48811533960475001</v>
      </c>
      <c r="Q10">
        <v>-1.18846603952501E-2</v>
      </c>
      <c r="R10">
        <v>-2.37693207905002E-2</v>
      </c>
    </row>
    <row r="11" spans="1:18" ht="15" customHeight="1" x14ac:dyDescent="0.2">
      <c r="E11" t="s">
        <v>80</v>
      </c>
      <c r="F11" t="s">
        <v>41</v>
      </c>
      <c r="G11" t="s">
        <v>48</v>
      </c>
      <c r="H11">
        <v>0.5546875</v>
      </c>
      <c r="I11">
        <v>0.47321428571428598</v>
      </c>
      <c r="M11" t="s">
        <v>59</v>
      </c>
      <c r="N11">
        <v>11.213816674454501</v>
      </c>
      <c r="O11">
        <v>21</v>
      </c>
      <c r="P11">
        <v>0.53399127021211901</v>
      </c>
      <c r="Q11">
        <v>3.3991270212119E-2</v>
      </c>
      <c r="R11">
        <v>6.7982540424238E-2</v>
      </c>
    </row>
    <row r="12" spans="1:18" ht="15" customHeight="1" x14ac:dyDescent="0.2">
      <c r="E12" t="s">
        <v>80</v>
      </c>
      <c r="F12" t="s">
        <v>50</v>
      </c>
      <c r="G12" t="s">
        <v>42</v>
      </c>
      <c r="H12">
        <v>0.6171875</v>
      </c>
      <c r="I12">
        <v>0.59523809523809501</v>
      </c>
      <c r="M12" t="s">
        <v>52</v>
      </c>
      <c r="N12">
        <v>19.649299046507799</v>
      </c>
      <c r="O12">
        <v>38</v>
      </c>
      <c r="P12">
        <v>0.51708681701336301</v>
      </c>
      <c r="Q12">
        <v>1.7086817013363099E-2</v>
      </c>
      <c r="R12">
        <v>3.4173634026726199E-2</v>
      </c>
    </row>
    <row r="13" spans="1:18" ht="15" customHeight="1" x14ac:dyDescent="0.2">
      <c r="E13" t="s">
        <v>80</v>
      </c>
      <c r="F13" t="s">
        <v>51</v>
      </c>
      <c r="G13" t="s">
        <v>43</v>
      </c>
      <c r="H13">
        <v>0.48611111111111099</v>
      </c>
      <c r="I13">
        <v>0.3</v>
      </c>
      <c r="M13" t="s">
        <v>55</v>
      </c>
      <c r="N13">
        <v>18.6490972570111</v>
      </c>
      <c r="O13">
        <v>38</v>
      </c>
      <c r="P13">
        <v>0.49076571728976598</v>
      </c>
      <c r="Q13">
        <v>-9.2342827102336305E-3</v>
      </c>
      <c r="R13">
        <v>-1.8468565420467299E-2</v>
      </c>
    </row>
    <row r="14" spans="1:18" ht="15" customHeight="1" x14ac:dyDescent="0.2">
      <c r="E14" t="s">
        <v>80</v>
      </c>
      <c r="F14" t="s">
        <v>44</v>
      </c>
      <c r="G14" t="s">
        <v>46</v>
      </c>
      <c r="H14">
        <v>0.38392857142857201</v>
      </c>
      <c r="I14">
        <v>0.4296875</v>
      </c>
      <c r="M14" t="s">
        <v>53</v>
      </c>
      <c r="N14">
        <v>17.903747294372302</v>
      </c>
      <c r="O14">
        <v>36</v>
      </c>
      <c r="P14">
        <v>0.49732631373256397</v>
      </c>
      <c r="Q14">
        <v>-2.67368626743625E-3</v>
      </c>
      <c r="R14">
        <v>-5.3473725348725E-3</v>
      </c>
    </row>
    <row r="15" spans="1:18" ht="15" customHeight="1" x14ac:dyDescent="0.2">
      <c r="E15" t="s">
        <v>80</v>
      </c>
      <c r="F15" t="s">
        <v>45</v>
      </c>
      <c r="G15" t="s">
        <v>651</v>
      </c>
      <c r="H15">
        <v>0.42105263157894701</v>
      </c>
      <c r="I15">
        <v>0.59375</v>
      </c>
      <c r="M15" t="s">
        <v>40</v>
      </c>
      <c r="N15">
        <v>20.982182449977699</v>
      </c>
      <c r="O15">
        <v>42</v>
      </c>
      <c r="P15">
        <v>0.49957577261851599</v>
      </c>
      <c r="Q15">
        <v>-4.2422738148417699E-4</v>
      </c>
      <c r="R15">
        <v>-8.4845476296835397E-4</v>
      </c>
    </row>
    <row r="16" spans="1:18" ht="15" customHeight="1" x14ac:dyDescent="0.2">
      <c r="E16" t="s">
        <v>80</v>
      </c>
      <c r="F16" t="s">
        <v>51</v>
      </c>
      <c r="G16" t="s">
        <v>43</v>
      </c>
      <c r="H16">
        <v>0.48611111111111099</v>
      </c>
      <c r="I16">
        <v>0.3</v>
      </c>
      <c r="M16" t="s">
        <v>47</v>
      </c>
      <c r="N16">
        <v>7.8906696991602301</v>
      </c>
      <c r="O16">
        <v>16</v>
      </c>
      <c r="P16">
        <v>0.49316685619751499</v>
      </c>
      <c r="Q16">
        <v>-6.8331438024855102E-3</v>
      </c>
      <c r="R16">
        <v>-1.3666287604971E-2</v>
      </c>
    </row>
    <row r="17" spans="5:18" ht="15" customHeight="1" x14ac:dyDescent="0.2">
      <c r="E17" t="s">
        <v>80</v>
      </c>
      <c r="F17" t="s">
        <v>40</v>
      </c>
      <c r="G17" t="s">
        <v>47</v>
      </c>
      <c r="H17">
        <v>0.35714285714285698</v>
      </c>
      <c r="I17">
        <v>0.546875</v>
      </c>
      <c r="M17" t="s">
        <v>62</v>
      </c>
      <c r="N17">
        <v>14.694008249469301</v>
      </c>
      <c r="O17">
        <v>30</v>
      </c>
      <c r="P17">
        <v>0.48980027498231099</v>
      </c>
      <c r="Q17">
        <v>-1.01997250176889E-2</v>
      </c>
      <c r="R17">
        <v>-2.0399450035377801E-2</v>
      </c>
    </row>
    <row r="18" spans="5:18" ht="15" customHeight="1" x14ac:dyDescent="0.2">
      <c r="E18" t="s">
        <v>80</v>
      </c>
      <c r="F18" t="s">
        <v>41</v>
      </c>
      <c r="G18" t="s">
        <v>48</v>
      </c>
      <c r="H18">
        <v>0.5546875</v>
      </c>
      <c r="I18">
        <v>0.47321428571428598</v>
      </c>
      <c r="M18" t="s">
        <v>46</v>
      </c>
      <c r="N18">
        <v>17.566201165232901</v>
      </c>
      <c r="O18">
        <v>38</v>
      </c>
      <c r="P18">
        <v>0.46226845171665498</v>
      </c>
      <c r="Q18">
        <v>-3.7731548283345399E-2</v>
      </c>
      <c r="R18">
        <v>-7.5463096566690702E-2</v>
      </c>
    </row>
    <row r="19" spans="5:18" ht="15" customHeight="1" x14ac:dyDescent="0.2">
      <c r="E19" t="s">
        <v>80</v>
      </c>
      <c r="F19" t="s">
        <v>50</v>
      </c>
      <c r="G19" t="s">
        <v>42</v>
      </c>
      <c r="H19">
        <v>0.6171875</v>
      </c>
      <c r="I19">
        <v>0.59523809523809501</v>
      </c>
      <c r="M19" t="s">
        <v>58</v>
      </c>
      <c r="N19">
        <v>13.7437770562771</v>
      </c>
      <c r="O19">
        <v>26</v>
      </c>
      <c r="P19">
        <v>0.52860680985680997</v>
      </c>
      <c r="Q19">
        <v>2.8606809856809901E-2</v>
      </c>
      <c r="R19">
        <v>5.7213619713619698E-2</v>
      </c>
    </row>
    <row r="20" spans="5:18" ht="15" customHeight="1" x14ac:dyDescent="0.2">
      <c r="E20" t="s">
        <v>80</v>
      </c>
      <c r="F20" t="s">
        <v>45</v>
      </c>
      <c r="G20" t="s">
        <v>651</v>
      </c>
      <c r="H20">
        <v>0.42105263157894701</v>
      </c>
      <c r="I20">
        <v>0.59375</v>
      </c>
      <c r="M20" t="s">
        <v>41</v>
      </c>
      <c r="N20">
        <v>19.4840873545336</v>
      </c>
      <c r="O20">
        <v>38</v>
      </c>
      <c r="P20">
        <v>0.51273914090877803</v>
      </c>
      <c r="Q20">
        <v>1.27391409087782E-2</v>
      </c>
      <c r="R20">
        <v>2.5478281817556299E-2</v>
      </c>
    </row>
    <row r="21" spans="5:18" ht="15" customHeight="1" x14ac:dyDescent="0.2">
      <c r="E21" t="s">
        <v>80</v>
      </c>
      <c r="F21" t="s">
        <v>44</v>
      </c>
      <c r="G21" t="s">
        <v>46</v>
      </c>
      <c r="H21">
        <v>0.38392857142857201</v>
      </c>
      <c r="I21">
        <v>0.4296875</v>
      </c>
      <c r="M21" t="s">
        <v>48</v>
      </c>
      <c r="N21">
        <v>20.1253515860931</v>
      </c>
      <c r="O21">
        <v>42</v>
      </c>
      <c r="P21">
        <v>0.47917503776412201</v>
      </c>
      <c r="Q21">
        <v>-2.0824962235877702E-2</v>
      </c>
      <c r="R21">
        <v>-4.1649924471755403E-2</v>
      </c>
    </row>
    <row r="22" spans="5:18" ht="15" customHeight="1" x14ac:dyDescent="0.2">
      <c r="E22" t="s">
        <v>80</v>
      </c>
      <c r="F22" t="s">
        <v>51</v>
      </c>
      <c r="G22" t="s">
        <v>43</v>
      </c>
      <c r="H22">
        <v>0.48611111111111099</v>
      </c>
      <c r="I22">
        <v>0.3</v>
      </c>
      <c r="M22" t="s">
        <v>63</v>
      </c>
      <c r="N22">
        <v>8.6223631996658305</v>
      </c>
      <c r="O22">
        <v>17</v>
      </c>
      <c r="P22">
        <v>0.50719783527446105</v>
      </c>
      <c r="Q22">
        <v>7.1978352744606101E-3</v>
      </c>
      <c r="R22">
        <v>1.4395670548921199E-2</v>
      </c>
    </row>
    <row r="23" spans="5:18" ht="15" customHeight="1" x14ac:dyDescent="0.2">
      <c r="E23" t="s">
        <v>80</v>
      </c>
      <c r="F23" t="s">
        <v>40</v>
      </c>
      <c r="G23" t="s">
        <v>47</v>
      </c>
      <c r="H23">
        <v>0.35714285714285698</v>
      </c>
      <c r="I23">
        <v>0.546875</v>
      </c>
      <c r="M23" t="s">
        <v>54</v>
      </c>
      <c r="N23">
        <v>19.235318095478501</v>
      </c>
      <c r="O23">
        <v>39</v>
      </c>
      <c r="P23">
        <v>0.49321328449944801</v>
      </c>
      <c r="Q23">
        <v>-6.7867155005524298E-3</v>
      </c>
      <c r="R23">
        <v>-1.35734310011049E-2</v>
      </c>
    </row>
    <row r="24" spans="5:18" ht="15" customHeight="1" x14ac:dyDescent="0.2">
      <c r="E24" t="s">
        <v>80</v>
      </c>
      <c r="F24" t="s">
        <v>41</v>
      </c>
      <c r="G24" t="s">
        <v>48</v>
      </c>
      <c r="H24">
        <v>0.5546875</v>
      </c>
      <c r="I24">
        <v>0.47321428571428598</v>
      </c>
      <c r="M24" t="s">
        <v>57</v>
      </c>
      <c r="N24">
        <v>8.5521736013763192</v>
      </c>
      <c r="O24">
        <v>21</v>
      </c>
      <c r="P24">
        <v>0.40724636197030101</v>
      </c>
      <c r="Q24">
        <v>-9.2753638029698895E-2</v>
      </c>
      <c r="R24">
        <v>-0.18550727605939801</v>
      </c>
    </row>
    <row r="25" spans="5:18" ht="15" customHeight="1" x14ac:dyDescent="0.2">
      <c r="E25" t="s">
        <v>80</v>
      </c>
      <c r="F25" t="s">
        <v>50</v>
      </c>
      <c r="G25" t="s">
        <v>42</v>
      </c>
      <c r="H25">
        <v>0.6171875</v>
      </c>
      <c r="I25">
        <v>0.59523809523809501</v>
      </c>
      <c r="M25" t="s">
        <v>43</v>
      </c>
      <c r="N25">
        <v>9.7278810992877602</v>
      </c>
      <c r="O25">
        <v>21</v>
      </c>
      <c r="P25">
        <v>0.46323243329941699</v>
      </c>
      <c r="Q25">
        <v>-3.6767566700582698E-2</v>
      </c>
      <c r="R25">
        <v>-7.3535133401165395E-2</v>
      </c>
    </row>
    <row r="26" spans="5:18" ht="15" customHeight="1" x14ac:dyDescent="0.2">
      <c r="E26" t="s">
        <v>80</v>
      </c>
      <c r="F26" t="s">
        <v>45</v>
      </c>
      <c r="G26" t="s">
        <v>651</v>
      </c>
      <c r="H26">
        <v>0.42105263157894701</v>
      </c>
      <c r="I26">
        <v>0.59375</v>
      </c>
      <c r="M26" t="s">
        <v>56</v>
      </c>
      <c r="N26">
        <v>5.0769774011299402</v>
      </c>
      <c r="O26">
        <v>12</v>
      </c>
      <c r="P26">
        <v>0.42308145009416198</v>
      </c>
      <c r="Q26">
        <v>-7.6918549905838102E-2</v>
      </c>
      <c r="R26">
        <v>-0.15383709981167601</v>
      </c>
    </row>
    <row r="27" spans="5:18" ht="15" customHeight="1" x14ac:dyDescent="0.2">
      <c r="E27" t="s">
        <v>80</v>
      </c>
      <c r="F27" t="s">
        <v>44</v>
      </c>
      <c r="G27" t="s">
        <v>46</v>
      </c>
      <c r="H27">
        <v>0.38392857142857201</v>
      </c>
      <c r="I27">
        <v>0.4296875</v>
      </c>
      <c r="M27" t="s">
        <v>51</v>
      </c>
      <c r="N27">
        <v>1.94444444444444</v>
      </c>
      <c r="O27">
        <v>4</v>
      </c>
      <c r="P27">
        <v>0.48611111111111099</v>
      </c>
      <c r="Q27">
        <v>-1.38888888888889E-2</v>
      </c>
      <c r="R27">
        <v>-2.7777777777777801E-2</v>
      </c>
    </row>
    <row r="28" spans="5:18" ht="15" customHeight="1" x14ac:dyDescent="0.2">
      <c r="E28" t="s">
        <v>80</v>
      </c>
      <c r="F28" t="s">
        <v>40</v>
      </c>
      <c r="G28" t="s">
        <v>42</v>
      </c>
      <c r="H28">
        <v>0.6171875</v>
      </c>
      <c r="I28">
        <v>0.546875</v>
      </c>
      <c r="M28" t="s">
        <v>64</v>
      </c>
      <c r="N28">
        <v>5.1561079605794102</v>
      </c>
      <c r="O28">
        <v>10</v>
      </c>
      <c r="P28">
        <v>0.51561079605794102</v>
      </c>
      <c r="Q28">
        <v>1.56107960579414E-2</v>
      </c>
      <c r="R28">
        <v>3.1221592115882699E-2</v>
      </c>
    </row>
    <row r="29" spans="5:18" ht="15" customHeight="1" x14ac:dyDescent="0.2">
      <c r="E29" t="s">
        <v>80</v>
      </c>
      <c r="F29" t="s">
        <v>57</v>
      </c>
      <c r="G29" t="s">
        <v>54</v>
      </c>
      <c r="H29">
        <v>0.37288135593220301</v>
      </c>
      <c r="I29">
        <v>0.44827586206896602</v>
      </c>
      <c r="M29" t="s">
        <v>65</v>
      </c>
      <c r="N29">
        <v>1.6099624060150399</v>
      </c>
      <c r="O29">
        <v>4</v>
      </c>
      <c r="P29">
        <v>0.40249060150375898</v>
      </c>
      <c r="Q29">
        <v>-9.7509398496240601E-2</v>
      </c>
      <c r="R29">
        <v>-0.19501879699248101</v>
      </c>
    </row>
    <row r="30" spans="5:18" ht="15" customHeight="1" x14ac:dyDescent="0.2">
      <c r="E30" t="s">
        <v>80</v>
      </c>
      <c r="F30" t="s">
        <v>50</v>
      </c>
      <c r="G30" t="s">
        <v>56</v>
      </c>
      <c r="H30">
        <v>0.5</v>
      </c>
      <c r="I30">
        <v>0.59523809523809501</v>
      </c>
      <c r="M30" t="s">
        <v>66</v>
      </c>
      <c r="N30">
        <v>6.1871925530878604</v>
      </c>
      <c r="O30">
        <v>13</v>
      </c>
      <c r="P30">
        <v>0.475937888699066</v>
      </c>
      <c r="Q30">
        <v>-2.4062111300933602E-2</v>
      </c>
      <c r="R30">
        <v>-4.8124222601867203E-2</v>
      </c>
    </row>
    <row r="31" spans="5:18" ht="15" customHeight="1" x14ac:dyDescent="0.2">
      <c r="E31" t="s">
        <v>80</v>
      </c>
      <c r="F31" t="s">
        <v>44</v>
      </c>
      <c r="G31" t="s">
        <v>53</v>
      </c>
      <c r="H31">
        <v>0.59649122807017496</v>
      </c>
      <c r="I31">
        <v>0.4296875</v>
      </c>
      <c r="M31" t="s">
        <v>67</v>
      </c>
      <c r="N31">
        <v>4.3050595238095202</v>
      </c>
      <c r="O31">
        <v>8</v>
      </c>
      <c r="P31">
        <v>0.53813244047619102</v>
      </c>
      <c r="Q31">
        <v>3.81324404761905E-2</v>
      </c>
      <c r="R31">
        <v>7.6264880952380903E-2</v>
      </c>
    </row>
    <row r="32" spans="5:18" ht="15" customHeight="1" x14ac:dyDescent="0.2">
      <c r="E32" t="s">
        <v>80</v>
      </c>
      <c r="F32" t="s">
        <v>45</v>
      </c>
      <c r="G32" t="s">
        <v>52</v>
      </c>
      <c r="H32">
        <v>0.34745762711864397</v>
      </c>
      <c r="I32">
        <v>0.59375</v>
      </c>
      <c r="M32" t="s">
        <v>68</v>
      </c>
      <c r="N32">
        <v>2.109375</v>
      </c>
      <c r="O32">
        <v>4</v>
      </c>
      <c r="P32">
        <v>0.52734375</v>
      </c>
      <c r="Q32">
        <v>2.734375E-2</v>
      </c>
      <c r="R32">
        <v>5.46875E-2</v>
      </c>
    </row>
    <row r="33" spans="5:18" ht="15" customHeight="1" x14ac:dyDescent="0.2">
      <c r="E33" t="s">
        <v>80</v>
      </c>
      <c r="F33" t="s">
        <v>55</v>
      </c>
      <c r="G33" t="s">
        <v>46</v>
      </c>
      <c r="H33">
        <v>0.38392857142857201</v>
      </c>
      <c r="I33">
        <v>0.44067796610169502</v>
      </c>
      <c r="M33" t="s">
        <v>69</v>
      </c>
      <c r="N33">
        <v>2.7077448210922799</v>
      </c>
      <c r="O33">
        <v>5</v>
      </c>
      <c r="P33">
        <v>0.541548964218456</v>
      </c>
      <c r="Q33">
        <v>4.1548964218455699E-2</v>
      </c>
      <c r="R33">
        <v>8.30979284369113E-2</v>
      </c>
    </row>
    <row r="34" spans="5:18" ht="15" customHeight="1" x14ac:dyDescent="0.2">
      <c r="E34" t="s">
        <v>80</v>
      </c>
      <c r="F34" t="s">
        <v>47</v>
      </c>
      <c r="G34" t="s">
        <v>651</v>
      </c>
      <c r="H34">
        <v>0.42105263157894701</v>
      </c>
      <c r="I34">
        <v>0.35714285714285698</v>
      </c>
    </row>
    <row r="35" spans="5:18" ht="15" customHeight="1" x14ac:dyDescent="0.2">
      <c r="E35" t="s">
        <v>80</v>
      </c>
      <c r="F35" t="s">
        <v>41</v>
      </c>
      <c r="G35" t="s">
        <v>48</v>
      </c>
      <c r="H35">
        <v>0.5546875</v>
      </c>
      <c r="I35">
        <v>0.47321428571428598</v>
      </c>
    </row>
    <row r="36" spans="5:18" ht="15" customHeight="1" x14ac:dyDescent="0.2">
      <c r="E36" t="s">
        <v>80</v>
      </c>
      <c r="F36" t="s">
        <v>40</v>
      </c>
      <c r="G36" t="s">
        <v>42</v>
      </c>
      <c r="H36">
        <v>0.6171875</v>
      </c>
      <c r="I36">
        <v>0.546875</v>
      </c>
    </row>
    <row r="37" spans="5:18" ht="15" customHeight="1" x14ac:dyDescent="0.2">
      <c r="E37" t="s">
        <v>80</v>
      </c>
      <c r="F37" t="s">
        <v>57</v>
      </c>
      <c r="G37" t="s">
        <v>54</v>
      </c>
      <c r="H37">
        <v>0.37288135593220301</v>
      </c>
      <c r="I37">
        <v>0.44827586206896602</v>
      </c>
    </row>
    <row r="38" spans="5:18" ht="15" customHeight="1" x14ac:dyDescent="0.2">
      <c r="E38" t="s">
        <v>80</v>
      </c>
      <c r="F38" t="s">
        <v>50</v>
      </c>
      <c r="G38" t="s">
        <v>56</v>
      </c>
      <c r="H38">
        <v>0.5</v>
      </c>
      <c r="I38">
        <v>0.59523809523809501</v>
      </c>
    </row>
    <row r="39" spans="5:18" ht="15" customHeight="1" x14ac:dyDescent="0.2">
      <c r="E39" t="s">
        <v>80</v>
      </c>
      <c r="F39" t="s">
        <v>44</v>
      </c>
      <c r="G39" t="s">
        <v>53</v>
      </c>
      <c r="H39">
        <v>0.59649122807017496</v>
      </c>
      <c r="I39">
        <v>0.4296875</v>
      </c>
    </row>
    <row r="40" spans="5:18" ht="15" customHeight="1" x14ac:dyDescent="0.2">
      <c r="E40" t="s">
        <v>80</v>
      </c>
      <c r="F40" t="s">
        <v>45</v>
      </c>
      <c r="G40" t="s">
        <v>52</v>
      </c>
      <c r="H40">
        <v>0.34745762711864397</v>
      </c>
      <c r="I40">
        <v>0.59375</v>
      </c>
    </row>
    <row r="41" spans="5:18" ht="15" customHeight="1" x14ac:dyDescent="0.2">
      <c r="E41" t="s">
        <v>80</v>
      </c>
      <c r="F41" t="s">
        <v>55</v>
      </c>
      <c r="G41" t="s">
        <v>46</v>
      </c>
      <c r="H41">
        <v>0.38392857142857201</v>
      </c>
      <c r="I41">
        <v>0.44067796610169502</v>
      </c>
    </row>
    <row r="42" spans="5:18" ht="15" customHeight="1" x14ac:dyDescent="0.2">
      <c r="E42" t="s">
        <v>80</v>
      </c>
      <c r="F42" t="s">
        <v>47</v>
      </c>
      <c r="G42" t="s">
        <v>651</v>
      </c>
      <c r="H42">
        <v>0.42105263157894701</v>
      </c>
      <c r="I42">
        <v>0.35714285714285698</v>
      </c>
    </row>
    <row r="43" spans="5:18" ht="15" customHeight="1" x14ac:dyDescent="0.2">
      <c r="E43" t="s">
        <v>80</v>
      </c>
      <c r="F43" t="s">
        <v>41</v>
      </c>
      <c r="G43" t="s">
        <v>48</v>
      </c>
      <c r="H43">
        <v>0.5546875</v>
      </c>
      <c r="I43">
        <v>0.47321428571428598</v>
      </c>
    </row>
    <row r="44" spans="5:18" ht="15" customHeight="1" x14ac:dyDescent="0.2">
      <c r="E44" t="s">
        <v>80</v>
      </c>
      <c r="F44" t="s">
        <v>53</v>
      </c>
      <c r="G44" t="s">
        <v>48</v>
      </c>
      <c r="H44">
        <v>0.5546875</v>
      </c>
      <c r="I44">
        <v>0.59649122807017496</v>
      </c>
    </row>
    <row r="45" spans="5:18" ht="15" customHeight="1" x14ac:dyDescent="0.2">
      <c r="E45" t="s">
        <v>80</v>
      </c>
      <c r="F45" t="s">
        <v>55</v>
      </c>
      <c r="G45" t="s">
        <v>50</v>
      </c>
      <c r="H45">
        <v>0.59523809523809501</v>
      </c>
      <c r="I45">
        <v>0.44067796610169502</v>
      </c>
    </row>
    <row r="46" spans="5:18" ht="15" customHeight="1" x14ac:dyDescent="0.2">
      <c r="E46" t="s">
        <v>80</v>
      </c>
      <c r="F46" t="s">
        <v>54</v>
      </c>
      <c r="G46" t="s">
        <v>56</v>
      </c>
      <c r="H46">
        <v>0.5</v>
      </c>
      <c r="I46">
        <v>0.37288135593220301</v>
      </c>
    </row>
    <row r="47" spans="5:18" ht="15" customHeight="1" x14ac:dyDescent="0.2">
      <c r="E47" t="s">
        <v>80</v>
      </c>
      <c r="F47" t="s">
        <v>45</v>
      </c>
      <c r="G47" t="s">
        <v>42</v>
      </c>
      <c r="H47">
        <v>0.6171875</v>
      </c>
      <c r="I47">
        <v>0.59375</v>
      </c>
    </row>
    <row r="48" spans="5:18" ht="15" customHeight="1" x14ac:dyDescent="0.2">
      <c r="E48" t="s">
        <v>80</v>
      </c>
      <c r="F48" t="s">
        <v>44</v>
      </c>
      <c r="G48" t="s">
        <v>41</v>
      </c>
      <c r="H48">
        <v>0.47321428571428598</v>
      </c>
      <c r="I48">
        <v>0.4296875</v>
      </c>
    </row>
    <row r="49" spans="5:9" ht="15" customHeight="1" x14ac:dyDescent="0.2">
      <c r="E49" t="s">
        <v>80</v>
      </c>
      <c r="F49" t="s">
        <v>57</v>
      </c>
      <c r="G49" t="s">
        <v>47</v>
      </c>
      <c r="H49">
        <v>0.35714285714285698</v>
      </c>
      <c r="I49">
        <v>0.44827586206896602</v>
      </c>
    </row>
    <row r="50" spans="5:9" ht="15" customHeight="1" x14ac:dyDescent="0.2">
      <c r="E50" t="s">
        <v>80</v>
      </c>
      <c r="F50" t="s">
        <v>46</v>
      </c>
      <c r="G50" t="s">
        <v>651</v>
      </c>
      <c r="H50">
        <v>0.42105263157894701</v>
      </c>
      <c r="I50">
        <v>0.38392857142857201</v>
      </c>
    </row>
    <row r="51" spans="5:9" ht="15" customHeight="1" x14ac:dyDescent="0.2">
      <c r="E51" t="s">
        <v>80</v>
      </c>
      <c r="F51" t="s">
        <v>52</v>
      </c>
      <c r="G51" t="s">
        <v>40</v>
      </c>
      <c r="H51">
        <v>0.546875</v>
      </c>
      <c r="I51">
        <v>0.34745762711864397</v>
      </c>
    </row>
    <row r="52" spans="5:9" ht="15" customHeight="1" x14ac:dyDescent="0.2">
      <c r="E52" t="s">
        <v>80</v>
      </c>
      <c r="F52" t="s">
        <v>53</v>
      </c>
      <c r="G52" t="s">
        <v>48</v>
      </c>
      <c r="H52">
        <v>0.5546875</v>
      </c>
      <c r="I52">
        <v>0.59649122807017496</v>
      </c>
    </row>
    <row r="53" spans="5:9" ht="15" customHeight="1" x14ac:dyDescent="0.2">
      <c r="E53" t="s">
        <v>80</v>
      </c>
      <c r="F53" t="s">
        <v>55</v>
      </c>
      <c r="G53" t="s">
        <v>50</v>
      </c>
      <c r="H53">
        <v>0.59523809523809501</v>
      </c>
      <c r="I53">
        <v>0.44067796610169502</v>
      </c>
    </row>
    <row r="54" spans="5:9" ht="15" customHeight="1" x14ac:dyDescent="0.2">
      <c r="E54" t="s">
        <v>80</v>
      </c>
      <c r="F54" t="s">
        <v>54</v>
      </c>
      <c r="G54" t="s">
        <v>56</v>
      </c>
      <c r="H54">
        <v>0.5</v>
      </c>
      <c r="I54">
        <v>0.37288135593220301</v>
      </c>
    </row>
    <row r="55" spans="5:9" ht="15" customHeight="1" x14ac:dyDescent="0.2">
      <c r="E55" t="s">
        <v>80</v>
      </c>
      <c r="F55" t="s">
        <v>45</v>
      </c>
      <c r="G55" t="s">
        <v>42</v>
      </c>
      <c r="H55">
        <v>0.6171875</v>
      </c>
      <c r="I55">
        <v>0.59375</v>
      </c>
    </row>
    <row r="56" spans="5:9" ht="15" customHeight="1" x14ac:dyDescent="0.2">
      <c r="E56" t="s">
        <v>80</v>
      </c>
      <c r="F56" t="s">
        <v>44</v>
      </c>
      <c r="G56" t="s">
        <v>41</v>
      </c>
      <c r="H56">
        <v>0.47321428571428598</v>
      </c>
      <c r="I56">
        <v>0.4296875</v>
      </c>
    </row>
    <row r="57" spans="5:9" ht="15" customHeight="1" x14ac:dyDescent="0.2">
      <c r="E57" t="s">
        <v>80</v>
      </c>
      <c r="F57" t="s">
        <v>57</v>
      </c>
      <c r="G57" t="s">
        <v>47</v>
      </c>
      <c r="H57">
        <v>0.35714285714285698</v>
      </c>
      <c r="I57">
        <v>0.44827586206896602</v>
      </c>
    </row>
    <row r="58" spans="5:9" ht="15" customHeight="1" x14ac:dyDescent="0.2">
      <c r="E58" t="s">
        <v>80</v>
      </c>
      <c r="F58" t="s">
        <v>46</v>
      </c>
      <c r="G58" t="s">
        <v>651</v>
      </c>
      <c r="H58">
        <v>0.42105263157894701</v>
      </c>
      <c r="I58">
        <v>0.38392857142857201</v>
      </c>
    </row>
    <row r="59" spans="5:9" ht="15" customHeight="1" x14ac:dyDescent="0.2">
      <c r="E59" t="s">
        <v>80</v>
      </c>
      <c r="F59" t="s">
        <v>52</v>
      </c>
      <c r="G59" t="s">
        <v>40</v>
      </c>
      <c r="H59">
        <v>0.546875</v>
      </c>
      <c r="I59">
        <v>0.34745762711864397</v>
      </c>
    </row>
    <row r="60" spans="5:9" ht="15" customHeight="1" x14ac:dyDescent="0.2">
      <c r="E60" t="s">
        <v>80</v>
      </c>
      <c r="F60" t="s">
        <v>50</v>
      </c>
      <c r="G60" t="s">
        <v>651</v>
      </c>
      <c r="H60">
        <v>0.42105263157894701</v>
      </c>
      <c r="I60">
        <v>0.59523809523809501</v>
      </c>
    </row>
    <row r="61" spans="5:9" ht="15" customHeight="1" x14ac:dyDescent="0.2">
      <c r="E61" t="s">
        <v>80</v>
      </c>
      <c r="F61" t="s">
        <v>45</v>
      </c>
      <c r="G61" t="s">
        <v>41</v>
      </c>
      <c r="H61">
        <v>0.47321428571428598</v>
      </c>
      <c r="I61">
        <v>0.59375</v>
      </c>
    </row>
    <row r="62" spans="5:9" ht="15" customHeight="1" x14ac:dyDescent="0.2">
      <c r="E62" t="s">
        <v>80</v>
      </c>
      <c r="F62" t="s">
        <v>54</v>
      </c>
      <c r="G62" t="s">
        <v>56</v>
      </c>
      <c r="H62">
        <v>0.5</v>
      </c>
      <c r="I62">
        <v>0.37288135593220301</v>
      </c>
    </row>
    <row r="63" spans="5:9" ht="15" customHeight="1" x14ac:dyDescent="0.2">
      <c r="E63" t="s">
        <v>80</v>
      </c>
      <c r="F63" t="s">
        <v>40</v>
      </c>
      <c r="G63" t="s">
        <v>42</v>
      </c>
      <c r="H63">
        <v>0.6171875</v>
      </c>
      <c r="I63">
        <v>0.546875</v>
      </c>
    </row>
    <row r="64" spans="5:9" ht="15" customHeight="1" x14ac:dyDescent="0.2">
      <c r="E64" t="s">
        <v>80</v>
      </c>
      <c r="F64" t="s">
        <v>44</v>
      </c>
      <c r="G64" t="s">
        <v>53</v>
      </c>
      <c r="H64">
        <v>0.59649122807017496</v>
      </c>
      <c r="I64">
        <v>0.4296875</v>
      </c>
    </row>
    <row r="65" spans="5:9" ht="15" customHeight="1" x14ac:dyDescent="0.2">
      <c r="E65" t="s">
        <v>80</v>
      </c>
      <c r="F65" t="s">
        <v>58</v>
      </c>
      <c r="G65" t="s">
        <v>60</v>
      </c>
      <c r="H65">
        <v>0.5</v>
      </c>
      <c r="I65">
        <v>0.65476190476190499</v>
      </c>
    </row>
    <row r="66" spans="5:9" ht="15" customHeight="1" x14ac:dyDescent="0.2">
      <c r="E66" t="s">
        <v>80</v>
      </c>
      <c r="F66" t="s">
        <v>47</v>
      </c>
      <c r="G66" t="s">
        <v>48</v>
      </c>
      <c r="H66">
        <v>0.5546875</v>
      </c>
      <c r="I66">
        <v>0.35714285714285698</v>
      </c>
    </row>
    <row r="67" spans="5:9" ht="15" customHeight="1" x14ac:dyDescent="0.2">
      <c r="E67" t="s">
        <v>80</v>
      </c>
      <c r="F67" t="s">
        <v>57</v>
      </c>
      <c r="G67" t="s">
        <v>46</v>
      </c>
      <c r="H67">
        <v>0.38392857142857201</v>
      </c>
      <c r="I67">
        <v>0.44827586206896602</v>
      </c>
    </row>
    <row r="68" spans="5:9" ht="15" customHeight="1" x14ac:dyDescent="0.2">
      <c r="E68" t="s">
        <v>80</v>
      </c>
      <c r="F68" t="s">
        <v>52</v>
      </c>
      <c r="G68" t="s">
        <v>59</v>
      </c>
      <c r="H68">
        <v>0.52777777777777801</v>
      </c>
      <c r="I68">
        <v>0.34745762711864397</v>
      </c>
    </row>
    <row r="69" spans="5:9" ht="15" customHeight="1" x14ac:dyDescent="0.2">
      <c r="E69" t="s">
        <v>80</v>
      </c>
      <c r="F69" t="s">
        <v>55</v>
      </c>
      <c r="G69" t="s">
        <v>61</v>
      </c>
      <c r="H69">
        <v>0.5</v>
      </c>
      <c r="I69">
        <v>0.44067796610169502</v>
      </c>
    </row>
    <row r="70" spans="5:9" ht="15" customHeight="1" x14ac:dyDescent="0.2">
      <c r="E70" t="s">
        <v>80</v>
      </c>
      <c r="F70" t="s">
        <v>50</v>
      </c>
      <c r="G70" t="s">
        <v>651</v>
      </c>
      <c r="H70">
        <v>0.42105263157894701</v>
      </c>
      <c r="I70">
        <v>0.59523809523809501</v>
      </c>
    </row>
    <row r="71" spans="5:9" ht="15" customHeight="1" x14ac:dyDescent="0.2">
      <c r="E71" t="s">
        <v>80</v>
      </c>
      <c r="F71" t="s">
        <v>45</v>
      </c>
      <c r="G71" t="s">
        <v>41</v>
      </c>
      <c r="H71">
        <v>0.47321428571428598</v>
      </c>
      <c r="I71">
        <v>0.59375</v>
      </c>
    </row>
    <row r="72" spans="5:9" ht="15" customHeight="1" x14ac:dyDescent="0.2">
      <c r="E72" t="s">
        <v>80</v>
      </c>
      <c r="F72" t="s">
        <v>54</v>
      </c>
      <c r="G72" t="s">
        <v>56</v>
      </c>
      <c r="H72">
        <v>0.5</v>
      </c>
      <c r="I72">
        <v>0.37288135593220301</v>
      </c>
    </row>
    <row r="73" spans="5:9" ht="15" customHeight="1" x14ac:dyDescent="0.2">
      <c r="E73" t="s">
        <v>80</v>
      </c>
      <c r="F73" t="s">
        <v>40</v>
      </c>
      <c r="G73" t="s">
        <v>42</v>
      </c>
      <c r="H73">
        <v>0.6171875</v>
      </c>
      <c r="I73">
        <v>0.546875</v>
      </c>
    </row>
    <row r="74" spans="5:9" ht="15" customHeight="1" x14ac:dyDescent="0.2">
      <c r="E74" t="s">
        <v>80</v>
      </c>
      <c r="F74" t="s">
        <v>44</v>
      </c>
      <c r="G74" t="s">
        <v>53</v>
      </c>
      <c r="H74">
        <v>0.59649122807017496</v>
      </c>
      <c r="I74">
        <v>0.4296875</v>
      </c>
    </row>
    <row r="75" spans="5:9" ht="15" customHeight="1" x14ac:dyDescent="0.2">
      <c r="E75" t="s">
        <v>80</v>
      </c>
      <c r="F75" t="s">
        <v>58</v>
      </c>
      <c r="G75" t="s">
        <v>60</v>
      </c>
      <c r="H75">
        <v>0.5</v>
      </c>
      <c r="I75">
        <v>0.65476190476190499</v>
      </c>
    </row>
    <row r="76" spans="5:9" ht="15" customHeight="1" x14ac:dyDescent="0.2">
      <c r="E76" t="s">
        <v>80</v>
      </c>
      <c r="F76" t="s">
        <v>47</v>
      </c>
      <c r="G76" t="s">
        <v>48</v>
      </c>
      <c r="H76">
        <v>0.5546875</v>
      </c>
      <c r="I76">
        <v>0.35714285714285698</v>
      </c>
    </row>
    <row r="77" spans="5:9" ht="15" customHeight="1" x14ac:dyDescent="0.2">
      <c r="E77" t="s">
        <v>80</v>
      </c>
      <c r="F77" t="s">
        <v>57</v>
      </c>
      <c r="G77" t="s">
        <v>46</v>
      </c>
      <c r="H77">
        <v>0.38392857142857201</v>
      </c>
      <c r="I77">
        <v>0.44827586206896602</v>
      </c>
    </row>
    <row r="78" spans="5:9" ht="15" customHeight="1" x14ac:dyDescent="0.2">
      <c r="E78" t="s">
        <v>80</v>
      </c>
      <c r="F78" t="s">
        <v>52</v>
      </c>
      <c r="G78" t="s">
        <v>59</v>
      </c>
      <c r="H78">
        <v>0.52777777777777801</v>
      </c>
      <c r="I78">
        <v>0.34745762711864397</v>
      </c>
    </row>
    <row r="79" spans="5:9" ht="15" customHeight="1" x14ac:dyDescent="0.2">
      <c r="E79" t="s">
        <v>80</v>
      </c>
      <c r="F79" t="s">
        <v>55</v>
      </c>
      <c r="G79" t="s">
        <v>61</v>
      </c>
      <c r="H79">
        <v>0.5</v>
      </c>
      <c r="I79">
        <v>0.44067796610169502</v>
      </c>
    </row>
    <row r="80" spans="5:9" ht="15" customHeight="1" x14ac:dyDescent="0.2">
      <c r="E80" t="s">
        <v>80</v>
      </c>
      <c r="F80" t="s">
        <v>50</v>
      </c>
      <c r="G80" t="s">
        <v>42</v>
      </c>
      <c r="H80">
        <v>0.6171875</v>
      </c>
      <c r="I80">
        <v>0.59523809523809501</v>
      </c>
    </row>
    <row r="81" spans="5:9" ht="15" customHeight="1" x14ac:dyDescent="0.2">
      <c r="E81" t="s">
        <v>80</v>
      </c>
      <c r="F81" t="s">
        <v>58</v>
      </c>
      <c r="G81" t="s">
        <v>60</v>
      </c>
      <c r="H81">
        <v>0.5</v>
      </c>
      <c r="I81">
        <v>0.65476190476190499</v>
      </c>
    </row>
    <row r="82" spans="5:9" ht="15" customHeight="1" x14ac:dyDescent="0.2">
      <c r="E82" t="s">
        <v>80</v>
      </c>
      <c r="F82" t="s">
        <v>45</v>
      </c>
      <c r="G82" t="s">
        <v>41</v>
      </c>
      <c r="H82">
        <v>0.47321428571428598</v>
      </c>
      <c r="I82">
        <v>0.59375</v>
      </c>
    </row>
    <row r="83" spans="5:9" ht="15" customHeight="1" x14ac:dyDescent="0.2">
      <c r="E83" t="s">
        <v>80</v>
      </c>
      <c r="F83" t="s">
        <v>44</v>
      </c>
      <c r="G83" t="s">
        <v>651</v>
      </c>
      <c r="H83">
        <v>0.42105263157894701</v>
      </c>
      <c r="I83">
        <v>0.4296875</v>
      </c>
    </row>
    <row r="84" spans="5:9" ht="15" customHeight="1" x14ac:dyDescent="0.2">
      <c r="E84" t="s">
        <v>80</v>
      </c>
      <c r="F84" t="s">
        <v>52</v>
      </c>
      <c r="G84" t="s">
        <v>40</v>
      </c>
      <c r="H84">
        <v>0.546875</v>
      </c>
      <c r="I84">
        <v>0.34745762711864397</v>
      </c>
    </row>
    <row r="85" spans="5:9" ht="15" customHeight="1" x14ac:dyDescent="0.2">
      <c r="E85" t="s">
        <v>80</v>
      </c>
      <c r="F85" t="s">
        <v>54</v>
      </c>
      <c r="G85" t="s">
        <v>56</v>
      </c>
      <c r="H85">
        <v>0.5</v>
      </c>
      <c r="I85">
        <v>0.37288135593220301</v>
      </c>
    </row>
    <row r="86" spans="5:9" ht="15" customHeight="1" x14ac:dyDescent="0.2">
      <c r="E86" t="s">
        <v>80</v>
      </c>
      <c r="F86" t="s">
        <v>47</v>
      </c>
      <c r="G86" t="s">
        <v>48</v>
      </c>
      <c r="H86">
        <v>0.5546875</v>
      </c>
      <c r="I86">
        <v>0.35714285714285698</v>
      </c>
    </row>
    <row r="87" spans="5:9" ht="15" customHeight="1" x14ac:dyDescent="0.2">
      <c r="E87" t="s">
        <v>80</v>
      </c>
      <c r="F87" t="s">
        <v>57</v>
      </c>
      <c r="G87" t="s">
        <v>46</v>
      </c>
      <c r="H87">
        <v>0.38392857142857201</v>
      </c>
      <c r="I87">
        <v>0.44827586206896602</v>
      </c>
    </row>
    <row r="88" spans="5:9" ht="15" customHeight="1" x14ac:dyDescent="0.2">
      <c r="E88" t="s">
        <v>80</v>
      </c>
      <c r="F88" t="s">
        <v>53</v>
      </c>
      <c r="G88" t="s">
        <v>59</v>
      </c>
      <c r="H88">
        <v>0.52777777777777801</v>
      </c>
      <c r="I88">
        <v>0.59649122807017496</v>
      </c>
    </row>
    <row r="89" spans="5:9" ht="15" customHeight="1" x14ac:dyDescent="0.2">
      <c r="E89" t="s">
        <v>80</v>
      </c>
      <c r="F89" t="s">
        <v>55</v>
      </c>
      <c r="G89" t="s">
        <v>61</v>
      </c>
      <c r="H89">
        <v>0.5</v>
      </c>
      <c r="I89">
        <v>0.44067796610169502</v>
      </c>
    </row>
    <row r="90" spans="5:9" ht="15" customHeight="1" x14ac:dyDescent="0.2">
      <c r="E90" t="s">
        <v>80</v>
      </c>
      <c r="F90" t="s">
        <v>50</v>
      </c>
      <c r="G90" t="s">
        <v>42</v>
      </c>
      <c r="H90">
        <v>0.6171875</v>
      </c>
      <c r="I90">
        <v>0.59523809523809501</v>
      </c>
    </row>
    <row r="91" spans="5:9" ht="15" customHeight="1" x14ac:dyDescent="0.2">
      <c r="E91" t="s">
        <v>80</v>
      </c>
      <c r="F91" t="s">
        <v>58</v>
      </c>
      <c r="G91" t="s">
        <v>60</v>
      </c>
      <c r="H91">
        <v>0.5</v>
      </c>
      <c r="I91">
        <v>0.65476190476190499</v>
      </c>
    </row>
    <row r="92" spans="5:9" ht="15" customHeight="1" x14ac:dyDescent="0.2">
      <c r="E92" t="s">
        <v>80</v>
      </c>
      <c r="F92" t="s">
        <v>45</v>
      </c>
      <c r="G92" t="s">
        <v>41</v>
      </c>
      <c r="H92">
        <v>0.47321428571428598</v>
      </c>
      <c r="I92">
        <v>0.59375</v>
      </c>
    </row>
    <row r="93" spans="5:9" ht="15" customHeight="1" x14ac:dyDescent="0.2">
      <c r="E93" t="s">
        <v>80</v>
      </c>
      <c r="F93" t="s">
        <v>44</v>
      </c>
      <c r="G93" t="s">
        <v>651</v>
      </c>
      <c r="H93">
        <v>0.42105263157894701</v>
      </c>
      <c r="I93">
        <v>0.4296875</v>
      </c>
    </row>
    <row r="94" spans="5:9" ht="15" customHeight="1" x14ac:dyDescent="0.2">
      <c r="E94" t="s">
        <v>80</v>
      </c>
      <c r="F94" t="s">
        <v>52</v>
      </c>
      <c r="G94" t="s">
        <v>40</v>
      </c>
      <c r="H94">
        <v>0.546875</v>
      </c>
      <c r="I94">
        <v>0.34745762711864397</v>
      </c>
    </row>
    <row r="95" spans="5:9" ht="15" customHeight="1" x14ac:dyDescent="0.2">
      <c r="E95" t="s">
        <v>80</v>
      </c>
      <c r="F95" t="s">
        <v>54</v>
      </c>
      <c r="G95" t="s">
        <v>56</v>
      </c>
      <c r="H95">
        <v>0.5</v>
      </c>
      <c r="I95">
        <v>0.37288135593220301</v>
      </c>
    </row>
    <row r="96" spans="5:9" ht="15" customHeight="1" x14ac:dyDescent="0.2">
      <c r="E96" t="s">
        <v>80</v>
      </c>
      <c r="F96" t="s">
        <v>47</v>
      </c>
      <c r="G96" t="s">
        <v>48</v>
      </c>
      <c r="H96">
        <v>0.5546875</v>
      </c>
      <c r="I96">
        <v>0.35714285714285698</v>
      </c>
    </row>
    <row r="97" spans="5:9" ht="15" customHeight="1" x14ac:dyDescent="0.2">
      <c r="E97" t="s">
        <v>80</v>
      </c>
      <c r="F97" t="s">
        <v>57</v>
      </c>
      <c r="G97" t="s">
        <v>46</v>
      </c>
      <c r="H97">
        <v>0.38392857142857201</v>
      </c>
      <c r="I97">
        <v>0.44827586206896602</v>
      </c>
    </row>
    <row r="98" spans="5:9" ht="15" customHeight="1" x14ac:dyDescent="0.2">
      <c r="E98" t="s">
        <v>80</v>
      </c>
      <c r="F98" t="s">
        <v>53</v>
      </c>
      <c r="G98" t="s">
        <v>59</v>
      </c>
      <c r="H98">
        <v>0.52777777777777801</v>
      </c>
      <c r="I98">
        <v>0.59649122807017496</v>
      </c>
    </row>
    <row r="99" spans="5:9" ht="15" customHeight="1" x14ac:dyDescent="0.2">
      <c r="E99" t="s">
        <v>80</v>
      </c>
      <c r="F99" t="s">
        <v>55</v>
      </c>
      <c r="G99" t="s">
        <v>61</v>
      </c>
      <c r="H99">
        <v>0.5</v>
      </c>
      <c r="I99">
        <v>0.44067796610169502</v>
      </c>
    </row>
    <row r="100" spans="5:9" ht="15" customHeight="1" x14ac:dyDescent="0.2">
      <c r="E100" t="s">
        <v>80</v>
      </c>
      <c r="F100" t="s">
        <v>50</v>
      </c>
      <c r="G100" t="s">
        <v>42</v>
      </c>
      <c r="H100">
        <v>0.6171875</v>
      </c>
      <c r="I100">
        <v>0.59523809523809501</v>
      </c>
    </row>
    <row r="101" spans="5:9" ht="15" customHeight="1" x14ac:dyDescent="0.2">
      <c r="E101" t="s">
        <v>80</v>
      </c>
      <c r="F101" t="s">
        <v>40</v>
      </c>
      <c r="G101" t="s">
        <v>62</v>
      </c>
      <c r="H101">
        <v>0.51041666666666696</v>
      </c>
      <c r="I101">
        <v>0.546875</v>
      </c>
    </row>
    <row r="102" spans="5:9" ht="15" customHeight="1" x14ac:dyDescent="0.2">
      <c r="E102" t="s">
        <v>80</v>
      </c>
      <c r="F102" t="s">
        <v>57</v>
      </c>
      <c r="G102" t="s">
        <v>651</v>
      </c>
      <c r="H102">
        <v>0.42105263157894701</v>
      </c>
      <c r="I102">
        <v>0.44827586206896602</v>
      </c>
    </row>
    <row r="103" spans="5:9" ht="15" customHeight="1" x14ac:dyDescent="0.2">
      <c r="E103" t="s">
        <v>80</v>
      </c>
      <c r="F103" t="s">
        <v>46</v>
      </c>
      <c r="G103" t="s">
        <v>56</v>
      </c>
      <c r="H103">
        <v>0.5</v>
      </c>
      <c r="I103">
        <v>0.38392857142857201</v>
      </c>
    </row>
    <row r="104" spans="5:9" ht="15" customHeight="1" x14ac:dyDescent="0.2">
      <c r="E104" t="s">
        <v>80</v>
      </c>
      <c r="F104" t="s">
        <v>44</v>
      </c>
      <c r="G104" t="s">
        <v>53</v>
      </c>
      <c r="H104">
        <v>0.59649122807017496</v>
      </c>
      <c r="I104">
        <v>0.4296875</v>
      </c>
    </row>
    <row r="105" spans="5:9" ht="15" customHeight="1" x14ac:dyDescent="0.2">
      <c r="E105" t="s">
        <v>80</v>
      </c>
      <c r="F105" t="s">
        <v>47</v>
      </c>
      <c r="G105" t="s">
        <v>61</v>
      </c>
      <c r="H105">
        <v>0.5</v>
      </c>
      <c r="I105">
        <v>0.35714285714285698</v>
      </c>
    </row>
    <row r="106" spans="5:9" ht="15" customHeight="1" x14ac:dyDescent="0.2">
      <c r="E106" t="s">
        <v>80</v>
      </c>
      <c r="F106" t="s">
        <v>45</v>
      </c>
      <c r="G106" t="s">
        <v>60</v>
      </c>
      <c r="H106">
        <v>0.5</v>
      </c>
      <c r="I106">
        <v>0.59375</v>
      </c>
    </row>
    <row r="107" spans="5:9" ht="15" customHeight="1" x14ac:dyDescent="0.2">
      <c r="E107" t="s">
        <v>80</v>
      </c>
      <c r="F107" t="s">
        <v>55</v>
      </c>
      <c r="G107" t="s">
        <v>52</v>
      </c>
      <c r="H107">
        <v>0.34745762711864397</v>
      </c>
      <c r="I107">
        <v>0.44067796610169502</v>
      </c>
    </row>
    <row r="108" spans="5:9" ht="15" customHeight="1" x14ac:dyDescent="0.2">
      <c r="E108" t="s">
        <v>80</v>
      </c>
      <c r="F108" t="s">
        <v>58</v>
      </c>
      <c r="G108" t="s">
        <v>59</v>
      </c>
      <c r="H108">
        <v>0.52777777777777801</v>
      </c>
      <c r="I108">
        <v>0.65476190476190499</v>
      </c>
    </row>
    <row r="109" spans="5:9" ht="15" customHeight="1" x14ac:dyDescent="0.2">
      <c r="E109" t="s">
        <v>80</v>
      </c>
      <c r="F109" t="s">
        <v>54</v>
      </c>
      <c r="G109" t="s">
        <v>48</v>
      </c>
      <c r="H109">
        <v>0.5546875</v>
      </c>
      <c r="I109">
        <v>0.37288135593220301</v>
      </c>
    </row>
    <row r="110" spans="5:9" ht="15" customHeight="1" x14ac:dyDescent="0.2">
      <c r="E110" t="s">
        <v>80</v>
      </c>
      <c r="F110" t="s">
        <v>50</v>
      </c>
      <c r="G110" t="s">
        <v>42</v>
      </c>
      <c r="H110">
        <v>0.6171875</v>
      </c>
      <c r="I110">
        <v>0.59523809523809501</v>
      </c>
    </row>
    <row r="111" spans="5:9" ht="15" customHeight="1" x14ac:dyDescent="0.2">
      <c r="E111" t="s">
        <v>80</v>
      </c>
      <c r="F111" t="s">
        <v>40</v>
      </c>
      <c r="G111" t="s">
        <v>62</v>
      </c>
      <c r="H111">
        <v>0.51041666666666696</v>
      </c>
      <c r="I111">
        <v>0.546875</v>
      </c>
    </row>
    <row r="112" spans="5:9" ht="15" customHeight="1" x14ac:dyDescent="0.2">
      <c r="E112" t="s">
        <v>80</v>
      </c>
      <c r="F112" t="s">
        <v>57</v>
      </c>
      <c r="G112" t="s">
        <v>651</v>
      </c>
      <c r="H112">
        <v>0.42105263157894701</v>
      </c>
      <c r="I112">
        <v>0.44827586206896602</v>
      </c>
    </row>
    <row r="113" spans="5:9" ht="15" customHeight="1" x14ac:dyDescent="0.2">
      <c r="E113" t="s">
        <v>80</v>
      </c>
      <c r="F113" t="s">
        <v>46</v>
      </c>
      <c r="G113" t="s">
        <v>56</v>
      </c>
      <c r="H113">
        <v>0.5</v>
      </c>
      <c r="I113">
        <v>0.38392857142857201</v>
      </c>
    </row>
    <row r="114" spans="5:9" ht="15" customHeight="1" x14ac:dyDescent="0.2">
      <c r="E114" t="s">
        <v>80</v>
      </c>
      <c r="F114" t="s">
        <v>44</v>
      </c>
      <c r="G114" t="s">
        <v>53</v>
      </c>
      <c r="H114">
        <v>0.59649122807017496</v>
      </c>
      <c r="I114">
        <v>0.4296875</v>
      </c>
    </row>
    <row r="115" spans="5:9" ht="15" customHeight="1" x14ac:dyDescent="0.2">
      <c r="E115" t="s">
        <v>80</v>
      </c>
      <c r="F115" t="s">
        <v>47</v>
      </c>
      <c r="G115" t="s">
        <v>61</v>
      </c>
      <c r="H115">
        <v>0.5</v>
      </c>
      <c r="I115">
        <v>0.35714285714285698</v>
      </c>
    </row>
    <row r="116" spans="5:9" ht="15" customHeight="1" x14ac:dyDescent="0.2">
      <c r="E116" t="s">
        <v>80</v>
      </c>
      <c r="F116" t="s">
        <v>45</v>
      </c>
      <c r="G116" t="s">
        <v>60</v>
      </c>
      <c r="H116">
        <v>0.5</v>
      </c>
      <c r="I116">
        <v>0.59375</v>
      </c>
    </row>
    <row r="117" spans="5:9" ht="15" customHeight="1" x14ac:dyDescent="0.2">
      <c r="E117" t="s">
        <v>80</v>
      </c>
      <c r="F117" t="s">
        <v>55</v>
      </c>
      <c r="G117" t="s">
        <v>52</v>
      </c>
      <c r="H117">
        <v>0.34745762711864397</v>
      </c>
      <c r="I117">
        <v>0.44067796610169502</v>
      </c>
    </row>
    <row r="118" spans="5:9" ht="15" customHeight="1" x14ac:dyDescent="0.2">
      <c r="E118" t="s">
        <v>80</v>
      </c>
      <c r="F118" t="s">
        <v>58</v>
      </c>
      <c r="G118" t="s">
        <v>59</v>
      </c>
      <c r="H118">
        <v>0.52777777777777801</v>
      </c>
      <c r="I118">
        <v>0.65476190476190499</v>
      </c>
    </row>
    <row r="119" spans="5:9" ht="15" customHeight="1" x14ac:dyDescent="0.2">
      <c r="E119" t="s">
        <v>80</v>
      </c>
      <c r="F119" t="s">
        <v>54</v>
      </c>
      <c r="G119" t="s">
        <v>48</v>
      </c>
      <c r="H119">
        <v>0.5546875</v>
      </c>
      <c r="I119">
        <v>0.37288135593220301</v>
      </c>
    </row>
    <row r="120" spans="5:9" ht="15" customHeight="1" x14ac:dyDescent="0.2">
      <c r="E120" t="s">
        <v>80</v>
      </c>
      <c r="F120" t="s">
        <v>52</v>
      </c>
      <c r="G120" t="s">
        <v>46</v>
      </c>
      <c r="H120">
        <v>0.38392857142857201</v>
      </c>
      <c r="I120">
        <v>0.34745762711864397</v>
      </c>
    </row>
    <row r="121" spans="5:9" ht="15" customHeight="1" x14ac:dyDescent="0.2">
      <c r="E121" t="s">
        <v>80</v>
      </c>
      <c r="F121" t="s">
        <v>40</v>
      </c>
      <c r="G121" t="s">
        <v>651</v>
      </c>
      <c r="H121">
        <v>0.42105263157894701</v>
      </c>
      <c r="I121">
        <v>0.546875</v>
      </c>
    </row>
    <row r="122" spans="5:9" ht="15" customHeight="1" x14ac:dyDescent="0.2">
      <c r="E122" t="s">
        <v>80</v>
      </c>
      <c r="F122" t="s">
        <v>57</v>
      </c>
      <c r="G122" t="s">
        <v>48</v>
      </c>
      <c r="H122">
        <v>0.5546875</v>
      </c>
      <c r="I122">
        <v>0.44827586206896602</v>
      </c>
    </row>
    <row r="123" spans="5:9" ht="15" customHeight="1" x14ac:dyDescent="0.2">
      <c r="E123" t="s">
        <v>80</v>
      </c>
      <c r="F123" t="s">
        <v>44</v>
      </c>
      <c r="G123" t="s">
        <v>53</v>
      </c>
      <c r="H123">
        <v>0.59649122807017496</v>
      </c>
      <c r="I123">
        <v>0.4296875</v>
      </c>
    </row>
    <row r="124" spans="5:9" ht="15" customHeight="1" x14ac:dyDescent="0.2">
      <c r="E124" t="s">
        <v>80</v>
      </c>
      <c r="F124" t="s">
        <v>58</v>
      </c>
      <c r="G124" t="s">
        <v>59</v>
      </c>
      <c r="H124">
        <v>0.52777777777777801</v>
      </c>
      <c r="I124">
        <v>0.65476190476190499</v>
      </c>
    </row>
    <row r="125" spans="5:9" ht="15" customHeight="1" x14ac:dyDescent="0.2">
      <c r="E125" t="s">
        <v>80</v>
      </c>
      <c r="F125" t="s">
        <v>45</v>
      </c>
      <c r="G125" t="s">
        <v>61</v>
      </c>
      <c r="H125">
        <v>0.5</v>
      </c>
      <c r="I125">
        <v>0.59375</v>
      </c>
    </row>
    <row r="126" spans="5:9" ht="15" customHeight="1" x14ac:dyDescent="0.2">
      <c r="E126" t="s">
        <v>80</v>
      </c>
      <c r="F126" t="s">
        <v>60</v>
      </c>
      <c r="G126" t="s">
        <v>62</v>
      </c>
      <c r="H126">
        <v>0.51041666666666696</v>
      </c>
      <c r="I126">
        <v>0.5</v>
      </c>
    </row>
    <row r="127" spans="5:9" ht="15" customHeight="1" x14ac:dyDescent="0.2">
      <c r="E127" t="s">
        <v>80</v>
      </c>
      <c r="F127" t="s">
        <v>50</v>
      </c>
      <c r="G127" t="s">
        <v>42</v>
      </c>
      <c r="H127">
        <v>0.6171875</v>
      </c>
      <c r="I127">
        <v>0.59523809523809501</v>
      </c>
    </row>
    <row r="128" spans="5:9" ht="15" customHeight="1" x14ac:dyDescent="0.2">
      <c r="E128" t="s">
        <v>80</v>
      </c>
      <c r="F128" t="s">
        <v>55</v>
      </c>
      <c r="G128" t="s">
        <v>56</v>
      </c>
      <c r="H128">
        <v>0.5</v>
      </c>
      <c r="I128">
        <v>0.44067796610169502</v>
      </c>
    </row>
    <row r="129" spans="5:9" ht="15" customHeight="1" x14ac:dyDescent="0.2">
      <c r="E129" t="s">
        <v>80</v>
      </c>
      <c r="F129" t="s">
        <v>54</v>
      </c>
      <c r="G129" t="s">
        <v>47</v>
      </c>
      <c r="H129">
        <v>0.35714285714285698</v>
      </c>
      <c r="I129">
        <v>0.37288135593220301</v>
      </c>
    </row>
    <row r="130" spans="5:9" ht="15" customHeight="1" x14ac:dyDescent="0.2">
      <c r="E130" t="s">
        <v>80</v>
      </c>
      <c r="F130" t="s">
        <v>52</v>
      </c>
      <c r="G130" t="s">
        <v>46</v>
      </c>
      <c r="H130">
        <v>0.38392857142857201</v>
      </c>
      <c r="I130">
        <v>0.34745762711864397</v>
      </c>
    </row>
    <row r="131" spans="5:9" ht="15" customHeight="1" x14ac:dyDescent="0.2">
      <c r="E131" t="s">
        <v>80</v>
      </c>
      <c r="F131" t="s">
        <v>40</v>
      </c>
      <c r="G131" t="s">
        <v>651</v>
      </c>
      <c r="H131">
        <v>0.42105263157894701</v>
      </c>
      <c r="I131">
        <v>0.546875</v>
      </c>
    </row>
    <row r="132" spans="5:9" ht="15" customHeight="1" x14ac:dyDescent="0.2">
      <c r="E132" t="s">
        <v>80</v>
      </c>
      <c r="F132" t="s">
        <v>57</v>
      </c>
      <c r="G132" t="s">
        <v>48</v>
      </c>
      <c r="H132">
        <v>0.5546875</v>
      </c>
      <c r="I132">
        <v>0.44827586206896602</v>
      </c>
    </row>
    <row r="133" spans="5:9" ht="15" customHeight="1" x14ac:dyDescent="0.2">
      <c r="E133" t="s">
        <v>80</v>
      </c>
      <c r="F133" t="s">
        <v>44</v>
      </c>
      <c r="G133" t="s">
        <v>53</v>
      </c>
      <c r="H133">
        <v>0.59649122807017496</v>
      </c>
      <c r="I133">
        <v>0.4296875</v>
      </c>
    </row>
    <row r="134" spans="5:9" ht="15" customHeight="1" x14ac:dyDescent="0.2">
      <c r="E134" t="s">
        <v>80</v>
      </c>
      <c r="F134" t="s">
        <v>58</v>
      </c>
      <c r="G134" t="s">
        <v>59</v>
      </c>
      <c r="H134">
        <v>0.52777777777777801</v>
      </c>
      <c r="I134">
        <v>0.65476190476190499</v>
      </c>
    </row>
    <row r="135" spans="5:9" ht="15" customHeight="1" x14ac:dyDescent="0.2">
      <c r="E135" t="s">
        <v>80</v>
      </c>
      <c r="F135" t="s">
        <v>45</v>
      </c>
      <c r="G135" t="s">
        <v>61</v>
      </c>
      <c r="H135">
        <v>0.5</v>
      </c>
      <c r="I135">
        <v>0.59375</v>
      </c>
    </row>
    <row r="136" spans="5:9" ht="15" customHeight="1" x14ac:dyDescent="0.2">
      <c r="E136" t="s">
        <v>80</v>
      </c>
      <c r="F136" t="s">
        <v>60</v>
      </c>
      <c r="G136" t="s">
        <v>62</v>
      </c>
      <c r="H136">
        <v>0.51041666666666696</v>
      </c>
      <c r="I136">
        <v>0.5</v>
      </c>
    </row>
    <row r="137" spans="5:9" ht="15" customHeight="1" x14ac:dyDescent="0.2">
      <c r="E137" t="s">
        <v>80</v>
      </c>
      <c r="F137" t="s">
        <v>50</v>
      </c>
      <c r="G137" t="s">
        <v>42</v>
      </c>
      <c r="H137">
        <v>0.6171875</v>
      </c>
      <c r="I137">
        <v>0.59523809523809501</v>
      </c>
    </row>
    <row r="138" spans="5:9" ht="15" customHeight="1" x14ac:dyDescent="0.2">
      <c r="E138" t="s">
        <v>80</v>
      </c>
      <c r="F138" t="s">
        <v>55</v>
      </c>
      <c r="G138" t="s">
        <v>56</v>
      </c>
      <c r="H138">
        <v>0.5</v>
      </c>
      <c r="I138">
        <v>0.44067796610169502</v>
      </c>
    </row>
    <row r="139" spans="5:9" ht="15" customHeight="1" x14ac:dyDescent="0.2">
      <c r="E139" t="s">
        <v>80</v>
      </c>
      <c r="F139" t="s">
        <v>54</v>
      </c>
      <c r="G139" t="s">
        <v>47</v>
      </c>
      <c r="H139">
        <v>0.35714285714285698</v>
      </c>
      <c r="I139">
        <v>0.37288135593220301</v>
      </c>
    </row>
    <row r="140" spans="5:9" ht="15" customHeight="1" x14ac:dyDescent="0.2">
      <c r="E140" t="s">
        <v>80</v>
      </c>
      <c r="F140" t="s">
        <v>58</v>
      </c>
      <c r="G140" t="s">
        <v>43</v>
      </c>
      <c r="H140">
        <v>0.48611111111111099</v>
      </c>
      <c r="I140">
        <v>0.65476190476190499</v>
      </c>
    </row>
    <row r="141" spans="5:9" ht="15" customHeight="1" x14ac:dyDescent="0.2">
      <c r="E141" t="s">
        <v>80</v>
      </c>
      <c r="F141" t="s">
        <v>63</v>
      </c>
      <c r="G141" t="s">
        <v>46</v>
      </c>
      <c r="H141">
        <v>0.38392857142857201</v>
      </c>
      <c r="I141">
        <v>0.46551724137931</v>
      </c>
    </row>
    <row r="142" spans="5:9" ht="15" customHeight="1" x14ac:dyDescent="0.2">
      <c r="E142" t="s">
        <v>80</v>
      </c>
      <c r="F142" t="s">
        <v>40</v>
      </c>
      <c r="G142" t="s">
        <v>48</v>
      </c>
      <c r="H142">
        <v>0.5546875</v>
      </c>
      <c r="I142">
        <v>0.546875</v>
      </c>
    </row>
    <row r="143" spans="5:9" ht="15" customHeight="1" x14ac:dyDescent="0.2">
      <c r="E143" t="s">
        <v>80</v>
      </c>
      <c r="F143" t="s">
        <v>55</v>
      </c>
      <c r="G143" t="s">
        <v>42</v>
      </c>
      <c r="H143">
        <v>0.6171875</v>
      </c>
      <c r="I143">
        <v>0.44067796610169502</v>
      </c>
    </row>
    <row r="144" spans="5:9" ht="15" customHeight="1" x14ac:dyDescent="0.2">
      <c r="E144" t="s">
        <v>80</v>
      </c>
      <c r="F144" t="s">
        <v>50</v>
      </c>
      <c r="G144" t="s">
        <v>44</v>
      </c>
      <c r="H144">
        <v>0.4296875</v>
      </c>
      <c r="I144">
        <v>0.59523809523809501</v>
      </c>
    </row>
    <row r="145" spans="5:9" ht="15" customHeight="1" x14ac:dyDescent="0.2">
      <c r="E145" t="s">
        <v>80</v>
      </c>
      <c r="F145" t="s">
        <v>45</v>
      </c>
      <c r="G145" t="s">
        <v>651</v>
      </c>
      <c r="H145">
        <v>0.42105263157894701</v>
      </c>
      <c r="I145">
        <v>0.59375</v>
      </c>
    </row>
    <row r="146" spans="5:9" ht="15" customHeight="1" x14ac:dyDescent="0.2">
      <c r="E146" t="s">
        <v>80</v>
      </c>
      <c r="F146" t="s">
        <v>53</v>
      </c>
      <c r="G146" t="s">
        <v>61</v>
      </c>
      <c r="H146">
        <v>0.5</v>
      </c>
      <c r="I146">
        <v>0.59649122807017496</v>
      </c>
    </row>
    <row r="147" spans="5:9" ht="15" customHeight="1" x14ac:dyDescent="0.2">
      <c r="E147" t="s">
        <v>80</v>
      </c>
      <c r="F147" t="s">
        <v>54</v>
      </c>
      <c r="G147" t="s">
        <v>41</v>
      </c>
      <c r="H147">
        <v>0.47321428571428598</v>
      </c>
      <c r="I147">
        <v>0.37288135593220301</v>
      </c>
    </row>
    <row r="148" spans="5:9" ht="15" customHeight="1" x14ac:dyDescent="0.2">
      <c r="E148" t="s">
        <v>80</v>
      </c>
      <c r="F148" t="s">
        <v>52</v>
      </c>
      <c r="G148" t="s">
        <v>62</v>
      </c>
      <c r="H148">
        <v>0.51041666666666696</v>
      </c>
      <c r="I148">
        <v>0.34745762711864397</v>
      </c>
    </row>
    <row r="149" spans="5:9" ht="15" customHeight="1" x14ac:dyDescent="0.2">
      <c r="E149" t="s">
        <v>80</v>
      </c>
      <c r="F149" t="s">
        <v>59</v>
      </c>
      <c r="G149" t="s">
        <v>60</v>
      </c>
      <c r="H149">
        <v>0.5</v>
      </c>
      <c r="I149">
        <v>0.52777777777777801</v>
      </c>
    </row>
    <row r="150" spans="5:9" ht="15" customHeight="1" x14ac:dyDescent="0.2">
      <c r="E150" t="s">
        <v>80</v>
      </c>
      <c r="F150" t="s">
        <v>58</v>
      </c>
      <c r="G150" t="s">
        <v>43</v>
      </c>
      <c r="H150">
        <v>0.48611111111111099</v>
      </c>
      <c r="I150">
        <v>0.65476190476190499</v>
      </c>
    </row>
    <row r="151" spans="5:9" ht="15" customHeight="1" x14ac:dyDescent="0.2">
      <c r="E151" t="s">
        <v>80</v>
      </c>
      <c r="F151" t="s">
        <v>63</v>
      </c>
      <c r="G151" t="s">
        <v>46</v>
      </c>
      <c r="H151">
        <v>0.38392857142857201</v>
      </c>
      <c r="I151">
        <v>0.46551724137931</v>
      </c>
    </row>
    <row r="152" spans="5:9" ht="15" customHeight="1" x14ac:dyDescent="0.2">
      <c r="E152" t="s">
        <v>80</v>
      </c>
      <c r="F152" t="s">
        <v>40</v>
      </c>
      <c r="G152" t="s">
        <v>48</v>
      </c>
      <c r="H152">
        <v>0.5546875</v>
      </c>
      <c r="I152">
        <v>0.546875</v>
      </c>
    </row>
    <row r="153" spans="5:9" ht="15" customHeight="1" x14ac:dyDescent="0.2">
      <c r="E153" t="s">
        <v>80</v>
      </c>
      <c r="F153" t="s">
        <v>55</v>
      </c>
      <c r="G153" t="s">
        <v>42</v>
      </c>
      <c r="H153">
        <v>0.6171875</v>
      </c>
      <c r="I153">
        <v>0.44067796610169502</v>
      </c>
    </row>
    <row r="154" spans="5:9" ht="15" customHeight="1" x14ac:dyDescent="0.2">
      <c r="E154" t="s">
        <v>80</v>
      </c>
      <c r="F154" t="s">
        <v>50</v>
      </c>
      <c r="G154" t="s">
        <v>44</v>
      </c>
      <c r="H154">
        <v>0.4296875</v>
      </c>
      <c r="I154">
        <v>0.59523809523809501</v>
      </c>
    </row>
    <row r="155" spans="5:9" ht="15" customHeight="1" x14ac:dyDescent="0.2">
      <c r="E155" t="s">
        <v>80</v>
      </c>
      <c r="F155" t="s">
        <v>45</v>
      </c>
      <c r="G155" t="s">
        <v>651</v>
      </c>
      <c r="H155">
        <v>0.42105263157894701</v>
      </c>
      <c r="I155">
        <v>0.59375</v>
      </c>
    </row>
    <row r="156" spans="5:9" ht="15" customHeight="1" x14ac:dyDescent="0.2">
      <c r="E156" t="s">
        <v>80</v>
      </c>
      <c r="F156" t="s">
        <v>53</v>
      </c>
      <c r="G156" t="s">
        <v>61</v>
      </c>
      <c r="H156">
        <v>0.5</v>
      </c>
      <c r="I156">
        <v>0.59649122807017496</v>
      </c>
    </row>
    <row r="157" spans="5:9" ht="15" customHeight="1" x14ac:dyDescent="0.2">
      <c r="E157" t="s">
        <v>80</v>
      </c>
      <c r="F157" t="s">
        <v>54</v>
      </c>
      <c r="G157" t="s">
        <v>41</v>
      </c>
      <c r="H157">
        <v>0.47321428571428598</v>
      </c>
      <c r="I157">
        <v>0.37288135593220301</v>
      </c>
    </row>
    <row r="158" spans="5:9" ht="15" customHeight="1" x14ac:dyDescent="0.2">
      <c r="E158" t="s">
        <v>80</v>
      </c>
      <c r="F158" t="s">
        <v>52</v>
      </c>
      <c r="G158" t="s">
        <v>62</v>
      </c>
      <c r="H158">
        <v>0.51041666666666696</v>
      </c>
      <c r="I158">
        <v>0.34745762711864397</v>
      </c>
    </row>
    <row r="159" spans="5:9" ht="15" customHeight="1" x14ac:dyDescent="0.2">
      <c r="E159" t="s">
        <v>80</v>
      </c>
      <c r="F159" t="s">
        <v>59</v>
      </c>
      <c r="G159" t="s">
        <v>60</v>
      </c>
      <c r="H159">
        <v>0.5</v>
      </c>
      <c r="I159">
        <v>0.52777777777777801</v>
      </c>
    </row>
    <row r="160" spans="5:9" ht="15" customHeight="1" x14ac:dyDescent="0.2">
      <c r="E160" t="s">
        <v>80</v>
      </c>
      <c r="F160" t="s">
        <v>44</v>
      </c>
      <c r="G160" t="s">
        <v>43</v>
      </c>
      <c r="H160">
        <v>0.48611111111111099</v>
      </c>
      <c r="I160">
        <v>0.4296875</v>
      </c>
    </row>
    <row r="161" spans="5:9" ht="15" customHeight="1" x14ac:dyDescent="0.2">
      <c r="E161" t="s">
        <v>80</v>
      </c>
      <c r="F161" t="s">
        <v>40</v>
      </c>
      <c r="G161" t="s">
        <v>46</v>
      </c>
      <c r="H161">
        <v>0.38392857142857201</v>
      </c>
      <c r="I161">
        <v>0.546875</v>
      </c>
    </row>
    <row r="162" spans="5:9" ht="15" customHeight="1" x14ac:dyDescent="0.2">
      <c r="E162" t="s">
        <v>80</v>
      </c>
      <c r="F162" t="s">
        <v>45</v>
      </c>
      <c r="G162" t="s">
        <v>53</v>
      </c>
      <c r="H162">
        <v>0.59649122807017496</v>
      </c>
      <c r="I162">
        <v>0.59375</v>
      </c>
    </row>
    <row r="163" spans="5:9" ht="15" customHeight="1" x14ac:dyDescent="0.2">
      <c r="E163" t="s">
        <v>80</v>
      </c>
      <c r="F163" t="s">
        <v>50</v>
      </c>
      <c r="G163" t="s">
        <v>42</v>
      </c>
      <c r="H163">
        <v>0.6171875</v>
      </c>
      <c r="I163">
        <v>0.59523809523809501</v>
      </c>
    </row>
    <row r="164" spans="5:9" ht="15" customHeight="1" x14ac:dyDescent="0.2">
      <c r="E164" t="s">
        <v>80</v>
      </c>
      <c r="F164" t="s">
        <v>58</v>
      </c>
      <c r="G164" t="s">
        <v>62</v>
      </c>
      <c r="H164">
        <v>0.51041666666666696</v>
      </c>
      <c r="I164">
        <v>0.65476190476190499</v>
      </c>
    </row>
    <row r="165" spans="5:9" ht="15" customHeight="1" x14ac:dyDescent="0.2">
      <c r="E165" t="s">
        <v>80</v>
      </c>
      <c r="F165" t="s">
        <v>61</v>
      </c>
      <c r="G165" t="s">
        <v>651</v>
      </c>
      <c r="H165">
        <v>0.42105263157894701</v>
      </c>
      <c r="I165">
        <v>0.5</v>
      </c>
    </row>
    <row r="166" spans="5:9" ht="15" customHeight="1" x14ac:dyDescent="0.2">
      <c r="E166" t="s">
        <v>80</v>
      </c>
      <c r="F166" t="s">
        <v>63</v>
      </c>
      <c r="G166" t="s">
        <v>48</v>
      </c>
      <c r="H166">
        <v>0.5546875</v>
      </c>
      <c r="I166">
        <v>0.46551724137931</v>
      </c>
    </row>
    <row r="167" spans="5:9" ht="15" customHeight="1" x14ac:dyDescent="0.2">
      <c r="E167" t="s">
        <v>80</v>
      </c>
      <c r="F167" t="s">
        <v>54</v>
      </c>
      <c r="G167" t="s">
        <v>41</v>
      </c>
      <c r="H167">
        <v>0.47321428571428598</v>
      </c>
      <c r="I167">
        <v>0.37288135593220301</v>
      </c>
    </row>
    <row r="168" spans="5:9" ht="15" customHeight="1" x14ac:dyDescent="0.2">
      <c r="E168" t="s">
        <v>80</v>
      </c>
      <c r="F168" t="s">
        <v>59</v>
      </c>
      <c r="G168" t="s">
        <v>60</v>
      </c>
      <c r="H168">
        <v>0.5</v>
      </c>
      <c r="I168">
        <v>0.52777777777777801</v>
      </c>
    </row>
    <row r="169" spans="5:9" ht="15" customHeight="1" x14ac:dyDescent="0.2">
      <c r="E169" t="s">
        <v>80</v>
      </c>
      <c r="F169" t="s">
        <v>55</v>
      </c>
      <c r="G169" t="s">
        <v>52</v>
      </c>
      <c r="H169">
        <v>0.34745762711864397</v>
      </c>
      <c r="I169">
        <v>0.44067796610169502</v>
      </c>
    </row>
    <row r="170" spans="5:9" ht="15" customHeight="1" x14ac:dyDescent="0.2">
      <c r="E170" t="s">
        <v>80</v>
      </c>
      <c r="F170" t="s">
        <v>44</v>
      </c>
      <c r="G170" t="s">
        <v>43</v>
      </c>
      <c r="H170">
        <v>0.48611111111111099</v>
      </c>
      <c r="I170">
        <v>0.4296875</v>
      </c>
    </row>
    <row r="171" spans="5:9" ht="15" customHeight="1" x14ac:dyDescent="0.2">
      <c r="E171" t="s">
        <v>80</v>
      </c>
      <c r="F171" t="s">
        <v>40</v>
      </c>
      <c r="G171" t="s">
        <v>46</v>
      </c>
      <c r="H171">
        <v>0.38392857142857201</v>
      </c>
      <c r="I171">
        <v>0.546875</v>
      </c>
    </row>
    <row r="172" spans="5:9" ht="15" customHeight="1" x14ac:dyDescent="0.2">
      <c r="E172" t="s">
        <v>80</v>
      </c>
      <c r="F172" t="s">
        <v>45</v>
      </c>
      <c r="G172" t="s">
        <v>53</v>
      </c>
      <c r="H172">
        <v>0.59649122807017496</v>
      </c>
      <c r="I172">
        <v>0.59375</v>
      </c>
    </row>
    <row r="173" spans="5:9" ht="15" customHeight="1" x14ac:dyDescent="0.2">
      <c r="E173" t="s">
        <v>80</v>
      </c>
      <c r="F173" t="s">
        <v>50</v>
      </c>
      <c r="G173" t="s">
        <v>42</v>
      </c>
      <c r="H173">
        <v>0.6171875</v>
      </c>
      <c r="I173">
        <v>0.59523809523809501</v>
      </c>
    </row>
    <row r="174" spans="5:9" ht="15" customHeight="1" x14ac:dyDescent="0.2">
      <c r="E174" t="s">
        <v>80</v>
      </c>
      <c r="F174" t="s">
        <v>58</v>
      </c>
      <c r="G174" t="s">
        <v>62</v>
      </c>
      <c r="H174">
        <v>0.51041666666666696</v>
      </c>
      <c r="I174">
        <v>0.65476190476190499</v>
      </c>
    </row>
    <row r="175" spans="5:9" ht="15" customHeight="1" x14ac:dyDescent="0.2">
      <c r="E175" t="s">
        <v>80</v>
      </c>
      <c r="F175" t="s">
        <v>61</v>
      </c>
      <c r="G175" t="s">
        <v>651</v>
      </c>
      <c r="H175">
        <v>0.42105263157894701</v>
      </c>
      <c r="I175">
        <v>0.5</v>
      </c>
    </row>
    <row r="176" spans="5:9" ht="15" customHeight="1" x14ac:dyDescent="0.2">
      <c r="E176" t="s">
        <v>80</v>
      </c>
      <c r="F176" t="s">
        <v>63</v>
      </c>
      <c r="G176" t="s">
        <v>48</v>
      </c>
      <c r="H176">
        <v>0.5546875</v>
      </c>
      <c r="I176">
        <v>0.46551724137931</v>
      </c>
    </row>
    <row r="177" spans="5:9" ht="15" customHeight="1" x14ac:dyDescent="0.2">
      <c r="E177" t="s">
        <v>80</v>
      </c>
      <c r="F177" t="s">
        <v>54</v>
      </c>
      <c r="G177" t="s">
        <v>41</v>
      </c>
      <c r="H177">
        <v>0.47321428571428598</v>
      </c>
      <c r="I177">
        <v>0.37288135593220301</v>
      </c>
    </row>
    <row r="178" spans="5:9" ht="15" customHeight="1" x14ac:dyDescent="0.2">
      <c r="E178" t="s">
        <v>80</v>
      </c>
      <c r="F178" t="s">
        <v>59</v>
      </c>
      <c r="G178" t="s">
        <v>60</v>
      </c>
      <c r="H178">
        <v>0.5</v>
      </c>
      <c r="I178">
        <v>0.52777777777777801</v>
      </c>
    </row>
    <row r="179" spans="5:9" ht="15" customHeight="1" x14ac:dyDescent="0.2">
      <c r="E179" t="s">
        <v>80</v>
      </c>
      <c r="F179" t="s">
        <v>55</v>
      </c>
      <c r="G179" t="s">
        <v>52</v>
      </c>
      <c r="H179">
        <v>0.34745762711864397</v>
      </c>
      <c r="I179">
        <v>0.44067796610169502</v>
      </c>
    </row>
    <row r="180" spans="5:9" ht="15" customHeight="1" x14ac:dyDescent="0.2">
      <c r="E180" t="s">
        <v>80</v>
      </c>
      <c r="F180" t="s">
        <v>58</v>
      </c>
      <c r="G180" t="s">
        <v>41</v>
      </c>
      <c r="H180">
        <v>0.47321428571428598</v>
      </c>
      <c r="I180">
        <v>0.65476190476190499</v>
      </c>
    </row>
    <row r="181" spans="5:9" ht="15" customHeight="1" x14ac:dyDescent="0.2">
      <c r="E181" t="s">
        <v>80</v>
      </c>
      <c r="F181" t="s">
        <v>44</v>
      </c>
      <c r="G181" t="s">
        <v>53</v>
      </c>
      <c r="H181">
        <v>0.59649122807017496</v>
      </c>
      <c r="I181">
        <v>0.4296875</v>
      </c>
    </row>
    <row r="182" spans="5:9" ht="15" customHeight="1" x14ac:dyDescent="0.2">
      <c r="E182" t="s">
        <v>80</v>
      </c>
      <c r="F182" t="s">
        <v>55</v>
      </c>
      <c r="G182" t="s">
        <v>50</v>
      </c>
      <c r="H182">
        <v>0.59523809523809501</v>
      </c>
      <c r="I182">
        <v>0.44067796610169502</v>
      </c>
    </row>
    <row r="183" spans="5:9" ht="15" customHeight="1" x14ac:dyDescent="0.2">
      <c r="E183" t="s">
        <v>80</v>
      </c>
      <c r="F183" t="s">
        <v>54</v>
      </c>
      <c r="G183" t="s">
        <v>48</v>
      </c>
      <c r="H183">
        <v>0.5546875</v>
      </c>
      <c r="I183">
        <v>0.37288135593220301</v>
      </c>
    </row>
    <row r="184" spans="5:9" ht="15" customHeight="1" x14ac:dyDescent="0.2">
      <c r="E184" t="s">
        <v>80</v>
      </c>
      <c r="F184" t="s">
        <v>40</v>
      </c>
      <c r="G184" t="s">
        <v>42</v>
      </c>
      <c r="H184">
        <v>0.6171875</v>
      </c>
      <c r="I184">
        <v>0.546875</v>
      </c>
    </row>
    <row r="185" spans="5:9" ht="15" customHeight="1" x14ac:dyDescent="0.2">
      <c r="E185" t="s">
        <v>80</v>
      </c>
      <c r="F185" t="s">
        <v>45</v>
      </c>
      <c r="G185" t="s">
        <v>60</v>
      </c>
      <c r="H185">
        <v>0.5</v>
      </c>
      <c r="I185">
        <v>0.59375</v>
      </c>
    </row>
    <row r="186" spans="5:9" ht="15" customHeight="1" x14ac:dyDescent="0.2">
      <c r="E186" t="s">
        <v>80</v>
      </c>
      <c r="F186" t="s">
        <v>59</v>
      </c>
      <c r="G186" t="s">
        <v>43</v>
      </c>
      <c r="H186">
        <v>0.48611111111111099</v>
      </c>
      <c r="I186">
        <v>0.52777777777777801</v>
      </c>
    </row>
    <row r="187" spans="5:9" ht="15" customHeight="1" x14ac:dyDescent="0.2">
      <c r="E187" t="s">
        <v>80</v>
      </c>
      <c r="F187" t="s">
        <v>61</v>
      </c>
      <c r="G187" t="s">
        <v>651</v>
      </c>
      <c r="H187">
        <v>0.42105263157894701</v>
      </c>
      <c r="I187">
        <v>0.5</v>
      </c>
    </row>
    <row r="188" spans="5:9" ht="15" customHeight="1" x14ac:dyDescent="0.2">
      <c r="E188" t="s">
        <v>80</v>
      </c>
      <c r="F188" t="s">
        <v>57</v>
      </c>
      <c r="G188" t="s">
        <v>46</v>
      </c>
      <c r="H188">
        <v>0.38392857142857201</v>
      </c>
      <c r="I188">
        <v>0.44827586206896602</v>
      </c>
    </row>
    <row r="189" spans="5:9" ht="15" customHeight="1" x14ac:dyDescent="0.2">
      <c r="E189" t="s">
        <v>80</v>
      </c>
      <c r="F189" t="s">
        <v>52</v>
      </c>
      <c r="G189" t="s">
        <v>62</v>
      </c>
      <c r="H189">
        <v>0.51041666666666696</v>
      </c>
      <c r="I189">
        <v>0.34745762711864397</v>
      </c>
    </row>
    <row r="190" spans="5:9" ht="15" customHeight="1" x14ac:dyDescent="0.2">
      <c r="E190" t="s">
        <v>80</v>
      </c>
      <c r="F190" t="s">
        <v>58</v>
      </c>
      <c r="G190" t="s">
        <v>41</v>
      </c>
      <c r="H190">
        <v>0.47321428571428598</v>
      </c>
      <c r="I190">
        <v>0.65476190476190499</v>
      </c>
    </row>
    <row r="191" spans="5:9" ht="15" customHeight="1" x14ac:dyDescent="0.2">
      <c r="E191" t="s">
        <v>80</v>
      </c>
      <c r="F191" t="s">
        <v>44</v>
      </c>
      <c r="G191" t="s">
        <v>53</v>
      </c>
      <c r="H191">
        <v>0.59649122807017496</v>
      </c>
      <c r="I191">
        <v>0.4296875</v>
      </c>
    </row>
    <row r="192" spans="5:9" ht="15" customHeight="1" x14ac:dyDescent="0.2">
      <c r="E192" t="s">
        <v>80</v>
      </c>
      <c r="F192" t="s">
        <v>55</v>
      </c>
      <c r="G192" t="s">
        <v>50</v>
      </c>
      <c r="H192">
        <v>0.59523809523809501</v>
      </c>
      <c r="I192">
        <v>0.44067796610169502</v>
      </c>
    </row>
    <row r="193" spans="5:9" ht="15" customHeight="1" x14ac:dyDescent="0.2">
      <c r="E193" t="s">
        <v>80</v>
      </c>
      <c r="F193" t="s">
        <v>54</v>
      </c>
      <c r="G193" t="s">
        <v>48</v>
      </c>
      <c r="H193">
        <v>0.5546875</v>
      </c>
      <c r="I193">
        <v>0.37288135593220301</v>
      </c>
    </row>
    <row r="194" spans="5:9" ht="15" customHeight="1" x14ac:dyDescent="0.2">
      <c r="E194" t="s">
        <v>80</v>
      </c>
      <c r="F194" t="s">
        <v>40</v>
      </c>
      <c r="G194" t="s">
        <v>42</v>
      </c>
      <c r="H194">
        <v>0.6171875</v>
      </c>
      <c r="I194">
        <v>0.546875</v>
      </c>
    </row>
    <row r="195" spans="5:9" ht="15" customHeight="1" x14ac:dyDescent="0.2">
      <c r="E195" t="s">
        <v>80</v>
      </c>
      <c r="F195" t="s">
        <v>45</v>
      </c>
      <c r="G195" t="s">
        <v>60</v>
      </c>
      <c r="H195">
        <v>0.5</v>
      </c>
      <c r="I195">
        <v>0.59375</v>
      </c>
    </row>
    <row r="196" spans="5:9" ht="15" customHeight="1" x14ac:dyDescent="0.2">
      <c r="E196" t="s">
        <v>80</v>
      </c>
      <c r="F196" t="s">
        <v>59</v>
      </c>
      <c r="G196" t="s">
        <v>43</v>
      </c>
      <c r="H196">
        <v>0.48611111111111099</v>
      </c>
      <c r="I196">
        <v>0.52777777777777801</v>
      </c>
    </row>
    <row r="197" spans="5:9" ht="15" customHeight="1" x14ac:dyDescent="0.2">
      <c r="E197" t="s">
        <v>80</v>
      </c>
      <c r="F197" t="s">
        <v>61</v>
      </c>
      <c r="G197" t="s">
        <v>651</v>
      </c>
      <c r="H197">
        <v>0.42105263157894701</v>
      </c>
      <c r="I197">
        <v>0.5</v>
      </c>
    </row>
    <row r="198" spans="5:9" ht="15" customHeight="1" x14ac:dyDescent="0.2">
      <c r="E198" t="s">
        <v>80</v>
      </c>
      <c r="F198" t="s">
        <v>57</v>
      </c>
      <c r="G198" t="s">
        <v>46</v>
      </c>
      <c r="H198">
        <v>0.38392857142857201</v>
      </c>
      <c r="I198">
        <v>0.44827586206896602</v>
      </c>
    </row>
    <row r="199" spans="5:9" ht="15" customHeight="1" x14ac:dyDescent="0.2">
      <c r="E199" t="s">
        <v>80</v>
      </c>
      <c r="F199" t="s">
        <v>52</v>
      </c>
      <c r="G199" t="s">
        <v>62</v>
      </c>
      <c r="H199">
        <v>0.51041666666666696</v>
      </c>
      <c r="I199">
        <v>0.34745762711864397</v>
      </c>
    </row>
    <row r="200" spans="5:9" ht="15" customHeight="1" x14ac:dyDescent="0.2">
      <c r="E200" t="s">
        <v>80</v>
      </c>
      <c r="F200" t="s">
        <v>58</v>
      </c>
      <c r="G200" t="s">
        <v>48</v>
      </c>
      <c r="H200">
        <v>0.5546875</v>
      </c>
      <c r="I200">
        <v>0.65476190476190499</v>
      </c>
    </row>
    <row r="201" spans="5:9" ht="15" customHeight="1" x14ac:dyDescent="0.2">
      <c r="E201" t="s">
        <v>80</v>
      </c>
      <c r="F201" t="s">
        <v>50</v>
      </c>
      <c r="G201" t="s">
        <v>44</v>
      </c>
      <c r="H201">
        <v>0.4296875</v>
      </c>
      <c r="I201">
        <v>0.59523809523809501</v>
      </c>
    </row>
    <row r="202" spans="5:9" ht="15" customHeight="1" x14ac:dyDescent="0.2">
      <c r="E202" t="s">
        <v>80</v>
      </c>
      <c r="F202" t="s">
        <v>45</v>
      </c>
      <c r="G202" t="s">
        <v>53</v>
      </c>
      <c r="H202">
        <v>0.59649122807017496</v>
      </c>
      <c r="I202">
        <v>0.59375</v>
      </c>
    </row>
    <row r="203" spans="5:9" ht="15" customHeight="1" x14ac:dyDescent="0.2">
      <c r="E203" t="s">
        <v>80</v>
      </c>
      <c r="F203" t="s">
        <v>54</v>
      </c>
      <c r="G203" t="s">
        <v>41</v>
      </c>
      <c r="H203">
        <v>0.47321428571428598</v>
      </c>
      <c r="I203">
        <v>0.37288135593220301</v>
      </c>
    </row>
    <row r="204" spans="5:9" ht="15" customHeight="1" x14ac:dyDescent="0.2">
      <c r="E204" t="s">
        <v>80</v>
      </c>
      <c r="F204" t="s">
        <v>42</v>
      </c>
      <c r="G204" t="s">
        <v>61</v>
      </c>
      <c r="H204">
        <v>0.5</v>
      </c>
      <c r="I204">
        <v>0.6171875</v>
      </c>
    </row>
    <row r="205" spans="5:9" ht="15" customHeight="1" x14ac:dyDescent="0.2">
      <c r="E205" t="s">
        <v>80</v>
      </c>
      <c r="F205" t="s">
        <v>55</v>
      </c>
      <c r="G205" t="s">
        <v>43</v>
      </c>
      <c r="H205">
        <v>0.48611111111111099</v>
      </c>
      <c r="I205">
        <v>0.44067796610169502</v>
      </c>
    </row>
    <row r="206" spans="5:9" ht="15" customHeight="1" x14ac:dyDescent="0.2">
      <c r="E206" t="s">
        <v>80</v>
      </c>
      <c r="F206" t="s">
        <v>59</v>
      </c>
      <c r="G206" t="s">
        <v>62</v>
      </c>
      <c r="H206">
        <v>0.51041666666666696</v>
      </c>
      <c r="I206">
        <v>0.52777777777777801</v>
      </c>
    </row>
    <row r="207" spans="5:9" ht="15" customHeight="1" x14ac:dyDescent="0.2">
      <c r="E207" t="s">
        <v>80</v>
      </c>
      <c r="F207" t="s">
        <v>40</v>
      </c>
      <c r="G207" t="s">
        <v>46</v>
      </c>
      <c r="H207">
        <v>0.38392857142857201</v>
      </c>
      <c r="I207">
        <v>0.546875</v>
      </c>
    </row>
    <row r="208" spans="5:9" ht="15" customHeight="1" x14ac:dyDescent="0.2">
      <c r="E208" t="s">
        <v>80</v>
      </c>
      <c r="F208" t="s">
        <v>57</v>
      </c>
      <c r="G208" t="s">
        <v>651</v>
      </c>
      <c r="H208">
        <v>0.42105263157894701</v>
      </c>
      <c r="I208">
        <v>0.44827586206896602</v>
      </c>
    </row>
    <row r="209" spans="5:9" ht="15" customHeight="1" x14ac:dyDescent="0.2">
      <c r="E209" t="s">
        <v>80</v>
      </c>
      <c r="F209" t="s">
        <v>52</v>
      </c>
      <c r="G209" t="s">
        <v>60</v>
      </c>
      <c r="H209">
        <v>0.5</v>
      </c>
      <c r="I209">
        <v>0.34745762711864397</v>
      </c>
    </row>
    <row r="210" spans="5:9" ht="15" customHeight="1" x14ac:dyDescent="0.2">
      <c r="E210" t="s">
        <v>80</v>
      </c>
      <c r="F210" t="s">
        <v>58</v>
      </c>
      <c r="G210" t="s">
        <v>48</v>
      </c>
      <c r="H210">
        <v>0.5546875</v>
      </c>
      <c r="I210">
        <v>0.65476190476190499</v>
      </c>
    </row>
    <row r="211" spans="5:9" ht="15" customHeight="1" x14ac:dyDescent="0.2">
      <c r="E211" t="s">
        <v>80</v>
      </c>
      <c r="F211" t="s">
        <v>50</v>
      </c>
      <c r="G211" t="s">
        <v>44</v>
      </c>
      <c r="H211">
        <v>0.4296875</v>
      </c>
      <c r="I211">
        <v>0.59523809523809501</v>
      </c>
    </row>
    <row r="212" spans="5:9" ht="15" customHeight="1" x14ac:dyDescent="0.2">
      <c r="E212" t="s">
        <v>80</v>
      </c>
      <c r="F212" t="s">
        <v>45</v>
      </c>
      <c r="G212" t="s">
        <v>53</v>
      </c>
      <c r="H212">
        <v>0.59649122807017496</v>
      </c>
      <c r="I212">
        <v>0.59375</v>
      </c>
    </row>
    <row r="213" spans="5:9" ht="15" customHeight="1" x14ac:dyDescent="0.2">
      <c r="E213" t="s">
        <v>80</v>
      </c>
      <c r="F213" t="s">
        <v>54</v>
      </c>
      <c r="G213" t="s">
        <v>41</v>
      </c>
      <c r="H213">
        <v>0.47321428571428598</v>
      </c>
      <c r="I213">
        <v>0.37288135593220301</v>
      </c>
    </row>
    <row r="214" spans="5:9" ht="15" customHeight="1" x14ac:dyDescent="0.2">
      <c r="E214" t="s">
        <v>80</v>
      </c>
      <c r="F214" t="s">
        <v>42</v>
      </c>
      <c r="G214" t="s">
        <v>61</v>
      </c>
      <c r="H214">
        <v>0.5</v>
      </c>
      <c r="I214">
        <v>0.6171875</v>
      </c>
    </row>
    <row r="215" spans="5:9" ht="15" customHeight="1" x14ac:dyDescent="0.2">
      <c r="E215" t="s">
        <v>80</v>
      </c>
      <c r="F215" t="s">
        <v>55</v>
      </c>
      <c r="G215" t="s">
        <v>43</v>
      </c>
      <c r="H215">
        <v>0.48611111111111099</v>
      </c>
      <c r="I215">
        <v>0.44067796610169502</v>
      </c>
    </row>
    <row r="216" spans="5:9" ht="15" customHeight="1" x14ac:dyDescent="0.2">
      <c r="E216" t="s">
        <v>80</v>
      </c>
      <c r="F216" t="s">
        <v>59</v>
      </c>
      <c r="G216" t="s">
        <v>62</v>
      </c>
      <c r="H216">
        <v>0.51041666666666696</v>
      </c>
      <c r="I216">
        <v>0.52777777777777801</v>
      </c>
    </row>
    <row r="217" spans="5:9" ht="15" customHeight="1" x14ac:dyDescent="0.2">
      <c r="E217" t="s">
        <v>80</v>
      </c>
      <c r="F217" t="s">
        <v>40</v>
      </c>
      <c r="G217" t="s">
        <v>46</v>
      </c>
      <c r="H217">
        <v>0.38392857142857201</v>
      </c>
      <c r="I217">
        <v>0.546875</v>
      </c>
    </row>
    <row r="218" spans="5:9" ht="15" customHeight="1" x14ac:dyDescent="0.2">
      <c r="E218" t="s">
        <v>80</v>
      </c>
      <c r="F218" t="s">
        <v>57</v>
      </c>
      <c r="G218" t="s">
        <v>651</v>
      </c>
      <c r="H218">
        <v>0.42105263157894701</v>
      </c>
      <c r="I218">
        <v>0.44827586206896602</v>
      </c>
    </row>
    <row r="219" spans="5:9" ht="15" customHeight="1" x14ac:dyDescent="0.2">
      <c r="E219" t="s">
        <v>80</v>
      </c>
      <c r="F219" t="s">
        <v>52</v>
      </c>
      <c r="G219" t="s">
        <v>60</v>
      </c>
      <c r="H219">
        <v>0.5</v>
      </c>
      <c r="I219">
        <v>0.34745762711864397</v>
      </c>
    </row>
    <row r="220" spans="5:9" ht="15" customHeight="1" x14ac:dyDescent="0.2">
      <c r="E220" t="s">
        <v>80</v>
      </c>
      <c r="F220" t="s">
        <v>40</v>
      </c>
      <c r="G220" t="s">
        <v>42</v>
      </c>
      <c r="H220">
        <v>0.6171875</v>
      </c>
      <c r="I220">
        <v>0.546875</v>
      </c>
    </row>
    <row r="221" spans="5:9" ht="15" customHeight="1" x14ac:dyDescent="0.2">
      <c r="E221" t="s">
        <v>80</v>
      </c>
      <c r="F221" t="s">
        <v>45</v>
      </c>
      <c r="G221" t="s">
        <v>54</v>
      </c>
      <c r="H221">
        <v>0.37288135593220301</v>
      </c>
      <c r="I221">
        <v>0.59375</v>
      </c>
    </row>
    <row r="222" spans="5:9" ht="15" customHeight="1" x14ac:dyDescent="0.2">
      <c r="E222" t="s">
        <v>80</v>
      </c>
      <c r="F222" t="s">
        <v>61</v>
      </c>
      <c r="G222" t="s">
        <v>651</v>
      </c>
      <c r="H222">
        <v>0.42105263157894701</v>
      </c>
      <c r="I222">
        <v>0.5</v>
      </c>
    </row>
    <row r="223" spans="5:9" ht="15" customHeight="1" x14ac:dyDescent="0.2">
      <c r="E223" t="s">
        <v>80</v>
      </c>
      <c r="F223" t="s">
        <v>50</v>
      </c>
      <c r="G223" t="s">
        <v>44</v>
      </c>
      <c r="H223">
        <v>0.4296875</v>
      </c>
      <c r="I223">
        <v>0.59523809523809501</v>
      </c>
    </row>
    <row r="224" spans="5:9" ht="15" customHeight="1" x14ac:dyDescent="0.2">
      <c r="E224" t="s">
        <v>80</v>
      </c>
      <c r="F224" t="s">
        <v>55</v>
      </c>
      <c r="G224" t="s">
        <v>48</v>
      </c>
      <c r="H224">
        <v>0.5546875</v>
      </c>
      <c r="I224">
        <v>0.44067796610169502</v>
      </c>
    </row>
    <row r="225" spans="5:9" ht="15" customHeight="1" x14ac:dyDescent="0.2">
      <c r="E225" t="s">
        <v>80</v>
      </c>
      <c r="F225" t="s">
        <v>53</v>
      </c>
      <c r="G225" t="s">
        <v>41</v>
      </c>
      <c r="H225">
        <v>0.47321428571428598</v>
      </c>
      <c r="I225">
        <v>0.59649122807017496</v>
      </c>
    </row>
    <row r="226" spans="5:9" ht="15" customHeight="1" x14ac:dyDescent="0.2">
      <c r="E226" t="s">
        <v>80</v>
      </c>
      <c r="F226" t="s">
        <v>59</v>
      </c>
      <c r="G226" t="s">
        <v>62</v>
      </c>
      <c r="H226">
        <v>0.51041666666666696</v>
      </c>
      <c r="I226">
        <v>0.52777777777777801</v>
      </c>
    </row>
    <row r="227" spans="5:9" ht="15" customHeight="1" x14ac:dyDescent="0.2">
      <c r="E227" t="s">
        <v>80</v>
      </c>
      <c r="F227" t="s">
        <v>58</v>
      </c>
      <c r="G227" t="s">
        <v>60</v>
      </c>
      <c r="H227">
        <v>0.5</v>
      </c>
      <c r="I227">
        <v>0.65476190476190499</v>
      </c>
    </row>
    <row r="228" spans="5:9" ht="15" customHeight="1" x14ac:dyDescent="0.2">
      <c r="E228" t="s">
        <v>80</v>
      </c>
      <c r="F228" t="s">
        <v>57</v>
      </c>
      <c r="G228" t="s">
        <v>52</v>
      </c>
      <c r="H228">
        <v>0.34745762711864397</v>
      </c>
      <c r="I228">
        <v>0.44827586206896602</v>
      </c>
    </row>
    <row r="229" spans="5:9" ht="15" customHeight="1" x14ac:dyDescent="0.2">
      <c r="E229" t="s">
        <v>80</v>
      </c>
      <c r="F229" t="s">
        <v>46</v>
      </c>
      <c r="G229" t="s">
        <v>43</v>
      </c>
      <c r="H229">
        <v>0.48611111111111099</v>
      </c>
      <c r="I229">
        <v>0.38392857142857201</v>
      </c>
    </row>
    <row r="230" spans="5:9" ht="15" customHeight="1" x14ac:dyDescent="0.2">
      <c r="E230" t="s">
        <v>80</v>
      </c>
      <c r="F230" t="s">
        <v>40</v>
      </c>
      <c r="G230" t="s">
        <v>42</v>
      </c>
      <c r="H230">
        <v>0.6171875</v>
      </c>
      <c r="I230">
        <v>0.546875</v>
      </c>
    </row>
    <row r="231" spans="5:9" ht="15" customHeight="1" x14ac:dyDescent="0.2">
      <c r="E231" t="s">
        <v>80</v>
      </c>
      <c r="F231" t="s">
        <v>45</v>
      </c>
      <c r="G231" t="s">
        <v>54</v>
      </c>
      <c r="H231">
        <v>0.37288135593220301</v>
      </c>
      <c r="I231">
        <v>0.59375</v>
      </c>
    </row>
    <row r="232" spans="5:9" ht="15" customHeight="1" x14ac:dyDescent="0.2">
      <c r="E232" t="s">
        <v>80</v>
      </c>
      <c r="F232" t="s">
        <v>61</v>
      </c>
      <c r="G232" t="s">
        <v>651</v>
      </c>
      <c r="H232">
        <v>0.42105263157894701</v>
      </c>
      <c r="I232">
        <v>0.5</v>
      </c>
    </row>
    <row r="233" spans="5:9" ht="15" customHeight="1" x14ac:dyDescent="0.2">
      <c r="E233" t="s">
        <v>80</v>
      </c>
      <c r="F233" t="s">
        <v>50</v>
      </c>
      <c r="G233" t="s">
        <v>44</v>
      </c>
      <c r="H233">
        <v>0.4296875</v>
      </c>
      <c r="I233">
        <v>0.59523809523809501</v>
      </c>
    </row>
    <row r="234" spans="5:9" ht="15" customHeight="1" x14ac:dyDescent="0.2">
      <c r="E234" t="s">
        <v>80</v>
      </c>
      <c r="F234" t="s">
        <v>55</v>
      </c>
      <c r="G234" t="s">
        <v>48</v>
      </c>
      <c r="H234">
        <v>0.5546875</v>
      </c>
      <c r="I234">
        <v>0.44067796610169502</v>
      </c>
    </row>
    <row r="235" spans="5:9" ht="15" customHeight="1" x14ac:dyDescent="0.2">
      <c r="E235" t="s">
        <v>80</v>
      </c>
      <c r="F235" t="s">
        <v>53</v>
      </c>
      <c r="G235" t="s">
        <v>41</v>
      </c>
      <c r="H235">
        <v>0.47321428571428598</v>
      </c>
      <c r="I235">
        <v>0.59649122807017496</v>
      </c>
    </row>
    <row r="236" spans="5:9" ht="15" customHeight="1" x14ac:dyDescent="0.2">
      <c r="E236" t="s">
        <v>80</v>
      </c>
      <c r="F236" t="s">
        <v>59</v>
      </c>
      <c r="G236" t="s">
        <v>62</v>
      </c>
      <c r="H236">
        <v>0.51041666666666696</v>
      </c>
      <c r="I236">
        <v>0.52777777777777801</v>
      </c>
    </row>
    <row r="237" spans="5:9" ht="15" customHeight="1" x14ac:dyDescent="0.2">
      <c r="E237" t="s">
        <v>80</v>
      </c>
      <c r="F237" t="s">
        <v>58</v>
      </c>
      <c r="G237" t="s">
        <v>60</v>
      </c>
      <c r="H237">
        <v>0.5</v>
      </c>
      <c r="I237">
        <v>0.65476190476190499</v>
      </c>
    </row>
    <row r="238" spans="5:9" ht="15" customHeight="1" x14ac:dyDescent="0.2">
      <c r="E238" t="s">
        <v>80</v>
      </c>
      <c r="F238" t="s">
        <v>57</v>
      </c>
      <c r="G238" t="s">
        <v>52</v>
      </c>
      <c r="H238">
        <v>0.34745762711864397</v>
      </c>
      <c r="I238">
        <v>0.44827586206896602</v>
      </c>
    </row>
    <row r="239" spans="5:9" ht="15" customHeight="1" x14ac:dyDescent="0.2">
      <c r="E239" t="s">
        <v>80</v>
      </c>
      <c r="F239" t="s">
        <v>46</v>
      </c>
      <c r="G239" t="s">
        <v>43</v>
      </c>
      <c r="H239">
        <v>0.48611111111111099</v>
      </c>
      <c r="I239">
        <v>0.38392857142857201</v>
      </c>
    </row>
    <row r="240" spans="5:9" ht="15" customHeight="1" x14ac:dyDescent="0.2">
      <c r="E240" t="s">
        <v>80</v>
      </c>
      <c r="F240" t="s">
        <v>55</v>
      </c>
      <c r="G240" t="s">
        <v>50</v>
      </c>
      <c r="H240">
        <v>0.59523809523809501</v>
      </c>
      <c r="I240">
        <v>0.44067796610169502</v>
      </c>
    </row>
    <row r="241" spans="5:9" ht="15" customHeight="1" x14ac:dyDescent="0.2">
      <c r="E241" t="s">
        <v>80</v>
      </c>
      <c r="F241" t="s">
        <v>41</v>
      </c>
      <c r="G241" t="s">
        <v>43</v>
      </c>
      <c r="H241">
        <v>0.48611111111111099</v>
      </c>
      <c r="I241">
        <v>0.47321428571428598</v>
      </c>
    </row>
    <row r="242" spans="5:9" ht="15" customHeight="1" x14ac:dyDescent="0.2">
      <c r="E242" t="s">
        <v>80</v>
      </c>
      <c r="F242" t="s">
        <v>45</v>
      </c>
      <c r="G242" t="s">
        <v>46</v>
      </c>
      <c r="H242">
        <v>0.38392857142857201</v>
      </c>
      <c r="I242">
        <v>0.59375</v>
      </c>
    </row>
    <row r="243" spans="5:9" ht="15" customHeight="1" x14ac:dyDescent="0.2">
      <c r="E243" t="s">
        <v>80</v>
      </c>
      <c r="F243" t="s">
        <v>58</v>
      </c>
      <c r="G243" t="s">
        <v>40</v>
      </c>
      <c r="H243">
        <v>0.546875</v>
      </c>
      <c r="I243">
        <v>0.65476190476190499</v>
      </c>
    </row>
    <row r="244" spans="5:9" ht="15" customHeight="1" x14ac:dyDescent="0.2">
      <c r="E244" t="s">
        <v>80</v>
      </c>
      <c r="F244" t="s">
        <v>57</v>
      </c>
      <c r="G244" t="s">
        <v>44</v>
      </c>
      <c r="H244">
        <v>0.4296875</v>
      </c>
      <c r="I244">
        <v>0.44827586206896602</v>
      </c>
    </row>
    <row r="245" spans="5:9" ht="15" customHeight="1" x14ac:dyDescent="0.2">
      <c r="E245" t="s">
        <v>80</v>
      </c>
      <c r="F245" t="s">
        <v>53</v>
      </c>
      <c r="G245" t="s">
        <v>59</v>
      </c>
      <c r="H245">
        <v>0.52777777777777801</v>
      </c>
      <c r="I245">
        <v>0.59649122807017496</v>
      </c>
    </row>
    <row r="246" spans="5:9" ht="15" customHeight="1" x14ac:dyDescent="0.2">
      <c r="E246" t="s">
        <v>80</v>
      </c>
      <c r="F246" t="s">
        <v>651</v>
      </c>
      <c r="G246" t="s">
        <v>62</v>
      </c>
      <c r="H246">
        <v>0.51041666666666696</v>
      </c>
      <c r="I246">
        <v>0.42105263157894701</v>
      </c>
    </row>
    <row r="247" spans="5:9" ht="15" customHeight="1" x14ac:dyDescent="0.2">
      <c r="E247" t="s">
        <v>80</v>
      </c>
      <c r="F247" t="s">
        <v>52</v>
      </c>
      <c r="G247" t="s">
        <v>42</v>
      </c>
      <c r="H247">
        <v>0.6171875</v>
      </c>
      <c r="I247">
        <v>0.34745762711864397</v>
      </c>
    </row>
    <row r="248" spans="5:9" ht="15" customHeight="1" x14ac:dyDescent="0.2">
      <c r="E248" t="s">
        <v>80</v>
      </c>
      <c r="F248" t="s">
        <v>48</v>
      </c>
      <c r="G248" t="s">
        <v>60</v>
      </c>
      <c r="H248">
        <v>0.5</v>
      </c>
      <c r="I248">
        <v>0.5546875</v>
      </c>
    </row>
    <row r="249" spans="5:9" ht="15" customHeight="1" x14ac:dyDescent="0.2">
      <c r="E249" t="s">
        <v>80</v>
      </c>
      <c r="F249" t="s">
        <v>54</v>
      </c>
      <c r="G249" t="s">
        <v>61</v>
      </c>
      <c r="H249">
        <v>0.5</v>
      </c>
      <c r="I249">
        <v>0.37288135593220301</v>
      </c>
    </row>
    <row r="250" spans="5:9" ht="15" customHeight="1" x14ac:dyDescent="0.2">
      <c r="E250" t="s">
        <v>80</v>
      </c>
      <c r="F250" t="s">
        <v>55</v>
      </c>
      <c r="G250" t="s">
        <v>50</v>
      </c>
      <c r="H250">
        <v>0.59523809523809501</v>
      </c>
      <c r="I250">
        <v>0.44067796610169502</v>
      </c>
    </row>
    <row r="251" spans="5:9" ht="15" customHeight="1" x14ac:dyDescent="0.2">
      <c r="E251" t="s">
        <v>80</v>
      </c>
      <c r="F251" t="s">
        <v>41</v>
      </c>
      <c r="G251" t="s">
        <v>43</v>
      </c>
      <c r="H251">
        <v>0.48611111111111099</v>
      </c>
      <c r="I251">
        <v>0.47321428571428598</v>
      </c>
    </row>
    <row r="252" spans="5:9" ht="15" customHeight="1" x14ac:dyDescent="0.2">
      <c r="E252" t="s">
        <v>80</v>
      </c>
      <c r="F252" t="s">
        <v>45</v>
      </c>
      <c r="G252" t="s">
        <v>46</v>
      </c>
      <c r="H252">
        <v>0.38392857142857201</v>
      </c>
      <c r="I252">
        <v>0.59375</v>
      </c>
    </row>
    <row r="253" spans="5:9" ht="15" customHeight="1" x14ac:dyDescent="0.2">
      <c r="E253" t="s">
        <v>80</v>
      </c>
      <c r="F253" t="s">
        <v>58</v>
      </c>
      <c r="G253" t="s">
        <v>40</v>
      </c>
      <c r="H253">
        <v>0.546875</v>
      </c>
      <c r="I253">
        <v>0.65476190476190499</v>
      </c>
    </row>
    <row r="254" spans="5:9" ht="15" customHeight="1" x14ac:dyDescent="0.2">
      <c r="E254" t="s">
        <v>80</v>
      </c>
      <c r="F254" t="s">
        <v>57</v>
      </c>
      <c r="G254" t="s">
        <v>44</v>
      </c>
      <c r="H254">
        <v>0.4296875</v>
      </c>
      <c r="I254">
        <v>0.44827586206896602</v>
      </c>
    </row>
    <row r="255" spans="5:9" ht="15" customHeight="1" x14ac:dyDescent="0.2">
      <c r="E255" t="s">
        <v>80</v>
      </c>
      <c r="F255" t="s">
        <v>53</v>
      </c>
      <c r="G255" t="s">
        <v>59</v>
      </c>
      <c r="H255">
        <v>0.52777777777777801</v>
      </c>
      <c r="I255">
        <v>0.59649122807017496</v>
      </c>
    </row>
    <row r="256" spans="5:9" ht="15" customHeight="1" x14ac:dyDescent="0.2">
      <c r="E256" t="s">
        <v>80</v>
      </c>
      <c r="F256" t="s">
        <v>651</v>
      </c>
      <c r="G256" t="s">
        <v>62</v>
      </c>
      <c r="H256">
        <v>0.51041666666666696</v>
      </c>
      <c r="I256">
        <v>0.42105263157894701</v>
      </c>
    </row>
    <row r="257" spans="5:9" ht="15" customHeight="1" x14ac:dyDescent="0.2">
      <c r="E257" t="s">
        <v>80</v>
      </c>
      <c r="F257" t="s">
        <v>52</v>
      </c>
      <c r="G257" t="s">
        <v>42</v>
      </c>
      <c r="H257">
        <v>0.6171875</v>
      </c>
      <c r="I257">
        <v>0.34745762711864397</v>
      </c>
    </row>
    <row r="258" spans="5:9" ht="15" customHeight="1" x14ac:dyDescent="0.2">
      <c r="E258" t="s">
        <v>80</v>
      </c>
      <c r="F258" t="s">
        <v>48</v>
      </c>
      <c r="G258" t="s">
        <v>60</v>
      </c>
      <c r="H258">
        <v>0.5</v>
      </c>
      <c r="I258">
        <v>0.5546875</v>
      </c>
    </row>
    <row r="259" spans="5:9" ht="15" customHeight="1" x14ac:dyDescent="0.2">
      <c r="E259" t="s">
        <v>80</v>
      </c>
      <c r="F259" t="s">
        <v>54</v>
      </c>
      <c r="G259" t="s">
        <v>61</v>
      </c>
      <c r="H259">
        <v>0.5</v>
      </c>
      <c r="I259">
        <v>0.37288135593220301</v>
      </c>
    </row>
    <row r="260" spans="5:9" ht="15" customHeight="1" x14ac:dyDescent="0.2">
      <c r="E260" t="s">
        <v>80</v>
      </c>
      <c r="F260" t="s">
        <v>50</v>
      </c>
      <c r="G260" t="s">
        <v>42</v>
      </c>
      <c r="H260">
        <v>0.6171875</v>
      </c>
      <c r="I260">
        <v>0.59523809523809501</v>
      </c>
    </row>
    <row r="261" spans="5:9" ht="15" customHeight="1" x14ac:dyDescent="0.2">
      <c r="E261" t="s">
        <v>80</v>
      </c>
      <c r="F261" t="s">
        <v>45</v>
      </c>
      <c r="G261" t="s">
        <v>41</v>
      </c>
      <c r="H261">
        <v>0.47321428571428598</v>
      </c>
      <c r="I261">
        <v>0.59375</v>
      </c>
    </row>
    <row r="262" spans="5:9" ht="15" customHeight="1" x14ac:dyDescent="0.2">
      <c r="E262" t="s">
        <v>80</v>
      </c>
      <c r="F262" t="s">
        <v>43</v>
      </c>
      <c r="G262" t="s">
        <v>651</v>
      </c>
      <c r="H262">
        <v>0.42105263157894701</v>
      </c>
      <c r="I262">
        <v>0.48611111111111099</v>
      </c>
    </row>
    <row r="263" spans="5:9" ht="15" customHeight="1" x14ac:dyDescent="0.2">
      <c r="E263" t="s">
        <v>80</v>
      </c>
      <c r="F263" t="s">
        <v>58</v>
      </c>
      <c r="G263" t="s">
        <v>48</v>
      </c>
      <c r="H263">
        <v>0.5546875</v>
      </c>
      <c r="I263">
        <v>0.65476190476190499</v>
      </c>
    </row>
    <row r="264" spans="5:9" ht="15" customHeight="1" x14ac:dyDescent="0.2">
      <c r="E264" t="s">
        <v>80</v>
      </c>
      <c r="F264" t="s">
        <v>44</v>
      </c>
      <c r="G264" t="s">
        <v>60</v>
      </c>
      <c r="H264">
        <v>0.5</v>
      </c>
      <c r="I264">
        <v>0.4296875</v>
      </c>
    </row>
    <row r="265" spans="5:9" ht="15" customHeight="1" x14ac:dyDescent="0.2">
      <c r="E265" t="s">
        <v>80</v>
      </c>
      <c r="F265" t="s">
        <v>61</v>
      </c>
      <c r="G265" t="s">
        <v>59</v>
      </c>
      <c r="H265">
        <v>0.52777777777777801</v>
      </c>
      <c r="I265">
        <v>0.5</v>
      </c>
    </row>
    <row r="266" spans="5:9" ht="15" customHeight="1" x14ac:dyDescent="0.2">
      <c r="E266" t="s">
        <v>80</v>
      </c>
      <c r="F266" t="s">
        <v>53</v>
      </c>
      <c r="G266" t="s">
        <v>62</v>
      </c>
      <c r="H266">
        <v>0.51041666666666696</v>
      </c>
      <c r="I266">
        <v>0.59649122807017496</v>
      </c>
    </row>
    <row r="267" spans="5:9" ht="15" customHeight="1" x14ac:dyDescent="0.2">
      <c r="E267" t="s">
        <v>80</v>
      </c>
      <c r="F267" t="s">
        <v>52</v>
      </c>
      <c r="G267" t="s">
        <v>40</v>
      </c>
      <c r="H267">
        <v>0.546875</v>
      </c>
      <c r="I267">
        <v>0.34745762711864397</v>
      </c>
    </row>
    <row r="268" spans="5:9" ht="15" customHeight="1" x14ac:dyDescent="0.2">
      <c r="E268" t="s">
        <v>80</v>
      </c>
      <c r="F268" t="s">
        <v>57</v>
      </c>
      <c r="G268" t="s">
        <v>55</v>
      </c>
      <c r="H268">
        <v>0.44067796610169502</v>
      </c>
      <c r="I268">
        <v>0.44827586206896602</v>
      </c>
    </row>
    <row r="269" spans="5:9" ht="15" customHeight="1" x14ac:dyDescent="0.2">
      <c r="E269" t="s">
        <v>80</v>
      </c>
      <c r="F269" t="s">
        <v>54</v>
      </c>
      <c r="G269" t="s">
        <v>46</v>
      </c>
      <c r="H269">
        <v>0.38392857142857201</v>
      </c>
      <c r="I269">
        <v>0.37288135593220301</v>
      </c>
    </row>
    <row r="270" spans="5:9" ht="15" customHeight="1" x14ac:dyDescent="0.2">
      <c r="E270" t="s">
        <v>80</v>
      </c>
      <c r="F270" t="s">
        <v>44</v>
      </c>
      <c r="G270" t="s">
        <v>53</v>
      </c>
      <c r="H270">
        <v>0.59649122807017496</v>
      </c>
      <c r="I270">
        <v>0.4296875</v>
      </c>
    </row>
    <row r="271" spans="5:9" ht="15" customHeight="1" x14ac:dyDescent="0.2">
      <c r="E271" t="s">
        <v>80</v>
      </c>
      <c r="F271" t="s">
        <v>67</v>
      </c>
      <c r="G271" t="s">
        <v>50</v>
      </c>
      <c r="H271">
        <v>0.59523809523809501</v>
      </c>
      <c r="I271">
        <v>0.54545454545454497</v>
      </c>
    </row>
    <row r="272" spans="5:9" ht="15" customHeight="1" x14ac:dyDescent="0.2">
      <c r="E272" t="s">
        <v>80</v>
      </c>
      <c r="F272" t="s">
        <v>63</v>
      </c>
      <c r="G272" t="s">
        <v>66</v>
      </c>
      <c r="H272">
        <v>0.63888888888888895</v>
      </c>
      <c r="I272">
        <v>0.46551724137931</v>
      </c>
    </row>
    <row r="273" spans="5:9" ht="15" customHeight="1" x14ac:dyDescent="0.2">
      <c r="E273" t="s">
        <v>80</v>
      </c>
      <c r="F273" t="s">
        <v>46</v>
      </c>
      <c r="G273" t="s">
        <v>65</v>
      </c>
      <c r="H273">
        <v>0.33333333333333298</v>
      </c>
      <c r="I273">
        <v>0.38392857142857201</v>
      </c>
    </row>
    <row r="274" spans="5:9" ht="15" customHeight="1" x14ac:dyDescent="0.2">
      <c r="E274" t="s">
        <v>80</v>
      </c>
      <c r="F274" t="s">
        <v>55</v>
      </c>
      <c r="G274" t="s">
        <v>54</v>
      </c>
      <c r="H274">
        <v>0.37288135593220301</v>
      </c>
      <c r="I274">
        <v>0.44067796610169502</v>
      </c>
    </row>
    <row r="275" spans="5:9" ht="15" customHeight="1" x14ac:dyDescent="0.2">
      <c r="E275" t="s">
        <v>80</v>
      </c>
      <c r="F275" t="s">
        <v>41</v>
      </c>
      <c r="G275" t="s">
        <v>62</v>
      </c>
      <c r="H275">
        <v>0.51041666666666696</v>
      </c>
      <c r="I275">
        <v>0.47321428571428598</v>
      </c>
    </row>
    <row r="276" spans="5:9" ht="15" customHeight="1" x14ac:dyDescent="0.2">
      <c r="E276" t="s">
        <v>80</v>
      </c>
      <c r="F276" t="s">
        <v>40</v>
      </c>
      <c r="G276" t="s">
        <v>60</v>
      </c>
      <c r="H276">
        <v>0.5</v>
      </c>
      <c r="I276">
        <v>0.546875</v>
      </c>
    </row>
    <row r="277" spans="5:9" ht="15" customHeight="1" x14ac:dyDescent="0.2">
      <c r="E277" t="s">
        <v>80</v>
      </c>
      <c r="F277" t="s">
        <v>48</v>
      </c>
      <c r="G277" t="s">
        <v>68</v>
      </c>
      <c r="H277">
        <v>0.6</v>
      </c>
      <c r="I277">
        <v>0.5546875</v>
      </c>
    </row>
    <row r="278" spans="5:9" ht="15" customHeight="1" x14ac:dyDescent="0.2">
      <c r="E278" t="s">
        <v>80</v>
      </c>
      <c r="F278" t="s">
        <v>42</v>
      </c>
      <c r="G278" t="s">
        <v>651</v>
      </c>
      <c r="H278">
        <v>0.42105263157894701</v>
      </c>
      <c r="I278">
        <v>0.6171875</v>
      </c>
    </row>
    <row r="279" spans="5:9" ht="15" customHeight="1" x14ac:dyDescent="0.2">
      <c r="E279" t="s">
        <v>80</v>
      </c>
      <c r="F279" t="s">
        <v>45</v>
      </c>
      <c r="G279" t="s">
        <v>52</v>
      </c>
      <c r="H279">
        <v>0.34745762711864397</v>
      </c>
      <c r="I279">
        <v>0.59375</v>
      </c>
    </row>
    <row r="280" spans="5:9" ht="15" customHeight="1" x14ac:dyDescent="0.2">
      <c r="E280" t="s">
        <v>80</v>
      </c>
      <c r="F280" t="s">
        <v>44</v>
      </c>
      <c r="G280" t="s">
        <v>53</v>
      </c>
      <c r="H280">
        <v>0.59649122807017496</v>
      </c>
      <c r="I280">
        <v>0.4296875</v>
      </c>
    </row>
    <row r="281" spans="5:9" ht="15" customHeight="1" x14ac:dyDescent="0.2">
      <c r="E281" t="s">
        <v>80</v>
      </c>
      <c r="F281" t="s">
        <v>67</v>
      </c>
      <c r="G281" t="s">
        <v>50</v>
      </c>
      <c r="H281">
        <v>0.59523809523809501</v>
      </c>
      <c r="I281">
        <v>0.54545454545454497</v>
      </c>
    </row>
    <row r="282" spans="5:9" ht="15" customHeight="1" x14ac:dyDescent="0.2">
      <c r="E282" t="s">
        <v>80</v>
      </c>
      <c r="F282" t="s">
        <v>63</v>
      </c>
      <c r="G282" t="s">
        <v>66</v>
      </c>
      <c r="H282">
        <v>0.63888888888888895</v>
      </c>
      <c r="I282">
        <v>0.46551724137931</v>
      </c>
    </row>
    <row r="283" spans="5:9" ht="15" customHeight="1" x14ac:dyDescent="0.2">
      <c r="E283" t="s">
        <v>80</v>
      </c>
      <c r="F283" t="s">
        <v>46</v>
      </c>
      <c r="G283" t="s">
        <v>65</v>
      </c>
      <c r="H283">
        <v>0.33333333333333298</v>
      </c>
      <c r="I283">
        <v>0.38392857142857201</v>
      </c>
    </row>
    <row r="284" spans="5:9" ht="15" customHeight="1" x14ac:dyDescent="0.2">
      <c r="E284" t="s">
        <v>80</v>
      </c>
      <c r="F284" t="s">
        <v>55</v>
      </c>
      <c r="G284" t="s">
        <v>54</v>
      </c>
      <c r="H284">
        <v>0.37288135593220301</v>
      </c>
      <c r="I284">
        <v>0.44067796610169502</v>
      </c>
    </row>
    <row r="285" spans="5:9" ht="15" customHeight="1" x14ac:dyDescent="0.2">
      <c r="E285" t="s">
        <v>80</v>
      </c>
      <c r="F285" t="s">
        <v>41</v>
      </c>
      <c r="G285" t="s">
        <v>62</v>
      </c>
      <c r="H285">
        <v>0.51041666666666696</v>
      </c>
      <c r="I285">
        <v>0.47321428571428598</v>
      </c>
    </row>
    <row r="286" spans="5:9" ht="15" customHeight="1" x14ac:dyDescent="0.2">
      <c r="E286" t="s">
        <v>80</v>
      </c>
      <c r="F286" t="s">
        <v>40</v>
      </c>
      <c r="G286" t="s">
        <v>60</v>
      </c>
      <c r="H286">
        <v>0.5</v>
      </c>
      <c r="I286">
        <v>0.546875</v>
      </c>
    </row>
    <row r="287" spans="5:9" ht="15" customHeight="1" x14ac:dyDescent="0.2">
      <c r="E287" t="s">
        <v>80</v>
      </c>
      <c r="F287" t="s">
        <v>48</v>
      </c>
      <c r="G287" t="s">
        <v>68</v>
      </c>
      <c r="H287">
        <v>0.6</v>
      </c>
      <c r="I287">
        <v>0.5546875</v>
      </c>
    </row>
    <row r="288" spans="5:9" ht="15" customHeight="1" x14ac:dyDescent="0.2">
      <c r="E288" t="s">
        <v>80</v>
      </c>
      <c r="F288" t="s">
        <v>42</v>
      </c>
      <c r="G288" t="s">
        <v>651</v>
      </c>
      <c r="H288">
        <v>0.42105263157894701</v>
      </c>
      <c r="I288">
        <v>0.6171875</v>
      </c>
    </row>
    <row r="289" spans="5:9" ht="15" customHeight="1" x14ac:dyDescent="0.2">
      <c r="E289" t="s">
        <v>80</v>
      </c>
      <c r="F289" t="s">
        <v>45</v>
      </c>
      <c r="G289" t="s">
        <v>52</v>
      </c>
      <c r="H289">
        <v>0.34745762711864397</v>
      </c>
      <c r="I289">
        <v>0.59375</v>
      </c>
    </row>
    <row r="290" spans="5:9" ht="15" customHeight="1" x14ac:dyDescent="0.2">
      <c r="E290" t="s">
        <v>80</v>
      </c>
      <c r="F290" t="s">
        <v>61</v>
      </c>
      <c r="G290" t="s">
        <v>68</v>
      </c>
      <c r="H290">
        <v>0.6</v>
      </c>
      <c r="I290">
        <v>0.5</v>
      </c>
    </row>
    <row r="291" spans="5:9" ht="15" customHeight="1" x14ac:dyDescent="0.2">
      <c r="E291" t="s">
        <v>80</v>
      </c>
      <c r="F291" t="s">
        <v>67</v>
      </c>
      <c r="G291" t="s">
        <v>62</v>
      </c>
      <c r="H291">
        <v>0.51041666666666696</v>
      </c>
      <c r="I291">
        <v>0.54545454545454497</v>
      </c>
    </row>
    <row r="292" spans="5:9" ht="15" customHeight="1" x14ac:dyDescent="0.2">
      <c r="E292" t="s">
        <v>80</v>
      </c>
      <c r="F292" t="s">
        <v>45</v>
      </c>
      <c r="G292" t="s">
        <v>64</v>
      </c>
      <c r="H292">
        <v>0.65909090909090895</v>
      </c>
      <c r="I292">
        <v>0.59375</v>
      </c>
    </row>
    <row r="293" spans="5:9" ht="15" customHeight="1" x14ac:dyDescent="0.2">
      <c r="E293" t="s">
        <v>80</v>
      </c>
      <c r="F293" t="s">
        <v>55</v>
      </c>
      <c r="G293" t="s">
        <v>42</v>
      </c>
      <c r="H293">
        <v>0.6171875</v>
      </c>
      <c r="I293">
        <v>0.44067796610169502</v>
      </c>
    </row>
    <row r="294" spans="5:9" ht="15" customHeight="1" x14ac:dyDescent="0.2">
      <c r="E294" t="s">
        <v>80</v>
      </c>
      <c r="F294" t="s">
        <v>65</v>
      </c>
      <c r="G294" t="s">
        <v>651</v>
      </c>
      <c r="H294">
        <v>0.42105263157894701</v>
      </c>
      <c r="I294">
        <v>0.33333333333333298</v>
      </c>
    </row>
    <row r="295" spans="5:9" ht="15" customHeight="1" x14ac:dyDescent="0.2">
      <c r="E295" t="s">
        <v>80</v>
      </c>
      <c r="F295" t="s">
        <v>63</v>
      </c>
      <c r="G295" t="s">
        <v>41</v>
      </c>
      <c r="H295">
        <v>0.47321428571428598</v>
      </c>
      <c r="I295">
        <v>0.46551724137931</v>
      </c>
    </row>
    <row r="296" spans="5:9" ht="15" customHeight="1" x14ac:dyDescent="0.2">
      <c r="E296" t="s">
        <v>80</v>
      </c>
      <c r="F296" t="s">
        <v>52</v>
      </c>
      <c r="G296" t="s">
        <v>66</v>
      </c>
      <c r="H296">
        <v>0.63888888888888895</v>
      </c>
      <c r="I296">
        <v>0.34745762711864397</v>
      </c>
    </row>
    <row r="297" spans="5:9" ht="15" customHeight="1" x14ac:dyDescent="0.2">
      <c r="E297" t="s">
        <v>80</v>
      </c>
      <c r="F297" t="s">
        <v>44</v>
      </c>
      <c r="G297" t="s">
        <v>54</v>
      </c>
      <c r="H297">
        <v>0.37288135593220301</v>
      </c>
      <c r="I297">
        <v>0.4296875</v>
      </c>
    </row>
    <row r="298" spans="5:9" ht="15" customHeight="1" x14ac:dyDescent="0.2">
      <c r="E298" t="s">
        <v>80</v>
      </c>
      <c r="F298" t="s">
        <v>48</v>
      </c>
      <c r="G298" t="s">
        <v>46</v>
      </c>
      <c r="H298">
        <v>0.38392857142857201</v>
      </c>
      <c r="I298">
        <v>0.5546875</v>
      </c>
    </row>
    <row r="299" spans="5:9" ht="15" customHeight="1" x14ac:dyDescent="0.2">
      <c r="E299" t="s">
        <v>80</v>
      </c>
      <c r="F299" t="s">
        <v>50</v>
      </c>
      <c r="G299" t="s">
        <v>40</v>
      </c>
      <c r="H299">
        <v>0.546875</v>
      </c>
      <c r="I299">
        <v>0.59523809523809501</v>
      </c>
    </row>
    <row r="300" spans="5:9" ht="15" customHeight="1" x14ac:dyDescent="0.2">
      <c r="E300" t="s">
        <v>80</v>
      </c>
      <c r="F300" t="s">
        <v>61</v>
      </c>
      <c r="G300" t="s">
        <v>68</v>
      </c>
      <c r="H300">
        <v>0.6</v>
      </c>
      <c r="I300">
        <v>0.5</v>
      </c>
    </row>
    <row r="301" spans="5:9" ht="15" customHeight="1" x14ac:dyDescent="0.2">
      <c r="E301" t="s">
        <v>80</v>
      </c>
      <c r="F301" t="s">
        <v>67</v>
      </c>
      <c r="G301" t="s">
        <v>62</v>
      </c>
      <c r="H301">
        <v>0.51041666666666696</v>
      </c>
      <c r="I301">
        <v>0.54545454545454497</v>
      </c>
    </row>
    <row r="302" spans="5:9" ht="15" customHeight="1" x14ac:dyDescent="0.2">
      <c r="E302" t="s">
        <v>80</v>
      </c>
      <c r="F302" t="s">
        <v>45</v>
      </c>
      <c r="G302" t="s">
        <v>64</v>
      </c>
      <c r="H302">
        <v>0.65909090909090895</v>
      </c>
      <c r="I302">
        <v>0.59375</v>
      </c>
    </row>
    <row r="303" spans="5:9" ht="15" customHeight="1" x14ac:dyDescent="0.2">
      <c r="E303" t="s">
        <v>80</v>
      </c>
      <c r="F303" t="s">
        <v>55</v>
      </c>
      <c r="G303" t="s">
        <v>42</v>
      </c>
      <c r="H303">
        <v>0.6171875</v>
      </c>
      <c r="I303">
        <v>0.44067796610169502</v>
      </c>
    </row>
    <row r="304" spans="5:9" ht="15" customHeight="1" x14ac:dyDescent="0.2">
      <c r="E304" t="s">
        <v>80</v>
      </c>
      <c r="F304" t="s">
        <v>65</v>
      </c>
      <c r="G304" t="s">
        <v>651</v>
      </c>
      <c r="H304">
        <v>0.42105263157894701</v>
      </c>
      <c r="I304">
        <v>0.33333333333333298</v>
      </c>
    </row>
    <row r="305" spans="5:9" ht="15" customHeight="1" x14ac:dyDescent="0.2">
      <c r="E305" t="s">
        <v>80</v>
      </c>
      <c r="F305" t="s">
        <v>63</v>
      </c>
      <c r="G305" t="s">
        <v>41</v>
      </c>
      <c r="H305">
        <v>0.47321428571428598</v>
      </c>
      <c r="I305">
        <v>0.46551724137931</v>
      </c>
    </row>
    <row r="306" spans="5:9" ht="15" customHeight="1" x14ac:dyDescent="0.2">
      <c r="E306" t="s">
        <v>80</v>
      </c>
      <c r="F306" t="s">
        <v>52</v>
      </c>
      <c r="G306" t="s">
        <v>66</v>
      </c>
      <c r="H306">
        <v>0.63888888888888895</v>
      </c>
      <c r="I306">
        <v>0.34745762711864397</v>
      </c>
    </row>
    <row r="307" spans="5:9" ht="15" customHeight="1" x14ac:dyDescent="0.2">
      <c r="E307" t="s">
        <v>80</v>
      </c>
      <c r="F307" t="s">
        <v>44</v>
      </c>
      <c r="G307" t="s">
        <v>54</v>
      </c>
      <c r="H307">
        <v>0.37288135593220301</v>
      </c>
      <c r="I307">
        <v>0.4296875</v>
      </c>
    </row>
    <row r="308" spans="5:9" ht="15" customHeight="1" x14ac:dyDescent="0.2">
      <c r="E308" t="s">
        <v>80</v>
      </c>
      <c r="F308" t="s">
        <v>48</v>
      </c>
      <c r="G308" t="s">
        <v>46</v>
      </c>
      <c r="H308">
        <v>0.38392857142857201</v>
      </c>
      <c r="I308">
        <v>0.5546875</v>
      </c>
    </row>
    <row r="309" spans="5:9" ht="15" customHeight="1" x14ac:dyDescent="0.2">
      <c r="E309" t="s">
        <v>80</v>
      </c>
      <c r="F309" t="s">
        <v>50</v>
      </c>
      <c r="G309" t="s">
        <v>40</v>
      </c>
      <c r="H309">
        <v>0.546875</v>
      </c>
      <c r="I309">
        <v>0.59523809523809501</v>
      </c>
    </row>
    <row r="310" spans="5:9" ht="15" customHeight="1" x14ac:dyDescent="0.2">
      <c r="F310" t="s">
        <v>45</v>
      </c>
      <c r="G310" t="s">
        <v>66</v>
      </c>
      <c r="H310">
        <v>0.63888888888888895</v>
      </c>
      <c r="I310">
        <v>0.59375</v>
      </c>
    </row>
    <row r="311" spans="5:9" ht="15" customHeight="1" x14ac:dyDescent="0.2">
      <c r="F311" t="s">
        <v>50</v>
      </c>
      <c r="G311" t="s">
        <v>42</v>
      </c>
      <c r="H311">
        <v>0.6171875</v>
      </c>
      <c r="I311">
        <v>0.59523809523809501</v>
      </c>
    </row>
    <row r="312" spans="5:9" ht="15" customHeight="1" x14ac:dyDescent="0.2">
      <c r="F312" t="s">
        <v>67</v>
      </c>
      <c r="G312" t="s">
        <v>60</v>
      </c>
      <c r="H312">
        <v>0.5</v>
      </c>
      <c r="I312">
        <v>0.54545454545454497</v>
      </c>
    </row>
    <row r="313" spans="5:9" ht="15" customHeight="1" x14ac:dyDescent="0.2">
      <c r="F313" t="s">
        <v>63</v>
      </c>
      <c r="G313" t="s">
        <v>651</v>
      </c>
      <c r="H313">
        <v>0.42105263157894701</v>
      </c>
      <c r="I313">
        <v>0.46551724137931</v>
      </c>
    </row>
    <row r="314" spans="5:9" ht="15" customHeight="1" x14ac:dyDescent="0.2">
      <c r="F314" t="s">
        <v>52</v>
      </c>
      <c r="G314" t="s">
        <v>61</v>
      </c>
      <c r="H314">
        <v>0.5</v>
      </c>
      <c r="I314">
        <v>0.34745762711864397</v>
      </c>
    </row>
    <row r="315" spans="5:9" ht="15" customHeight="1" x14ac:dyDescent="0.2">
      <c r="F315" t="s">
        <v>64</v>
      </c>
      <c r="G315" t="s">
        <v>53</v>
      </c>
      <c r="H315">
        <v>0.59649122807017496</v>
      </c>
      <c r="I315">
        <v>0.65909090909090895</v>
      </c>
    </row>
    <row r="316" spans="5:9" ht="15" customHeight="1" x14ac:dyDescent="0.2">
      <c r="F316" t="s">
        <v>54</v>
      </c>
      <c r="G316" t="s">
        <v>62</v>
      </c>
      <c r="H316">
        <v>0.51041666666666696</v>
      </c>
      <c r="I316">
        <v>0.37288135593220301</v>
      </c>
    </row>
    <row r="317" spans="5:9" ht="15" customHeight="1" x14ac:dyDescent="0.2">
      <c r="F317" t="s">
        <v>41</v>
      </c>
      <c r="G317" t="s">
        <v>48</v>
      </c>
      <c r="H317">
        <v>0.5546875</v>
      </c>
      <c r="I317">
        <v>0.47321428571428598</v>
      </c>
    </row>
    <row r="318" spans="5:9" ht="15" customHeight="1" x14ac:dyDescent="0.2">
      <c r="F318" t="s">
        <v>44</v>
      </c>
      <c r="G318" t="s">
        <v>55</v>
      </c>
      <c r="H318">
        <v>0.44067796610169502</v>
      </c>
      <c r="I318">
        <v>0.4296875</v>
      </c>
    </row>
    <row r="319" spans="5:9" ht="15" customHeight="1" x14ac:dyDescent="0.2">
      <c r="F319" t="s">
        <v>40</v>
      </c>
      <c r="G319" t="s">
        <v>43</v>
      </c>
      <c r="H319">
        <v>0.48611111111111099</v>
      </c>
      <c r="I319">
        <v>0.546875</v>
      </c>
    </row>
    <row r="320" spans="5:9" ht="15" customHeight="1" x14ac:dyDescent="0.2">
      <c r="F320" t="s">
        <v>45</v>
      </c>
      <c r="G320" t="s">
        <v>66</v>
      </c>
      <c r="H320">
        <v>0.63888888888888895</v>
      </c>
      <c r="I320">
        <v>0.59375</v>
      </c>
    </row>
    <row r="321" spans="6:9" ht="15" customHeight="1" x14ac:dyDescent="0.2">
      <c r="F321" t="s">
        <v>50</v>
      </c>
      <c r="G321" t="s">
        <v>42</v>
      </c>
      <c r="H321">
        <v>0.6171875</v>
      </c>
      <c r="I321">
        <v>0.59523809523809501</v>
      </c>
    </row>
    <row r="322" spans="6:9" ht="15" customHeight="1" x14ac:dyDescent="0.2">
      <c r="F322" t="s">
        <v>67</v>
      </c>
      <c r="G322" t="s">
        <v>60</v>
      </c>
      <c r="H322">
        <v>0.5</v>
      </c>
      <c r="I322">
        <v>0.54545454545454497</v>
      </c>
    </row>
    <row r="323" spans="6:9" ht="15" customHeight="1" x14ac:dyDescent="0.2">
      <c r="F323" t="s">
        <v>63</v>
      </c>
      <c r="G323" t="s">
        <v>651</v>
      </c>
      <c r="H323">
        <v>0.42105263157894701</v>
      </c>
      <c r="I323">
        <v>0.46551724137931</v>
      </c>
    </row>
    <row r="324" spans="6:9" ht="15" customHeight="1" x14ac:dyDescent="0.2">
      <c r="F324" t="s">
        <v>52</v>
      </c>
      <c r="G324" t="s">
        <v>61</v>
      </c>
      <c r="H324">
        <v>0.5</v>
      </c>
      <c r="I324">
        <v>0.34745762711864397</v>
      </c>
    </row>
    <row r="325" spans="6:9" ht="15" customHeight="1" x14ac:dyDescent="0.2">
      <c r="F325" t="s">
        <v>64</v>
      </c>
      <c r="G325" t="s">
        <v>53</v>
      </c>
      <c r="H325">
        <v>0.59649122807017496</v>
      </c>
      <c r="I325">
        <v>0.65909090909090895</v>
      </c>
    </row>
    <row r="326" spans="6:9" ht="15" customHeight="1" x14ac:dyDescent="0.2">
      <c r="F326" t="s">
        <v>54</v>
      </c>
      <c r="G326" t="s">
        <v>62</v>
      </c>
      <c r="H326">
        <v>0.51041666666666696</v>
      </c>
      <c r="I326">
        <v>0.37288135593220301</v>
      </c>
    </row>
    <row r="327" spans="6:9" ht="15" customHeight="1" x14ac:dyDescent="0.2">
      <c r="F327" t="s">
        <v>41</v>
      </c>
      <c r="G327" t="s">
        <v>48</v>
      </c>
      <c r="H327">
        <v>0.5546875</v>
      </c>
      <c r="I327">
        <v>0.47321428571428598</v>
      </c>
    </row>
    <row r="328" spans="6:9" ht="15" customHeight="1" x14ac:dyDescent="0.2">
      <c r="F328" t="s">
        <v>44</v>
      </c>
      <c r="G328" t="s">
        <v>55</v>
      </c>
      <c r="H328">
        <v>0.44067796610169502</v>
      </c>
      <c r="I328">
        <v>0.4296875</v>
      </c>
    </row>
    <row r="329" spans="6:9" ht="15" customHeight="1" x14ac:dyDescent="0.2">
      <c r="F329" t="s">
        <v>40</v>
      </c>
      <c r="G329" t="s">
        <v>43</v>
      </c>
      <c r="H329">
        <v>0.48611111111111099</v>
      </c>
      <c r="I329">
        <v>0.546875</v>
      </c>
    </row>
    <row r="330" spans="6:9" ht="15" customHeight="1" x14ac:dyDescent="0.2">
      <c r="F330" t="s">
        <v>61</v>
      </c>
      <c r="G330" t="s">
        <v>66</v>
      </c>
      <c r="H330">
        <v>0.63888888888888895</v>
      </c>
      <c r="I330">
        <v>0.5</v>
      </c>
    </row>
    <row r="331" spans="6:9" ht="15" customHeight="1" x14ac:dyDescent="0.2">
      <c r="F331" t="s">
        <v>50</v>
      </c>
      <c r="G331" t="s">
        <v>60</v>
      </c>
      <c r="H331">
        <v>0.5</v>
      </c>
      <c r="I331">
        <v>0.59523809523809501</v>
      </c>
    </row>
    <row r="332" spans="6:9" ht="15" customHeight="1" x14ac:dyDescent="0.2">
      <c r="F332" t="s">
        <v>53</v>
      </c>
      <c r="G332" t="s">
        <v>43</v>
      </c>
      <c r="H332">
        <v>0.48611111111111099</v>
      </c>
      <c r="I332">
        <v>0.59649122807017496</v>
      </c>
    </row>
    <row r="333" spans="6:9" ht="15" customHeight="1" x14ac:dyDescent="0.2">
      <c r="F333" t="s">
        <v>63</v>
      </c>
      <c r="G333" t="s">
        <v>44</v>
      </c>
      <c r="H333">
        <v>0.4296875</v>
      </c>
      <c r="I333">
        <v>0.46551724137931</v>
      </c>
    </row>
    <row r="334" spans="6:9" ht="15" customHeight="1" x14ac:dyDescent="0.2">
      <c r="F334" t="s">
        <v>55</v>
      </c>
      <c r="G334" t="s">
        <v>48</v>
      </c>
      <c r="H334">
        <v>0.5546875</v>
      </c>
      <c r="I334">
        <v>0.44067796610169502</v>
      </c>
    </row>
    <row r="335" spans="6:9" ht="15" customHeight="1" x14ac:dyDescent="0.2">
      <c r="F335" t="s">
        <v>42</v>
      </c>
      <c r="G335" t="s">
        <v>62</v>
      </c>
      <c r="H335">
        <v>0.51041666666666696</v>
      </c>
      <c r="I335">
        <v>0.6171875</v>
      </c>
    </row>
    <row r="336" spans="6:9" ht="15" customHeight="1" x14ac:dyDescent="0.2">
      <c r="F336" t="s">
        <v>67</v>
      </c>
      <c r="G336" t="s">
        <v>40</v>
      </c>
      <c r="H336">
        <v>0.546875</v>
      </c>
      <c r="I336">
        <v>0.54545454545454497</v>
      </c>
    </row>
    <row r="337" spans="6:9" ht="15" customHeight="1" x14ac:dyDescent="0.2">
      <c r="F337" t="s">
        <v>45</v>
      </c>
      <c r="G337" t="s">
        <v>41</v>
      </c>
      <c r="H337">
        <v>0.47321428571428598</v>
      </c>
      <c r="I337">
        <v>0.59375</v>
      </c>
    </row>
    <row r="338" spans="6:9" ht="15" customHeight="1" x14ac:dyDescent="0.2">
      <c r="F338" t="s">
        <v>52</v>
      </c>
      <c r="G338" t="s">
        <v>651</v>
      </c>
      <c r="H338">
        <v>0.42105263157894701</v>
      </c>
      <c r="I338">
        <v>0.34745762711864397</v>
      </c>
    </row>
    <row r="339" spans="6:9" ht="15" customHeight="1" x14ac:dyDescent="0.2">
      <c r="F339" t="s">
        <v>64</v>
      </c>
      <c r="G339" t="s">
        <v>54</v>
      </c>
      <c r="H339">
        <v>0.37288135593220301</v>
      </c>
      <c r="I339">
        <v>0.65909090909090895</v>
      </c>
    </row>
    <row r="340" spans="6:9" ht="15" customHeight="1" x14ac:dyDescent="0.2">
      <c r="F340" t="s">
        <v>61</v>
      </c>
      <c r="G340" t="s">
        <v>66</v>
      </c>
      <c r="H340">
        <v>0.63888888888888895</v>
      </c>
      <c r="I340">
        <v>0.5</v>
      </c>
    </row>
    <row r="341" spans="6:9" ht="15" customHeight="1" x14ac:dyDescent="0.2">
      <c r="F341" t="s">
        <v>50</v>
      </c>
      <c r="G341" t="s">
        <v>60</v>
      </c>
      <c r="H341">
        <v>0.5</v>
      </c>
      <c r="I341">
        <v>0.59523809523809501</v>
      </c>
    </row>
    <row r="342" spans="6:9" ht="15" customHeight="1" x14ac:dyDescent="0.2">
      <c r="F342" t="s">
        <v>53</v>
      </c>
      <c r="G342" t="s">
        <v>43</v>
      </c>
      <c r="H342">
        <v>0.48611111111111099</v>
      </c>
      <c r="I342">
        <v>0.59649122807017496</v>
      </c>
    </row>
    <row r="343" spans="6:9" ht="15" customHeight="1" x14ac:dyDescent="0.2">
      <c r="F343" t="s">
        <v>63</v>
      </c>
      <c r="G343" t="s">
        <v>44</v>
      </c>
      <c r="H343">
        <v>0.4296875</v>
      </c>
      <c r="I343">
        <v>0.46551724137931</v>
      </c>
    </row>
    <row r="344" spans="6:9" ht="15" customHeight="1" x14ac:dyDescent="0.2">
      <c r="F344" t="s">
        <v>55</v>
      </c>
      <c r="G344" t="s">
        <v>48</v>
      </c>
      <c r="H344">
        <v>0.5546875</v>
      </c>
      <c r="I344">
        <v>0.44067796610169502</v>
      </c>
    </row>
    <row r="345" spans="6:9" ht="15" customHeight="1" x14ac:dyDescent="0.2">
      <c r="F345" t="s">
        <v>42</v>
      </c>
      <c r="G345" t="s">
        <v>62</v>
      </c>
      <c r="H345">
        <v>0.51041666666666696</v>
      </c>
      <c r="I345">
        <v>0.6171875</v>
      </c>
    </row>
    <row r="346" spans="6:9" ht="15" customHeight="1" x14ac:dyDescent="0.2">
      <c r="F346" t="s">
        <v>67</v>
      </c>
      <c r="G346" t="s">
        <v>40</v>
      </c>
      <c r="H346">
        <v>0.546875</v>
      </c>
      <c r="I346">
        <v>0.54545454545454497</v>
      </c>
    </row>
    <row r="347" spans="6:9" ht="15" customHeight="1" x14ac:dyDescent="0.2">
      <c r="F347" t="s">
        <v>45</v>
      </c>
      <c r="G347" t="s">
        <v>41</v>
      </c>
      <c r="H347">
        <v>0.47321428571428598</v>
      </c>
      <c r="I347">
        <v>0.59375</v>
      </c>
    </row>
    <row r="348" spans="6:9" ht="15" customHeight="1" x14ac:dyDescent="0.2">
      <c r="F348" t="s">
        <v>52</v>
      </c>
      <c r="G348" t="s">
        <v>651</v>
      </c>
      <c r="H348">
        <v>0.42105263157894701</v>
      </c>
      <c r="I348">
        <v>0.34745762711864397</v>
      </c>
    </row>
    <row r="349" spans="6:9" ht="15" customHeight="1" x14ac:dyDescent="0.2">
      <c r="F349" t="s">
        <v>64</v>
      </c>
      <c r="G349" t="s">
        <v>54</v>
      </c>
      <c r="H349">
        <v>0.37288135593220301</v>
      </c>
      <c r="I349">
        <v>0.65909090909090895</v>
      </c>
    </row>
    <row r="350" spans="6:9" ht="15" customHeight="1" x14ac:dyDescent="0.2">
      <c r="F350" t="s">
        <v>52</v>
      </c>
      <c r="G350" t="s">
        <v>46</v>
      </c>
      <c r="H350">
        <v>0.38392857142857201</v>
      </c>
      <c r="I350">
        <v>0.34745762711864397</v>
      </c>
    </row>
    <row r="351" spans="6:9" ht="15" customHeight="1" x14ac:dyDescent="0.2">
      <c r="F351" t="s">
        <v>55</v>
      </c>
      <c r="G351" t="s">
        <v>41</v>
      </c>
      <c r="H351">
        <v>0.47321428571428598</v>
      </c>
      <c r="I351">
        <v>0.44067796610169502</v>
      </c>
    </row>
    <row r="352" spans="6:9" ht="15" customHeight="1" x14ac:dyDescent="0.2">
      <c r="F352" t="s">
        <v>50</v>
      </c>
      <c r="G352" t="s">
        <v>40</v>
      </c>
      <c r="H352">
        <v>0.546875</v>
      </c>
      <c r="I352">
        <v>0.59523809523809501</v>
      </c>
    </row>
    <row r="353" spans="6:9" ht="15" customHeight="1" x14ac:dyDescent="0.2">
      <c r="F353" t="s">
        <v>42</v>
      </c>
      <c r="G353" t="s">
        <v>60</v>
      </c>
      <c r="H353">
        <v>0.5</v>
      </c>
      <c r="I353">
        <v>0.6171875</v>
      </c>
    </row>
    <row r="354" spans="6:9" ht="15" customHeight="1" x14ac:dyDescent="0.2">
      <c r="F354" t="s">
        <v>53</v>
      </c>
      <c r="G354" t="s">
        <v>62</v>
      </c>
      <c r="H354">
        <v>0.51041666666666696</v>
      </c>
      <c r="I354">
        <v>0.59649122807017496</v>
      </c>
    </row>
    <row r="355" spans="6:9" ht="15" customHeight="1" x14ac:dyDescent="0.2">
      <c r="F355" t="s">
        <v>44</v>
      </c>
      <c r="G355" t="s">
        <v>48</v>
      </c>
      <c r="H355">
        <v>0.5546875</v>
      </c>
      <c r="I355">
        <v>0.4296875</v>
      </c>
    </row>
    <row r="356" spans="6:9" ht="15" customHeight="1" x14ac:dyDescent="0.2">
      <c r="F356" t="s">
        <v>45</v>
      </c>
      <c r="G356" t="s">
        <v>69</v>
      </c>
      <c r="H356">
        <v>0.33333333333333298</v>
      </c>
      <c r="I356">
        <v>0.59375</v>
      </c>
    </row>
    <row r="357" spans="6:9" ht="15" customHeight="1" x14ac:dyDescent="0.2">
      <c r="F357" t="s">
        <v>58</v>
      </c>
      <c r="G357" t="s">
        <v>61</v>
      </c>
      <c r="H357">
        <v>0.5</v>
      </c>
      <c r="I357">
        <v>0.65476190476190499</v>
      </c>
    </row>
    <row r="358" spans="6:9" ht="15" customHeight="1" x14ac:dyDescent="0.2">
      <c r="F358" t="s">
        <v>54</v>
      </c>
      <c r="G358" t="s">
        <v>54</v>
      </c>
      <c r="H358">
        <v>0.37288135593220301</v>
      </c>
      <c r="I358">
        <v>0.37288135593220301</v>
      </c>
    </row>
    <row r="359" spans="6:9" ht="15" customHeight="1" x14ac:dyDescent="0.2">
      <c r="F359" t="s">
        <v>63</v>
      </c>
      <c r="G359" t="s">
        <v>66</v>
      </c>
      <c r="H359">
        <v>0.63888888888888895</v>
      </c>
      <c r="I359">
        <v>0.46551724137931</v>
      </c>
    </row>
    <row r="360" spans="6:9" ht="15" customHeight="1" x14ac:dyDescent="0.2">
      <c r="F360" t="s">
        <v>52</v>
      </c>
      <c r="G360" t="s">
        <v>46</v>
      </c>
      <c r="H360">
        <v>0.38392857142857201</v>
      </c>
      <c r="I360">
        <v>0.34745762711864397</v>
      </c>
    </row>
    <row r="361" spans="6:9" ht="15" customHeight="1" x14ac:dyDescent="0.2">
      <c r="F361" t="s">
        <v>55</v>
      </c>
      <c r="G361" t="s">
        <v>41</v>
      </c>
      <c r="H361">
        <v>0.47321428571428598</v>
      </c>
      <c r="I361">
        <v>0.44067796610169502</v>
      </c>
    </row>
    <row r="362" spans="6:9" ht="15" customHeight="1" x14ac:dyDescent="0.2">
      <c r="F362" t="s">
        <v>50</v>
      </c>
      <c r="G362" t="s">
        <v>40</v>
      </c>
      <c r="H362">
        <v>0.546875</v>
      </c>
      <c r="I362">
        <v>0.59523809523809501</v>
      </c>
    </row>
    <row r="363" spans="6:9" ht="15" customHeight="1" x14ac:dyDescent="0.2">
      <c r="F363" t="s">
        <v>42</v>
      </c>
      <c r="G363" t="s">
        <v>60</v>
      </c>
      <c r="H363">
        <v>0.5</v>
      </c>
      <c r="I363">
        <v>0.6171875</v>
      </c>
    </row>
    <row r="364" spans="6:9" ht="15" customHeight="1" x14ac:dyDescent="0.2">
      <c r="F364" t="s">
        <v>53</v>
      </c>
      <c r="G364" t="s">
        <v>62</v>
      </c>
      <c r="H364">
        <v>0.51041666666666696</v>
      </c>
      <c r="I364">
        <v>0.59649122807017496</v>
      </c>
    </row>
    <row r="365" spans="6:9" ht="15" customHeight="1" x14ac:dyDescent="0.2">
      <c r="F365" t="s">
        <v>44</v>
      </c>
      <c r="G365" t="s">
        <v>48</v>
      </c>
      <c r="H365">
        <v>0.5546875</v>
      </c>
      <c r="I365">
        <v>0.4296875</v>
      </c>
    </row>
    <row r="366" spans="6:9" ht="15" customHeight="1" x14ac:dyDescent="0.2">
      <c r="F366" t="s">
        <v>45</v>
      </c>
      <c r="G366" t="s">
        <v>69</v>
      </c>
      <c r="H366">
        <v>0.33333333333333298</v>
      </c>
      <c r="I366">
        <v>0.59375</v>
      </c>
    </row>
    <row r="367" spans="6:9" ht="15" customHeight="1" x14ac:dyDescent="0.2">
      <c r="F367" t="s">
        <v>58</v>
      </c>
      <c r="G367" t="s">
        <v>61</v>
      </c>
      <c r="H367">
        <v>0.5</v>
      </c>
      <c r="I367">
        <v>0.65476190476190499</v>
      </c>
    </row>
    <row r="368" spans="6:9" ht="15" customHeight="1" x14ac:dyDescent="0.2">
      <c r="F368" t="s">
        <v>64</v>
      </c>
      <c r="G368" t="s">
        <v>54</v>
      </c>
      <c r="H368">
        <v>0.37288135593220301</v>
      </c>
      <c r="I368">
        <v>0.65909090909090895</v>
      </c>
    </row>
    <row r="369" spans="6:9" ht="15" customHeight="1" x14ac:dyDescent="0.2">
      <c r="F369" t="s">
        <v>63</v>
      </c>
      <c r="G369" t="s">
        <v>66</v>
      </c>
      <c r="H369">
        <v>0.63888888888888895</v>
      </c>
      <c r="I369">
        <v>0.46551724137931</v>
      </c>
    </row>
    <row r="370" spans="6:9" ht="15" customHeight="1" x14ac:dyDescent="0.2">
      <c r="F370" t="s">
        <v>46</v>
      </c>
      <c r="G370" t="s">
        <v>62</v>
      </c>
      <c r="H370">
        <v>0.51041666666666696</v>
      </c>
      <c r="I370">
        <v>0.38392857142857201</v>
      </c>
    </row>
    <row r="371" spans="6:9" ht="15" customHeight="1" x14ac:dyDescent="0.2">
      <c r="F371" t="s">
        <v>55</v>
      </c>
      <c r="G371" t="s">
        <v>69</v>
      </c>
      <c r="H371">
        <v>0.33333333333333298</v>
      </c>
      <c r="I371">
        <v>0.44067796610169502</v>
      </c>
    </row>
    <row r="372" spans="6:9" ht="15" customHeight="1" x14ac:dyDescent="0.2">
      <c r="F372" t="s">
        <v>63</v>
      </c>
      <c r="G372" t="s">
        <v>41</v>
      </c>
      <c r="H372">
        <v>0.47321428571428598</v>
      </c>
      <c r="I372">
        <v>0.46551724137931</v>
      </c>
    </row>
    <row r="373" spans="6:9" ht="15" customHeight="1" x14ac:dyDescent="0.2">
      <c r="F373" t="s">
        <v>52</v>
      </c>
      <c r="G373" t="s">
        <v>42</v>
      </c>
      <c r="H373">
        <v>0.6171875</v>
      </c>
      <c r="I373">
        <v>0.34745762711864397</v>
      </c>
    </row>
    <row r="374" spans="6:9" ht="15" customHeight="1" x14ac:dyDescent="0.2">
      <c r="F374" t="s">
        <v>64</v>
      </c>
      <c r="G374" t="s">
        <v>58</v>
      </c>
      <c r="H374">
        <v>0.65476190476190499</v>
      </c>
      <c r="I374">
        <v>0.65909090909090895</v>
      </c>
    </row>
    <row r="375" spans="6:9" ht="15" customHeight="1" x14ac:dyDescent="0.2">
      <c r="F375" t="s">
        <v>48</v>
      </c>
      <c r="G375" t="s">
        <v>66</v>
      </c>
      <c r="H375">
        <v>0.63888888888888895</v>
      </c>
      <c r="I375">
        <v>0.5546875</v>
      </c>
    </row>
    <row r="376" spans="6:9" ht="15" customHeight="1" x14ac:dyDescent="0.2">
      <c r="F376" t="s">
        <v>45</v>
      </c>
      <c r="G376" t="s">
        <v>40</v>
      </c>
      <c r="H376">
        <v>0.546875</v>
      </c>
      <c r="I376">
        <v>0.59375</v>
      </c>
    </row>
    <row r="377" spans="6:9" ht="15" customHeight="1" x14ac:dyDescent="0.2">
      <c r="F377" t="s">
        <v>61</v>
      </c>
      <c r="G377" t="s">
        <v>54</v>
      </c>
      <c r="H377">
        <v>0.37288135593220301</v>
      </c>
      <c r="I377">
        <v>0.5</v>
      </c>
    </row>
    <row r="378" spans="6:9" ht="15" customHeight="1" x14ac:dyDescent="0.2">
      <c r="F378" t="s">
        <v>53</v>
      </c>
      <c r="G378" t="s">
        <v>60</v>
      </c>
      <c r="H378">
        <v>0.5</v>
      </c>
      <c r="I378">
        <v>0.59649122807017496</v>
      </c>
    </row>
    <row r="379" spans="6:9" ht="15" customHeight="1" x14ac:dyDescent="0.2">
      <c r="F379" t="s">
        <v>50</v>
      </c>
      <c r="G379" t="s">
        <v>44</v>
      </c>
      <c r="H379">
        <v>0.4296875</v>
      </c>
      <c r="I379">
        <v>0.59523809523809501</v>
      </c>
    </row>
    <row r="380" spans="6:9" ht="15" customHeight="1" x14ac:dyDescent="0.2">
      <c r="F380" t="s">
        <v>46</v>
      </c>
      <c r="G380" t="s">
        <v>62</v>
      </c>
      <c r="H380">
        <v>0.51041666666666696</v>
      </c>
      <c r="I380">
        <v>0.38392857142857201</v>
      </c>
    </row>
    <row r="381" spans="6:9" ht="15" customHeight="1" x14ac:dyDescent="0.2">
      <c r="F381" t="s">
        <v>55</v>
      </c>
      <c r="G381" t="s">
        <v>69</v>
      </c>
      <c r="H381">
        <v>0.33333333333333298</v>
      </c>
      <c r="I381">
        <v>0.44067796610169502</v>
      </c>
    </row>
    <row r="382" spans="6:9" ht="15" customHeight="1" x14ac:dyDescent="0.2">
      <c r="F382" t="s">
        <v>63</v>
      </c>
      <c r="G382" t="s">
        <v>41</v>
      </c>
      <c r="H382">
        <v>0.47321428571428598</v>
      </c>
      <c r="I382">
        <v>0.46551724137931</v>
      </c>
    </row>
    <row r="383" spans="6:9" ht="15" customHeight="1" x14ac:dyDescent="0.2">
      <c r="F383" t="s">
        <v>52</v>
      </c>
      <c r="G383" t="s">
        <v>42</v>
      </c>
      <c r="H383">
        <v>0.6171875</v>
      </c>
      <c r="I383">
        <v>0.34745762711864397</v>
      </c>
    </row>
    <row r="384" spans="6:9" ht="15" customHeight="1" x14ac:dyDescent="0.2">
      <c r="F384" t="s">
        <v>64</v>
      </c>
      <c r="G384" t="s">
        <v>58</v>
      </c>
      <c r="H384">
        <v>0.65476190476190499</v>
      </c>
      <c r="I384">
        <v>0.65909090909090895</v>
      </c>
    </row>
    <row r="385" spans="6:9" ht="15" customHeight="1" x14ac:dyDescent="0.2">
      <c r="F385" t="s">
        <v>48</v>
      </c>
      <c r="G385" t="s">
        <v>66</v>
      </c>
      <c r="H385">
        <v>0.63888888888888895</v>
      </c>
      <c r="I385">
        <v>0.5546875</v>
      </c>
    </row>
    <row r="386" spans="6:9" ht="15" customHeight="1" x14ac:dyDescent="0.2">
      <c r="F386" t="s">
        <v>45</v>
      </c>
      <c r="G386" t="s">
        <v>40</v>
      </c>
      <c r="H386">
        <v>0.546875</v>
      </c>
      <c r="I386">
        <v>0.59375</v>
      </c>
    </row>
    <row r="387" spans="6:9" ht="15" customHeight="1" x14ac:dyDescent="0.2">
      <c r="F387" t="s">
        <v>61</v>
      </c>
      <c r="G387" t="s">
        <v>54</v>
      </c>
      <c r="H387">
        <v>0.37288135593220301</v>
      </c>
      <c r="I387">
        <v>0.5</v>
      </c>
    </row>
    <row r="388" spans="6:9" ht="15" customHeight="1" x14ac:dyDescent="0.2">
      <c r="F388" t="s">
        <v>53</v>
      </c>
      <c r="G388" t="s">
        <v>60</v>
      </c>
      <c r="H388">
        <v>0.5</v>
      </c>
      <c r="I388">
        <v>0.59649122807017496</v>
      </c>
    </row>
    <row r="389" spans="6:9" ht="15" customHeight="1" x14ac:dyDescent="0.2">
      <c r="F389" t="s">
        <v>50</v>
      </c>
      <c r="G389" t="s">
        <v>44</v>
      </c>
      <c r="H389">
        <v>0.4296875</v>
      </c>
      <c r="I389">
        <v>0.59523809523809501</v>
      </c>
    </row>
    <row r="390" spans="6:9" ht="15" customHeight="1" x14ac:dyDescent="0.2">
      <c r="F390" t="s">
        <v>54</v>
      </c>
      <c r="G390" t="s">
        <v>62</v>
      </c>
      <c r="H390">
        <v>0.51041666666666696</v>
      </c>
      <c r="I390">
        <v>0.37288135593220301</v>
      </c>
    </row>
    <row r="391" spans="6:9" ht="15" customHeight="1" x14ac:dyDescent="0.2">
      <c r="F391" t="s">
        <v>63</v>
      </c>
      <c r="G391" t="s">
        <v>50</v>
      </c>
      <c r="H391">
        <v>0.59523809523809501</v>
      </c>
      <c r="I391">
        <v>0.46551724137931</v>
      </c>
    </row>
    <row r="392" spans="6:9" ht="15" customHeight="1" x14ac:dyDescent="0.2">
      <c r="F392" t="s">
        <v>41</v>
      </c>
      <c r="G392" t="s">
        <v>48</v>
      </c>
      <c r="H392">
        <v>0.5546875</v>
      </c>
      <c r="I392">
        <v>0.47321428571428598</v>
      </c>
    </row>
    <row r="393" spans="6:9" ht="15" customHeight="1" x14ac:dyDescent="0.2">
      <c r="F393" t="s">
        <v>53</v>
      </c>
      <c r="G393" t="s">
        <v>46</v>
      </c>
      <c r="H393">
        <v>0.38392857142857201</v>
      </c>
      <c r="I393">
        <v>0.59649122807017496</v>
      </c>
    </row>
    <row r="394" spans="6:9" ht="15" customHeight="1" x14ac:dyDescent="0.2">
      <c r="F394" t="s">
        <v>58</v>
      </c>
      <c r="G394" t="s">
        <v>42</v>
      </c>
      <c r="H394">
        <v>0.6171875</v>
      </c>
      <c r="I394">
        <v>0.65476190476190499</v>
      </c>
    </row>
    <row r="395" spans="6:9" ht="15" customHeight="1" x14ac:dyDescent="0.2">
      <c r="F395" t="s">
        <v>44</v>
      </c>
      <c r="G395" t="s">
        <v>40</v>
      </c>
      <c r="H395">
        <v>0.546875</v>
      </c>
      <c r="I395">
        <v>0.4296875</v>
      </c>
    </row>
    <row r="396" spans="6:9" ht="15" customHeight="1" x14ac:dyDescent="0.2">
      <c r="F396" t="s">
        <v>55</v>
      </c>
      <c r="G396" t="s">
        <v>45</v>
      </c>
      <c r="H396">
        <v>0.59375</v>
      </c>
      <c r="I396">
        <v>0.44067796610169502</v>
      </c>
    </row>
    <row r="397" spans="6:9" ht="15" customHeight="1" x14ac:dyDescent="0.2">
      <c r="F397" t="s">
        <v>61</v>
      </c>
      <c r="G397" t="s">
        <v>60</v>
      </c>
      <c r="H397">
        <v>0.5</v>
      </c>
      <c r="I397">
        <v>0.5</v>
      </c>
    </row>
    <row r="398" spans="6:9" ht="15" customHeight="1" x14ac:dyDescent="0.2">
      <c r="F398" t="s">
        <v>52</v>
      </c>
      <c r="G398" t="s">
        <v>64</v>
      </c>
      <c r="H398">
        <v>0.65909090909090895</v>
      </c>
      <c r="I398">
        <v>0.34745762711864397</v>
      </c>
    </row>
    <row r="399" spans="6:9" ht="15" customHeight="1" x14ac:dyDescent="0.2">
      <c r="F399" t="s">
        <v>69</v>
      </c>
      <c r="G399" t="s">
        <v>66</v>
      </c>
      <c r="H399">
        <v>0.63888888888888895</v>
      </c>
      <c r="I399">
        <v>0.33333333333333298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E440"/>
  <sheetViews>
    <sheetView zoomScaleNormal="100" workbookViewId="0"/>
  </sheetViews>
  <sheetFormatPr baseColWidth="10" defaultColWidth="8.83203125" defaultRowHeight="15" x14ac:dyDescent="0.2"/>
  <sheetData>
    <row r="1" spans="1:31" ht="15" customHeight="1" x14ac:dyDescent="0.2">
      <c r="A1" s="3" t="s">
        <v>0</v>
      </c>
      <c r="B1" s="3" t="s">
        <v>17</v>
      </c>
      <c r="C1" s="3" t="s">
        <v>932</v>
      </c>
      <c r="D1" s="3" t="s">
        <v>654</v>
      </c>
      <c r="E1" s="3" t="s">
        <v>655</v>
      </c>
      <c r="F1" s="3" t="s">
        <v>656</v>
      </c>
      <c r="G1" s="3" t="s">
        <v>657</v>
      </c>
      <c r="H1" s="3" t="s">
        <v>933</v>
      </c>
      <c r="I1" s="3" t="s">
        <v>934</v>
      </c>
      <c r="J1" s="3" t="s">
        <v>660</v>
      </c>
      <c r="K1" s="3" t="s">
        <v>661</v>
      </c>
      <c r="L1" s="3" t="s">
        <v>662</v>
      </c>
      <c r="M1" s="3" t="s">
        <v>663</v>
      </c>
      <c r="N1" s="3" t="s">
        <v>935</v>
      </c>
      <c r="O1" s="3" t="s">
        <v>936</v>
      </c>
      <c r="P1" s="3" t="s">
        <v>666</v>
      </c>
      <c r="Q1" s="3" t="s">
        <v>667</v>
      </c>
      <c r="R1" s="3" t="s">
        <v>668</v>
      </c>
      <c r="S1" s="3" t="s">
        <v>669</v>
      </c>
      <c r="T1" s="3" t="s">
        <v>689</v>
      </c>
      <c r="U1" s="3" t="s">
        <v>690</v>
      </c>
      <c r="V1" s="3" t="s">
        <v>691</v>
      </c>
      <c r="W1" s="3" t="s">
        <v>692</v>
      </c>
      <c r="X1" s="3" t="s">
        <v>693</v>
      </c>
      <c r="Y1" s="3" t="s">
        <v>694</v>
      </c>
      <c r="Z1" s="3" t="s">
        <v>695</v>
      </c>
      <c r="AA1" s="3" t="s">
        <v>696</v>
      </c>
      <c r="AB1" s="3" t="s">
        <v>697</v>
      </c>
      <c r="AC1" s="3" t="s">
        <v>698</v>
      </c>
      <c r="AD1" s="3" t="s">
        <v>699</v>
      </c>
      <c r="AE1" s="3" t="s">
        <v>700</v>
      </c>
    </row>
    <row r="2" spans="1:31" ht="15" customHeight="1" x14ac:dyDescent="0.2">
      <c r="B2" t="s">
        <v>924</v>
      </c>
      <c r="C2" t="s">
        <v>80</v>
      </c>
      <c r="H2" t="s">
        <v>924</v>
      </c>
      <c r="I2" t="s">
        <v>80</v>
      </c>
      <c r="N2" t="s">
        <v>924</v>
      </c>
      <c r="O2" t="s">
        <v>111</v>
      </c>
      <c r="U2" t="s">
        <v>80</v>
      </c>
      <c r="Z2" t="s">
        <v>111</v>
      </c>
    </row>
    <row r="4" spans="1:31" ht="15" customHeight="1" x14ac:dyDescent="0.2">
      <c r="B4" t="s">
        <v>937</v>
      </c>
      <c r="H4" t="s">
        <v>937</v>
      </c>
      <c r="N4" t="s">
        <v>937</v>
      </c>
      <c r="V4" t="s">
        <v>938</v>
      </c>
      <c r="W4" t="s">
        <v>939</v>
      </c>
      <c r="X4" t="s">
        <v>940</v>
      </c>
      <c r="Y4" t="s">
        <v>941</v>
      </c>
      <c r="AA4" t="s">
        <v>942</v>
      </c>
      <c r="AB4" t="s">
        <v>943</v>
      </c>
      <c r="AC4" t="s">
        <v>944</v>
      </c>
      <c r="AD4" t="s">
        <v>945</v>
      </c>
      <c r="AE4" t="s">
        <v>946</v>
      </c>
    </row>
    <row r="5" spans="1:31" ht="15" customHeight="1" x14ac:dyDescent="0.2">
      <c r="B5" t="s">
        <v>4</v>
      </c>
      <c r="C5" t="s">
        <v>21</v>
      </c>
      <c r="D5" t="s">
        <v>37</v>
      </c>
      <c r="E5" t="s">
        <v>39</v>
      </c>
      <c r="F5" t="s">
        <v>628</v>
      </c>
      <c r="H5" t="s">
        <v>4</v>
      </c>
      <c r="I5" t="s">
        <v>24</v>
      </c>
      <c r="J5" t="s">
        <v>37</v>
      </c>
      <c r="K5" t="s">
        <v>39</v>
      </c>
      <c r="L5" t="s">
        <v>628</v>
      </c>
      <c r="N5" t="s">
        <v>4</v>
      </c>
      <c r="O5" t="s">
        <v>21</v>
      </c>
      <c r="P5" t="s">
        <v>37</v>
      </c>
      <c r="Q5" t="s">
        <v>628</v>
      </c>
      <c r="U5" t="s">
        <v>57</v>
      </c>
      <c r="V5">
        <v>8.6385289551673203</v>
      </c>
      <c r="W5">
        <v>9.9078179007021507</v>
      </c>
      <c r="X5">
        <v>21</v>
      </c>
      <c r="Y5">
        <v>0.441579687044511</v>
      </c>
      <c r="Z5" t="s">
        <v>57</v>
      </c>
      <c r="AA5">
        <v>2.8616184376976599</v>
      </c>
      <c r="AB5">
        <v>5</v>
      </c>
      <c r="AC5">
        <v>0.572323687539532</v>
      </c>
      <c r="AD5">
        <v>0.48375517107516303</v>
      </c>
      <c r="AE5">
        <v>0.52874235404119196</v>
      </c>
    </row>
    <row r="6" spans="1:31" ht="15" customHeight="1" x14ac:dyDescent="0.2">
      <c r="B6" t="s">
        <v>947</v>
      </c>
      <c r="C6" t="s">
        <v>44</v>
      </c>
      <c r="D6">
        <v>0.6875</v>
      </c>
      <c r="E6">
        <v>0.453703703703704</v>
      </c>
      <c r="F6">
        <v>1</v>
      </c>
      <c r="H6" t="s">
        <v>947</v>
      </c>
      <c r="I6" t="s">
        <v>53</v>
      </c>
      <c r="J6">
        <v>0.6875</v>
      </c>
      <c r="K6">
        <v>0.453703703703704</v>
      </c>
      <c r="L6">
        <v>1</v>
      </c>
      <c r="N6" t="s">
        <v>948</v>
      </c>
      <c r="O6" t="s">
        <v>54</v>
      </c>
      <c r="P6">
        <v>0.54411764705882404</v>
      </c>
      <c r="Q6">
        <v>1</v>
      </c>
      <c r="U6" t="s">
        <v>55</v>
      </c>
      <c r="V6">
        <v>21.738592586371698</v>
      </c>
      <c r="W6">
        <v>17.776229631637602</v>
      </c>
      <c r="X6">
        <v>42</v>
      </c>
      <c r="Y6">
        <v>0.47041455021439699</v>
      </c>
      <c r="Z6" t="s">
        <v>55</v>
      </c>
      <c r="AA6">
        <v>4.68336024045266</v>
      </c>
      <c r="AB6">
        <v>10</v>
      </c>
      <c r="AC6">
        <v>0.46833602404526598</v>
      </c>
      <c r="AD6">
        <v>0.46974405790177398</v>
      </c>
      <c r="AE6">
        <v>0.46902886610164302</v>
      </c>
    </row>
    <row r="7" spans="1:31" ht="15" customHeight="1" x14ac:dyDescent="0.2">
      <c r="C7" t="s">
        <v>58</v>
      </c>
      <c r="D7">
        <v>0.41935483870967699</v>
      </c>
      <c r="E7">
        <v>0.59090909090909105</v>
      </c>
      <c r="F7">
        <v>1</v>
      </c>
      <c r="I7" t="s">
        <v>41</v>
      </c>
      <c r="J7">
        <v>0.41935483870967699</v>
      </c>
      <c r="K7">
        <v>0.59090909090909105</v>
      </c>
      <c r="L7">
        <v>1</v>
      </c>
      <c r="O7" t="s">
        <v>48</v>
      </c>
      <c r="P7">
        <v>0.59090909090909105</v>
      </c>
      <c r="Q7">
        <v>1</v>
      </c>
      <c r="U7" t="s">
        <v>45</v>
      </c>
      <c r="V7">
        <v>22.806810591089999</v>
      </c>
      <c r="W7">
        <v>22.430911801190401</v>
      </c>
      <c r="X7">
        <v>44</v>
      </c>
      <c r="Y7">
        <v>0.51406502718500502</v>
      </c>
      <c r="Z7" t="s">
        <v>45</v>
      </c>
      <c r="AA7">
        <v>5.9087993448410199</v>
      </c>
      <c r="AB7">
        <v>11</v>
      </c>
      <c r="AC7">
        <v>0.53716357680372995</v>
      </c>
      <c r="AD7">
        <v>0.52176454372458003</v>
      </c>
      <c r="AE7">
        <v>0.52946406026415505</v>
      </c>
    </row>
    <row r="8" spans="1:31" ht="15" customHeight="1" x14ac:dyDescent="0.2">
      <c r="B8" t="s">
        <v>949</v>
      </c>
      <c r="C8" t="s">
        <v>57</v>
      </c>
      <c r="D8">
        <v>0.33333333333333298</v>
      </c>
      <c r="E8">
        <v>0.5</v>
      </c>
      <c r="F8">
        <v>1</v>
      </c>
      <c r="H8" t="s">
        <v>949</v>
      </c>
      <c r="I8" t="s">
        <v>46</v>
      </c>
      <c r="J8">
        <v>0.33333333333333298</v>
      </c>
      <c r="K8">
        <v>0.5</v>
      </c>
      <c r="L8">
        <v>1</v>
      </c>
      <c r="N8" t="s">
        <v>950</v>
      </c>
      <c r="O8" t="s">
        <v>40</v>
      </c>
      <c r="P8">
        <v>0.59836065573770503</v>
      </c>
      <c r="Q8">
        <v>1</v>
      </c>
      <c r="U8" t="s">
        <v>52</v>
      </c>
      <c r="V8">
        <v>20.828360972080802</v>
      </c>
      <c r="W8">
        <v>19.379450855302299</v>
      </c>
      <c r="X8">
        <v>42</v>
      </c>
      <c r="Y8">
        <v>0.47866442651646501</v>
      </c>
      <c r="Z8" t="s">
        <v>52</v>
      </c>
      <c r="AA8">
        <v>4.1130085314295801</v>
      </c>
      <c r="AB8">
        <v>10</v>
      </c>
      <c r="AC8">
        <v>0.411300853142958</v>
      </c>
      <c r="AD8">
        <v>0.45693424155726903</v>
      </c>
      <c r="AE8">
        <v>0.43375537760079402</v>
      </c>
    </row>
    <row r="9" spans="1:31" ht="15" customHeight="1" x14ac:dyDescent="0.2">
      <c r="C9" t="s">
        <v>52</v>
      </c>
      <c r="D9">
        <v>0.44827586206896602</v>
      </c>
      <c r="E9">
        <v>0.37962962962962998</v>
      </c>
      <c r="F9">
        <v>1</v>
      </c>
      <c r="I9" t="s">
        <v>62</v>
      </c>
      <c r="J9">
        <v>0.44827586206896602</v>
      </c>
      <c r="K9">
        <v>0.37962962962962998</v>
      </c>
      <c r="L9">
        <v>1</v>
      </c>
      <c r="O9" t="s">
        <v>41</v>
      </c>
      <c r="P9">
        <v>0.5</v>
      </c>
      <c r="Q9">
        <v>1</v>
      </c>
      <c r="U9" t="s">
        <v>63</v>
      </c>
      <c r="V9">
        <v>9.7777600567074305</v>
      </c>
      <c r="W9">
        <v>8.8085859547791792</v>
      </c>
      <c r="X9">
        <v>20</v>
      </c>
      <c r="Y9">
        <v>0.46465865028716502</v>
      </c>
      <c r="Z9" t="s">
        <v>63</v>
      </c>
      <c r="AA9">
        <v>2.7374508740489198</v>
      </c>
      <c r="AB9">
        <v>5</v>
      </c>
      <c r="AC9">
        <v>0.54749017480978401</v>
      </c>
      <c r="AD9">
        <v>0.49226915846137198</v>
      </c>
      <c r="AE9">
        <v>0.51987966663557805</v>
      </c>
    </row>
    <row r="10" spans="1:31" ht="15" customHeight="1" x14ac:dyDescent="0.2">
      <c r="B10" t="s">
        <v>951</v>
      </c>
      <c r="C10" t="s">
        <v>50</v>
      </c>
      <c r="D10">
        <v>0.6875</v>
      </c>
      <c r="E10">
        <v>0.54032258064516103</v>
      </c>
      <c r="F10">
        <v>1</v>
      </c>
      <c r="H10" t="s">
        <v>951</v>
      </c>
      <c r="I10" t="s">
        <v>44</v>
      </c>
      <c r="J10">
        <v>0.6875</v>
      </c>
      <c r="K10">
        <v>0.54032258064516103</v>
      </c>
      <c r="L10">
        <v>1</v>
      </c>
      <c r="N10" t="s">
        <v>952</v>
      </c>
      <c r="O10" t="s">
        <v>57</v>
      </c>
      <c r="P10">
        <v>0.5</v>
      </c>
      <c r="Q10">
        <v>1</v>
      </c>
      <c r="U10" t="s">
        <v>50</v>
      </c>
      <c r="V10">
        <v>21.301421201680299</v>
      </c>
      <c r="W10">
        <v>20.6245117206218</v>
      </c>
      <c r="X10">
        <v>42</v>
      </c>
      <c r="Y10">
        <v>0.499118249075024</v>
      </c>
      <c r="Z10" t="s">
        <v>50</v>
      </c>
      <c r="AA10">
        <v>5.3274893816489799</v>
      </c>
      <c r="AB10">
        <v>11</v>
      </c>
      <c r="AC10">
        <v>0.48431721651354298</v>
      </c>
      <c r="AD10">
        <v>0.49403039413201499</v>
      </c>
      <c r="AE10">
        <v>0.48925089403403699</v>
      </c>
    </row>
    <row r="11" spans="1:31" ht="15" customHeight="1" x14ac:dyDescent="0.2">
      <c r="C11" t="s">
        <v>58</v>
      </c>
      <c r="D11">
        <v>0.59836065573770503</v>
      </c>
      <c r="E11">
        <v>0.41935483870967699</v>
      </c>
      <c r="F11">
        <v>1</v>
      </c>
      <c r="I11" t="s">
        <v>48</v>
      </c>
      <c r="J11">
        <v>0.59836065573770503</v>
      </c>
      <c r="K11">
        <v>0.41935483870967699</v>
      </c>
      <c r="L11">
        <v>1</v>
      </c>
      <c r="O11" t="s">
        <v>651</v>
      </c>
      <c r="P11">
        <v>0.33333333333333298</v>
      </c>
      <c r="Q11">
        <v>1</v>
      </c>
      <c r="U11" t="s">
        <v>44</v>
      </c>
      <c r="V11">
        <v>25.249195235059801</v>
      </c>
      <c r="W11">
        <v>21.497477358436399</v>
      </c>
      <c r="X11">
        <v>46</v>
      </c>
      <c r="Y11">
        <v>0.50811600645104604</v>
      </c>
      <c r="Z11" t="s">
        <v>44</v>
      </c>
      <c r="AA11">
        <v>5.8174783027965304</v>
      </c>
      <c r="AB11">
        <v>11</v>
      </c>
      <c r="AC11">
        <v>0.52886166389059297</v>
      </c>
      <c r="AD11">
        <v>0.51482783679913502</v>
      </c>
      <c r="AE11">
        <v>0.52194644474407803</v>
      </c>
    </row>
    <row r="12" spans="1:31" ht="15" customHeight="1" x14ac:dyDescent="0.2">
      <c r="B12" t="s">
        <v>953</v>
      </c>
      <c r="C12" t="s">
        <v>45</v>
      </c>
      <c r="D12">
        <v>0.38596491228070201</v>
      </c>
      <c r="E12">
        <v>0.453703703703704</v>
      </c>
      <c r="F12">
        <v>1</v>
      </c>
      <c r="H12" t="s">
        <v>953</v>
      </c>
      <c r="I12" t="s">
        <v>53</v>
      </c>
      <c r="J12">
        <v>0.38596491228070201</v>
      </c>
      <c r="K12">
        <v>0.453703703703704</v>
      </c>
      <c r="L12">
        <v>1</v>
      </c>
      <c r="N12" t="s">
        <v>954</v>
      </c>
      <c r="O12" t="s">
        <v>42</v>
      </c>
      <c r="P12">
        <v>0.50980392156862697</v>
      </c>
      <c r="Q12">
        <v>1</v>
      </c>
      <c r="U12" t="s">
        <v>54</v>
      </c>
      <c r="V12">
        <v>20.119030879704301</v>
      </c>
      <c r="W12">
        <v>21.886349228863899</v>
      </c>
      <c r="X12">
        <v>41</v>
      </c>
      <c r="Y12">
        <v>0.51226073303131903</v>
      </c>
      <c r="Z12" t="s">
        <v>54</v>
      </c>
      <c r="AA12">
        <v>4.2156862745097996</v>
      </c>
      <c r="AB12">
        <v>10</v>
      </c>
      <c r="AC12">
        <v>0.42156862745098</v>
      </c>
      <c r="AD12">
        <v>0.482525616447602</v>
      </c>
      <c r="AE12">
        <v>0.45179932931109301</v>
      </c>
    </row>
    <row r="13" spans="1:31" ht="15" customHeight="1" x14ac:dyDescent="0.2">
      <c r="C13" t="s">
        <v>54</v>
      </c>
      <c r="D13">
        <v>0.59375</v>
      </c>
      <c r="E13">
        <v>0.59090909090909105</v>
      </c>
      <c r="F13">
        <v>1</v>
      </c>
      <c r="I13" t="s">
        <v>41</v>
      </c>
      <c r="J13">
        <v>0.59375</v>
      </c>
      <c r="K13">
        <v>0.59090909090909105</v>
      </c>
      <c r="L13">
        <v>1</v>
      </c>
      <c r="O13" t="s">
        <v>46</v>
      </c>
      <c r="P13">
        <v>0.429824561403509</v>
      </c>
      <c r="Q13">
        <v>1</v>
      </c>
      <c r="U13" t="s">
        <v>53</v>
      </c>
      <c r="V13">
        <v>17.776770997555499</v>
      </c>
      <c r="W13">
        <v>19.486632587108499</v>
      </c>
      <c r="X13">
        <v>38</v>
      </c>
      <c r="Y13">
        <v>0.49030794190347299</v>
      </c>
      <c r="Z13" t="s">
        <v>53</v>
      </c>
      <c r="AA13">
        <v>4.5019675876977798</v>
      </c>
      <c r="AB13">
        <v>9</v>
      </c>
      <c r="AC13">
        <v>0.50021862085530899</v>
      </c>
      <c r="AD13">
        <v>0.493493517280849</v>
      </c>
      <c r="AE13">
        <v>0.49691506120469697</v>
      </c>
    </row>
    <row r="14" spans="1:31" ht="15" customHeight="1" x14ac:dyDescent="0.2">
      <c r="B14" t="s">
        <v>955</v>
      </c>
      <c r="C14" t="s">
        <v>55</v>
      </c>
      <c r="D14">
        <v>0.62903225806451601</v>
      </c>
      <c r="E14">
        <v>0.5</v>
      </c>
      <c r="F14">
        <v>1</v>
      </c>
      <c r="H14" t="s">
        <v>955</v>
      </c>
      <c r="I14" t="s">
        <v>61</v>
      </c>
      <c r="J14">
        <v>0.429824561403509</v>
      </c>
      <c r="K14">
        <v>0.5</v>
      </c>
      <c r="L14">
        <v>1</v>
      </c>
      <c r="N14" t="s">
        <v>956</v>
      </c>
      <c r="O14" t="s">
        <v>58</v>
      </c>
      <c r="P14">
        <v>0.59375</v>
      </c>
      <c r="Q14">
        <v>1</v>
      </c>
      <c r="U14" t="s">
        <v>58</v>
      </c>
      <c r="V14">
        <v>15.1865095526089</v>
      </c>
      <c r="W14">
        <v>15.003578798740101</v>
      </c>
      <c r="X14">
        <v>30</v>
      </c>
      <c r="Y14">
        <v>0.50316813918915004</v>
      </c>
      <c r="Z14" t="s">
        <v>58</v>
      </c>
      <c r="AA14">
        <v>3.4897173026916901</v>
      </c>
      <c r="AB14">
        <v>7</v>
      </c>
      <c r="AC14">
        <v>0.49853104324167002</v>
      </c>
      <c r="AD14">
        <v>0.50169269956949702</v>
      </c>
      <c r="AE14">
        <v>0.50007674189082996</v>
      </c>
    </row>
    <row r="15" spans="1:31" ht="15" customHeight="1" x14ac:dyDescent="0.2">
      <c r="C15" t="s">
        <v>42</v>
      </c>
      <c r="D15">
        <v>0.429824561403509</v>
      </c>
      <c r="E15">
        <v>0.5</v>
      </c>
      <c r="F15">
        <v>1</v>
      </c>
      <c r="I15" t="s">
        <v>43</v>
      </c>
      <c r="J15">
        <v>0.62903225806451601</v>
      </c>
      <c r="K15">
        <v>0.5</v>
      </c>
      <c r="L15">
        <v>1</v>
      </c>
      <c r="O15" t="s">
        <v>61</v>
      </c>
      <c r="P15">
        <v>0.41935483870967699</v>
      </c>
      <c r="Q15">
        <v>1</v>
      </c>
      <c r="U15" t="s">
        <v>40</v>
      </c>
      <c r="V15">
        <v>22.602963544013001</v>
      </c>
      <c r="W15">
        <v>21.162009555927501</v>
      </c>
      <c r="X15">
        <v>46</v>
      </c>
      <c r="Y15">
        <v>0.47570622934717899</v>
      </c>
      <c r="Z15" t="s">
        <v>40</v>
      </c>
      <c r="AA15">
        <v>5.6181073206903704</v>
      </c>
      <c r="AB15">
        <v>11</v>
      </c>
      <c r="AC15">
        <v>0.51073702915367003</v>
      </c>
      <c r="AD15">
        <v>0.48703972340222002</v>
      </c>
      <c r="AE15">
        <v>0.49906009588484002</v>
      </c>
    </row>
    <row r="16" spans="1:31" ht="15" customHeight="1" x14ac:dyDescent="0.2">
      <c r="B16" t="s">
        <v>957</v>
      </c>
      <c r="C16" t="s">
        <v>40</v>
      </c>
      <c r="D16">
        <v>0.54411764705882404</v>
      </c>
      <c r="E16">
        <v>0.5</v>
      </c>
      <c r="F16">
        <v>1</v>
      </c>
      <c r="H16" t="s">
        <v>957</v>
      </c>
      <c r="I16" t="s">
        <v>46</v>
      </c>
      <c r="J16">
        <v>0.54411764705882404</v>
      </c>
      <c r="K16">
        <v>0.5</v>
      </c>
      <c r="L16">
        <v>1</v>
      </c>
      <c r="N16" t="s">
        <v>958</v>
      </c>
      <c r="O16" t="s">
        <v>53</v>
      </c>
      <c r="P16">
        <v>0.54032258064516103</v>
      </c>
      <c r="Q16">
        <v>1</v>
      </c>
      <c r="U16" t="s">
        <v>47</v>
      </c>
      <c r="V16">
        <v>6.7449867407364099</v>
      </c>
      <c r="W16">
        <v>7.7690344303247496</v>
      </c>
      <c r="X16">
        <v>16</v>
      </c>
      <c r="Y16">
        <v>0.45356316159566101</v>
      </c>
      <c r="Z16" t="s">
        <v>47</v>
      </c>
      <c r="AA16">
        <v>2.00868265194641</v>
      </c>
      <c r="AB16">
        <v>4</v>
      </c>
      <c r="AC16">
        <v>0.50217066298660196</v>
      </c>
      <c r="AD16">
        <v>0.46976566205930798</v>
      </c>
      <c r="AE16">
        <v>0.48596816252295499</v>
      </c>
    </row>
    <row r="17" spans="2:31" ht="15" customHeight="1" x14ac:dyDescent="0.2">
      <c r="C17" t="s">
        <v>59</v>
      </c>
      <c r="D17">
        <v>0.55645161290322598</v>
      </c>
      <c r="E17">
        <v>0.37962962962962998</v>
      </c>
      <c r="F17">
        <v>1</v>
      </c>
      <c r="I17" t="s">
        <v>62</v>
      </c>
      <c r="J17">
        <v>0.55645161290322598</v>
      </c>
      <c r="K17">
        <v>0.37962962962962998</v>
      </c>
      <c r="L17">
        <v>1</v>
      </c>
      <c r="O17" t="s">
        <v>59</v>
      </c>
      <c r="P17">
        <v>0.38596491228070201</v>
      </c>
      <c r="Q17">
        <v>1</v>
      </c>
      <c r="U17" t="s">
        <v>41</v>
      </c>
      <c r="V17">
        <v>19.3473780594089</v>
      </c>
      <c r="W17">
        <v>20.7522626875326</v>
      </c>
      <c r="X17">
        <v>42</v>
      </c>
      <c r="Y17">
        <v>0.47737667555882801</v>
      </c>
      <c r="Z17" t="s">
        <v>41</v>
      </c>
      <c r="AA17">
        <v>4.5714001469806398</v>
      </c>
      <c r="AB17">
        <v>9</v>
      </c>
      <c r="AC17">
        <v>0.50793334966451598</v>
      </c>
      <c r="AD17">
        <v>0.48654367779053398</v>
      </c>
      <c r="AE17">
        <v>0.49774779162928701</v>
      </c>
    </row>
    <row r="18" spans="2:31" ht="15" customHeight="1" x14ac:dyDescent="0.2">
      <c r="B18" t="s">
        <v>959</v>
      </c>
      <c r="C18" t="s">
        <v>57</v>
      </c>
      <c r="D18">
        <v>0.33333333333333298</v>
      </c>
      <c r="E18">
        <v>0.50980392156862697</v>
      </c>
      <c r="F18">
        <v>1</v>
      </c>
      <c r="H18" t="s">
        <v>959</v>
      </c>
      <c r="I18" t="s">
        <v>651</v>
      </c>
      <c r="J18">
        <v>0.33333333333333298</v>
      </c>
      <c r="K18">
        <v>0.50980392156862697</v>
      </c>
      <c r="L18">
        <v>1</v>
      </c>
      <c r="N18" t="s">
        <v>960</v>
      </c>
      <c r="O18" t="s">
        <v>50</v>
      </c>
      <c r="P18">
        <v>0.55645161290322598</v>
      </c>
      <c r="Q18">
        <v>1</v>
      </c>
      <c r="U18" t="s">
        <v>42</v>
      </c>
      <c r="V18">
        <v>23.777828851688799</v>
      </c>
      <c r="W18">
        <v>23.8635575771699</v>
      </c>
      <c r="X18">
        <v>46</v>
      </c>
      <c r="Y18">
        <v>0.51784115683542098</v>
      </c>
      <c r="Z18" t="s">
        <v>42</v>
      </c>
      <c r="AA18">
        <v>5.5633216130971004</v>
      </c>
      <c r="AB18">
        <v>11</v>
      </c>
      <c r="AC18">
        <v>0.50575651028155399</v>
      </c>
      <c r="AD18">
        <v>0.51393141824446398</v>
      </c>
      <c r="AE18">
        <v>0.50978472579950995</v>
      </c>
    </row>
    <row r="19" spans="2:31" ht="15" customHeight="1" x14ac:dyDescent="0.2">
      <c r="C19" t="s">
        <v>52</v>
      </c>
      <c r="D19">
        <v>0.44827586206896602</v>
      </c>
      <c r="E19">
        <v>0.42727272727272703</v>
      </c>
      <c r="F19">
        <v>1</v>
      </c>
      <c r="I19" t="s">
        <v>60</v>
      </c>
      <c r="J19">
        <v>0.44827586206896602</v>
      </c>
      <c r="K19">
        <v>0.42727272727272703</v>
      </c>
      <c r="L19">
        <v>1</v>
      </c>
      <c r="O19" t="s">
        <v>43</v>
      </c>
      <c r="P19">
        <v>0.453703703703704</v>
      </c>
      <c r="Q19">
        <v>1</v>
      </c>
      <c r="U19" t="s">
        <v>48</v>
      </c>
      <c r="V19">
        <v>22.869416038799798</v>
      </c>
      <c r="W19">
        <v>22.698148030692298</v>
      </c>
      <c r="X19">
        <v>44</v>
      </c>
      <c r="Y19">
        <v>0.51781322806241004</v>
      </c>
      <c r="Z19" t="s">
        <v>48</v>
      </c>
      <c r="AA19">
        <v>5.5888471358676499</v>
      </c>
      <c r="AB19">
        <v>11</v>
      </c>
      <c r="AC19">
        <v>0.50807701235160396</v>
      </c>
      <c r="AD19">
        <v>0.51456782282547497</v>
      </c>
      <c r="AE19">
        <v>0.51132241758854002</v>
      </c>
    </row>
    <row r="20" spans="2:31" ht="15" customHeight="1" x14ac:dyDescent="0.2">
      <c r="B20" t="s">
        <v>961</v>
      </c>
      <c r="C20" t="s">
        <v>50</v>
      </c>
      <c r="D20">
        <v>0.6875</v>
      </c>
      <c r="E20">
        <v>0.54032258064516103</v>
      </c>
      <c r="F20">
        <v>1</v>
      </c>
      <c r="H20" t="s">
        <v>961</v>
      </c>
      <c r="I20" t="s">
        <v>44</v>
      </c>
      <c r="J20">
        <v>0.6875</v>
      </c>
      <c r="K20">
        <v>0.54032258064516103</v>
      </c>
      <c r="L20">
        <v>1</v>
      </c>
      <c r="N20" t="s">
        <v>962</v>
      </c>
      <c r="O20" t="s">
        <v>52</v>
      </c>
      <c r="P20">
        <v>0.42727272727272703</v>
      </c>
      <c r="Q20">
        <v>1</v>
      </c>
      <c r="U20" t="s">
        <v>51</v>
      </c>
      <c r="V20">
        <v>2.3096245372818598</v>
      </c>
      <c r="W20">
        <v>1.97235023041475</v>
      </c>
      <c r="X20">
        <v>4</v>
      </c>
      <c r="Y20">
        <v>0.53524684596207595</v>
      </c>
      <c r="Z20" t="s">
        <v>51</v>
      </c>
      <c r="AA20">
        <v>0.41935483870967699</v>
      </c>
      <c r="AB20">
        <v>1</v>
      </c>
      <c r="AC20">
        <v>0.41935483870967699</v>
      </c>
      <c r="AD20">
        <v>0.49661617687794302</v>
      </c>
      <c r="AE20">
        <v>0.45798550779380998</v>
      </c>
    </row>
    <row r="21" spans="2:31" ht="15" customHeight="1" x14ac:dyDescent="0.2">
      <c r="C21" t="s">
        <v>58</v>
      </c>
      <c r="D21">
        <v>0.59836065573770503</v>
      </c>
      <c r="E21">
        <v>0.41935483870967699</v>
      </c>
      <c r="F21">
        <v>1</v>
      </c>
      <c r="I21" t="s">
        <v>48</v>
      </c>
      <c r="J21">
        <v>0.59836065573770503</v>
      </c>
      <c r="K21">
        <v>0.41935483870967699</v>
      </c>
      <c r="L21">
        <v>1</v>
      </c>
      <c r="O21" t="s">
        <v>62</v>
      </c>
      <c r="P21">
        <v>0.44827586206896602</v>
      </c>
      <c r="Q21">
        <v>1</v>
      </c>
      <c r="U21" t="s">
        <v>46</v>
      </c>
      <c r="V21">
        <v>21.1980027677875</v>
      </c>
      <c r="W21">
        <v>20.452053638709302</v>
      </c>
      <c r="X21">
        <v>42</v>
      </c>
      <c r="Y21">
        <v>0.495834004839248</v>
      </c>
      <c r="Z21" t="s">
        <v>46</v>
      </c>
      <c r="AA21">
        <v>4.4400060537573198</v>
      </c>
      <c r="AB21">
        <v>9</v>
      </c>
      <c r="AC21">
        <v>0.49333400597303501</v>
      </c>
      <c r="AD21">
        <v>0.495084005179384</v>
      </c>
      <c r="AE21">
        <v>0.494167338928439</v>
      </c>
    </row>
    <row r="22" spans="2:31" ht="15" customHeight="1" x14ac:dyDescent="0.2">
      <c r="B22" t="s">
        <v>963</v>
      </c>
      <c r="C22" t="s">
        <v>45</v>
      </c>
      <c r="D22">
        <v>0.38596491228070201</v>
      </c>
      <c r="E22">
        <v>0.453703703703704</v>
      </c>
      <c r="F22">
        <v>1</v>
      </c>
      <c r="H22" t="s">
        <v>963</v>
      </c>
      <c r="I22" t="s">
        <v>53</v>
      </c>
      <c r="J22">
        <v>0.38596491228070201</v>
      </c>
      <c r="K22">
        <v>0.453703703703704</v>
      </c>
      <c r="L22">
        <v>1</v>
      </c>
      <c r="N22" t="s">
        <v>964</v>
      </c>
      <c r="O22" t="s">
        <v>55</v>
      </c>
      <c r="P22">
        <v>0.37962962962962998</v>
      </c>
      <c r="Q22">
        <v>1</v>
      </c>
      <c r="U22" t="s">
        <v>61</v>
      </c>
      <c r="V22">
        <v>17.2961850426537</v>
      </c>
      <c r="W22">
        <v>16.2967988311323</v>
      </c>
      <c r="X22">
        <v>32</v>
      </c>
      <c r="Y22">
        <v>0.52489037302790598</v>
      </c>
      <c r="Z22" t="s">
        <v>61</v>
      </c>
      <c r="AA22">
        <v>4.4842253510782104</v>
      </c>
      <c r="AB22">
        <v>8</v>
      </c>
      <c r="AC22">
        <v>0.56052816888477597</v>
      </c>
      <c r="AD22">
        <v>0.53676963831352997</v>
      </c>
      <c r="AE22">
        <v>0.54864890359915297</v>
      </c>
    </row>
    <row r="23" spans="2:31" ht="15" customHeight="1" x14ac:dyDescent="0.2">
      <c r="C23" t="s">
        <v>54</v>
      </c>
      <c r="D23">
        <v>0.59375</v>
      </c>
      <c r="E23">
        <v>0.59090909090909105</v>
      </c>
      <c r="F23">
        <v>1</v>
      </c>
      <c r="I23" t="s">
        <v>41</v>
      </c>
      <c r="J23">
        <v>0.59375</v>
      </c>
      <c r="K23">
        <v>0.59090909090909105</v>
      </c>
      <c r="L23">
        <v>1</v>
      </c>
      <c r="O23" t="s">
        <v>60</v>
      </c>
      <c r="P23">
        <v>0.62903225806451601</v>
      </c>
      <c r="Q23">
        <v>1</v>
      </c>
      <c r="U23" t="s">
        <v>59</v>
      </c>
      <c r="V23">
        <v>11.7281518939172</v>
      </c>
      <c r="W23">
        <v>11.809883145177301</v>
      </c>
      <c r="X23">
        <v>25</v>
      </c>
      <c r="Y23">
        <v>0.47076070078188997</v>
      </c>
      <c r="Z23" t="s">
        <v>59</v>
      </c>
      <c r="AA23">
        <v>2.3642169940981499</v>
      </c>
      <c r="AB23">
        <v>6</v>
      </c>
      <c r="AC23">
        <v>0.39403616568302502</v>
      </c>
      <c r="AD23">
        <v>0.44587706777685199</v>
      </c>
      <c r="AE23">
        <v>0.41961101071598</v>
      </c>
    </row>
    <row r="24" spans="2:31" ht="15" customHeight="1" x14ac:dyDescent="0.2">
      <c r="B24" t="s">
        <v>965</v>
      </c>
      <c r="C24" t="s">
        <v>55</v>
      </c>
      <c r="D24">
        <v>0.62903225806451601</v>
      </c>
      <c r="E24">
        <v>0.5</v>
      </c>
      <c r="F24">
        <v>1</v>
      </c>
      <c r="H24" t="s">
        <v>965</v>
      </c>
      <c r="I24" t="s">
        <v>61</v>
      </c>
      <c r="J24">
        <v>0.429824561403509</v>
      </c>
      <c r="K24">
        <v>0.5</v>
      </c>
      <c r="L24">
        <v>1</v>
      </c>
      <c r="N24" t="s">
        <v>966</v>
      </c>
      <c r="O24" t="s">
        <v>45</v>
      </c>
      <c r="P24">
        <v>0.6875</v>
      </c>
      <c r="Q24">
        <v>1</v>
      </c>
      <c r="U24" t="s">
        <v>43</v>
      </c>
      <c r="V24">
        <v>12.320230999519501</v>
      </c>
      <c r="W24">
        <v>11.386762499873701</v>
      </c>
      <c r="X24">
        <v>25</v>
      </c>
      <c r="Y24">
        <v>0.474139869987865</v>
      </c>
      <c r="Z24" t="s">
        <v>43</v>
      </c>
      <c r="AA24">
        <v>2.9456391875746699</v>
      </c>
      <c r="AB24">
        <v>6</v>
      </c>
      <c r="AC24">
        <v>0.49093986459577899</v>
      </c>
      <c r="AD24">
        <v>0.47958851688772902</v>
      </c>
      <c r="AE24">
        <v>0.48533986639314097</v>
      </c>
    </row>
    <row r="25" spans="2:31" ht="15" customHeight="1" x14ac:dyDescent="0.2">
      <c r="C25" t="s">
        <v>42</v>
      </c>
      <c r="D25">
        <v>0.429824561403509</v>
      </c>
      <c r="E25">
        <v>0.5</v>
      </c>
      <c r="F25">
        <v>1</v>
      </c>
      <c r="I25" t="s">
        <v>43</v>
      </c>
      <c r="J25">
        <v>0.62903225806451601</v>
      </c>
      <c r="K25">
        <v>0.5</v>
      </c>
      <c r="L25">
        <v>1</v>
      </c>
      <c r="O25" t="s">
        <v>44</v>
      </c>
      <c r="P25">
        <v>0.5</v>
      </c>
      <c r="Q25">
        <v>1</v>
      </c>
      <c r="U25" t="s">
        <v>651</v>
      </c>
      <c r="V25">
        <v>20.0768582146681</v>
      </c>
      <c r="W25">
        <v>18.893284101039001</v>
      </c>
      <c r="X25">
        <v>41</v>
      </c>
      <c r="Y25">
        <v>0.47524563799642899</v>
      </c>
      <c r="Z25" t="s">
        <v>651</v>
      </c>
      <c r="AA25">
        <v>5.2914389928835197</v>
      </c>
      <c r="AB25">
        <v>10</v>
      </c>
      <c r="AC25">
        <v>0.52914389928835204</v>
      </c>
      <c r="AD25">
        <v>0.49291719907574799</v>
      </c>
      <c r="AE25">
        <v>0.51117781219104397</v>
      </c>
    </row>
    <row r="26" spans="2:31" ht="15" customHeight="1" x14ac:dyDescent="0.2">
      <c r="B26" t="s">
        <v>967</v>
      </c>
      <c r="C26" t="s">
        <v>40</v>
      </c>
      <c r="D26">
        <v>0.54411764705882404</v>
      </c>
      <c r="E26">
        <v>0.5</v>
      </c>
      <c r="F26">
        <v>1</v>
      </c>
      <c r="H26" t="s">
        <v>967</v>
      </c>
      <c r="I26" t="s">
        <v>46</v>
      </c>
      <c r="J26">
        <v>0.54411764705882404</v>
      </c>
      <c r="K26">
        <v>0.5</v>
      </c>
      <c r="L26">
        <v>1</v>
      </c>
      <c r="N26" t="s">
        <v>968</v>
      </c>
      <c r="O26" t="s">
        <v>44</v>
      </c>
      <c r="P26">
        <v>0.5</v>
      </c>
      <c r="Q26">
        <v>1</v>
      </c>
      <c r="U26" t="s">
        <v>56</v>
      </c>
      <c r="V26">
        <v>5.4742611185918104</v>
      </c>
      <c r="W26">
        <v>6.3796816087138701</v>
      </c>
      <c r="X26">
        <v>12</v>
      </c>
      <c r="Y26">
        <v>0.49391428030440299</v>
      </c>
      <c r="Z26" t="s">
        <v>56</v>
      </c>
      <c r="AA26">
        <v>1.69513484928609</v>
      </c>
      <c r="AB26">
        <v>3</v>
      </c>
      <c r="AC26">
        <v>0.56504494976203101</v>
      </c>
      <c r="AD26">
        <v>0.51762450345694599</v>
      </c>
      <c r="AE26">
        <v>0.541334726609488</v>
      </c>
    </row>
    <row r="27" spans="2:31" ht="15" customHeight="1" x14ac:dyDescent="0.2">
      <c r="C27" t="s">
        <v>59</v>
      </c>
      <c r="D27">
        <v>0.55645161290322598</v>
      </c>
      <c r="E27">
        <v>0.37962962962962998</v>
      </c>
      <c r="F27">
        <v>1</v>
      </c>
      <c r="I27" t="s">
        <v>62</v>
      </c>
      <c r="J27">
        <v>0.55645161290322598</v>
      </c>
      <c r="K27">
        <v>0.37962962962962998</v>
      </c>
      <c r="L27">
        <v>1</v>
      </c>
      <c r="O27" t="s">
        <v>58</v>
      </c>
      <c r="P27">
        <v>0.59375</v>
      </c>
      <c r="Q27">
        <v>1</v>
      </c>
      <c r="U27" t="s">
        <v>62</v>
      </c>
      <c r="V27">
        <v>16.939116888816699</v>
      </c>
      <c r="W27">
        <v>16.223243476421001</v>
      </c>
      <c r="X27">
        <v>34</v>
      </c>
      <c r="Y27">
        <v>0.48768177007702501</v>
      </c>
      <c r="Z27" t="s">
        <v>62</v>
      </c>
      <c r="AA27">
        <v>4.2932172110425704</v>
      </c>
      <c r="AB27">
        <v>8</v>
      </c>
      <c r="AC27">
        <v>0.53665215138032196</v>
      </c>
      <c r="AD27">
        <v>0.50335229209407994</v>
      </c>
      <c r="AE27">
        <v>0.52032869094588896</v>
      </c>
    </row>
    <row r="28" spans="2:31" ht="15" customHeight="1" x14ac:dyDescent="0.2">
      <c r="B28" t="s">
        <v>969</v>
      </c>
      <c r="C28" t="s">
        <v>55</v>
      </c>
      <c r="D28">
        <v>0.38596491228070201</v>
      </c>
      <c r="E28">
        <v>0.54032258064516103</v>
      </c>
      <c r="F28">
        <v>1</v>
      </c>
      <c r="H28" t="s">
        <v>969</v>
      </c>
      <c r="I28" t="s">
        <v>50</v>
      </c>
      <c r="J28">
        <v>0.38596491228070201</v>
      </c>
      <c r="K28">
        <v>0.54032258064516103</v>
      </c>
      <c r="L28">
        <v>1</v>
      </c>
      <c r="N28" t="s">
        <v>970</v>
      </c>
      <c r="O28" t="s">
        <v>55</v>
      </c>
      <c r="P28">
        <v>0.54032258064516103</v>
      </c>
      <c r="Q28">
        <v>1</v>
      </c>
      <c r="U28" t="s">
        <v>60</v>
      </c>
      <c r="V28">
        <v>16.406429290102398</v>
      </c>
      <c r="W28">
        <v>16.015037191970301</v>
      </c>
      <c r="X28">
        <v>34</v>
      </c>
      <c r="Y28">
        <v>0.47678627179518701</v>
      </c>
      <c r="Z28" t="s">
        <v>60</v>
      </c>
      <c r="AA28">
        <v>4.8772286968685696</v>
      </c>
      <c r="AB28">
        <v>9</v>
      </c>
      <c r="AC28">
        <v>0.54191429965206395</v>
      </c>
      <c r="AD28">
        <v>0.49933058913026002</v>
      </c>
      <c r="AE28">
        <v>0.52020495703310499</v>
      </c>
    </row>
    <row r="29" spans="2:31" ht="15" customHeight="1" x14ac:dyDescent="0.2">
      <c r="C29" t="s">
        <v>54</v>
      </c>
      <c r="D29">
        <v>0.429824561403509</v>
      </c>
      <c r="E29">
        <v>0.59836065573770503</v>
      </c>
      <c r="F29">
        <v>1</v>
      </c>
      <c r="I29" t="s">
        <v>48</v>
      </c>
      <c r="J29">
        <v>0.429824561403509</v>
      </c>
      <c r="K29">
        <v>0.59836065573770503</v>
      </c>
      <c r="L29">
        <v>1</v>
      </c>
      <c r="O29" t="s">
        <v>56</v>
      </c>
      <c r="P29">
        <v>0.55645161290322598</v>
      </c>
      <c r="Q29">
        <v>1</v>
      </c>
      <c r="U29" t="s">
        <v>64</v>
      </c>
      <c r="V29">
        <v>5.6625165063195597</v>
      </c>
      <c r="W29">
        <v>7.6854893016183299</v>
      </c>
      <c r="X29">
        <v>14</v>
      </c>
      <c r="Y29">
        <v>0.47671449314063902</v>
      </c>
      <c r="Z29" t="s">
        <v>64</v>
      </c>
      <c r="AA29">
        <v>1.2962962962963001</v>
      </c>
      <c r="AB29">
        <v>3</v>
      </c>
      <c r="AC29">
        <v>0.43209876543209902</v>
      </c>
      <c r="AD29">
        <v>0.46332977482807702</v>
      </c>
      <c r="AE29">
        <v>0.446970674668279</v>
      </c>
    </row>
    <row r="30" spans="2:31" ht="15" customHeight="1" x14ac:dyDescent="0.2">
      <c r="B30" t="s">
        <v>971</v>
      </c>
      <c r="C30" t="s">
        <v>57</v>
      </c>
      <c r="D30">
        <v>0.33333333333333298</v>
      </c>
      <c r="E30">
        <v>0.50980392156862697</v>
      </c>
      <c r="F30">
        <v>1</v>
      </c>
      <c r="H30" t="s">
        <v>971</v>
      </c>
      <c r="I30" t="s">
        <v>651</v>
      </c>
      <c r="J30">
        <v>0.33333333333333298</v>
      </c>
      <c r="K30">
        <v>0.50980392156862697</v>
      </c>
      <c r="L30">
        <v>1</v>
      </c>
      <c r="N30" t="s">
        <v>972</v>
      </c>
      <c r="O30" t="s">
        <v>50</v>
      </c>
      <c r="P30">
        <v>0.5</v>
      </c>
      <c r="Q30">
        <v>1</v>
      </c>
      <c r="U30" t="s">
        <v>65</v>
      </c>
      <c r="V30">
        <v>1.8518518518518501</v>
      </c>
      <c r="W30">
        <v>2.18518518518519</v>
      </c>
      <c r="X30">
        <v>4</v>
      </c>
      <c r="Y30">
        <v>0.50462962962962998</v>
      </c>
      <c r="Z30" t="s">
        <v>65</v>
      </c>
      <c r="AA30">
        <v>0.75</v>
      </c>
      <c r="AB30">
        <v>1</v>
      </c>
      <c r="AC30">
        <v>0.75</v>
      </c>
      <c r="AD30">
        <v>0.58641975308642003</v>
      </c>
      <c r="AE30">
        <v>0.66820987654320996</v>
      </c>
    </row>
    <row r="31" spans="2:31" ht="15" customHeight="1" x14ac:dyDescent="0.2">
      <c r="C31" t="s">
        <v>52</v>
      </c>
      <c r="D31">
        <v>0.44827586206896602</v>
      </c>
      <c r="E31">
        <v>0.42727272727272703</v>
      </c>
      <c r="F31">
        <v>1</v>
      </c>
      <c r="I31" t="s">
        <v>60</v>
      </c>
      <c r="J31">
        <v>0.44827586206896602</v>
      </c>
      <c r="K31">
        <v>0.42727272727272703</v>
      </c>
      <c r="L31">
        <v>1</v>
      </c>
      <c r="O31" t="s">
        <v>46</v>
      </c>
      <c r="P31">
        <v>0.50980392156862697</v>
      </c>
      <c r="Q31">
        <v>1</v>
      </c>
      <c r="U31" t="s">
        <v>66</v>
      </c>
      <c r="V31">
        <v>6.3497448929627698</v>
      </c>
      <c r="W31">
        <v>6.1522337627750598</v>
      </c>
      <c r="X31">
        <v>12</v>
      </c>
      <c r="Y31">
        <v>0.52091577732241001</v>
      </c>
      <c r="Z31" t="s">
        <v>66</v>
      </c>
      <c r="AA31">
        <v>0.25</v>
      </c>
      <c r="AB31">
        <v>3</v>
      </c>
      <c r="AC31">
        <v>8.3333333333333301E-2</v>
      </c>
      <c r="AD31">
        <v>0.37505496265938398</v>
      </c>
      <c r="AE31">
        <v>0.22919414799635901</v>
      </c>
    </row>
    <row r="32" spans="2:31" ht="15" customHeight="1" x14ac:dyDescent="0.2">
      <c r="B32" t="s">
        <v>973</v>
      </c>
      <c r="C32" t="s">
        <v>45</v>
      </c>
      <c r="D32">
        <v>0.55645161290322598</v>
      </c>
      <c r="E32">
        <v>0.62903225806451601</v>
      </c>
      <c r="F32">
        <v>1</v>
      </c>
      <c r="H32" t="s">
        <v>973</v>
      </c>
      <c r="I32" t="s">
        <v>42</v>
      </c>
      <c r="J32">
        <v>0.59375</v>
      </c>
      <c r="K32">
        <v>0.50980392156862697</v>
      </c>
      <c r="L32">
        <v>1</v>
      </c>
      <c r="N32" t="s">
        <v>974</v>
      </c>
      <c r="O32" t="s">
        <v>53</v>
      </c>
      <c r="P32">
        <v>0.42727272727272703</v>
      </c>
      <c r="Q32">
        <v>1</v>
      </c>
      <c r="U32" t="s">
        <v>67</v>
      </c>
      <c r="V32">
        <v>3.9521356033452801</v>
      </c>
      <c r="W32">
        <v>2.94377104377104</v>
      </c>
      <c r="X32">
        <v>8</v>
      </c>
      <c r="Y32">
        <v>0.43099416544476998</v>
      </c>
      <c r="Z32" t="s">
        <v>67</v>
      </c>
      <c r="AA32">
        <v>0.33333333333333298</v>
      </c>
      <c r="AB32">
        <v>1</v>
      </c>
      <c r="AC32">
        <v>0.33333333333333298</v>
      </c>
      <c r="AD32">
        <v>0.41146199902248298</v>
      </c>
      <c r="AE32">
        <v>0.365886944037146</v>
      </c>
    </row>
    <row r="33" spans="2:31" ht="15" customHeight="1" x14ac:dyDescent="0.2">
      <c r="C33" t="s">
        <v>40</v>
      </c>
      <c r="D33">
        <v>0.59375</v>
      </c>
      <c r="E33">
        <v>0.50980392156862697</v>
      </c>
      <c r="F33">
        <v>1</v>
      </c>
      <c r="I33" t="s">
        <v>60</v>
      </c>
      <c r="J33">
        <v>0.55645161290322598</v>
      </c>
      <c r="K33">
        <v>0.62903225806451601</v>
      </c>
      <c r="L33">
        <v>1</v>
      </c>
      <c r="O33" t="s">
        <v>42</v>
      </c>
      <c r="P33">
        <v>0.44827586206896602</v>
      </c>
      <c r="Q33">
        <v>1</v>
      </c>
      <c r="U33" t="s">
        <v>68</v>
      </c>
      <c r="V33">
        <v>2.2038123167155401</v>
      </c>
      <c r="W33">
        <v>2.0196078431372602</v>
      </c>
      <c r="X33">
        <v>4</v>
      </c>
      <c r="Y33">
        <v>0.52792751998160004</v>
      </c>
      <c r="Z33" t="s">
        <v>68</v>
      </c>
      <c r="AA33">
        <v>0</v>
      </c>
      <c r="AB33">
        <v>0</v>
      </c>
      <c r="AC33">
        <v>0.5</v>
      </c>
      <c r="AD33">
        <v>0.52792751998160004</v>
      </c>
      <c r="AE33">
        <v>0.50930917332720005</v>
      </c>
    </row>
    <row r="34" spans="2:31" ht="15" customHeight="1" x14ac:dyDescent="0.2">
      <c r="B34" t="s">
        <v>975</v>
      </c>
      <c r="C34" t="s">
        <v>61</v>
      </c>
      <c r="D34">
        <v>0.54411764705882404</v>
      </c>
      <c r="E34">
        <v>0.5</v>
      </c>
      <c r="F34">
        <v>1</v>
      </c>
      <c r="H34" t="s">
        <v>975</v>
      </c>
      <c r="I34" t="s">
        <v>43</v>
      </c>
      <c r="J34">
        <v>0.5</v>
      </c>
      <c r="K34">
        <v>0.42727272727272703</v>
      </c>
      <c r="L34">
        <v>1</v>
      </c>
      <c r="N34" t="s">
        <v>976</v>
      </c>
      <c r="O34" t="s">
        <v>52</v>
      </c>
      <c r="P34">
        <v>0.35714285714285698</v>
      </c>
      <c r="Q34">
        <v>1</v>
      </c>
      <c r="U34" t="s">
        <v>69</v>
      </c>
      <c r="V34">
        <v>2.4675925925925899</v>
      </c>
      <c r="W34">
        <v>2.6749999999999998</v>
      </c>
      <c r="X34">
        <v>5</v>
      </c>
      <c r="Y34">
        <v>0.51425925925925897</v>
      </c>
      <c r="Z34" t="s">
        <v>69</v>
      </c>
      <c r="AA34">
        <v>0.38596491228070201</v>
      </c>
      <c r="AB34">
        <v>1</v>
      </c>
      <c r="AC34">
        <v>0.38596491228070201</v>
      </c>
      <c r="AD34">
        <v>0.47760373155109997</v>
      </c>
      <c r="AE34">
        <v>0.42872969460688798</v>
      </c>
    </row>
    <row r="35" spans="2:31" ht="15" customHeight="1" x14ac:dyDescent="0.2">
      <c r="C35" t="s">
        <v>59</v>
      </c>
      <c r="D35">
        <v>0.5</v>
      </c>
      <c r="E35">
        <v>0.42727272727272703</v>
      </c>
      <c r="F35">
        <v>1</v>
      </c>
      <c r="I35" t="s">
        <v>651</v>
      </c>
      <c r="J35">
        <v>0.54411764705882404</v>
      </c>
      <c r="K35">
        <v>0.5</v>
      </c>
      <c r="L35">
        <v>1</v>
      </c>
      <c r="O35" t="s">
        <v>59</v>
      </c>
      <c r="P35">
        <v>0.38596491228070201</v>
      </c>
      <c r="Q35">
        <v>1</v>
      </c>
    </row>
    <row r="36" spans="2:31" ht="15" customHeight="1" x14ac:dyDescent="0.2">
      <c r="B36" t="s">
        <v>977</v>
      </c>
      <c r="C36" t="s">
        <v>57</v>
      </c>
      <c r="D36">
        <v>0.33333333333333298</v>
      </c>
      <c r="E36">
        <v>0.5</v>
      </c>
      <c r="F36">
        <v>1</v>
      </c>
      <c r="H36" t="s">
        <v>977</v>
      </c>
      <c r="I36" t="s">
        <v>46</v>
      </c>
      <c r="J36">
        <v>0.33333333333333298</v>
      </c>
      <c r="K36">
        <v>0.5</v>
      </c>
      <c r="L36">
        <v>1</v>
      </c>
      <c r="N36" t="s">
        <v>978</v>
      </c>
      <c r="O36" t="s">
        <v>45</v>
      </c>
      <c r="P36">
        <v>0.6875</v>
      </c>
      <c r="Q36">
        <v>1</v>
      </c>
    </row>
    <row r="37" spans="2:31" ht="15" customHeight="1" x14ac:dyDescent="0.2">
      <c r="C37" t="s">
        <v>52</v>
      </c>
      <c r="D37">
        <v>0.44827586206896602</v>
      </c>
      <c r="E37">
        <v>0.37962962962962998</v>
      </c>
      <c r="F37">
        <v>1</v>
      </c>
      <c r="I37" t="s">
        <v>62</v>
      </c>
      <c r="J37">
        <v>0.44827586206896602</v>
      </c>
      <c r="K37">
        <v>0.37962962962962998</v>
      </c>
      <c r="L37">
        <v>1</v>
      </c>
      <c r="O37" t="s">
        <v>62</v>
      </c>
      <c r="P37">
        <v>0.41935483870967699</v>
      </c>
      <c r="Q37">
        <v>1</v>
      </c>
    </row>
    <row r="38" spans="2:31" ht="15" customHeight="1" x14ac:dyDescent="0.2">
      <c r="B38" t="s">
        <v>979</v>
      </c>
      <c r="C38" t="s">
        <v>44</v>
      </c>
      <c r="D38">
        <v>0.6875</v>
      </c>
      <c r="E38">
        <v>0.453703703703704</v>
      </c>
      <c r="F38">
        <v>1</v>
      </c>
      <c r="H38" t="s">
        <v>979</v>
      </c>
      <c r="I38" t="s">
        <v>53</v>
      </c>
      <c r="J38">
        <v>0.6875</v>
      </c>
      <c r="K38">
        <v>0.453703703703704</v>
      </c>
      <c r="L38">
        <v>1</v>
      </c>
      <c r="N38" t="s">
        <v>980</v>
      </c>
      <c r="O38" t="s">
        <v>40</v>
      </c>
      <c r="P38">
        <v>0.5</v>
      </c>
      <c r="Q38">
        <v>1</v>
      </c>
    </row>
    <row r="39" spans="2:31" ht="15" customHeight="1" x14ac:dyDescent="0.2">
      <c r="C39" t="s">
        <v>58</v>
      </c>
      <c r="D39">
        <v>0.41935483870967699</v>
      </c>
      <c r="E39">
        <v>0.59090909090909105</v>
      </c>
      <c r="F39">
        <v>1</v>
      </c>
      <c r="I39" t="s">
        <v>41</v>
      </c>
      <c r="J39">
        <v>0.41935483870967699</v>
      </c>
      <c r="K39">
        <v>0.59090909090909105</v>
      </c>
      <c r="L39">
        <v>1</v>
      </c>
      <c r="O39" t="s">
        <v>48</v>
      </c>
      <c r="P39">
        <v>0.429824561403509</v>
      </c>
      <c r="Q39">
        <v>1</v>
      </c>
    </row>
    <row r="40" spans="2:31" ht="15" customHeight="1" x14ac:dyDescent="0.2">
      <c r="B40" t="s">
        <v>981</v>
      </c>
      <c r="C40" t="s">
        <v>55</v>
      </c>
      <c r="D40">
        <v>0.38596491228070201</v>
      </c>
      <c r="E40">
        <v>0.54032258064516103</v>
      </c>
      <c r="F40">
        <v>1</v>
      </c>
      <c r="H40" t="s">
        <v>981</v>
      </c>
      <c r="I40" t="s">
        <v>50</v>
      </c>
      <c r="J40">
        <v>0.38596491228070201</v>
      </c>
      <c r="K40">
        <v>0.54032258064516103</v>
      </c>
      <c r="L40">
        <v>1</v>
      </c>
      <c r="N40" t="s">
        <v>982</v>
      </c>
      <c r="O40" t="s">
        <v>61</v>
      </c>
      <c r="P40">
        <v>0.59836065573770503</v>
      </c>
      <c r="Q40">
        <v>1</v>
      </c>
    </row>
    <row r="41" spans="2:31" ht="15" customHeight="1" x14ac:dyDescent="0.2">
      <c r="C41" t="s">
        <v>54</v>
      </c>
      <c r="D41">
        <v>0.429824561403509</v>
      </c>
      <c r="E41">
        <v>0.59836065573770503</v>
      </c>
      <c r="F41">
        <v>1</v>
      </c>
      <c r="I41" t="s">
        <v>48</v>
      </c>
      <c r="J41">
        <v>0.429824561403509</v>
      </c>
      <c r="K41">
        <v>0.59836065573770503</v>
      </c>
      <c r="L41">
        <v>1</v>
      </c>
      <c r="O41" t="s">
        <v>60</v>
      </c>
      <c r="P41">
        <v>0.37962962962962998</v>
      </c>
      <c r="Q41">
        <v>1</v>
      </c>
    </row>
    <row r="42" spans="2:31" ht="15" customHeight="1" x14ac:dyDescent="0.2">
      <c r="B42" t="s">
        <v>983</v>
      </c>
      <c r="C42" t="s">
        <v>45</v>
      </c>
      <c r="D42">
        <v>0.55645161290322598</v>
      </c>
      <c r="E42">
        <v>0.62903225806451601</v>
      </c>
      <c r="F42">
        <v>1</v>
      </c>
      <c r="H42" t="s">
        <v>983</v>
      </c>
      <c r="I42" t="s">
        <v>42</v>
      </c>
      <c r="J42">
        <v>0.59375</v>
      </c>
      <c r="K42">
        <v>0.50980392156862697</v>
      </c>
      <c r="L42">
        <v>1</v>
      </c>
      <c r="N42" t="s">
        <v>984</v>
      </c>
      <c r="O42" t="s">
        <v>57</v>
      </c>
      <c r="P42">
        <v>0.62903225806451601</v>
      </c>
      <c r="Q42">
        <v>1</v>
      </c>
    </row>
    <row r="43" spans="2:31" ht="15" customHeight="1" x14ac:dyDescent="0.2">
      <c r="C43" t="s">
        <v>40</v>
      </c>
      <c r="D43">
        <v>0.59375</v>
      </c>
      <c r="E43">
        <v>0.50980392156862697</v>
      </c>
      <c r="F43">
        <v>1</v>
      </c>
      <c r="I43" t="s">
        <v>60</v>
      </c>
      <c r="J43">
        <v>0.55645161290322598</v>
      </c>
      <c r="K43">
        <v>0.62903225806451601</v>
      </c>
      <c r="L43">
        <v>1</v>
      </c>
      <c r="O43" t="s">
        <v>651</v>
      </c>
      <c r="P43">
        <v>0.59090909090909105</v>
      </c>
      <c r="Q43">
        <v>1</v>
      </c>
    </row>
    <row r="44" spans="2:31" ht="15" customHeight="1" x14ac:dyDescent="0.2">
      <c r="B44" t="s">
        <v>985</v>
      </c>
      <c r="C44" t="s">
        <v>61</v>
      </c>
      <c r="D44">
        <v>0.54411764705882404</v>
      </c>
      <c r="E44">
        <v>0.5</v>
      </c>
      <c r="F44">
        <v>1</v>
      </c>
      <c r="H44" t="s">
        <v>985</v>
      </c>
      <c r="I44" t="s">
        <v>43</v>
      </c>
      <c r="J44">
        <v>0.5</v>
      </c>
      <c r="K44">
        <v>0.42727272727272703</v>
      </c>
      <c r="L44">
        <v>1</v>
      </c>
      <c r="N44" t="s">
        <v>986</v>
      </c>
      <c r="O44" t="s">
        <v>54</v>
      </c>
      <c r="P44">
        <v>0.54411764705882404</v>
      </c>
      <c r="Q44">
        <v>1</v>
      </c>
    </row>
    <row r="45" spans="2:31" ht="15" customHeight="1" x14ac:dyDescent="0.2">
      <c r="C45" t="s">
        <v>59</v>
      </c>
      <c r="D45">
        <v>0.5</v>
      </c>
      <c r="E45">
        <v>0.42727272727272703</v>
      </c>
      <c r="F45">
        <v>1</v>
      </c>
      <c r="I45" t="s">
        <v>651</v>
      </c>
      <c r="J45">
        <v>0.54411764705882404</v>
      </c>
      <c r="K45">
        <v>0.5</v>
      </c>
      <c r="L45">
        <v>1</v>
      </c>
      <c r="O45" t="s">
        <v>47</v>
      </c>
      <c r="P45">
        <v>0.33333333333333298</v>
      </c>
      <c r="Q45">
        <v>1</v>
      </c>
    </row>
    <row r="46" spans="2:31" ht="15" customHeight="1" x14ac:dyDescent="0.2">
      <c r="B46" t="s">
        <v>987</v>
      </c>
      <c r="C46" t="s">
        <v>50</v>
      </c>
      <c r="D46">
        <v>0.55645161290322598</v>
      </c>
      <c r="E46">
        <v>0.5</v>
      </c>
      <c r="F46">
        <v>1</v>
      </c>
      <c r="H46" t="s">
        <v>987</v>
      </c>
      <c r="I46" t="s">
        <v>42</v>
      </c>
      <c r="J46">
        <v>0.55645161290322598</v>
      </c>
      <c r="K46">
        <v>0.5</v>
      </c>
      <c r="L46">
        <v>1</v>
      </c>
      <c r="N46" t="s">
        <v>988</v>
      </c>
      <c r="O46" t="s">
        <v>44</v>
      </c>
      <c r="P46">
        <v>0.5</v>
      </c>
      <c r="Q46">
        <v>1</v>
      </c>
    </row>
    <row r="47" spans="2:31" ht="15" customHeight="1" x14ac:dyDescent="0.2">
      <c r="C47" t="s">
        <v>40</v>
      </c>
      <c r="D47">
        <v>0.59836065573770503</v>
      </c>
      <c r="E47">
        <v>0.62903225806451601</v>
      </c>
      <c r="F47">
        <v>1</v>
      </c>
      <c r="I47" t="s">
        <v>62</v>
      </c>
      <c r="J47">
        <v>0.59836065573770503</v>
      </c>
      <c r="K47">
        <v>0.62903225806451601</v>
      </c>
      <c r="L47">
        <v>1</v>
      </c>
      <c r="O47" t="s">
        <v>43</v>
      </c>
      <c r="P47">
        <v>0.55645161290322598</v>
      </c>
      <c r="Q47">
        <v>1</v>
      </c>
    </row>
    <row r="48" spans="2:31" ht="15" customHeight="1" x14ac:dyDescent="0.2">
      <c r="B48" t="s">
        <v>989</v>
      </c>
      <c r="C48" t="s">
        <v>54</v>
      </c>
      <c r="D48">
        <v>0.6875</v>
      </c>
      <c r="E48">
        <v>0.54411764705882404</v>
      </c>
      <c r="F48">
        <v>1</v>
      </c>
      <c r="H48" t="s">
        <v>989</v>
      </c>
      <c r="I48" t="s">
        <v>48</v>
      </c>
      <c r="J48">
        <v>0.6875</v>
      </c>
      <c r="K48">
        <v>0.54411764705882404</v>
      </c>
      <c r="L48">
        <v>1</v>
      </c>
      <c r="N48" t="s">
        <v>990</v>
      </c>
      <c r="O48" t="s">
        <v>58</v>
      </c>
      <c r="P48">
        <v>0.50980392156862697</v>
      </c>
      <c r="Q48">
        <v>1</v>
      </c>
    </row>
    <row r="49" spans="2:17" ht="15" customHeight="1" x14ac:dyDescent="0.2">
      <c r="C49" t="s">
        <v>58</v>
      </c>
      <c r="D49">
        <v>0.38596491228070201</v>
      </c>
      <c r="E49">
        <v>0.54032258064516103</v>
      </c>
      <c r="F49">
        <v>1</v>
      </c>
      <c r="I49" t="s">
        <v>59</v>
      </c>
      <c r="J49">
        <v>0.38596491228070201</v>
      </c>
      <c r="K49">
        <v>0.54032258064516103</v>
      </c>
      <c r="L49">
        <v>1</v>
      </c>
      <c r="O49" t="s">
        <v>62</v>
      </c>
      <c r="P49">
        <v>0.59375</v>
      </c>
      <c r="Q49">
        <v>1</v>
      </c>
    </row>
    <row r="50" spans="2:17" ht="15" customHeight="1" x14ac:dyDescent="0.2">
      <c r="B50" t="s">
        <v>991</v>
      </c>
      <c r="C50" t="s">
        <v>52</v>
      </c>
      <c r="D50">
        <v>0.55645161290322598</v>
      </c>
      <c r="E50">
        <v>0.42727272727272703</v>
      </c>
      <c r="F50">
        <v>1</v>
      </c>
      <c r="H50" t="s">
        <v>991</v>
      </c>
      <c r="I50" t="s">
        <v>46</v>
      </c>
      <c r="J50">
        <v>0.55645161290322598</v>
      </c>
      <c r="K50">
        <v>0.42727272727272703</v>
      </c>
      <c r="L50">
        <v>1</v>
      </c>
      <c r="N50" t="s">
        <v>992</v>
      </c>
      <c r="O50" t="s">
        <v>50</v>
      </c>
      <c r="P50">
        <v>0.42727272727272703</v>
      </c>
      <c r="Q50">
        <v>1</v>
      </c>
    </row>
    <row r="51" spans="2:17" ht="15" customHeight="1" x14ac:dyDescent="0.2">
      <c r="C51" t="s">
        <v>40</v>
      </c>
      <c r="D51">
        <v>0.33333333333333298</v>
      </c>
      <c r="E51">
        <v>0.37962962962962998</v>
      </c>
      <c r="F51">
        <v>1</v>
      </c>
      <c r="I51" t="s">
        <v>651</v>
      </c>
      <c r="J51">
        <v>0.33333333333333298</v>
      </c>
      <c r="K51">
        <v>0.37962962962962998</v>
      </c>
      <c r="L51">
        <v>1</v>
      </c>
      <c r="O51" t="s">
        <v>41</v>
      </c>
      <c r="P51">
        <v>0.46296296296296302</v>
      </c>
      <c r="Q51">
        <v>1</v>
      </c>
    </row>
    <row r="52" spans="2:17" ht="15" customHeight="1" x14ac:dyDescent="0.2">
      <c r="B52" t="s">
        <v>993</v>
      </c>
      <c r="C52" t="s">
        <v>57</v>
      </c>
      <c r="D52">
        <v>0.41935483870967699</v>
      </c>
      <c r="E52">
        <v>0.59090909090909105</v>
      </c>
      <c r="F52">
        <v>1</v>
      </c>
      <c r="H52" t="s">
        <v>993</v>
      </c>
      <c r="I52" t="s">
        <v>53</v>
      </c>
      <c r="J52">
        <v>0.44827586206896602</v>
      </c>
      <c r="K52">
        <v>0.54032258064516103</v>
      </c>
      <c r="L52">
        <v>1</v>
      </c>
      <c r="N52" t="s">
        <v>994</v>
      </c>
      <c r="O52" t="s">
        <v>54</v>
      </c>
      <c r="P52">
        <v>0.54411764705882404</v>
      </c>
      <c r="Q52">
        <v>1</v>
      </c>
    </row>
    <row r="53" spans="2:17" ht="15" customHeight="1" x14ac:dyDescent="0.2">
      <c r="C53" t="s">
        <v>44</v>
      </c>
      <c r="D53">
        <v>0.44827586206896602</v>
      </c>
      <c r="E53">
        <v>0.54032258064516103</v>
      </c>
      <c r="F53">
        <v>1</v>
      </c>
      <c r="I53" t="s">
        <v>48</v>
      </c>
      <c r="J53">
        <v>0.41935483870967699</v>
      </c>
      <c r="K53">
        <v>0.59090909090909105</v>
      </c>
      <c r="L53">
        <v>1</v>
      </c>
      <c r="O53" t="s">
        <v>42</v>
      </c>
      <c r="P53">
        <v>0.54032258064516103</v>
      </c>
      <c r="Q53">
        <v>1</v>
      </c>
    </row>
    <row r="54" spans="2:17" ht="15" customHeight="1" x14ac:dyDescent="0.2">
      <c r="B54" t="s">
        <v>995</v>
      </c>
      <c r="C54" t="s">
        <v>45</v>
      </c>
      <c r="D54">
        <v>0.6875</v>
      </c>
      <c r="E54">
        <v>0.54411764705882404</v>
      </c>
      <c r="F54">
        <v>1</v>
      </c>
      <c r="H54" t="s">
        <v>995</v>
      </c>
      <c r="I54" t="s">
        <v>61</v>
      </c>
      <c r="J54">
        <v>0.6875</v>
      </c>
      <c r="K54">
        <v>0.54411764705882404</v>
      </c>
      <c r="L54">
        <v>1</v>
      </c>
      <c r="N54" t="s">
        <v>996</v>
      </c>
      <c r="O54" t="s">
        <v>55</v>
      </c>
      <c r="P54">
        <v>0.59090909090909105</v>
      </c>
      <c r="Q54">
        <v>1</v>
      </c>
    </row>
    <row r="55" spans="2:17" ht="15" customHeight="1" x14ac:dyDescent="0.2">
      <c r="C55" t="s">
        <v>58</v>
      </c>
      <c r="D55">
        <v>0.59375</v>
      </c>
      <c r="E55">
        <v>0.5</v>
      </c>
      <c r="F55">
        <v>1</v>
      </c>
      <c r="I55" t="s">
        <v>59</v>
      </c>
      <c r="J55">
        <v>0.59375</v>
      </c>
      <c r="K55">
        <v>0.5</v>
      </c>
      <c r="L55">
        <v>1</v>
      </c>
      <c r="O55" t="s">
        <v>52</v>
      </c>
      <c r="P55">
        <v>0.37962962962962998</v>
      </c>
      <c r="Q55">
        <v>1</v>
      </c>
    </row>
    <row r="56" spans="2:17" ht="15" customHeight="1" x14ac:dyDescent="0.2">
      <c r="B56" t="s">
        <v>997</v>
      </c>
      <c r="C56" t="s">
        <v>50</v>
      </c>
      <c r="D56">
        <v>0.50980392156862697</v>
      </c>
      <c r="E56">
        <v>0.5</v>
      </c>
      <c r="F56">
        <v>1</v>
      </c>
      <c r="H56" t="s">
        <v>997</v>
      </c>
      <c r="I56" t="s">
        <v>42</v>
      </c>
      <c r="J56">
        <v>0.50980392156862697</v>
      </c>
      <c r="K56">
        <v>0.5</v>
      </c>
      <c r="L56">
        <v>1</v>
      </c>
      <c r="N56" t="s">
        <v>998</v>
      </c>
      <c r="O56" t="s">
        <v>40</v>
      </c>
      <c r="P56">
        <v>0.5</v>
      </c>
      <c r="Q56">
        <v>1</v>
      </c>
    </row>
    <row r="57" spans="2:17" ht="15" customHeight="1" x14ac:dyDescent="0.2">
      <c r="C57" t="s">
        <v>60</v>
      </c>
      <c r="D57">
        <v>0.59836065573770503</v>
      </c>
      <c r="E57">
        <v>0.62903225806451601</v>
      </c>
      <c r="F57">
        <v>1</v>
      </c>
      <c r="I57" t="s">
        <v>62</v>
      </c>
      <c r="J57">
        <v>0.59836065573770503</v>
      </c>
      <c r="K57">
        <v>0.62903225806451601</v>
      </c>
      <c r="L57">
        <v>1</v>
      </c>
      <c r="O57" t="s">
        <v>61</v>
      </c>
      <c r="P57">
        <v>0.41935483870967699</v>
      </c>
      <c r="Q57">
        <v>1</v>
      </c>
    </row>
    <row r="58" spans="2:17" ht="15" customHeight="1" x14ac:dyDescent="0.2">
      <c r="B58" t="s">
        <v>999</v>
      </c>
      <c r="C58" t="s">
        <v>55</v>
      </c>
      <c r="D58">
        <v>0.38596491228070201</v>
      </c>
      <c r="E58">
        <v>0.35714285714285698</v>
      </c>
      <c r="F58">
        <v>1</v>
      </c>
      <c r="H58" t="s">
        <v>999</v>
      </c>
      <c r="I58" t="s">
        <v>47</v>
      </c>
      <c r="J58">
        <v>0.429824561403509</v>
      </c>
      <c r="K58">
        <v>0.5</v>
      </c>
      <c r="L58">
        <v>1</v>
      </c>
      <c r="N58" t="s">
        <v>1000</v>
      </c>
      <c r="O58" t="s">
        <v>45</v>
      </c>
      <c r="P58">
        <v>0.5</v>
      </c>
      <c r="Q58">
        <v>1</v>
      </c>
    </row>
    <row r="59" spans="2:17" ht="15" customHeight="1" x14ac:dyDescent="0.2">
      <c r="C59" t="s">
        <v>54</v>
      </c>
      <c r="D59">
        <v>0.429824561403509</v>
      </c>
      <c r="E59">
        <v>0.5</v>
      </c>
      <c r="F59">
        <v>1</v>
      </c>
      <c r="I59" t="s">
        <v>56</v>
      </c>
      <c r="J59">
        <v>0.38596491228070201</v>
      </c>
      <c r="K59">
        <v>0.35714285714285698</v>
      </c>
      <c r="L59">
        <v>1</v>
      </c>
      <c r="O59" t="s">
        <v>60</v>
      </c>
      <c r="P59">
        <v>0.6875</v>
      </c>
      <c r="Q59">
        <v>1</v>
      </c>
    </row>
    <row r="60" spans="2:17" ht="15" customHeight="1" x14ac:dyDescent="0.2">
      <c r="B60" t="s">
        <v>1001</v>
      </c>
      <c r="C60" t="s">
        <v>52</v>
      </c>
      <c r="D60">
        <v>0.55645161290322598</v>
      </c>
      <c r="E60">
        <v>0.42727272727272703</v>
      </c>
      <c r="F60">
        <v>1</v>
      </c>
      <c r="H60" t="s">
        <v>1001</v>
      </c>
      <c r="I60" t="s">
        <v>46</v>
      </c>
      <c r="J60">
        <v>0.55645161290322598</v>
      </c>
      <c r="K60">
        <v>0.42727272727272703</v>
      </c>
      <c r="L60">
        <v>1</v>
      </c>
      <c r="N60" t="s">
        <v>1002</v>
      </c>
      <c r="O60" t="s">
        <v>63</v>
      </c>
      <c r="P60">
        <v>0.453703703703704</v>
      </c>
      <c r="Q60">
        <v>1</v>
      </c>
    </row>
    <row r="61" spans="2:17" ht="15" customHeight="1" x14ac:dyDescent="0.2">
      <c r="C61" t="s">
        <v>40</v>
      </c>
      <c r="D61">
        <v>0.33333333333333298</v>
      </c>
      <c r="E61">
        <v>0.37962962962962998</v>
      </c>
      <c r="F61">
        <v>1</v>
      </c>
      <c r="I61" t="s">
        <v>651</v>
      </c>
      <c r="J61">
        <v>0.33333333333333298</v>
      </c>
      <c r="K61">
        <v>0.37962962962962998</v>
      </c>
      <c r="L61">
        <v>1</v>
      </c>
      <c r="O61" t="s">
        <v>651</v>
      </c>
      <c r="P61">
        <v>0.59836065573770503</v>
      </c>
      <c r="Q61">
        <v>1</v>
      </c>
    </row>
    <row r="62" spans="2:17" ht="15" customHeight="1" x14ac:dyDescent="0.2">
      <c r="B62" t="s">
        <v>1003</v>
      </c>
      <c r="C62" t="s">
        <v>57</v>
      </c>
      <c r="D62">
        <v>0.41935483870967699</v>
      </c>
      <c r="E62">
        <v>0.59090909090909105</v>
      </c>
      <c r="F62">
        <v>1</v>
      </c>
      <c r="H62" t="s">
        <v>1003</v>
      </c>
      <c r="I62" t="s">
        <v>53</v>
      </c>
      <c r="J62">
        <v>0.44827586206896602</v>
      </c>
      <c r="K62">
        <v>0.54032258064516103</v>
      </c>
      <c r="L62">
        <v>1</v>
      </c>
      <c r="N62" t="s">
        <v>1004</v>
      </c>
      <c r="O62" t="s">
        <v>48</v>
      </c>
      <c r="P62">
        <v>0.62903225806451601</v>
      </c>
      <c r="Q62">
        <v>1</v>
      </c>
    </row>
    <row r="63" spans="2:17" ht="15" customHeight="1" x14ac:dyDescent="0.2">
      <c r="C63" t="s">
        <v>44</v>
      </c>
      <c r="D63">
        <v>0.44827586206896602</v>
      </c>
      <c r="E63">
        <v>0.54032258064516103</v>
      </c>
      <c r="F63">
        <v>1</v>
      </c>
      <c r="I63" t="s">
        <v>48</v>
      </c>
      <c r="J63">
        <v>0.41935483870967699</v>
      </c>
      <c r="K63">
        <v>0.59090909090909105</v>
      </c>
      <c r="L63">
        <v>1</v>
      </c>
      <c r="O63" t="s">
        <v>59</v>
      </c>
      <c r="P63">
        <v>0.38596491228070201</v>
      </c>
      <c r="Q63">
        <v>1</v>
      </c>
    </row>
    <row r="64" spans="2:17" ht="15" customHeight="1" x14ac:dyDescent="0.2">
      <c r="B64" t="s">
        <v>1005</v>
      </c>
      <c r="C64" t="s">
        <v>45</v>
      </c>
      <c r="D64">
        <v>0.6875</v>
      </c>
      <c r="E64">
        <v>0.54411764705882404</v>
      </c>
      <c r="F64">
        <v>1</v>
      </c>
      <c r="H64" t="s">
        <v>1005</v>
      </c>
      <c r="I64" t="s">
        <v>61</v>
      </c>
      <c r="J64">
        <v>0.6875</v>
      </c>
      <c r="K64">
        <v>0.54411764705882404</v>
      </c>
      <c r="L64">
        <v>1</v>
      </c>
      <c r="N64" t="s">
        <v>1006</v>
      </c>
      <c r="O64" t="s">
        <v>53</v>
      </c>
      <c r="P64">
        <v>0.429824561403509</v>
      </c>
      <c r="Q64">
        <v>1</v>
      </c>
    </row>
    <row r="65" spans="2:17" ht="15" customHeight="1" x14ac:dyDescent="0.2">
      <c r="C65" t="s">
        <v>58</v>
      </c>
      <c r="D65">
        <v>0.59375</v>
      </c>
      <c r="E65">
        <v>0.5</v>
      </c>
      <c r="F65">
        <v>1</v>
      </c>
      <c r="I65" t="s">
        <v>59</v>
      </c>
      <c r="J65">
        <v>0.59375</v>
      </c>
      <c r="K65">
        <v>0.5</v>
      </c>
      <c r="L65">
        <v>1</v>
      </c>
      <c r="O65" t="s">
        <v>46</v>
      </c>
      <c r="P65">
        <v>0.33333333333333298</v>
      </c>
      <c r="Q65">
        <v>1</v>
      </c>
    </row>
    <row r="66" spans="2:17" ht="15" customHeight="1" x14ac:dyDescent="0.2">
      <c r="B66" t="s">
        <v>1007</v>
      </c>
      <c r="C66" t="s">
        <v>50</v>
      </c>
      <c r="D66">
        <v>0.50980392156862697</v>
      </c>
      <c r="E66">
        <v>0.5</v>
      </c>
      <c r="F66">
        <v>1</v>
      </c>
      <c r="H66" t="s">
        <v>1007</v>
      </c>
      <c r="I66" t="s">
        <v>42</v>
      </c>
      <c r="J66">
        <v>0.50980392156862697</v>
      </c>
      <c r="K66">
        <v>0.5</v>
      </c>
      <c r="L66">
        <v>1</v>
      </c>
      <c r="N66" t="s">
        <v>1008</v>
      </c>
      <c r="O66" t="s">
        <v>57</v>
      </c>
      <c r="P66">
        <v>0.59375</v>
      </c>
      <c r="Q66">
        <v>1</v>
      </c>
    </row>
    <row r="67" spans="2:17" ht="15" customHeight="1" x14ac:dyDescent="0.2">
      <c r="C67" t="s">
        <v>60</v>
      </c>
      <c r="D67">
        <v>0.59836065573770503</v>
      </c>
      <c r="E67">
        <v>0.62903225806451601</v>
      </c>
      <c r="F67">
        <v>1</v>
      </c>
      <c r="I67" t="s">
        <v>62</v>
      </c>
      <c r="J67">
        <v>0.59836065573770503</v>
      </c>
      <c r="K67">
        <v>0.62903225806451601</v>
      </c>
      <c r="L67">
        <v>1</v>
      </c>
      <c r="O67" t="s">
        <v>50</v>
      </c>
      <c r="P67">
        <v>0.59090909090909105</v>
      </c>
      <c r="Q67">
        <v>1</v>
      </c>
    </row>
    <row r="68" spans="2:17" ht="15" customHeight="1" x14ac:dyDescent="0.2">
      <c r="B68" t="s">
        <v>1009</v>
      </c>
      <c r="C68" t="s">
        <v>57</v>
      </c>
      <c r="D68">
        <v>0.37962962962962998</v>
      </c>
      <c r="E68">
        <v>0.5</v>
      </c>
      <c r="F68">
        <v>1</v>
      </c>
      <c r="H68" t="s">
        <v>1009</v>
      </c>
      <c r="I68" t="s">
        <v>651</v>
      </c>
      <c r="J68">
        <v>0.37962962962962998</v>
      </c>
      <c r="K68">
        <v>0.5</v>
      </c>
      <c r="L68">
        <v>1</v>
      </c>
      <c r="N68" t="s">
        <v>1010</v>
      </c>
      <c r="O68" t="s">
        <v>58</v>
      </c>
      <c r="P68">
        <v>0.5</v>
      </c>
      <c r="Q68">
        <v>1</v>
      </c>
    </row>
    <row r="69" spans="2:17" ht="15" customHeight="1" x14ac:dyDescent="0.2">
      <c r="C69" t="s">
        <v>46</v>
      </c>
      <c r="D69">
        <v>0.44827586206896602</v>
      </c>
      <c r="E69">
        <v>0.42727272727272703</v>
      </c>
      <c r="F69">
        <v>1</v>
      </c>
      <c r="I69" t="s">
        <v>56</v>
      </c>
      <c r="J69">
        <v>0.44827586206896602</v>
      </c>
      <c r="K69">
        <v>0.42727272727272703</v>
      </c>
      <c r="L69">
        <v>1</v>
      </c>
      <c r="O69" t="s">
        <v>60</v>
      </c>
      <c r="P69">
        <v>0.453703703703704</v>
      </c>
      <c r="Q69">
        <v>1</v>
      </c>
    </row>
    <row r="70" spans="2:17" ht="15" customHeight="1" x14ac:dyDescent="0.2">
      <c r="B70" t="s">
        <v>1011</v>
      </c>
      <c r="C70" t="s">
        <v>55</v>
      </c>
      <c r="D70">
        <v>0.38596491228070201</v>
      </c>
      <c r="E70">
        <v>0.35714285714285698</v>
      </c>
      <c r="F70">
        <v>1</v>
      </c>
      <c r="H70" t="s">
        <v>1011</v>
      </c>
      <c r="I70" t="s">
        <v>47</v>
      </c>
      <c r="J70">
        <v>0.429824561403509</v>
      </c>
      <c r="K70">
        <v>0.5</v>
      </c>
      <c r="L70">
        <v>1</v>
      </c>
      <c r="N70" t="s">
        <v>1012</v>
      </c>
      <c r="O70" t="s">
        <v>44</v>
      </c>
      <c r="P70">
        <v>0.5</v>
      </c>
      <c r="Q70">
        <v>1</v>
      </c>
    </row>
    <row r="71" spans="2:17" ht="15" customHeight="1" x14ac:dyDescent="0.2">
      <c r="C71" t="s">
        <v>54</v>
      </c>
      <c r="D71">
        <v>0.429824561403509</v>
      </c>
      <c r="E71">
        <v>0.5</v>
      </c>
      <c r="F71">
        <v>1</v>
      </c>
      <c r="I71" t="s">
        <v>56</v>
      </c>
      <c r="J71">
        <v>0.38596491228070201</v>
      </c>
      <c r="K71">
        <v>0.35714285714285698</v>
      </c>
      <c r="L71">
        <v>1</v>
      </c>
      <c r="O71" t="s">
        <v>40</v>
      </c>
      <c r="P71">
        <v>0.37962962962962998</v>
      </c>
      <c r="Q71">
        <v>1</v>
      </c>
    </row>
    <row r="72" spans="2:17" ht="15" customHeight="1" x14ac:dyDescent="0.2">
      <c r="B72" t="s">
        <v>1013</v>
      </c>
      <c r="C72" t="s">
        <v>44</v>
      </c>
      <c r="D72">
        <v>0.35714285714285698</v>
      </c>
      <c r="E72">
        <v>0.5</v>
      </c>
      <c r="F72">
        <v>1</v>
      </c>
      <c r="H72" t="s">
        <v>1013</v>
      </c>
      <c r="I72" t="s">
        <v>53</v>
      </c>
      <c r="J72">
        <v>0.35714285714285698</v>
      </c>
      <c r="K72">
        <v>0.5</v>
      </c>
      <c r="L72">
        <v>1</v>
      </c>
      <c r="N72" t="s">
        <v>1014</v>
      </c>
      <c r="O72" t="s">
        <v>42</v>
      </c>
      <c r="P72">
        <v>0.5</v>
      </c>
      <c r="Q72">
        <v>1</v>
      </c>
    </row>
    <row r="73" spans="2:17" ht="15" customHeight="1" x14ac:dyDescent="0.2">
      <c r="C73" t="s">
        <v>47</v>
      </c>
      <c r="D73">
        <v>0.41935483870967699</v>
      </c>
      <c r="E73">
        <v>0.59090909090909105</v>
      </c>
      <c r="F73">
        <v>1</v>
      </c>
      <c r="I73" t="s">
        <v>61</v>
      </c>
      <c r="J73">
        <v>0.41935483870967699</v>
      </c>
      <c r="K73">
        <v>0.59090909090909105</v>
      </c>
      <c r="L73">
        <v>1</v>
      </c>
      <c r="O73" t="s">
        <v>48</v>
      </c>
      <c r="P73">
        <v>0.42727272727272703</v>
      </c>
      <c r="Q73">
        <v>1</v>
      </c>
    </row>
    <row r="74" spans="2:17" ht="15" customHeight="1" x14ac:dyDescent="0.2">
      <c r="B74" t="s">
        <v>1015</v>
      </c>
      <c r="C74" t="s">
        <v>55</v>
      </c>
      <c r="D74">
        <v>0.59375</v>
      </c>
      <c r="E74">
        <v>0.50980392156862697</v>
      </c>
      <c r="F74">
        <v>1</v>
      </c>
      <c r="H74" t="s">
        <v>1015</v>
      </c>
      <c r="I74" t="s">
        <v>52</v>
      </c>
      <c r="J74">
        <v>0.59375</v>
      </c>
      <c r="K74">
        <v>0.50980392156862697</v>
      </c>
      <c r="L74">
        <v>1</v>
      </c>
      <c r="N74" t="s">
        <v>1016</v>
      </c>
      <c r="O74" t="s">
        <v>55</v>
      </c>
      <c r="P74">
        <v>0.54411764705882404</v>
      </c>
      <c r="Q74">
        <v>1</v>
      </c>
    </row>
    <row r="75" spans="2:17" ht="15" customHeight="1" x14ac:dyDescent="0.2">
      <c r="C75" t="s">
        <v>45</v>
      </c>
      <c r="D75">
        <v>0.429824561403509</v>
      </c>
      <c r="E75">
        <v>0.33333333333333298</v>
      </c>
      <c r="F75">
        <v>1</v>
      </c>
      <c r="I75" t="s">
        <v>60</v>
      </c>
      <c r="J75">
        <v>0.429824561403509</v>
      </c>
      <c r="K75">
        <v>0.33333333333333298</v>
      </c>
      <c r="L75">
        <v>1</v>
      </c>
      <c r="O75" t="s">
        <v>52</v>
      </c>
      <c r="P75">
        <v>0.38596491228070201</v>
      </c>
      <c r="Q75">
        <v>1</v>
      </c>
    </row>
    <row r="76" spans="2:17" ht="15" customHeight="1" x14ac:dyDescent="0.2">
      <c r="B76" t="s">
        <v>1017</v>
      </c>
      <c r="C76" t="s">
        <v>54</v>
      </c>
      <c r="D76">
        <v>0.6875</v>
      </c>
      <c r="E76">
        <v>0.54411764705882404</v>
      </c>
      <c r="F76">
        <v>1</v>
      </c>
      <c r="H76" t="s">
        <v>1017</v>
      </c>
      <c r="I76" t="s">
        <v>48</v>
      </c>
      <c r="J76">
        <v>0.6875</v>
      </c>
      <c r="K76">
        <v>0.54411764705882404</v>
      </c>
      <c r="L76">
        <v>1</v>
      </c>
      <c r="N76" t="s">
        <v>1018</v>
      </c>
      <c r="O76" t="s">
        <v>45</v>
      </c>
      <c r="P76">
        <v>0.44827586206896602</v>
      </c>
      <c r="Q76">
        <v>1</v>
      </c>
    </row>
    <row r="77" spans="2:17" ht="15" customHeight="1" x14ac:dyDescent="0.2">
      <c r="C77" t="s">
        <v>58</v>
      </c>
      <c r="D77">
        <v>0.38596491228070201</v>
      </c>
      <c r="E77">
        <v>0.54032258064516103</v>
      </c>
      <c r="F77">
        <v>1</v>
      </c>
      <c r="I77" t="s">
        <v>59</v>
      </c>
      <c r="J77">
        <v>0.38596491228070201</v>
      </c>
      <c r="K77">
        <v>0.54032258064516103</v>
      </c>
      <c r="L77">
        <v>1</v>
      </c>
      <c r="O77" t="s">
        <v>53</v>
      </c>
      <c r="P77">
        <v>0.59836065573770503</v>
      </c>
      <c r="Q77">
        <v>1</v>
      </c>
    </row>
    <row r="78" spans="2:17" ht="15" customHeight="1" x14ac:dyDescent="0.2">
      <c r="B78" t="s">
        <v>1019</v>
      </c>
      <c r="C78" t="s">
        <v>50</v>
      </c>
      <c r="D78">
        <v>0.55645161290322598</v>
      </c>
      <c r="E78">
        <v>0.5</v>
      </c>
      <c r="F78">
        <v>1</v>
      </c>
      <c r="H78" t="s">
        <v>1019</v>
      </c>
      <c r="I78" t="s">
        <v>42</v>
      </c>
      <c r="J78">
        <v>0.55645161290322598</v>
      </c>
      <c r="K78">
        <v>0.5</v>
      </c>
      <c r="L78">
        <v>1</v>
      </c>
      <c r="N78" t="s">
        <v>1020</v>
      </c>
      <c r="O78" t="s">
        <v>41</v>
      </c>
      <c r="P78">
        <v>0.50980392156862697</v>
      </c>
      <c r="Q78">
        <v>1</v>
      </c>
    </row>
    <row r="79" spans="2:17" ht="15" customHeight="1" x14ac:dyDescent="0.2">
      <c r="C79" t="s">
        <v>40</v>
      </c>
      <c r="D79">
        <v>0.59836065573770503</v>
      </c>
      <c r="E79">
        <v>0.62903225806451601</v>
      </c>
      <c r="F79">
        <v>1</v>
      </c>
      <c r="I79" t="s">
        <v>62</v>
      </c>
      <c r="J79">
        <v>0.59836065573770503</v>
      </c>
      <c r="K79">
        <v>0.62903225806451601</v>
      </c>
      <c r="L79">
        <v>1</v>
      </c>
      <c r="O79" t="s">
        <v>62</v>
      </c>
      <c r="P79">
        <v>0.6875</v>
      </c>
      <c r="Q79">
        <v>1</v>
      </c>
    </row>
    <row r="80" spans="2:17" ht="15" customHeight="1" x14ac:dyDescent="0.2">
      <c r="B80" t="s">
        <v>1021</v>
      </c>
      <c r="C80" t="s">
        <v>57</v>
      </c>
      <c r="D80">
        <v>0.37962962962962998</v>
      </c>
      <c r="E80">
        <v>0.5</v>
      </c>
      <c r="F80">
        <v>1</v>
      </c>
      <c r="H80" t="s">
        <v>1021</v>
      </c>
      <c r="I80" t="s">
        <v>651</v>
      </c>
      <c r="J80">
        <v>0.37962962962962998</v>
      </c>
      <c r="K80">
        <v>0.5</v>
      </c>
      <c r="L80">
        <v>1</v>
      </c>
      <c r="N80" t="s">
        <v>1022</v>
      </c>
      <c r="O80" t="s">
        <v>46</v>
      </c>
      <c r="P80">
        <v>0.55645161290322598</v>
      </c>
      <c r="Q80">
        <v>1</v>
      </c>
    </row>
    <row r="81" spans="2:17" ht="15" customHeight="1" x14ac:dyDescent="0.2">
      <c r="C81" t="s">
        <v>46</v>
      </c>
      <c r="D81">
        <v>0.44827586206896602</v>
      </c>
      <c r="E81">
        <v>0.42727272727272703</v>
      </c>
      <c r="F81">
        <v>1</v>
      </c>
      <c r="I81" t="s">
        <v>56</v>
      </c>
      <c r="J81">
        <v>0.44827586206896602</v>
      </c>
      <c r="K81">
        <v>0.42727272727272703</v>
      </c>
      <c r="L81">
        <v>1</v>
      </c>
      <c r="O81" t="s">
        <v>43</v>
      </c>
      <c r="P81">
        <v>0.41935483870967699</v>
      </c>
      <c r="Q81">
        <v>1</v>
      </c>
    </row>
    <row r="82" spans="2:17" ht="15" customHeight="1" x14ac:dyDescent="0.2">
      <c r="B82" t="s">
        <v>1023</v>
      </c>
      <c r="C82" t="s">
        <v>44</v>
      </c>
      <c r="D82">
        <v>0.35714285714285698</v>
      </c>
      <c r="E82">
        <v>0.5</v>
      </c>
      <c r="F82">
        <v>1</v>
      </c>
      <c r="H82" t="s">
        <v>1023</v>
      </c>
      <c r="I82" t="s">
        <v>53</v>
      </c>
      <c r="J82">
        <v>0.35714285714285698</v>
      </c>
      <c r="K82">
        <v>0.5</v>
      </c>
      <c r="L82">
        <v>1</v>
      </c>
      <c r="N82" t="s">
        <v>1024</v>
      </c>
      <c r="O82" t="s">
        <v>61</v>
      </c>
      <c r="P82">
        <v>0.62903225806451601</v>
      </c>
      <c r="Q82">
        <v>1</v>
      </c>
    </row>
    <row r="83" spans="2:17" ht="15" customHeight="1" x14ac:dyDescent="0.2">
      <c r="C83" t="s">
        <v>47</v>
      </c>
      <c r="D83">
        <v>0.41935483870967699</v>
      </c>
      <c r="E83">
        <v>0.59090909090909105</v>
      </c>
      <c r="F83">
        <v>1</v>
      </c>
      <c r="I83" t="s">
        <v>61</v>
      </c>
      <c r="J83">
        <v>0.41935483870967699</v>
      </c>
      <c r="K83">
        <v>0.59090909090909105</v>
      </c>
      <c r="L83">
        <v>1</v>
      </c>
      <c r="O83" t="s">
        <v>651</v>
      </c>
      <c r="P83">
        <v>0.54032258064516103</v>
      </c>
      <c r="Q83">
        <v>1</v>
      </c>
    </row>
    <row r="84" spans="2:17" ht="15" customHeight="1" x14ac:dyDescent="0.2">
      <c r="B84" t="s">
        <v>1025</v>
      </c>
      <c r="C84" t="s">
        <v>55</v>
      </c>
      <c r="D84">
        <v>0.59375</v>
      </c>
      <c r="E84">
        <v>0.50980392156862697</v>
      </c>
      <c r="F84">
        <v>1</v>
      </c>
      <c r="H84" t="s">
        <v>1025</v>
      </c>
      <c r="I84" t="s">
        <v>52</v>
      </c>
      <c r="J84">
        <v>0.59375</v>
      </c>
      <c r="K84">
        <v>0.50980392156862697</v>
      </c>
      <c r="L84">
        <v>1</v>
      </c>
      <c r="N84" t="s">
        <v>1026</v>
      </c>
      <c r="O84" t="s">
        <v>54</v>
      </c>
      <c r="P84">
        <v>0.33333333333333298</v>
      </c>
      <c r="Q84">
        <v>1</v>
      </c>
    </row>
    <row r="85" spans="2:17" ht="15" customHeight="1" x14ac:dyDescent="0.2">
      <c r="C85" t="s">
        <v>45</v>
      </c>
      <c r="D85">
        <v>0.429824561403509</v>
      </c>
      <c r="E85">
        <v>0.33333333333333298</v>
      </c>
      <c r="F85">
        <v>1</v>
      </c>
      <c r="I85" t="s">
        <v>60</v>
      </c>
      <c r="J85">
        <v>0.429824561403509</v>
      </c>
      <c r="K85">
        <v>0.33333333333333298</v>
      </c>
      <c r="L85">
        <v>1</v>
      </c>
      <c r="O85" t="s">
        <v>59</v>
      </c>
      <c r="P85">
        <v>0.429824561403509</v>
      </c>
      <c r="Q85">
        <v>1</v>
      </c>
    </row>
    <row r="86" spans="2:17" ht="15" customHeight="1" x14ac:dyDescent="0.2">
      <c r="B86" t="s">
        <v>1027</v>
      </c>
      <c r="C86" t="s">
        <v>63</v>
      </c>
      <c r="D86">
        <v>0.6875</v>
      </c>
      <c r="E86">
        <v>0.5</v>
      </c>
      <c r="F86">
        <v>1</v>
      </c>
      <c r="H86" t="s">
        <v>1027</v>
      </c>
      <c r="I86" t="s">
        <v>46</v>
      </c>
      <c r="J86">
        <v>0.6875</v>
      </c>
      <c r="K86">
        <v>0.5</v>
      </c>
      <c r="L86">
        <v>1</v>
      </c>
      <c r="N86" t="s">
        <v>1028</v>
      </c>
      <c r="O86" t="s">
        <v>41</v>
      </c>
      <c r="P86">
        <v>0.37962962962962998</v>
      </c>
      <c r="Q86">
        <v>1</v>
      </c>
    </row>
    <row r="87" spans="2:17" ht="15" customHeight="1" x14ac:dyDescent="0.2">
      <c r="C87" t="s">
        <v>58</v>
      </c>
      <c r="D87">
        <v>0.46296296296296302</v>
      </c>
      <c r="E87">
        <v>0.37962962962962998</v>
      </c>
      <c r="F87">
        <v>1</v>
      </c>
      <c r="I87" t="s">
        <v>43</v>
      </c>
      <c r="J87">
        <v>0.46296296296296302</v>
      </c>
      <c r="K87">
        <v>0.37962962962962998</v>
      </c>
      <c r="L87">
        <v>1</v>
      </c>
      <c r="O87" t="s">
        <v>46</v>
      </c>
      <c r="P87">
        <v>0.453703703703704</v>
      </c>
      <c r="Q87">
        <v>1</v>
      </c>
    </row>
    <row r="88" spans="2:17" ht="15" customHeight="1" x14ac:dyDescent="0.2">
      <c r="B88" t="s">
        <v>1029</v>
      </c>
      <c r="C88" t="s">
        <v>52</v>
      </c>
      <c r="D88">
        <v>0.54411764705882404</v>
      </c>
      <c r="E88">
        <v>0.50980392156862697</v>
      </c>
      <c r="F88">
        <v>1</v>
      </c>
      <c r="H88" t="s">
        <v>1029</v>
      </c>
      <c r="I88" t="s">
        <v>62</v>
      </c>
      <c r="J88">
        <v>0.54411764705882404</v>
      </c>
      <c r="K88">
        <v>0.50980392156862697</v>
      </c>
      <c r="L88">
        <v>1</v>
      </c>
      <c r="N88" t="s">
        <v>1030</v>
      </c>
      <c r="O88" t="s">
        <v>47</v>
      </c>
      <c r="P88">
        <v>0.54032258064516103</v>
      </c>
      <c r="Q88">
        <v>1</v>
      </c>
    </row>
    <row r="89" spans="2:17" ht="15" customHeight="1" x14ac:dyDescent="0.2">
      <c r="C89" t="s">
        <v>59</v>
      </c>
      <c r="D89">
        <v>0.33333333333333298</v>
      </c>
      <c r="E89">
        <v>0.5</v>
      </c>
      <c r="F89">
        <v>1</v>
      </c>
      <c r="I89" t="s">
        <v>60</v>
      </c>
      <c r="J89">
        <v>0.33333333333333298</v>
      </c>
      <c r="K89">
        <v>0.5</v>
      </c>
      <c r="L89">
        <v>1</v>
      </c>
      <c r="O89" t="s">
        <v>48</v>
      </c>
      <c r="P89">
        <v>0.35714285714285698</v>
      </c>
      <c r="Q89">
        <v>1</v>
      </c>
    </row>
    <row r="90" spans="2:17" ht="15" customHeight="1" x14ac:dyDescent="0.2">
      <c r="B90" t="s">
        <v>1031</v>
      </c>
      <c r="C90" t="s">
        <v>44</v>
      </c>
      <c r="D90">
        <v>0.55645161290322598</v>
      </c>
      <c r="E90">
        <v>0.37962962962962998</v>
      </c>
      <c r="F90">
        <v>1</v>
      </c>
      <c r="H90" t="s">
        <v>1031</v>
      </c>
      <c r="I90" t="s">
        <v>46</v>
      </c>
      <c r="J90">
        <v>0.41935483870967699</v>
      </c>
      <c r="K90">
        <v>0.5</v>
      </c>
      <c r="L90">
        <v>1</v>
      </c>
      <c r="N90" t="s">
        <v>1032</v>
      </c>
      <c r="O90" t="s">
        <v>50</v>
      </c>
      <c r="P90">
        <v>0.42727272727272703</v>
      </c>
      <c r="Q90">
        <v>1</v>
      </c>
    </row>
    <row r="91" spans="2:17" ht="15" customHeight="1" x14ac:dyDescent="0.2">
      <c r="C91" t="s">
        <v>40</v>
      </c>
      <c r="D91">
        <v>0.41935483870967699</v>
      </c>
      <c r="E91">
        <v>0.5</v>
      </c>
      <c r="F91">
        <v>1</v>
      </c>
      <c r="I91" t="s">
        <v>43</v>
      </c>
      <c r="J91">
        <v>0.55645161290322598</v>
      </c>
      <c r="K91">
        <v>0.37962962962962998</v>
      </c>
      <c r="L91">
        <v>1</v>
      </c>
      <c r="O91" t="s">
        <v>651</v>
      </c>
      <c r="P91">
        <v>0.59836065573770503</v>
      </c>
      <c r="Q91">
        <v>1</v>
      </c>
    </row>
    <row r="92" spans="2:17" ht="15" customHeight="1" x14ac:dyDescent="0.2">
      <c r="B92" t="s">
        <v>1033</v>
      </c>
      <c r="C92" t="s">
        <v>45</v>
      </c>
      <c r="D92">
        <v>0.59836065573770503</v>
      </c>
      <c r="E92">
        <v>0.62903225806451601</v>
      </c>
      <c r="F92">
        <v>1</v>
      </c>
      <c r="H92" t="s">
        <v>1033</v>
      </c>
      <c r="I92" t="s">
        <v>53</v>
      </c>
      <c r="J92">
        <v>0.59836065573770503</v>
      </c>
      <c r="K92">
        <v>0.62903225806451601</v>
      </c>
      <c r="L92">
        <v>1</v>
      </c>
      <c r="N92" t="s">
        <v>1034</v>
      </c>
      <c r="O92" t="s">
        <v>44</v>
      </c>
      <c r="P92">
        <v>0.3</v>
      </c>
      <c r="Q92">
        <v>1</v>
      </c>
    </row>
    <row r="93" spans="2:17" ht="15" customHeight="1" x14ac:dyDescent="0.2">
      <c r="C93" t="s">
        <v>50</v>
      </c>
      <c r="D93">
        <v>0.59375</v>
      </c>
      <c r="E93">
        <v>0.59090909090909105</v>
      </c>
      <c r="F93">
        <v>1</v>
      </c>
      <c r="I93" t="s">
        <v>42</v>
      </c>
      <c r="J93">
        <v>0.59375</v>
      </c>
      <c r="K93">
        <v>0.59090909090909105</v>
      </c>
      <c r="L93">
        <v>1</v>
      </c>
      <c r="O93" t="s">
        <v>51</v>
      </c>
      <c r="P93">
        <v>0.41935483870967699</v>
      </c>
      <c r="Q93">
        <v>1</v>
      </c>
    </row>
    <row r="94" spans="2:17" ht="15" customHeight="1" x14ac:dyDescent="0.2">
      <c r="B94" t="s">
        <v>1035</v>
      </c>
      <c r="C94" t="s">
        <v>58</v>
      </c>
      <c r="D94">
        <v>0.5</v>
      </c>
      <c r="E94">
        <v>0.42727272727272703</v>
      </c>
      <c r="F94">
        <v>1</v>
      </c>
      <c r="H94" t="s">
        <v>1035</v>
      </c>
      <c r="I94" t="s">
        <v>651</v>
      </c>
      <c r="J94">
        <v>0.6875</v>
      </c>
      <c r="K94">
        <v>0.5</v>
      </c>
      <c r="L94">
        <v>1</v>
      </c>
      <c r="N94" t="s">
        <v>1036</v>
      </c>
      <c r="O94" t="s">
        <v>45</v>
      </c>
      <c r="P94">
        <v>0.62903225806451601</v>
      </c>
      <c r="Q94">
        <v>1</v>
      </c>
    </row>
    <row r="95" spans="2:17" ht="15" customHeight="1" x14ac:dyDescent="0.2">
      <c r="C95" t="s">
        <v>61</v>
      </c>
      <c r="D95">
        <v>0.6875</v>
      </c>
      <c r="E95">
        <v>0.5</v>
      </c>
      <c r="F95">
        <v>1</v>
      </c>
      <c r="I95" t="s">
        <v>62</v>
      </c>
      <c r="J95">
        <v>0.5</v>
      </c>
      <c r="K95">
        <v>0.42727272727272703</v>
      </c>
      <c r="L95">
        <v>1</v>
      </c>
      <c r="O95" t="s">
        <v>42</v>
      </c>
      <c r="P95">
        <v>0.59375</v>
      </c>
      <c r="Q95">
        <v>1</v>
      </c>
    </row>
    <row r="96" spans="2:17" ht="15" customHeight="1" x14ac:dyDescent="0.2">
      <c r="B96" t="s">
        <v>1037</v>
      </c>
      <c r="C96" t="s">
        <v>63</v>
      </c>
      <c r="D96">
        <v>0.38596491228070201</v>
      </c>
      <c r="E96">
        <v>0.453703703703704</v>
      </c>
      <c r="F96">
        <v>1</v>
      </c>
      <c r="H96" t="s">
        <v>1037</v>
      </c>
      <c r="I96" t="s">
        <v>41</v>
      </c>
      <c r="J96">
        <v>0.46296296296296302</v>
      </c>
      <c r="K96">
        <v>0.54032258064516103</v>
      </c>
      <c r="L96">
        <v>1</v>
      </c>
      <c r="N96" t="s">
        <v>1038</v>
      </c>
      <c r="O96" t="s">
        <v>40</v>
      </c>
      <c r="P96">
        <v>0.5</v>
      </c>
      <c r="Q96">
        <v>1</v>
      </c>
    </row>
    <row r="97" spans="2:17" ht="15" customHeight="1" x14ac:dyDescent="0.2">
      <c r="C97" t="s">
        <v>54</v>
      </c>
      <c r="D97">
        <v>0.46296296296296302</v>
      </c>
      <c r="E97">
        <v>0.54032258064516103</v>
      </c>
      <c r="F97">
        <v>1</v>
      </c>
      <c r="I97" t="s">
        <v>48</v>
      </c>
      <c r="J97">
        <v>0.38596491228070201</v>
      </c>
      <c r="K97">
        <v>0.453703703703704</v>
      </c>
      <c r="L97">
        <v>1</v>
      </c>
      <c r="O97" t="s">
        <v>43</v>
      </c>
      <c r="P97">
        <v>0.55645161290322598</v>
      </c>
      <c r="Q97">
        <v>1</v>
      </c>
    </row>
    <row r="98" spans="2:17" ht="15" customHeight="1" x14ac:dyDescent="0.2">
      <c r="B98" t="s">
        <v>1039</v>
      </c>
      <c r="C98" t="s">
        <v>55</v>
      </c>
      <c r="D98">
        <v>0.54411764705882404</v>
      </c>
      <c r="E98">
        <v>0.50980392156862697</v>
      </c>
      <c r="F98">
        <v>1</v>
      </c>
      <c r="H98" t="s">
        <v>1039</v>
      </c>
      <c r="I98" t="s">
        <v>52</v>
      </c>
      <c r="J98">
        <v>0.54411764705882404</v>
      </c>
      <c r="K98">
        <v>0.50980392156862697</v>
      </c>
      <c r="L98">
        <v>1</v>
      </c>
      <c r="N98" t="s">
        <v>1040</v>
      </c>
      <c r="O98" t="s">
        <v>55</v>
      </c>
      <c r="P98">
        <v>0.59836065573770503</v>
      </c>
      <c r="Q98">
        <v>1</v>
      </c>
    </row>
    <row r="99" spans="2:17" ht="15" customHeight="1" x14ac:dyDescent="0.2">
      <c r="C99" t="s">
        <v>59</v>
      </c>
      <c r="D99">
        <v>0.429824561403509</v>
      </c>
      <c r="E99">
        <v>0.33333333333333298</v>
      </c>
      <c r="F99">
        <v>1</v>
      </c>
      <c r="I99" t="s">
        <v>60</v>
      </c>
      <c r="J99">
        <v>0.429824561403509</v>
      </c>
      <c r="K99">
        <v>0.33333333333333298</v>
      </c>
      <c r="L99">
        <v>1</v>
      </c>
      <c r="O99" t="s">
        <v>52</v>
      </c>
      <c r="P99">
        <v>0.38596491228070201</v>
      </c>
      <c r="Q99">
        <v>1</v>
      </c>
    </row>
    <row r="100" spans="2:17" ht="15" customHeight="1" x14ac:dyDescent="0.2">
      <c r="B100" t="s">
        <v>1041</v>
      </c>
      <c r="C100" t="s">
        <v>44</v>
      </c>
      <c r="D100">
        <v>0.55645161290322598</v>
      </c>
      <c r="E100">
        <v>0.37962962962962998</v>
      </c>
      <c r="F100">
        <v>1</v>
      </c>
      <c r="H100" t="s">
        <v>1041</v>
      </c>
      <c r="I100" t="s">
        <v>46</v>
      </c>
      <c r="J100">
        <v>0.41935483870967699</v>
      </c>
      <c r="K100">
        <v>0.5</v>
      </c>
      <c r="L100">
        <v>1</v>
      </c>
      <c r="O100" t="s">
        <v>48</v>
      </c>
      <c r="P100">
        <v>0.62903225806451601</v>
      </c>
      <c r="Q100">
        <v>1</v>
      </c>
    </row>
    <row r="101" spans="2:17" ht="15" customHeight="1" x14ac:dyDescent="0.2">
      <c r="C101" t="s">
        <v>40</v>
      </c>
      <c r="D101">
        <v>0.41935483870967699</v>
      </c>
      <c r="E101">
        <v>0.5</v>
      </c>
      <c r="F101">
        <v>1</v>
      </c>
      <c r="I101" t="s">
        <v>43</v>
      </c>
      <c r="J101">
        <v>0.55645161290322598</v>
      </c>
      <c r="K101">
        <v>0.37962962962962998</v>
      </c>
      <c r="L101">
        <v>1</v>
      </c>
      <c r="O101" t="s">
        <v>59</v>
      </c>
      <c r="P101">
        <v>0.35714285714285698</v>
      </c>
      <c r="Q101">
        <v>1</v>
      </c>
    </row>
    <row r="102" spans="2:17" ht="15" customHeight="1" x14ac:dyDescent="0.2">
      <c r="B102" t="s">
        <v>1042</v>
      </c>
      <c r="C102" t="s">
        <v>45</v>
      </c>
      <c r="D102">
        <v>0.59836065573770503</v>
      </c>
      <c r="E102">
        <v>0.62903225806451601</v>
      </c>
      <c r="F102">
        <v>1</v>
      </c>
      <c r="H102" t="s">
        <v>1042</v>
      </c>
      <c r="I102" t="s">
        <v>53</v>
      </c>
      <c r="J102">
        <v>0.59836065573770503</v>
      </c>
      <c r="K102">
        <v>0.62903225806451601</v>
      </c>
      <c r="L102">
        <v>1</v>
      </c>
      <c r="N102" t="s">
        <v>1043</v>
      </c>
      <c r="O102" t="s">
        <v>44</v>
      </c>
      <c r="P102">
        <v>0.6875</v>
      </c>
      <c r="Q102">
        <v>1</v>
      </c>
    </row>
    <row r="103" spans="2:17" ht="15" customHeight="1" x14ac:dyDescent="0.2">
      <c r="C103" t="s">
        <v>50</v>
      </c>
      <c r="D103">
        <v>0.59375</v>
      </c>
      <c r="E103">
        <v>0.59090909090909105</v>
      </c>
      <c r="F103">
        <v>1</v>
      </c>
      <c r="I103" t="s">
        <v>42</v>
      </c>
      <c r="J103">
        <v>0.59375</v>
      </c>
      <c r="K103">
        <v>0.59090909090909105</v>
      </c>
      <c r="L103">
        <v>1</v>
      </c>
      <c r="O103" t="s">
        <v>53</v>
      </c>
      <c r="P103">
        <v>0.453703703703704</v>
      </c>
      <c r="Q103">
        <v>1</v>
      </c>
    </row>
    <row r="104" spans="2:17" ht="15" customHeight="1" x14ac:dyDescent="0.2">
      <c r="B104" t="s">
        <v>1044</v>
      </c>
      <c r="C104" t="s">
        <v>58</v>
      </c>
      <c r="D104">
        <v>0.5</v>
      </c>
      <c r="E104">
        <v>0.42727272727272703</v>
      </c>
      <c r="F104">
        <v>1</v>
      </c>
      <c r="H104" t="s">
        <v>1044</v>
      </c>
      <c r="I104" t="s">
        <v>651</v>
      </c>
      <c r="J104">
        <v>0.6875</v>
      </c>
      <c r="K104">
        <v>0.5</v>
      </c>
      <c r="L104">
        <v>1</v>
      </c>
      <c r="O104" t="s">
        <v>651</v>
      </c>
      <c r="P104">
        <v>0.50980392156862697</v>
      </c>
      <c r="Q104">
        <v>1</v>
      </c>
    </row>
    <row r="105" spans="2:17" ht="15" customHeight="1" x14ac:dyDescent="0.2">
      <c r="C105" t="s">
        <v>61</v>
      </c>
      <c r="D105">
        <v>0.6875</v>
      </c>
      <c r="E105">
        <v>0.5</v>
      </c>
      <c r="F105">
        <v>1</v>
      </c>
      <c r="I105" t="s">
        <v>62</v>
      </c>
      <c r="J105">
        <v>0.5</v>
      </c>
      <c r="K105">
        <v>0.42727272727272703</v>
      </c>
      <c r="L105">
        <v>1</v>
      </c>
      <c r="O105" t="s">
        <v>66</v>
      </c>
      <c r="P105">
        <v>0.59090909090909105</v>
      </c>
      <c r="Q105">
        <v>1</v>
      </c>
    </row>
    <row r="106" spans="2:17" ht="15" customHeight="1" x14ac:dyDescent="0.2">
      <c r="B106" t="s">
        <v>1045</v>
      </c>
      <c r="C106" t="s">
        <v>63</v>
      </c>
      <c r="D106">
        <v>0.38596491228070201</v>
      </c>
      <c r="E106">
        <v>0.453703703703704</v>
      </c>
      <c r="F106">
        <v>1</v>
      </c>
      <c r="H106" t="s">
        <v>1045</v>
      </c>
      <c r="I106" t="s">
        <v>41</v>
      </c>
      <c r="J106">
        <v>0.46296296296296302</v>
      </c>
      <c r="K106">
        <v>0.54032258064516103</v>
      </c>
      <c r="L106">
        <v>1</v>
      </c>
      <c r="N106" t="s">
        <v>1046</v>
      </c>
      <c r="O106" t="s">
        <v>45</v>
      </c>
      <c r="P106">
        <v>0.5</v>
      </c>
      <c r="Q106">
        <v>1</v>
      </c>
    </row>
    <row r="107" spans="2:17" ht="15" customHeight="1" x14ac:dyDescent="0.2">
      <c r="C107" t="s">
        <v>54</v>
      </c>
      <c r="D107">
        <v>0.46296296296296302</v>
      </c>
      <c r="E107">
        <v>0.54032258064516103</v>
      </c>
      <c r="F107">
        <v>1</v>
      </c>
      <c r="I107" t="s">
        <v>48</v>
      </c>
      <c r="J107">
        <v>0.38596491228070201</v>
      </c>
      <c r="K107">
        <v>0.453703703703704</v>
      </c>
      <c r="L107">
        <v>1</v>
      </c>
      <c r="O107" t="s">
        <v>42</v>
      </c>
      <c r="P107">
        <v>0.5</v>
      </c>
      <c r="Q107">
        <v>1</v>
      </c>
    </row>
    <row r="108" spans="2:17" ht="15" customHeight="1" x14ac:dyDescent="0.2">
      <c r="B108" t="s">
        <v>1047</v>
      </c>
      <c r="C108" t="s">
        <v>55</v>
      </c>
      <c r="D108">
        <v>0.55645161290322598</v>
      </c>
      <c r="E108">
        <v>0.54032258064516103</v>
      </c>
      <c r="F108">
        <v>1</v>
      </c>
      <c r="H108" t="s">
        <v>1047</v>
      </c>
      <c r="I108" t="s">
        <v>42</v>
      </c>
      <c r="J108">
        <v>0.55645161290322598</v>
      </c>
      <c r="K108">
        <v>0.54032258064516103</v>
      </c>
      <c r="L108">
        <v>1</v>
      </c>
      <c r="O108" t="s">
        <v>46</v>
      </c>
      <c r="P108">
        <v>0.429824561403509</v>
      </c>
      <c r="Q108">
        <v>1</v>
      </c>
    </row>
    <row r="109" spans="2:17" ht="15" customHeight="1" x14ac:dyDescent="0.2">
      <c r="C109" t="s">
        <v>40</v>
      </c>
      <c r="D109">
        <v>0.429824561403509</v>
      </c>
      <c r="E109">
        <v>0.62903225806451601</v>
      </c>
      <c r="F109">
        <v>1</v>
      </c>
      <c r="I109" t="s">
        <v>48</v>
      </c>
      <c r="J109">
        <v>0.429824561403509</v>
      </c>
      <c r="K109">
        <v>0.62903225806451601</v>
      </c>
      <c r="L109">
        <v>1</v>
      </c>
      <c r="O109" t="s">
        <v>61</v>
      </c>
      <c r="P109">
        <v>0.55645161290322598</v>
      </c>
      <c r="Q109">
        <v>1</v>
      </c>
    </row>
    <row r="110" spans="2:17" ht="15" customHeight="1" x14ac:dyDescent="0.2">
      <c r="B110" t="s">
        <v>1048</v>
      </c>
      <c r="C110" t="s">
        <v>55</v>
      </c>
      <c r="D110">
        <v>0.54411764705882404</v>
      </c>
      <c r="E110">
        <v>0.50980392156862697</v>
      </c>
      <c r="F110">
        <v>1</v>
      </c>
      <c r="H110" t="s">
        <v>1048</v>
      </c>
      <c r="I110" t="s">
        <v>52</v>
      </c>
      <c r="J110">
        <v>0.54411764705882404</v>
      </c>
      <c r="K110">
        <v>0.50980392156862697</v>
      </c>
      <c r="L110">
        <v>1</v>
      </c>
      <c r="N110" t="s">
        <v>1049</v>
      </c>
      <c r="O110" t="s">
        <v>57</v>
      </c>
      <c r="P110">
        <v>0.50980392156862697</v>
      </c>
      <c r="Q110">
        <v>1</v>
      </c>
    </row>
    <row r="111" spans="2:17" ht="15" customHeight="1" x14ac:dyDescent="0.2">
      <c r="C111" t="s">
        <v>59</v>
      </c>
      <c r="D111">
        <v>0.429824561403509</v>
      </c>
      <c r="E111">
        <v>0.33333333333333298</v>
      </c>
      <c r="F111">
        <v>1</v>
      </c>
      <c r="I111" t="s">
        <v>60</v>
      </c>
      <c r="J111">
        <v>0.429824561403509</v>
      </c>
      <c r="K111">
        <v>0.33333333333333298</v>
      </c>
      <c r="L111">
        <v>1</v>
      </c>
      <c r="O111" t="s">
        <v>44</v>
      </c>
      <c r="P111">
        <v>0.5</v>
      </c>
      <c r="Q111">
        <v>1</v>
      </c>
    </row>
    <row r="112" spans="2:17" ht="15" customHeight="1" x14ac:dyDescent="0.2">
      <c r="B112" t="s">
        <v>1050</v>
      </c>
      <c r="C112" t="s">
        <v>45</v>
      </c>
      <c r="D112">
        <v>0.59836065573770503</v>
      </c>
      <c r="E112">
        <v>0.41935483870967699</v>
      </c>
      <c r="F112">
        <v>1</v>
      </c>
      <c r="H112" t="s">
        <v>1050</v>
      </c>
      <c r="I112" t="s">
        <v>44</v>
      </c>
      <c r="J112">
        <v>0.59375</v>
      </c>
      <c r="K112">
        <v>0.42727272727272703</v>
      </c>
      <c r="L112">
        <v>1</v>
      </c>
      <c r="O112" t="s">
        <v>40</v>
      </c>
      <c r="P112">
        <v>0.59375</v>
      </c>
      <c r="Q112">
        <v>1</v>
      </c>
    </row>
    <row r="113" spans="2:17" ht="15" customHeight="1" x14ac:dyDescent="0.2">
      <c r="C113" t="s">
        <v>50</v>
      </c>
      <c r="D113">
        <v>0.59375</v>
      </c>
      <c r="E113">
        <v>0.42727272727272703</v>
      </c>
      <c r="F113">
        <v>1</v>
      </c>
      <c r="I113" t="s">
        <v>651</v>
      </c>
      <c r="J113">
        <v>0.59836065573770503</v>
      </c>
      <c r="K113">
        <v>0.41935483870967699</v>
      </c>
      <c r="L113">
        <v>1</v>
      </c>
      <c r="O113" t="s">
        <v>41</v>
      </c>
      <c r="P113">
        <v>0.38596491228070201</v>
      </c>
      <c r="Q113">
        <v>1</v>
      </c>
    </row>
    <row r="114" spans="2:17" ht="15" customHeight="1" x14ac:dyDescent="0.2">
      <c r="B114" t="s">
        <v>1051</v>
      </c>
      <c r="C114" t="s">
        <v>54</v>
      </c>
      <c r="D114">
        <v>0.59090909090909105</v>
      </c>
      <c r="F114">
        <v>1</v>
      </c>
      <c r="H114" t="s">
        <v>1051</v>
      </c>
      <c r="I114" t="s">
        <v>41</v>
      </c>
      <c r="J114">
        <v>0.59090909090909105</v>
      </c>
      <c r="K114">
        <v>0.5</v>
      </c>
      <c r="L114">
        <v>1</v>
      </c>
      <c r="N114" t="s">
        <v>1052</v>
      </c>
      <c r="O114" t="s">
        <v>52</v>
      </c>
      <c r="P114">
        <v>0.54545454545454497</v>
      </c>
      <c r="Q114">
        <v>1</v>
      </c>
    </row>
    <row r="115" spans="2:17" ht="15" customHeight="1" x14ac:dyDescent="0.2">
      <c r="C115" t="s">
        <v>53</v>
      </c>
      <c r="D115">
        <v>0.38596491228070201</v>
      </c>
      <c r="E115">
        <v>0.453703703703704</v>
      </c>
      <c r="F115">
        <v>1</v>
      </c>
      <c r="I115" t="s">
        <v>61</v>
      </c>
      <c r="J115">
        <v>0.38596491228070201</v>
      </c>
      <c r="K115">
        <v>0.453703703703704</v>
      </c>
      <c r="L115">
        <v>1</v>
      </c>
      <c r="O115" t="s">
        <v>63</v>
      </c>
      <c r="P115">
        <v>0.67500000000000004</v>
      </c>
      <c r="Q115">
        <v>1</v>
      </c>
    </row>
    <row r="116" spans="2:17" ht="15" customHeight="1" x14ac:dyDescent="0.2">
      <c r="B116" t="s">
        <v>1053</v>
      </c>
      <c r="C116" t="s">
        <v>52</v>
      </c>
      <c r="D116">
        <v>0.54411764705882404</v>
      </c>
      <c r="E116">
        <v>0.50980392156862697</v>
      </c>
      <c r="F116">
        <v>1</v>
      </c>
      <c r="H116" t="s">
        <v>1053</v>
      </c>
      <c r="I116" t="s">
        <v>62</v>
      </c>
      <c r="J116">
        <v>0.54411764705882404</v>
      </c>
      <c r="K116">
        <v>0.50980392156862697</v>
      </c>
      <c r="L116">
        <v>1</v>
      </c>
      <c r="O116" t="s">
        <v>50</v>
      </c>
      <c r="P116">
        <v>0.5</v>
      </c>
      <c r="Q116">
        <v>1</v>
      </c>
    </row>
    <row r="117" spans="2:17" ht="15" customHeight="1" x14ac:dyDescent="0.2">
      <c r="C117" t="s">
        <v>59</v>
      </c>
      <c r="D117">
        <v>0.33333333333333298</v>
      </c>
      <c r="E117">
        <v>0.5</v>
      </c>
      <c r="F117">
        <v>1</v>
      </c>
      <c r="I117" t="s">
        <v>60</v>
      </c>
      <c r="J117">
        <v>0.33333333333333298</v>
      </c>
      <c r="K117">
        <v>0.5</v>
      </c>
      <c r="L117">
        <v>1</v>
      </c>
      <c r="O117" t="s">
        <v>651</v>
      </c>
      <c r="P117">
        <v>0.54032258064516103</v>
      </c>
      <c r="Q117">
        <v>1</v>
      </c>
    </row>
    <row r="118" spans="2:17" ht="15" customHeight="1" x14ac:dyDescent="0.2">
      <c r="B118" t="s">
        <v>1054</v>
      </c>
      <c r="C118" t="s">
        <v>63</v>
      </c>
      <c r="D118">
        <v>0.6875</v>
      </c>
      <c r="E118">
        <v>0.5</v>
      </c>
      <c r="F118">
        <v>1</v>
      </c>
      <c r="H118" t="s">
        <v>1054</v>
      </c>
      <c r="I118" t="s">
        <v>46</v>
      </c>
      <c r="J118">
        <v>0.6875</v>
      </c>
      <c r="K118">
        <v>0.5</v>
      </c>
      <c r="L118">
        <v>1</v>
      </c>
      <c r="N118" t="s">
        <v>1055</v>
      </c>
      <c r="O118" t="s">
        <v>50</v>
      </c>
      <c r="P118">
        <v>0.429824561403509</v>
      </c>
      <c r="Q118">
        <v>1</v>
      </c>
    </row>
    <row r="119" spans="2:17" ht="15" customHeight="1" x14ac:dyDescent="0.2">
      <c r="C119" t="s">
        <v>58</v>
      </c>
      <c r="D119">
        <v>0.46296296296296302</v>
      </c>
      <c r="E119">
        <v>0.37962962962962998</v>
      </c>
      <c r="F119">
        <v>1</v>
      </c>
      <c r="I119" t="s">
        <v>43</v>
      </c>
      <c r="J119">
        <v>0.46296296296296302</v>
      </c>
      <c r="K119">
        <v>0.37962962962962998</v>
      </c>
      <c r="L119">
        <v>1</v>
      </c>
      <c r="O119" t="s">
        <v>54</v>
      </c>
      <c r="P119">
        <v>0.33333333333333298</v>
      </c>
      <c r="Q119">
        <v>1</v>
      </c>
    </row>
    <row r="120" spans="2:17" ht="15" customHeight="1" x14ac:dyDescent="0.2">
      <c r="B120" t="s">
        <v>1056</v>
      </c>
      <c r="C120" t="s">
        <v>55</v>
      </c>
      <c r="D120">
        <v>0.55645161290322598</v>
      </c>
      <c r="E120">
        <v>0.54032258064516103</v>
      </c>
      <c r="F120">
        <v>1</v>
      </c>
      <c r="H120" t="s">
        <v>1056</v>
      </c>
      <c r="I120" t="s">
        <v>42</v>
      </c>
      <c r="J120">
        <v>0.55645161290322598</v>
      </c>
      <c r="K120">
        <v>0.54032258064516103</v>
      </c>
      <c r="L120">
        <v>1</v>
      </c>
      <c r="O120" t="s">
        <v>47</v>
      </c>
      <c r="P120">
        <v>0.54411764705882404</v>
      </c>
      <c r="Q120">
        <v>1</v>
      </c>
    </row>
    <row r="121" spans="2:17" ht="15" customHeight="1" x14ac:dyDescent="0.2">
      <c r="C121" t="s">
        <v>40</v>
      </c>
      <c r="D121">
        <v>0.429824561403509</v>
      </c>
      <c r="E121">
        <v>0.62903225806451601</v>
      </c>
      <c r="F121">
        <v>1</v>
      </c>
      <c r="I121" t="s">
        <v>48</v>
      </c>
      <c r="J121">
        <v>0.429824561403509</v>
      </c>
      <c r="K121">
        <v>0.62903225806451601</v>
      </c>
      <c r="L121">
        <v>1</v>
      </c>
      <c r="O121" t="s">
        <v>42</v>
      </c>
      <c r="P121">
        <v>0.54032258064516103</v>
      </c>
      <c r="Q121">
        <v>1</v>
      </c>
    </row>
    <row r="122" spans="2:17" ht="15" customHeight="1" x14ac:dyDescent="0.2">
      <c r="B122" t="s">
        <v>1057</v>
      </c>
      <c r="C122" t="s">
        <v>45</v>
      </c>
      <c r="D122">
        <v>0.59836065573770503</v>
      </c>
      <c r="E122">
        <v>0.41935483870967699</v>
      </c>
      <c r="F122">
        <v>1</v>
      </c>
      <c r="H122" t="s">
        <v>1057</v>
      </c>
      <c r="I122" t="s">
        <v>44</v>
      </c>
      <c r="J122">
        <v>0.59375</v>
      </c>
      <c r="K122">
        <v>0.42727272727272703</v>
      </c>
      <c r="L122">
        <v>1</v>
      </c>
      <c r="N122" t="s">
        <v>1058</v>
      </c>
      <c r="O122" t="s">
        <v>53</v>
      </c>
      <c r="P122">
        <v>0.63888888888888895</v>
      </c>
      <c r="Q122">
        <v>1</v>
      </c>
    </row>
    <row r="123" spans="2:17" ht="15" customHeight="1" x14ac:dyDescent="0.2">
      <c r="C123" t="s">
        <v>50</v>
      </c>
      <c r="D123">
        <v>0.59375</v>
      </c>
      <c r="E123">
        <v>0.42727272727272703</v>
      </c>
      <c r="F123">
        <v>1</v>
      </c>
      <c r="I123" t="s">
        <v>651</v>
      </c>
      <c r="J123">
        <v>0.59836065573770503</v>
      </c>
      <c r="K123">
        <v>0.41935483870967699</v>
      </c>
      <c r="L123">
        <v>1</v>
      </c>
      <c r="O123" t="s">
        <v>58</v>
      </c>
      <c r="P123">
        <v>0.41935483870967699</v>
      </c>
      <c r="Q123">
        <v>1</v>
      </c>
    </row>
    <row r="124" spans="2:17" ht="15" customHeight="1" x14ac:dyDescent="0.2">
      <c r="B124" t="s">
        <v>1059</v>
      </c>
      <c r="C124" t="s">
        <v>54</v>
      </c>
      <c r="D124">
        <v>0.59090909090909105</v>
      </c>
      <c r="F124">
        <v>1</v>
      </c>
      <c r="H124" t="s">
        <v>1059</v>
      </c>
      <c r="I124" t="s">
        <v>41</v>
      </c>
      <c r="J124">
        <v>0.59090909090909105</v>
      </c>
      <c r="K124">
        <v>0.5</v>
      </c>
      <c r="L124">
        <v>1</v>
      </c>
      <c r="O124" t="s">
        <v>41</v>
      </c>
      <c r="P124">
        <v>0.59090909090909105</v>
      </c>
      <c r="Q124">
        <v>1</v>
      </c>
    </row>
    <row r="125" spans="2:17" ht="15" customHeight="1" x14ac:dyDescent="0.2">
      <c r="C125" t="s">
        <v>53</v>
      </c>
      <c r="D125">
        <v>0.38596491228070201</v>
      </c>
      <c r="E125">
        <v>0.453703703703704</v>
      </c>
      <c r="F125">
        <v>1</v>
      </c>
      <c r="I125" t="s">
        <v>61</v>
      </c>
      <c r="J125">
        <v>0.38596491228070201</v>
      </c>
      <c r="K125">
        <v>0.453703703703704</v>
      </c>
      <c r="L125">
        <v>1</v>
      </c>
      <c r="O125" t="s">
        <v>60</v>
      </c>
      <c r="P125">
        <v>0.42727272727272703</v>
      </c>
      <c r="Q125">
        <v>1</v>
      </c>
    </row>
    <row r="126" spans="2:17" ht="15" customHeight="1" x14ac:dyDescent="0.2">
      <c r="B126" t="s">
        <v>1060</v>
      </c>
      <c r="C126" t="s">
        <v>45</v>
      </c>
      <c r="D126">
        <v>0.55645161290322598</v>
      </c>
      <c r="E126">
        <v>0.62903225806451601</v>
      </c>
      <c r="F126">
        <v>1</v>
      </c>
      <c r="H126" t="s">
        <v>1060</v>
      </c>
      <c r="I126" t="s">
        <v>54</v>
      </c>
      <c r="J126">
        <v>0.55645161290322598</v>
      </c>
      <c r="K126">
        <v>0.62903225806451601</v>
      </c>
      <c r="L126">
        <v>1</v>
      </c>
      <c r="N126" t="s">
        <v>1061</v>
      </c>
      <c r="O126" t="s">
        <v>55</v>
      </c>
      <c r="P126">
        <v>0.37962962962962998</v>
      </c>
      <c r="Q126">
        <v>1</v>
      </c>
    </row>
    <row r="127" spans="2:17" ht="15" customHeight="1" x14ac:dyDescent="0.2">
      <c r="C127" t="s">
        <v>40</v>
      </c>
      <c r="D127">
        <v>0.59375</v>
      </c>
      <c r="E127">
        <v>0.38596491228070201</v>
      </c>
      <c r="F127">
        <v>1</v>
      </c>
      <c r="I127" t="s">
        <v>42</v>
      </c>
      <c r="J127">
        <v>0.59375</v>
      </c>
      <c r="K127">
        <v>0.38596491228070201</v>
      </c>
      <c r="L127">
        <v>1</v>
      </c>
      <c r="O127" t="s">
        <v>40</v>
      </c>
      <c r="P127">
        <v>0.5</v>
      </c>
      <c r="Q127">
        <v>1</v>
      </c>
    </row>
    <row r="128" spans="2:17" ht="15" customHeight="1" x14ac:dyDescent="0.2">
      <c r="B128" t="s">
        <v>1062</v>
      </c>
      <c r="C128" t="s">
        <v>57</v>
      </c>
      <c r="D128">
        <v>0.37962962962962998</v>
      </c>
      <c r="E128">
        <v>0.5</v>
      </c>
      <c r="F128">
        <v>1</v>
      </c>
      <c r="H128" t="s">
        <v>1062</v>
      </c>
      <c r="I128" t="s">
        <v>52</v>
      </c>
      <c r="J128">
        <v>0.37962962962962998</v>
      </c>
      <c r="K128">
        <v>0.5</v>
      </c>
      <c r="L128">
        <v>1</v>
      </c>
      <c r="O128" t="s">
        <v>61</v>
      </c>
      <c r="P128">
        <v>0.62903225806451601</v>
      </c>
      <c r="Q128">
        <v>1</v>
      </c>
    </row>
    <row r="129" spans="2:17" ht="15" customHeight="1" x14ac:dyDescent="0.2">
      <c r="C129" t="s">
        <v>46</v>
      </c>
      <c r="D129">
        <v>0.44827586206896602</v>
      </c>
      <c r="E129">
        <v>0.33333333333333298</v>
      </c>
      <c r="F129">
        <v>1</v>
      </c>
      <c r="I129" t="s">
        <v>43</v>
      </c>
      <c r="J129">
        <v>0.44827586206896602</v>
      </c>
      <c r="K129">
        <v>0.33333333333333298</v>
      </c>
      <c r="L129">
        <v>1</v>
      </c>
      <c r="O129" t="s">
        <v>62</v>
      </c>
      <c r="P129">
        <v>0.59375</v>
      </c>
      <c r="Q129">
        <v>1</v>
      </c>
    </row>
    <row r="130" spans="2:17" ht="15" customHeight="1" x14ac:dyDescent="0.2">
      <c r="B130" t="s">
        <v>1063</v>
      </c>
      <c r="C130" t="s">
        <v>55</v>
      </c>
      <c r="D130">
        <v>0.453703703703704</v>
      </c>
      <c r="E130">
        <v>0.5</v>
      </c>
      <c r="F130">
        <v>1</v>
      </c>
      <c r="H130" t="s">
        <v>1063</v>
      </c>
      <c r="I130" t="s">
        <v>50</v>
      </c>
      <c r="J130">
        <v>0.453703703703704</v>
      </c>
      <c r="K130">
        <v>0.5</v>
      </c>
      <c r="L130">
        <v>1</v>
      </c>
      <c r="N130" t="s">
        <v>1064</v>
      </c>
      <c r="O130" t="s">
        <v>45</v>
      </c>
      <c r="P130">
        <v>0.55645161290322598</v>
      </c>
      <c r="Q130">
        <v>1</v>
      </c>
    </row>
    <row r="131" spans="2:17" ht="15" customHeight="1" x14ac:dyDescent="0.2">
      <c r="C131" t="s">
        <v>41</v>
      </c>
      <c r="D131">
        <v>0.429824561403509</v>
      </c>
      <c r="E131">
        <v>0.59836065573770503</v>
      </c>
      <c r="F131">
        <v>1</v>
      </c>
      <c r="I131" t="s">
        <v>43</v>
      </c>
      <c r="J131">
        <v>0.429824561403509</v>
      </c>
      <c r="K131">
        <v>0.59836065573770503</v>
      </c>
      <c r="L131">
        <v>1</v>
      </c>
      <c r="O131" t="s">
        <v>54</v>
      </c>
      <c r="P131">
        <v>0.453703703703704</v>
      </c>
      <c r="Q131">
        <v>1</v>
      </c>
    </row>
    <row r="132" spans="2:17" ht="15" customHeight="1" x14ac:dyDescent="0.2">
      <c r="B132" t="s">
        <v>1065</v>
      </c>
      <c r="C132" t="s">
        <v>45</v>
      </c>
      <c r="D132">
        <v>0.6875</v>
      </c>
      <c r="E132">
        <v>0.55645161290322598</v>
      </c>
      <c r="F132">
        <v>1</v>
      </c>
      <c r="H132" t="s">
        <v>1065</v>
      </c>
      <c r="I132" t="s">
        <v>40</v>
      </c>
      <c r="J132">
        <v>0.59375</v>
      </c>
      <c r="K132">
        <v>0.37962962962962998</v>
      </c>
      <c r="L132">
        <v>1</v>
      </c>
      <c r="O132" t="s">
        <v>43</v>
      </c>
      <c r="P132">
        <v>0.41935483870967699</v>
      </c>
      <c r="Q132">
        <v>1</v>
      </c>
    </row>
    <row r="133" spans="2:17" ht="15" customHeight="1" x14ac:dyDescent="0.2">
      <c r="C133" t="s">
        <v>58</v>
      </c>
      <c r="D133">
        <v>0.59375</v>
      </c>
      <c r="E133">
        <v>0.37962962962962998</v>
      </c>
      <c r="F133">
        <v>1</v>
      </c>
      <c r="I133" t="s">
        <v>46</v>
      </c>
      <c r="J133">
        <v>0.6875</v>
      </c>
      <c r="K133">
        <v>0.55645161290322598</v>
      </c>
      <c r="L133">
        <v>1</v>
      </c>
      <c r="O133" t="s">
        <v>60</v>
      </c>
      <c r="P133">
        <v>0.44827586206896602</v>
      </c>
      <c r="Q133">
        <v>1</v>
      </c>
    </row>
    <row r="134" spans="2:17" ht="15" customHeight="1" x14ac:dyDescent="0.2">
      <c r="B134" t="s">
        <v>1066</v>
      </c>
      <c r="C134" t="s">
        <v>57</v>
      </c>
      <c r="D134">
        <v>0.59090909090909105</v>
      </c>
      <c r="F134">
        <v>1</v>
      </c>
      <c r="H134" t="s">
        <v>1066</v>
      </c>
      <c r="I134" t="s">
        <v>44</v>
      </c>
      <c r="J134">
        <v>0.59090909090909105</v>
      </c>
      <c r="K134">
        <v>0.54411764705882404</v>
      </c>
      <c r="L134">
        <v>1</v>
      </c>
      <c r="N134" t="s">
        <v>1067</v>
      </c>
      <c r="O134" t="s">
        <v>48</v>
      </c>
      <c r="P134">
        <v>0.42727272727272703</v>
      </c>
      <c r="Q134">
        <v>1</v>
      </c>
    </row>
    <row r="135" spans="2:17" ht="15" customHeight="1" x14ac:dyDescent="0.2">
      <c r="C135" t="s">
        <v>53</v>
      </c>
      <c r="D135">
        <v>0.44827586206896602</v>
      </c>
      <c r="E135">
        <v>0.41935483870967699</v>
      </c>
      <c r="F135">
        <v>1</v>
      </c>
      <c r="I135" t="s">
        <v>59</v>
      </c>
      <c r="J135">
        <v>0.44827586206896602</v>
      </c>
      <c r="K135">
        <v>0.41935483870967699</v>
      </c>
      <c r="L135">
        <v>1</v>
      </c>
      <c r="O135" t="s">
        <v>56</v>
      </c>
      <c r="P135">
        <v>0.59836065573770503</v>
      </c>
      <c r="Q135">
        <v>1</v>
      </c>
    </row>
    <row r="136" spans="2:17" ht="15" customHeight="1" x14ac:dyDescent="0.2">
      <c r="B136" t="s">
        <v>1068</v>
      </c>
      <c r="C136" t="s">
        <v>52</v>
      </c>
      <c r="D136">
        <v>0.42727272727272703</v>
      </c>
      <c r="E136">
        <v>0.5</v>
      </c>
      <c r="F136">
        <v>1</v>
      </c>
      <c r="H136" t="s">
        <v>1068</v>
      </c>
      <c r="I136" t="s">
        <v>42</v>
      </c>
      <c r="J136">
        <v>0.42727272727272703</v>
      </c>
      <c r="K136">
        <v>0.5</v>
      </c>
      <c r="L136">
        <v>1</v>
      </c>
      <c r="O136" t="s">
        <v>64</v>
      </c>
      <c r="P136">
        <v>0.46296296296296302</v>
      </c>
      <c r="Q136">
        <v>1</v>
      </c>
    </row>
    <row r="137" spans="2:17" ht="15" customHeight="1" x14ac:dyDescent="0.2">
      <c r="C137" t="s">
        <v>651</v>
      </c>
      <c r="D137">
        <v>0.33333333333333298</v>
      </c>
      <c r="E137">
        <v>0.62903225806451601</v>
      </c>
      <c r="F137">
        <v>1</v>
      </c>
      <c r="I137" t="s">
        <v>62</v>
      </c>
      <c r="J137">
        <v>0.33333333333333298</v>
      </c>
      <c r="K137">
        <v>0.62903225806451601</v>
      </c>
      <c r="L137">
        <v>1</v>
      </c>
      <c r="O137" t="s">
        <v>67</v>
      </c>
      <c r="P137">
        <v>0.33333333333333298</v>
      </c>
      <c r="Q137">
        <v>1</v>
      </c>
    </row>
    <row r="138" spans="2:17" ht="15" customHeight="1" x14ac:dyDescent="0.2">
      <c r="B138" t="s">
        <v>1069</v>
      </c>
      <c r="C138" t="s">
        <v>54</v>
      </c>
      <c r="D138">
        <v>0.54032258064516103</v>
      </c>
      <c r="E138">
        <v>0.50980392156862697</v>
      </c>
      <c r="F138">
        <v>1</v>
      </c>
      <c r="H138" t="s">
        <v>1069</v>
      </c>
      <c r="I138" t="s">
        <v>61</v>
      </c>
      <c r="J138">
        <v>0.54032258064516103</v>
      </c>
      <c r="K138">
        <v>0.50980392156862697</v>
      </c>
      <c r="L138">
        <v>1</v>
      </c>
      <c r="N138" t="s">
        <v>1070</v>
      </c>
      <c r="O138" t="s">
        <v>44</v>
      </c>
      <c r="P138">
        <v>0.59836065573770503</v>
      </c>
      <c r="Q138">
        <v>1</v>
      </c>
    </row>
    <row r="139" spans="2:17" ht="15" customHeight="1" x14ac:dyDescent="0.2">
      <c r="C139" t="s">
        <v>48</v>
      </c>
      <c r="D139">
        <v>0.38596491228070201</v>
      </c>
      <c r="E139">
        <v>0.5</v>
      </c>
      <c r="F139">
        <v>1</v>
      </c>
      <c r="I139" t="s">
        <v>60</v>
      </c>
      <c r="J139">
        <v>0.38596491228070201</v>
      </c>
      <c r="K139">
        <v>0.5</v>
      </c>
      <c r="L139">
        <v>1</v>
      </c>
      <c r="N139" t="s">
        <v>1071</v>
      </c>
      <c r="O139" t="s">
        <v>45</v>
      </c>
      <c r="P139">
        <v>0.42727272727272703</v>
      </c>
      <c r="Q139">
        <v>1</v>
      </c>
    </row>
    <row r="140" spans="2:17" ht="15" customHeight="1" x14ac:dyDescent="0.2">
      <c r="B140" t="s">
        <v>1072</v>
      </c>
      <c r="C140" t="s">
        <v>55</v>
      </c>
      <c r="D140">
        <v>0.453703703703704</v>
      </c>
      <c r="E140">
        <v>0.5</v>
      </c>
      <c r="F140">
        <v>1</v>
      </c>
      <c r="H140" t="s">
        <v>1072</v>
      </c>
      <c r="I140" t="s">
        <v>50</v>
      </c>
      <c r="J140">
        <v>0.453703703703704</v>
      </c>
      <c r="K140">
        <v>0.5</v>
      </c>
      <c r="L140">
        <v>1</v>
      </c>
      <c r="O140" t="s">
        <v>52</v>
      </c>
      <c r="P140">
        <v>0.38596491228070201</v>
      </c>
      <c r="Q140">
        <v>1</v>
      </c>
    </row>
    <row r="141" spans="2:17" ht="15" customHeight="1" x14ac:dyDescent="0.2">
      <c r="C141" t="s">
        <v>41</v>
      </c>
      <c r="D141">
        <v>0.429824561403509</v>
      </c>
      <c r="E141">
        <v>0.59836065573770503</v>
      </c>
      <c r="F141">
        <v>1</v>
      </c>
      <c r="I141" t="s">
        <v>43</v>
      </c>
      <c r="J141">
        <v>0.429824561403509</v>
      </c>
      <c r="K141">
        <v>0.59836065573770503</v>
      </c>
      <c r="L141">
        <v>1</v>
      </c>
      <c r="O141" t="s">
        <v>40</v>
      </c>
      <c r="P141">
        <v>0.429824561403509</v>
      </c>
      <c r="Q141">
        <v>1</v>
      </c>
    </row>
    <row r="142" spans="2:17" ht="15" customHeight="1" x14ac:dyDescent="0.2">
      <c r="B142" t="s">
        <v>1073</v>
      </c>
      <c r="C142" t="s">
        <v>45</v>
      </c>
      <c r="D142">
        <v>0.6875</v>
      </c>
      <c r="E142">
        <v>0.55645161290322598</v>
      </c>
      <c r="F142">
        <v>1</v>
      </c>
      <c r="H142" t="s">
        <v>1073</v>
      </c>
      <c r="I142" t="s">
        <v>40</v>
      </c>
      <c r="J142">
        <v>0.59375</v>
      </c>
      <c r="K142">
        <v>0.37962962962962998</v>
      </c>
      <c r="L142">
        <v>1</v>
      </c>
      <c r="N142" t="s">
        <v>1074</v>
      </c>
      <c r="O142" t="s">
        <v>53</v>
      </c>
      <c r="P142">
        <v>0.35714285714285698</v>
      </c>
      <c r="Q142">
        <v>1</v>
      </c>
    </row>
    <row r="143" spans="2:17" ht="15" customHeight="1" x14ac:dyDescent="0.2">
      <c r="C143" t="s">
        <v>58</v>
      </c>
      <c r="D143">
        <v>0.59375</v>
      </c>
      <c r="E143">
        <v>0.37962962962962998</v>
      </c>
      <c r="F143">
        <v>1</v>
      </c>
      <c r="I143" t="s">
        <v>46</v>
      </c>
      <c r="J143">
        <v>0.6875</v>
      </c>
      <c r="K143">
        <v>0.55645161290322598</v>
      </c>
      <c r="L143">
        <v>1</v>
      </c>
      <c r="O143" t="s">
        <v>48</v>
      </c>
      <c r="P143">
        <v>0.5</v>
      </c>
      <c r="Q143">
        <v>1</v>
      </c>
    </row>
    <row r="144" spans="2:17" ht="15" customHeight="1" x14ac:dyDescent="0.2">
      <c r="B144" t="s">
        <v>1075</v>
      </c>
      <c r="C144" t="s">
        <v>57</v>
      </c>
      <c r="D144">
        <v>0.59090909090909105</v>
      </c>
      <c r="F144">
        <v>1</v>
      </c>
      <c r="H144" t="s">
        <v>1075</v>
      </c>
      <c r="I144" t="s">
        <v>44</v>
      </c>
      <c r="J144">
        <v>0.59090909090909105</v>
      </c>
      <c r="K144">
        <v>0.54411764705882404</v>
      </c>
      <c r="L144">
        <v>1</v>
      </c>
      <c r="N144" t="s">
        <v>1076</v>
      </c>
      <c r="O144" t="s">
        <v>41</v>
      </c>
      <c r="P144">
        <v>0.37962962962962998</v>
      </c>
      <c r="Q144">
        <v>1</v>
      </c>
    </row>
    <row r="145" spans="2:17" ht="15" customHeight="1" x14ac:dyDescent="0.2">
      <c r="C145" t="s">
        <v>53</v>
      </c>
      <c r="D145">
        <v>0.44827586206896602</v>
      </c>
      <c r="E145">
        <v>0.41935483870967699</v>
      </c>
      <c r="F145">
        <v>1</v>
      </c>
      <c r="I145" t="s">
        <v>59</v>
      </c>
      <c r="J145">
        <v>0.44827586206896602</v>
      </c>
      <c r="K145">
        <v>0.41935483870967699</v>
      </c>
      <c r="L145">
        <v>1</v>
      </c>
      <c r="O145" t="s">
        <v>42</v>
      </c>
      <c r="P145">
        <v>0.44827586206896602</v>
      </c>
      <c r="Q145">
        <v>1</v>
      </c>
    </row>
    <row r="146" spans="2:17" ht="15" customHeight="1" x14ac:dyDescent="0.2">
      <c r="B146" t="s">
        <v>1077</v>
      </c>
      <c r="C146" t="s">
        <v>52</v>
      </c>
      <c r="D146">
        <v>0.42727272727272703</v>
      </c>
      <c r="E146">
        <v>0.5</v>
      </c>
      <c r="F146">
        <v>1</v>
      </c>
      <c r="H146" t="s">
        <v>1077</v>
      </c>
      <c r="I146" t="s">
        <v>42</v>
      </c>
      <c r="J146">
        <v>0.42727272727272703</v>
      </c>
      <c r="K146">
        <v>0.5</v>
      </c>
      <c r="L146">
        <v>1</v>
      </c>
      <c r="N146" t="s">
        <v>1078</v>
      </c>
      <c r="O146" t="s">
        <v>50</v>
      </c>
      <c r="P146">
        <v>0.41935483870967699</v>
      </c>
      <c r="Q146">
        <v>1</v>
      </c>
    </row>
    <row r="147" spans="2:17" ht="15" customHeight="1" x14ac:dyDescent="0.2">
      <c r="C147" t="s">
        <v>651</v>
      </c>
      <c r="D147">
        <v>0.33333333333333298</v>
      </c>
      <c r="E147">
        <v>0.62903225806451601</v>
      </c>
      <c r="F147">
        <v>1</v>
      </c>
      <c r="I147" t="s">
        <v>62</v>
      </c>
      <c r="J147">
        <v>0.33333333333333298</v>
      </c>
      <c r="K147">
        <v>0.62903225806451601</v>
      </c>
      <c r="L147">
        <v>1</v>
      </c>
      <c r="O147" t="s">
        <v>54</v>
      </c>
      <c r="P147">
        <v>0.33333333333333298</v>
      </c>
      <c r="Q147">
        <v>1</v>
      </c>
    </row>
    <row r="148" spans="2:17" ht="15" customHeight="1" x14ac:dyDescent="0.2">
      <c r="B148" t="s">
        <v>1079</v>
      </c>
      <c r="C148" t="s">
        <v>50</v>
      </c>
      <c r="D148">
        <v>0.5</v>
      </c>
      <c r="E148">
        <v>0.42727272727272703</v>
      </c>
      <c r="F148">
        <v>1</v>
      </c>
      <c r="H148" t="s">
        <v>1079</v>
      </c>
      <c r="I148" t="s">
        <v>44</v>
      </c>
      <c r="J148">
        <v>0.5</v>
      </c>
      <c r="K148">
        <v>0.42727272727272703</v>
      </c>
      <c r="L148">
        <v>1</v>
      </c>
      <c r="N148" t="s">
        <v>1080</v>
      </c>
      <c r="O148" t="s">
        <v>55</v>
      </c>
      <c r="P148">
        <v>0.55645161290322598</v>
      </c>
      <c r="Q148">
        <v>1</v>
      </c>
    </row>
    <row r="149" spans="2:17" ht="15" customHeight="1" x14ac:dyDescent="0.2">
      <c r="C149" t="s">
        <v>61</v>
      </c>
      <c r="D149">
        <v>0.59836065573770503</v>
      </c>
      <c r="E149">
        <v>0.41935483870967699</v>
      </c>
      <c r="F149">
        <v>1</v>
      </c>
      <c r="I149" t="s">
        <v>651</v>
      </c>
      <c r="J149">
        <v>0.59836065573770503</v>
      </c>
      <c r="K149">
        <v>0.41935483870967699</v>
      </c>
      <c r="L149">
        <v>1</v>
      </c>
      <c r="O149" t="s">
        <v>651</v>
      </c>
      <c r="P149">
        <v>0.59375</v>
      </c>
      <c r="Q149">
        <v>1</v>
      </c>
    </row>
    <row r="150" spans="2:17" ht="15" customHeight="1" x14ac:dyDescent="0.2">
      <c r="B150" t="s">
        <v>1081</v>
      </c>
      <c r="C150" t="s">
        <v>54</v>
      </c>
      <c r="D150">
        <v>0.54032258064516103</v>
      </c>
      <c r="E150">
        <v>0.50980392156862697</v>
      </c>
      <c r="F150">
        <v>1</v>
      </c>
      <c r="H150" t="s">
        <v>1081</v>
      </c>
      <c r="I150" t="s">
        <v>61</v>
      </c>
      <c r="J150">
        <v>0.54032258064516103</v>
      </c>
      <c r="K150">
        <v>0.50980392156862697</v>
      </c>
      <c r="L150">
        <v>1</v>
      </c>
      <c r="N150" t="s">
        <v>1082</v>
      </c>
      <c r="O150" t="s">
        <v>47</v>
      </c>
      <c r="P150">
        <v>0.59090909090909105</v>
      </c>
      <c r="Q150">
        <v>1</v>
      </c>
    </row>
    <row r="151" spans="2:17" ht="15" customHeight="1" x14ac:dyDescent="0.2">
      <c r="C151" t="s">
        <v>48</v>
      </c>
      <c r="D151">
        <v>0.38596491228070201</v>
      </c>
      <c r="E151">
        <v>0.5</v>
      </c>
      <c r="F151">
        <v>1</v>
      </c>
      <c r="I151" t="s">
        <v>60</v>
      </c>
      <c r="J151">
        <v>0.38596491228070201</v>
      </c>
      <c r="K151">
        <v>0.5</v>
      </c>
      <c r="L151">
        <v>1</v>
      </c>
      <c r="O151" t="s">
        <v>56</v>
      </c>
      <c r="P151">
        <v>0.54032258064516103</v>
      </c>
      <c r="Q151">
        <v>1</v>
      </c>
    </row>
    <row r="152" spans="2:17" ht="15" customHeight="1" x14ac:dyDescent="0.2">
      <c r="B152" t="s">
        <v>1008</v>
      </c>
      <c r="C152" t="s">
        <v>45</v>
      </c>
      <c r="D152">
        <v>0.59836065573770503</v>
      </c>
      <c r="E152">
        <v>0.62903225806451601</v>
      </c>
      <c r="F152">
        <v>1</v>
      </c>
      <c r="H152" t="s">
        <v>1008</v>
      </c>
      <c r="I152" t="s">
        <v>41</v>
      </c>
      <c r="J152">
        <v>0.59836065573770503</v>
      </c>
      <c r="K152">
        <v>0.62903225806451601</v>
      </c>
      <c r="L152">
        <v>1</v>
      </c>
      <c r="N152" t="s">
        <v>1083</v>
      </c>
      <c r="O152" t="s">
        <v>57</v>
      </c>
      <c r="P152">
        <v>0.62903225806451601</v>
      </c>
      <c r="Q152">
        <v>1</v>
      </c>
    </row>
    <row r="153" spans="2:17" ht="15" customHeight="1" x14ac:dyDescent="0.2">
      <c r="C153" t="s">
        <v>50</v>
      </c>
      <c r="D153">
        <v>0.59375</v>
      </c>
      <c r="E153">
        <v>0.453703703703704</v>
      </c>
      <c r="F153">
        <v>1</v>
      </c>
      <c r="I153" t="s">
        <v>42</v>
      </c>
      <c r="J153">
        <v>0.59375</v>
      </c>
      <c r="K153">
        <v>0.453703703703704</v>
      </c>
      <c r="L153">
        <v>1</v>
      </c>
      <c r="O153" t="s">
        <v>46</v>
      </c>
      <c r="P153">
        <v>0.453703703703704</v>
      </c>
      <c r="Q153">
        <v>1</v>
      </c>
    </row>
    <row r="154" spans="2:17" ht="15" customHeight="1" x14ac:dyDescent="0.2">
      <c r="B154" t="s">
        <v>1010</v>
      </c>
      <c r="C154" t="s">
        <v>58</v>
      </c>
      <c r="D154">
        <v>0.5</v>
      </c>
      <c r="E154">
        <v>0.42727272727272703</v>
      </c>
      <c r="F154">
        <v>1</v>
      </c>
      <c r="H154" t="s">
        <v>1010</v>
      </c>
      <c r="I154" t="s">
        <v>48</v>
      </c>
      <c r="J154">
        <v>0.5</v>
      </c>
      <c r="K154">
        <v>0.42727272727272703</v>
      </c>
      <c r="L154">
        <v>1</v>
      </c>
      <c r="N154" t="s">
        <v>1084</v>
      </c>
      <c r="O154" t="s">
        <v>63</v>
      </c>
      <c r="P154">
        <v>0.38596491228070201</v>
      </c>
      <c r="Q154">
        <v>1</v>
      </c>
    </row>
    <row r="155" spans="2:17" ht="15" customHeight="1" x14ac:dyDescent="0.2">
      <c r="C155" t="s">
        <v>43</v>
      </c>
      <c r="D155">
        <v>0.6875</v>
      </c>
      <c r="E155">
        <v>0.54032258064516103</v>
      </c>
      <c r="F155">
        <v>1</v>
      </c>
      <c r="I155" t="s">
        <v>651</v>
      </c>
      <c r="J155">
        <v>0.6875</v>
      </c>
      <c r="K155">
        <v>0.54032258064516103</v>
      </c>
      <c r="L155">
        <v>1</v>
      </c>
      <c r="O155" t="s">
        <v>54</v>
      </c>
      <c r="P155">
        <v>0.46296296296296302</v>
      </c>
      <c r="Q155">
        <v>1</v>
      </c>
    </row>
    <row r="156" spans="2:17" ht="15" customHeight="1" x14ac:dyDescent="0.2">
      <c r="B156" t="s">
        <v>1012</v>
      </c>
      <c r="C156" t="s">
        <v>44</v>
      </c>
      <c r="D156">
        <v>0.5</v>
      </c>
      <c r="E156">
        <v>0.54411764705882404</v>
      </c>
      <c r="F156">
        <v>1</v>
      </c>
      <c r="H156" t="s">
        <v>1012</v>
      </c>
      <c r="I156" t="s">
        <v>59</v>
      </c>
      <c r="J156">
        <v>0.41935483870967699</v>
      </c>
      <c r="K156">
        <v>0.50980392156862697</v>
      </c>
      <c r="L156">
        <v>1</v>
      </c>
      <c r="N156" t="s">
        <v>1085</v>
      </c>
      <c r="O156" t="s">
        <v>50</v>
      </c>
      <c r="P156">
        <v>0.54032258064516103</v>
      </c>
      <c r="Q156">
        <v>1</v>
      </c>
    </row>
    <row r="157" spans="2:17" ht="15" customHeight="1" x14ac:dyDescent="0.2">
      <c r="C157" t="s">
        <v>61</v>
      </c>
      <c r="D157">
        <v>0.41935483870967699</v>
      </c>
      <c r="E157">
        <v>0.50980392156862697</v>
      </c>
      <c r="F157">
        <v>1</v>
      </c>
      <c r="I157" t="s">
        <v>60</v>
      </c>
      <c r="J157">
        <v>0.5</v>
      </c>
      <c r="K157">
        <v>0.54411764705882404</v>
      </c>
      <c r="L157">
        <v>1</v>
      </c>
      <c r="O157" t="s">
        <v>48</v>
      </c>
      <c r="P157">
        <v>0.59836065573770503</v>
      </c>
      <c r="Q157">
        <v>1</v>
      </c>
    </row>
    <row r="158" spans="2:17" ht="15" customHeight="1" x14ac:dyDescent="0.2">
      <c r="B158" t="s">
        <v>1014</v>
      </c>
      <c r="C158" t="s">
        <v>52</v>
      </c>
      <c r="D158">
        <v>0.59090909090909105</v>
      </c>
      <c r="F158">
        <v>1</v>
      </c>
      <c r="H158" t="s">
        <v>1014</v>
      </c>
      <c r="I158" t="s">
        <v>40</v>
      </c>
      <c r="J158">
        <v>0.59090909090909105</v>
      </c>
      <c r="K158">
        <v>0.5</v>
      </c>
      <c r="L158">
        <v>1</v>
      </c>
      <c r="N158" t="s">
        <v>1086</v>
      </c>
      <c r="O158" t="s">
        <v>42</v>
      </c>
      <c r="P158">
        <v>0.50980392156862697</v>
      </c>
      <c r="Q158">
        <v>1</v>
      </c>
    </row>
    <row r="159" spans="2:17" ht="15" customHeight="1" x14ac:dyDescent="0.2">
      <c r="C159" t="s">
        <v>53</v>
      </c>
      <c r="D159">
        <v>0.33333333333333298</v>
      </c>
      <c r="E159">
        <v>0.55645161290322598</v>
      </c>
      <c r="F159">
        <v>1</v>
      </c>
      <c r="I159" t="s">
        <v>62</v>
      </c>
      <c r="J159">
        <v>0.33333333333333298</v>
      </c>
      <c r="K159">
        <v>0.55645161290322598</v>
      </c>
      <c r="L159">
        <v>1</v>
      </c>
      <c r="O159" t="s">
        <v>60</v>
      </c>
      <c r="P159">
        <v>0.62903225806451601</v>
      </c>
      <c r="Q159">
        <v>1</v>
      </c>
    </row>
    <row r="160" spans="2:17" ht="15" customHeight="1" x14ac:dyDescent="0.2">
      <c r="B160" t="s">
        <v>1016</v>
      </c>
      <c r="C160" t="s">
        <v>57</v>
      </c>
      <c r="D160">
        <v>0.38596491228070201</v>
      </c>
      <c r="E160">
        <v>0.37962962962962998</v>
      </c>
      <c r="F160">
        <v>1</v>
      </c>
      <c r="H160" t="s">
        <v>1016</v>
      </c>
      <c r="I160" t="s">
        <v>46</v>
      </c>
      <c r="J160">
        <v>0.44827586206896602</v>
      </c>
      <c r="K160">
        <v>0.429824561403509</v>
      </c>
      <c r="L160">
        <v>1</v>
      </c>
      <c r="N160" t="s">
        <v>1087</v>
      </c>
      <c r="O160" t="s">
        <v>45</v>
      </c>
      <c r="P160">
        <v>0.5</v>
      </c>
      <c r="Q160">
        <v>1</v>
      </c>
    </row>
    <row r="161" spans="2:17" ht="15" customHeight="1" x14ac:dyDescent="0.2">
      <c r="C161" t="s">
        <v>54</v>
      </c>
      <c r="D161">
        <v>0.44827586206896602</v>
      </c>
      <c r="E161">
        <v>0.429824561403509</v>
      </c>
      <c r="F161">
        <v>1</v>
      </c>
      <c r="I161" t="s">
        <v>55</v>
      </c>
      <c r="J161">
        <v>0.38596491228070201</v>
      </c>
      <c r="K161">
        <v>0.37962962962962998</v>
      </c>
      <c r="L161">
        <v>1</v>
      </c>
      <c r="O161" t="s">
        <v>61</v>
      </c>
      <c r="P161">
        <v>0.59375</v>
      </c>
      <c r="Q161">
        <v>1</v>
      </c>
    </row>
    <row r="162" spans="2:17" ht="15" customHeight="1" x14ac:dyDescent="0.2">
      <c r="B162" t="s">
        <v>1088</v>
      </c>
      <c r="C162" t="s">
        <v>55</v>
      </c>
      <c r="D162">
        <v>0.59090909090909105</v>
      </c>
      <c r="F162">
        <v>1</v>
      </c>
      <c r="H162" t="s">
        <v>1088</v>
      </c>
      <c r="I162" t="s">
        <v>41</v>
      </c>
      <c r="J162">
        <v>0.429824561403509</v>
      </c>
      <c r="K162">
        <v>0.54032258064516103</v>
      </c>
      <c r="L162">
        <v>1</v>
      </c>
      <c r="N162" t="s">
        <v>1089</v>
      </c>
      <c r="O162" t="s">
        <v>55</v>
      </c>
      <c r="P162">
        <v>0.33333333333333298</v>
      </c>
      <c r="Q162">
        <v>1</v>
      </c>
    </row>
    <row r="163" spans="2:17" ht="15" customHeight="1" x14ac:dyDescent="0.2">
      <c r="C163" t="s">
        <v>53</v>
      </c>
      <c r="D163">
        <v>0.429824561403509</v>
      </c>
      <c r="E163">
        <v>0.54032258064516103</v>
      </c>
      <c r="F163">
        <v>1</v>
      </c>
      <c r="I163" t="s">
        <v>48</v>
      </c>
      <c r="J163">
        <v>0.59090909090909105</v>
      </c>
      <c r="K163">
        <v>0.453703703703704</v>
      </c>
      <c r="L163">
        <v>1</v>
      </c>
      <c r="O163" t="s">
        <v>52</v>
      </c>
      <c r="P163">
        <v>0.429824561403509</v>
      </c>
      <c r="Q163">
        <v>1</v>
      </c>
    </row>
    <row r="164" spans="2:17" ht="15" customHeight="1" x14ac:dyDescent="0.2">
      <c r="B164" t="s">
        <v>1090</v>
      </c>
      <c r="C164" t="s">
        <v>58</v>
      </c>
      <c r="D164">
        <v>0.54411764705882404</v>
      </c>
      <c r="E164">
        <v>0.5</v>
      </c>
      <c r="F164">
        <v>1</v>
      </c>
      <c r="H164" t="s">
        <v>1090</v>
      </c>
      <c r="I164" t="s">
        <v>62</v>
      </c>
      <c r="J164">
        <v>0.6875</v>
      </c>
      <c r="K164">
        <v>0.50980392156862697</v>
      </c>
      <c r="L164">
        <v>1</v>
      </c>
      <c r="N164" t="s">
        <v>1091</v>
      </c>
      <c r="O164" t="s">
        <v>40</v>
      </c>
      <c r="P164">
        <v>0.42727272727272703</v>
      </c>
      <c r="Q164">
        <v>1</v>
      </c>
    </row>
    <row r="165" spans="2:17" ht="15" customHeight="1" x14ac:dyDescent="0.2">
      <c r="C165" t="s">
        <v>59</v>
      </c>
      <c r="D165">
        <v>0.6875</v>
      </c>
      <c r="E165">
        <v>0.50980392156862697</v>
      </c>
      <c r="F165">
        <v>1</v>
      </c>
      <c r="I165" t="s">
        <v>60</v>
      </c>
      <c r="J165">
        <v>0.54411764705882404</v>
      </c>
      <c r="K165">
        <v>0.5</v>
      </c>
      <c r="L165">
        <v>1</v>
      </c>
      <c r="O165" t="s">
        <v>651</v>
      </c>
      <c r="P165">
        <v>0.55645161290322598</v>
      </c>
      <c r="Q165">
        <v>1</v>
      </c>
    </row>
    <row r="166" spans="2:17" ht="15" customHeight="1" x14ac:dyDescent="0.2">
      <c r="B166" t="s">
        <v>1092</v>
      </c>
      <c r="C166" t="s">
        <v>57</v>
      </c>
      <c r="D166">
        <v>0.37962962962962998</v>
      </c>
      <c r="E166">
        <v>0.5</v>
      </c>
      <c r="F166">
        <v>1</v>
      </c>
      <c r="H166" t="s">
        <v>1092</v>
      </c>
      <c r="I166" t="s">
        <v>52</v>
      </c>
      <c r="J166">
        <v>0.37962962962962998</v>
      </c>
      <c r="K166">
        <v>0.5</v>
      </c>
      <c r="L166">
        <v>1</v>
      </c>
      <c r="N166" t="s">
        <v>1093</v>
      </c>
      <c r="O166" t="s">
        <v>44</v>
      </c>
      <c r="P166">
        <v>0.5</v>
      </c>
      <c r="Q166">
        <v>1</v>
      </c>
    </row>
    <row r="167" spans="2:17" ht="15" customHeight="1" x14ac:dyDescent="0.2">
      <c r="C167" t="s">
        <v>46</v>
      </c>
      <c r="D167">
        <v>0.44827586206896602</v>
      </c>
      <c r="E167">
        <v>0.33333333333333298</v>
      </c>
      <c r="F167">
        <v>1</v>
      </c>
      <c r="I167" t="s">
        <v>43</v>
      </c>
      <c r="J167">
        <v>0.44827586206896602</v>
      </c>
      <c r="K167">
        <v>0.33333333333333298</v>
      </c>
      <c r="L167">
        <v>1</v>
      </c>
      <c r="N167" t="s">
        <v>1094</v>
      </c>
      <c r="O167" t="s">
        <v>65</v>
      </c>
      <c r="P167">
        <v>0.63888888888888895</v>
      </c>
      <c r="Q167">
        <v>1</v>
      </c>
    </row>
    <row r="168" spans="2:17" ht="15" customHeight="1" x14ac:dyDescent="0.2">
      <c r="B168" t="s">
        <v>1095</v>
      </c>
      <c r="C168" t="s">
        <v>45</v>
      </c>
      <c r="D168">
        <v>0.55645161290322598</v>
      </c>
      <c r="E168">
        <v>0.62903225806451601</v>
      </c>
      <c r="F168">
        <v>1</v>
      </c>
      <c r="H168" t="s">
        <v>1095</v>
      </c>
      <c r="I168" t="s">
        <v>54</v>
      </c>
      <c r="J168">
        <v>0.55645161290322598</v>
      </c>
      <c r="K168">
        <v>0.62903225806451601</v>
      </c>
      <c r="L168">
        <v>1</v>
      </c>
      <c r="N168" t="s">
        <v>1096</v>
      </c>
      <c r="O168" t="s">
        <v>1097</v>
      </c>
      <c r="Q168">
        <v>2</v>
      </c>
    </row>
    <row r="169" spans="2:17" ht="15" customHeight="1" x14ac:dyDescent="0.2">
      <c r="C169" t="s">
        <v>40</v>
      </c>
      <c r="D169">
        <v>0.59375</v>
      </c>
      <c r="E169">
        <v>0.38596491228070201</v>
      </c>
      <c r="F169">
        <v>1</v>
      </c>
      <c r="I169" t="s">
        <v>42</v>
      </c>
      <c r="J169">
        <v>0.59375</v>
      </c>
      <c r="K169">
        <v>0.38596491228070201</v>
      </c>
      <c r="L169">
        <v>1</v>
      </c>
      <c r="N169" t="s">
        <v>1098</v>
      </c>
      <c r="O169" t="s">
        <v>1097</v>
      </c>
      <c r="Q169">
        <v>2</v>
      </c>
    </row>
    <row r="170" spans="2:17" ht="15" customHeight="1" x14ac:dyDescent="0.2">
      <c r="B170" t="s">
        <v>1099</v>
      </c>
      <c r="C170" t="s">
        <v>50</v>
      </c>
      <c r="D170">
        <v>0.5</v>
      </c>
      <c r="E170">
        <v>0.42727272727272703</v>
      </c>
      <c r="F170">
        <v>1</v>
      </c>
      <c r="H170" t="s">
        <v>1099</v>
      </c>
      <c r="I170" t="s">
        <v>44</v>
      </c>
      <c r="J170">
        <v>0.5</v>
      </c>
      <c r="K170">
        <v>0.42727272727272703</v>
      </c>
      <c r="L170">
        <v>1</v>
      </c>
      <c r="N170" t="s">
        <v>1100</v>
      </c>
      <c r="O170" t="s">
        <v>1097</v>
      </c>
      <c r="Q170">
        <v>1</v>
      </c>
    </row>
    <row r="171" spans="2:17" ht="15" customHeight="1" x14ac:dyDescent="0.2">
      <c r="C171" t="s">
        <v>61</v>
      </c>
      <c r="D171">
        <v>0.59836065573770503</v>
      </c>
      <c r="E171">
        <v>0.41935483870967699</v>
      </c>
      <c r="F171">
        <v>1</v>
      </c>
      <c r="I171" t="s">
        <v>651</v>
      </c>
      <c r="J171">
        <v>0.59836065573770503</v>
      </c>
      <c r="K171">
        <v>0.41935483870967699</v>
      </c>
      <c r="L171">
        <v>1</v>
      </c>
      <c r="P171" t="s">
        <v>1097</v>
      </c>
      <c r="Q171">
        <v>1</v>
      </c>
    </row>
    <row r="172" spans="2:17" ht="15" customHeight="1" x14ac:dyDescent="0.2">
      <c r="B172" t="s">
        <v>1101</v>
      </c>
      <c r="C172" t="s">
        <v>55</v>
      </c>
      <c r="D172">
        <v>0.59090909090909105</v>
      </c>
      <c r="F172">
        <v>1</v>
      </c>
      <c r="H172" t="s">
        <v>1101</v>
      </c>
      <c r="I172" t="s">
        <v>41</v>
      </c>
      <c r="J172">
        <v>0.429824561403509</v>
      </c>
      <c r="K172">
        <v>0.54032258064516103</v>
      </c>
      <c r="L172">
        <v>1</v>
      </c>
      <c r="N172" t="s">
        <v>1102</v>
      </c>
      <c r="O172" t="s">
        <v>62</v>
      </c>
      <c r="P172">
        <v>0.41935483870967699</v>
      </c>
      <c r="Q172">
        <v>1</v>
      </c>
    </row>
    <row r="173" spans="2:17" ht="15" customHeight="1" x14ac:dyDescent="0.2">
      <c r="C173" t="s">
        <v>53</v>
      </c>
      <c r="D173">
        <v>0.429824561403509</v>
      </c>
      <c r="E173">
        <v>0.54032258064516103</v>
      </c>
      <c r="F173">
        <v>1</v>
      </c>
      <c r="I173" t="s">
        <v>48</v>
      </c>
      <c r="J173">
        <v>0.59090909090909105</v>
      </c>
      <c r="K173">
        <v>0.453703703703704</v>
      </c>
      <c r="L173">
        <v>1</v>
      </c>
      <c r="N173" t="s">
        <v>1103</v>
      </c>
      <c r="O173" t="s">
        <v>66</v>
      </c>
      <c r="P173">
        <v>0.33333333333333298</v>
      </c>
      <c r="Q173">
        <v>1</v>
      </c>
    </row>
    <row r="174" spans="2:17" ht="15" customHeight="1" x14ac:dyDescent="0.2">
      <c r="B174" t="s">
        <v>1104</v>
      </c>
      <c r="C174" t="s">
        <v>58</v>
      </c>
      <c r="D174">
        <v>0.54411764705882404</v>
      </c>
      <c r="E174">
        <v>0.5</v>
      </c>
      <c r="F174">
        <v>1</v>
      </c>
      <c r="H174" t="s">
        <v>1104</v>
      </c>
      <c r="I174" t="s">
        <v>62</v>
      </c>
      <c r="J174">
        <v>0.6875</v>
      </c>
      <c r="K174">
        <v>0.50980392156862697</v>
      </c>
      <c r="L174">
        <v>1</v>
      </c>
      <c r="N174" t="s">
        <v>1105</v>
      </c>
      <c r="O174" t="s">
        <v>42</v>
      </c>
      <c r="P174">
        <v>0.46296296296296302</v>
      </c>
      <c r="Q174">
        <v>1</v>
      </c>
    </row>
    <row r="175" spans="2:17" ht="15" customHeight="1" x14ac:dyDescent="0.2">
      <c r="C175" t="s">
        <v>59</v>
      </c>
      <c r="D175">
        <v>0.6875</v>
      </c>
      <c r="E175">
        <v>0.50980392156862697</v>
      </c>
      <c r="F175">
        <v>1</v>
      </c>
      <c r="I175" t="s">
        <v>60</v>
      </c>
      <c r="J175">
        <v>0.54411764705882404</v>
      </c>
      <c r="K175">
        <v>0.5</v>
      </c>
      <c r="L175">
        <v>1</v>
      </c>
      <c r="O175" t="s">
        <v>60</v>
      </c>
      <c r="P175">
        <v>0.59375</v>
      </c>
      <c r="Q175">
        <v>1</v>
      </c>
    </row>
    <row r="176" spans="2:17" ht="15" customHeight="1" x14ac:dyDescent="0.2">
      <c r="B176" t="s">
        <v>1106</v>
      </c>
      <c r="C176" t="s">
        <v>40</v>
      </c>
      <c r="D176">
        <v>0.453703703703704</v>
      </c>
      <c r="E176">
        <v>0.54032258064516103</v>
      </c>
      <c r="F176">
        <v>1</v>
      </c>
      <c r="H176" t="s">
        <v>1106</v>
      </c>
      <c r="I176" t="s">
        <v>47</v>
      </c>
      <c r="J176">
        <v>0.453703703703704</v>
      </c>
      <c r="K176">
        <v>0.54032258064516103</v>
      </c>
      <c r="L176">
        <v>1</v>
      </c>
      <c r="N176" t="s">
        <v>1107</v>
      </c>
      <c r="O176" t="s">
        <v>54</v>
      </c>
      <c r="P176">
        <v>0.33333333333333298</v>
      </c>
      <c r="Q176">
        <v>1</v>
      </c>
    </row>
    <row r="177" spans="2:17" ht="15" customHeight="1" x14ac:dyDescent="0.2">
      <c r="C177" t="s">
        <v>41</v>
      </c>
      <c r="D177">
        <v>0.55645161290322598</v>
      </c>
      <c r="E177">
        <v>0.35714285714285698</v>
      </c>
      <c r="F177">
        <v>1</v>
      </c>
      <c r="I177" t="s">
        <v>48</v>
      </c>
      <c r="J177">
        <v>0.55645161290322598</v>
      </c>
      <c r="K177">
        <v>0.35714285714285698</v>
      </c>
      <c r="L177">
        <v>1</v>
      </c>
      <c r="O177" t="s">
        <v>64</v>
      </c>
      <c r="P177">
        <v>0.453703703703704</v>
      </c>
      <c r="Q177">
        <v>1</v>
      </c>
    </row>
    <row r="178" spans="2:17" ht="15" customHeight="1" x14ac:dyDescent="0.2">
      <c r="B178" t="s">
        <v>1108</v>
      </c>
      <c r="C178" t="s">
        <v>40</v>
      </c>
      <c r="D178">
        <v>0.3</v>
      </c>
      <c r="E178">
        <v>0.5</v>
      </c>
      <c r="F178">
        <v>1</v>
      </c>
      <c r="H178" t="s">
        <v>1108</v>
      </c>
      <c r="I178" t="s">
        <v>47</v>
      </c>
      <c r="J178">
        <v>0.3</v>
      </c>
      <c r="K178">
        <v>0.5</v>
      </c>
      <c r="L178">
        <v>1</v>
      </c>
      <c r="N178" t="s">
        <v>1109</v>
      </c>
      <c r="O178" t="s">
        <v>58</v>
      </c>
      <c r="P178">
        <v>0.41935483870967699</v>
      </c>
      <c r="Q178">
        <v>1</v>
      </c>
    </row>
    <row r="179" spans="2:17" ht="15" customHeight="1" x14ac:dyDescent="0.2">
      <c r="C179" t="s">
        <v>51</v>
      </c>
      <c r="D179">
        <v>0.55645161290322598</v>
      </c>
      <c r="E179">
        <v>0.35714285714285698</v>
      </c>
      <c r="F179">
        <v>1</v>
      </c>
      <c r="I179" t="s">
        <v>43</v>
      </c>
      <c r="J179">
        <v>0.55645161290322598</v>
      </c>
      <c r="K179">
        <v>0.35714285714285698</v>
      </c>
      <c r="L179">
        <v>1</v>
      </c>
      <c r="O179" t="s">
        <v>61</v>
      </c>
      <c r="P179">
        <v>0.63888888888888895</v>
      </c>
      <c r="Q179">
        <v>1</v>
      </c>
    </row>
    <row r="180" spans="2:17" ht="15" customHeight="1" x14ac:dyDescent="0.2">
      <c r="B180" t="s">
        <v>1110</v>
      </c>
      <c r="C180" t="s">
        <v>50</v>
      </c>
      <c r="D180">
        <v>0.453703703703704</v>
      </c>
      <c r="E180">
        <v>0.54032258064516103</v>
      </c>
      <c r="F180">
        <v>1</v>
      </c>
      <c r="H180" t="s">
        <v>1110</v>
      </c>
      <c r="I180" t="s">
        <v>42</v>
      </c>
      <c r="J180">
        <v>0.453703703703704</v>
      </c>
      <c r="K180">
        <v>0.54032258064516103</v>
      </c>
      <c r="L180">
        <v>1</v>
      </c>
      <c r="N180" t="s">
        <v>1111</v>
      </c>
      <c r="O180" t="s">
        <v>52</v>
      </c>
      <c r="P180">
        <v>0.429824561403509</v>
      </c>
      <c r="Q180">
        <v>1</v>
      </c>
    </row>
    <row r="181" spans="2:17" ht="15" customHeight="1" x14ac:dyDescent="0.2">
      <c r="C181" t="s">
        <v>41</v>
      </c>
      <c r="D181">
        <v>0.59836065573770503</v>
      </c>
      <c r="E181">
        <v>0.62903225806451601</v>
      </c>
      <c r="F181">
        <v>1</v>
      </c>
      <c r="I181" t="s">
        <v>48</v>
      </c>
      <c r="J181">
        <v>0.59836065573770503</v>
      </c>
      <c r="K181">
        <v>0.62903225806451601</v>
      </c>
      <c r="L181">
        <v>1</v>
      </c>
      <c r="O181" t="s">
        <v>62</v>
      </c>
      <c r="P181">
        <v>0.54032258064516103</v>
      </c>
      <c r="Q181">
        <v>1</v>
      </c>
    </row>
    <row r="182" spans="2:17" ht="15" customHeight="1" x14ac:dyDescent="0.2">
      <c r="B182" t="s">
        <v>1112</v>
      </c>
      <c r="C182" t="s">
        <v>45</v>
      </c>
      <c r="D182">
        <v>0.41935483870967699</v>
      </c>
      <c r="E182">
        <v>0.37962962962962998</v>
      </c>
      <c r="F182">
        <v>1</v>
      </c>
      <c r="H182" t="s">
        <v>1112</v>
      </c>
      <c r="I182" t="s">
        <v>46</v>
      </c>
      <c r="J182">
        <v>0.59375</v>
      </c>
      <c r="K182">
        <v>0.42727272727272703</v>
      </c>
      <c r="L182">
        <v>1</v>
      </c>
      <c r="N182" t="s">
        <v>1113</v>
      </c>
      <c r="O182" t="s">
        <v>53</v>
      </c>
      <c r="P182">
        <v>0.55645161290322598</v>
      </c>
      <c r="Q182">
        <v>1</v>
      </c>
    </row>
    <row r="183" spans="2:17" ht="15" customHeight="1" x14ac:dyDescent="0.2">
      <c r="C183" t="s">
        <v>44</v>
      </c>
      <c r="D183">
        <v>0.59375</v>
      </c>
      <c r="E183">
        <v>0.42727272727272703</v>
      </c>
      <c r="F183">
        <v>1</v>
      </c>
      <c r="I183" t="s">
        <v>651</v>
      </c>
      <c r="J183">
        <v>0.41935483870967699</v>
      </c>
      <c r="K183">
        <v>0.37962962962962998</v>
      </c>
      <c r="L183">
        <v>1</v>
      </c>
      <c r="O183" t="s">
        <v>46</v>
      </c>
      <c r="P183">
        <v>0.59836065573770503</v>
      </c>
      <c r="Q183">
        <v>1</v>
      </c>
    </row>
    <row r="184" spans="2:17" ht="15" customHeight="1" x14ac:dyDescent="0.2">
      <c r="B184" t="s">
        <v>1114</v>
      </c>
      <c r="C184" t="s">
        <v>50</v>
      </c>
      <c r="D184">
        <v>0.3</v>
      </c>
      <c r="E184">
        <v>0.5</v>
      </c>
      <c r="F184">
        <v>1</v>
      </c>
      <c r="H184" t="s">
        <v>1114</v>
      </c>
      <c r="I184" t="s">
        <v>42</v>
      </c>
      <c r="J184">
        <v>0.3</v>
      </c>
      <c r="K184">
        <v>0.5</v>
      </c>
      <c r="L184">
        <v>1</v>
      </c>
      <c r="N184" t="s">
        <v>1115</v>
      </c>
      <c r="O184" t="s">
        <v>45</v>
      </c>
      <c r="P184">
        <v>0.50980392156862697</v>
      </c>
      <c r="Q184">
        <v>1</v>
      </c>
    </row>
    <row r="185" spans="2:17" ht="15" customHeight="1" x14ac:dyDescent="0.2">
      <c r="C185" t="s">
        <v>51</v>
      </c>
      <c r="D185">
        <v>0.59836065573770503</v>
      </c>
      <c r="E185">
        <v>0.62903225806451601</v>
      </c>
      <c r="F185">
        <v>1</v>
      </c>
      <c r="I185" t="s">
        <v>43</v>
      </c>
      <c r="J185">
        <v>0.59836065573770503</v>
      </c>
      <c r="K185">
        <v>0.62903225806451601</v>
      </c>
      <c r="L185">
        <v>1</v>
      </c>
      <c r="O185" t="s">
        <v>63</v>
      </c>
      <c r="P185">
        <v>0.62903225806451601</v>
      </c>
      <c r="Q185">
        <v>1</v>
      </c>
    </row>
    <row r="186" spans="2:17" ht="15" customHeight="1" x14ac:dyDescent="0.2">
      <c r="B186" t="s">
        <v>1116</v>
      </c>
      <c r="C186" t="s">
        <v>45</v>
      </c>
      <c r="D186">
        <v>0.41935483870967699</v>
      </c>
      <c r="E186">
        <v>0.37962962962962998</v>
      </c>
      <c r="F186">
        <v>1</v>
      </c>
      <c r="H186" t="s">
        <v>1116</v>
      </c>
      <c r="I186" t="s">
        <v>46</v>
      </c>
      <c r="J186">
        <v>0.59375</v>
      </c>
      <c r="K186">
        <v>0.42727272727272703</v>
      </c>
      <c r="L186">
        <v>1</v>
      </c>
      <c r="N186" t="s">
        <v>1117</v>
      </c>
      <c r="O186" t="s">
        <v>41</v>
      </c>
      <c r="P186">
        <v>0.67500000000000004</v>
      </c>
      <c r="Q186">
        <v>1</v>
      </c>
    </row>
    <row r="187" spans="2:17" ht="15" customHeight="1" x14ac:dyDescent="0.2">
      <c r="C187" t="s">
        <v>44</v>
      </c>
      <c r="D187">
        <v>0.59375</v>
      </c>
      <c r="E187">
        <v>0.42727272727272703</v>
      </c>
      <c r="F187">
        <v>1</v>
      </c>
      <c r="I187" t="s">
        <v>651</v>
      </c>
      <c r="J187">
        <v>0.41935483870967699</v>
      </c>
      <c r="K187">
        <v>0.37962962962962998</v>
      </c>
      <c r="L187">
        <v>1</v>
      </c>
      <c r="O187" t="s">
        <v>69</v>
      </c>
      <c r="P187">
        <v>0.38596491228070201</v>
      </c>
      <c r="Q187">
        <v>1</v>
      </c>
    </row>
    <row r="188" spans="2:17" ht="15" customHeight="1" x14ac:dyDescent="0.2">
      <c r="B188" t="s">
        <v>1118</v>
      </c>
      <c r="C188" t="s">
        <v>40</v>
      </c>
      <c r="D188">
        <v>0.453703703703704</v>
      </c>
      <c r="E188">
        <v>0.54032258064516103</v>
      </c>
      <c r="F188">
        <v>1</v>
      </c>
      <c r="H188" t="s">
        <v>1118</v>
      </c>
      <c r="I188" t="s">
        <v>47</v>
      </c>
      <c r="J188">
        <v>0.453703703703704</v>
      </c>
      <c r="K188">
        <v>0.54032258064516103</v>
      </c>
      <c r="L188">
        <v>1</v>
      </c>
      <c r="N188" t="s">
        <v>1119</v>
      </c>
      <c r="O188" t="s">
        <v>44</v>
      </c>
      <c r="P188">
        <v>0.6875</v>
      </c>
      <c r="Q188">
        <v>1</v>
      </c>
    </row>
    <row r="189" spans="2:17" ht="15" customHeight="1" x14ac:dyDescent="0.2">
      <c r="C189" t="s">
        <v>41</v>
      </c>
      <c r="D189">
        <v>0.55645161290322598</v>
      </c>
      <c r="E189">
        <v>0.35714285714285698</v>
      </c>
      <c r="F189">
        <v>1</v>
      </c>
      <c r="I189" t="s">
        <v>48</v>
      </c>
      <c r="J189">
        <v>0.55645161290322598</v>
      </c>
      <c r="K189">
        <v>0.35714285714285698</v>
      </c>
      <c r="L189">
        <v>1</v>
      </c>
      <c r="O189" t="s">
        <v>66</v>
      </c>
      <c r="P189">
        <v>0.5</v>
      </c>
      <c r="Q189">
        <v>1</v>
      </c>
    </row>
    <row r="190" spans="2:17" ht="15" customHeight="1" x14ac:dyDescent="0.2">
      <c r="B190" t="s">
        <v>1120</v>
      </c>
      <c r="C190" t="s">
        <v>50</v>
      </c>
      <c r="D190">
        <v>0.3</v>
      </c>
      <c r="E190">
        <v>0.5</v>
      </c>
      <c r="F190">
        <v>1</v>
      </c>
      <c r="H190" t="s">
        <v>1120</v>
      </c>
      <c r="I190" t="s">
        <v>42</v>
      </c>
      <c r="J190">
        <v>0.3</v>
      </c>
      <c r="K190">
        <v>0.5</v>
      </c>
      <c r="L190">
        <v>1</v>
      </c>
      <c r="N190" t="s">
        <v>1121</v>
      </c>
      <c r="O190" t="s">
        <v>55</v>
      </c>
      <c r="P190">
        <v>0.33333333333333298</v>
      </c>
      <c r="Q190">
        <v>1</v>
      </c>
    </row>
    <row r="191" spans="2:17" ht="15" customHeight="1" x14ac:dyDescent="0.2">
      <c r="C191" t="s">
        <v>51</v>
      </c>
      <c r="D191">
        <v>0.59836065573770503</v>
      </c>
      <c r="E191">
        <v>0.62903225806451601</v>
      </c>
      <c r="F191">
        <v>1</v>
      </c>
      <c r="I191" t="s">
        <v>43</v>
      </c>
      <c r="J191">
        <v>0.59836065573770503</v>
      </c>
      <c r="K191">
        <v>0.62903225806451601</v>
      </c>
      <c r="L191">
        <v>1</v>
      </c>
      <c r="O191" t="s">
        <v>48</v>
      </c>
      <c r="P191">
        <v>0.5</v>
      </c>
      <c r="Q191">
        <v>1</v>
      </c>
    </row>
    <row r="192" spans="2:17" ht="15" customHeight="1" x14ac:dyDescent="0.2">
      <c r="B192" t="s">
        <v>1122</v>
      </c>
      <c r="C192" t="s">
        <v>45</v>
      </c>
      <c r="D192">
        <v>0.41935483870967699</v>
      </c>
      <c r="E192">
        <v>0.37962962962962998</v>
      </c>
      <c r="F192">
        <v>1</v>
      </c>
      <c r="H192" t="s">
        <v>1122</v>
      </c>
      <c r="I192" t="s">
        <v>46</v>
      </c>
      <c r="J192">
        <v>0.59375</v>
      </c>
      <c r="K192">
        <v>0.42727272727272703</v>
      </c>
      <c r="L192">
        <v>1</v>
      </c>
      <c r="N192" t="s">
        <v>1123</v>
      </c>
      <c r="O192" t="s">
        <v>50</v>
      </c>
      <c r="P192">
        <v>0.37962962962962998</v>
      </c>
      <c r="Q192">
        <v>1</v>
      </c>
    </row>
    <row r="193" spans="2:17" ht="15" customHeight="1" x14ac:dyDescent="0.2">
      <c r="C193" t="s">
        <v>44</v>
      </c>
      <c r="D193">
        <v>0.59375</v>
      </c>
      <c r="E193">
        <v>0.42727272727272703</v>
      </c>
      <c r="F193">
        <v>1</v>
      </c>
      <c r="I193" t="s">
        <v>651</v>
      </c>
      <c r="J193">
        <v>0.41935483870967699</v>
      </c>
      <c r="K193">
        <v>0.37962962962962998</v>
      </c>
      <c r="L193">
        <v>1</v>
      </c>
      <c r="O193" t="s">
        <v>40</v>
      </c>
      <c r="P193">
        <v>0.59090909090909105</v>
      </c>
      <c r="Q193">
        <v>1</v>
      </c>
    </row>
    <row r="194" spans="2:17" ht="15" customHeight="1" x14ac:dyDescent="0.2">
      <c r="B194" t="s">
        <v>1124</v>
      </c>
      <c r="C194" t="s">
        <v>40</v>
      </c>
      <c r="D194">
        <v>0.3</v>
      </c>
      <c r="E194">
        <v>0.5</v>
      </c>
      <c r="F194">
        <v>1</v>
      </c>
      <c r="H194" t="s">
        <v>1124</v>
      </c>
      <c r="I194" t="s">
        <v>47</v>
      </c>
      <c r="J194">
        <v>0.3</v>
      </c>
      <c r="K194">
        <v>0.5</v>
      </c>
      <c r="L194">
        <v>1</v>
      </c>
      <c r="N194" t="s">
        <v>1125</v>
      </c>
      <c r="O194" t="s">
        <v>41</v>
      </c>
      <c r="P194">
        <v>0.6875</v>
      </c>
      <c r="Q194">
        <v>1</v>
      </c>
    </row>
    <row r="195" spans="2:17" ht="15" customHeight="1" x14ac:dyDescent="0.2">
      <c r="C195" t="s">
        <v>51</v>
      </c>
      <c r="D195">
        <v>0.55645161290322598</v>
      </c>
      <c r="E195">
        <v>0.35714285714285698</v>
      </c>
      <c r="F195">
        <v>1</v>
      </c>
      <c r="I195" t="s">
        <v>43</v>
      </c>
      <c r="J195">
        <v>0.55645161290322598</v>
      </c>
      <c r="K195">
        <v>0.35714285714285698</v>
      </c>
      <c r="L195">
        <v>1</v>
      </c>
      <c r="O195" t="s">
        <v>48</v>
      </c>
      <c r="P195">
        <v>0.5</v>
      </c>
      <c r="Q195">
        <v>1</v>
      </c>
    </row>
    <row r="196" spans="2:17" ht="15" customHeight="1" x14ac:dyDescent="0.2">
      <c r="B196" t="s">
        <v>1126</v>
      </c>
      <c r="C196" t="s">
        <v>50</v>
      </c>
      <c r="D196">
        <v>0.453703703703704</v>
      </c>
      <c r="E196">
        <v>0.54032258064516103</v>
      </c>
      <c r="F196">
        <v>1</v>
      </c>
      <c r="H196" t="s">
        <v>1126</v>
      </c>
      <c r="I196" t="s">
        <v>42</v>
      </c>
      <c r="J196">
        <v>0.453703703703704</v>
      </c>
      <c r="K196">
        <v>0.54032258064516103</v>
      </c>
      <c r="L196">
        <v>1</v>
      </c>
      <c r="N196" t="s">
        <v>1127</v>
      </c>
      <c r="O196" t="s">
        <v>40</v>
      </c>
      <c r="P196">
        <v>0.59836065573770503</v>
      </c>
      <c r="Q196">
        <v>1</v>
      </c>
    </row>
    <row r="197" spans="2:17" ht="15" customHeight="1" x14ac:dyDescent="0.2">
      <c r="C197" t="s">
        <v>41</v>
      </c>
      <c r="D197">
        <v>0.59836065573770503</v>
      </c>
      <c r="E197">
        <v>0.62903225806451601</v>
      </c>
      <c r="F197">
        <v>1</v>
      </c>
      <c r="I197" t="s">
        <v>48</v>
      </c>
      <c r="J197">
        <v>0.59836065573770503</v>
      </c>
      <c r="K197">
        <v>0.62903225806451601</v>
      </c>
      <c r="L197">
        <v>1</v>
      </c>
      <c r="O197" t="s">
        <v>42</v>
      </c>
      <c r="P197">
        <v>0.50980392156862697</v>
      </c>
      <c r="Q197">
        <v>1</v>
      </c>
    </row>
    <row r="198" spans="2:17" ht="15" customHeight="1" x14ac:dyDescent="0.2">
      <c r="B198" t="s">
        <v>1128</v>
      </c>
      <c r="C198" t="s">
        <v>45</v>
      </c>
      <c r="D198">
        <v>0.41935483870967699</v>
      </c>
      <c r="E198">
        <v>0.37962962962962998</v>
      </c>
      <c r="F198">
        <v>1</v>
      </c>
      <c r="H198" t="s">
        <v>1128</v>
      </c>
      <c r="I198" t="s">
        <v>46</v>
      </c>
      <c r="J198">
        <v>0.59375</v>
      </c>
      <c r="K198">
        <v>0.42727272727272703</v>
      </c>
      <c r="L198">
        <v>1</v>
      </c>
      <c r="N198" t="s">
        <v>1129</v>
      </c>
      <c r="O198" t="s">
        <v>52</v>
      </c>
      <c r="P198">
        <v>0.38596491228070201</v>
      </c>
      <c r="Q198">
        <v>1</v>
      </c>
    </row>
    <row r="199" spans="2:17" ht="15" customHeight="1" x14ac:dyDescent="0.2">
      <c r="C199" t="s">
        <v>44</v>
      </c>
      <c r="D199">
        <v>0.59375</v>
      </c>
      <c r="E199">
        <v>0.42727272727272703</v>
      </c>
      <c r="F199">
        <v>1</v>
      </c>
      <c r="I199" t="s">
        <v>651</v>
      </c>
      <c r="J199">
        <v>0.41935483870967699</v>
      </c>
      <c r="K199">
        <v>0.37962962962962998</v>
      </c>
      <c r="L199">
        <v>1</v>
      </c>
      <c r="O199" t="s">
        <v>62</v>
      </c>
      <c r="P199">
        <v>0.59090909090909105</v>
      </c>
      <c r="Q199">
        <v>1</v>
      </c>
    </row>
    <row r="200" spans="2:17" ht="15" customHeight="1" x14ac:dyDescent="0.2">
      <c r="B200" t="s">
        <v>1130</v>
      </c>
      <c r="C200" t="s">
        <v>45</v>
      </c>
      <c r="D200">
        <v>0.59836065573770503</v>
      </c>
      <c r="E200">
        <v>0.62903225806451601</v>
      </c>
      <c r="F200">
        <v>1</v>
      </c>
      <c r="H200" t="s">
        <v>1130</v>
      </c>
      <c r="I200" t="s">
        <v>41</v>
      </c>
      <c r="J200">
        <v>0.59836065573770503</v>
      </c>
      <c r="K200">
        <v>0.42727272727272703</v>
      </c>
      <c r="L200">
        <v>1</v>
      </c>
      <c r="N200" t="s">
        <v>1131</v>
      </c>
      <c r="O200" t="s">
        <v>55</v>
      </c>
      <c r="P200">
        <v>0.42727272727272703</v>
      </c>
      <c r="Q200">
        <v>1</v>
      </c>
    </row>
    <row r="201" spans="2:17" ht="15" customHeight="1" x14ac:dyDescent="0.2">
      <c r="E201">
        <v>0.42727272727272703</v>
      </c>
      <c r="F201">
        <v>1</v>
      </c>
      <c r="I201" t="s">
        <v>42</v>
      </c>
      <c r="J201">
        <v>0.59375</v>
      </c>
      <c r="K201">
        <v>0.63888888888888895</v>
      </c>
      <c r="L201">
        <v>1</v>
      </c>
      <c r="O201" t="s">
        <v>46</v>
      </c>
      <c r="P201">
        <v>0.67500000000000004</v>
      </c>
      <c r="Q201">
        <v>1</v>
      </c>
    </row>
    <row r="202" spans="2:17" ht="15" customHeight="1" x14ac:dyDescent="0.2">
      <c r="C202" t="s">
        <v>50</v>
      </c>
      <c r="D202">
        <v>0.59375</v>
      </c>
      <c r="E202">
        <v>0.63888888888888895</v>
      </c>
      <c r="F202">
        <v>1</v>
      </c>
      <c r="I202" t="s">
        <v>651</v>
      </c>
      <c r="J202">
        <v>0.59375</v>
      </c>
      <c r="K202">
        <v>0.453703703703704</v>
      </c>
      <c r="L202">
        <v>1</v>
      </c>
      <c r="N202" t="s">
        <v>1132</v>
      </c>
      <c r="O202" t="s">
        <v>63</v>
      </c>
      <c r="P202">
        <v>0.59375</v>
      </c>
      <c r="Q202">
        <v>1</v>
      </c>
    </row>
    <row r="203" spans="2:17" ht="15" customHeight="1" x14ac:dyDescent="0.2">
      <c r="E203">
        <v>0.453703703703704</v>
      </c>
      <c r="F203">
        <v>1</v>
      </c>
      <c r="I203" t="s">
        <v>66</v>
      </c>
      <c r="J203">
        <v>0.59836065573770503</v>
      </c>
      <c r="K203">
        <v>0.62903225806451601</v>
      </c>
      <c r="L203">
        <v>1</v>
      </c>
      <c r="O203" t="s">
        <v>44</v>
      </c>
      <c r="P203">
        <v>0.54411764705882404</v>
      </c>
      <c r="Q203">
        <v>1</v>
      </c>
    </row>
    <row r="204" spans="2:17" ht="15" customHeight="1" x14ac:dyDescent="0.2">
      <c r="B204" t="s">
        <v>1133</v>
      </c>
      <c r="C204" t="s">
        <v>55</v>
      </c>
      <c r="D204">
        <v>0.33333333333333298</v>
      </c>
      <c r="E204">
        <v>0.54411764705882404</v>
      </c>
      <c r="F204">
        <v>1</v>
      </c>
      <c r="H204" t="s">
        <v>1133</v>
      </c>
      <c r="I204" t="s">
        <v>61</v>
      </c>
      <c r="J204">
        <v>0.33333333333333298</v>
      </c>
      <c r="K204">
        <v>0.54411764705882404</v>
      </c>
      <c r="L204">
        <v>1</v>
      </c>
      <c r="N204" t="s">
        <v>1134</v>
      </c>
      <c r="O204" t="s">
        <v>58</v>
      </c>
      <c r="P204">
        <v>0.453703703703704</v>
      </c>
      <c r="Q204">
        <v>1</v>
      </c>
    </row>
    <row r="205" spans="2:17" ht="15" customHeight="1" x14ac:dyDescent="0.2">
      <c r="C205" t="s">
        <v>52</v>
      </c>
      <c r="D205">
        <v>0.429824561403509</v>
      </c>
      <c r="E205">
        <v>0.5</v>
      </c>
      <c r="F205">
        <v>1</v>
      </c>
      <c r="I205" t="s">
        <v>59</v>
      </c>
      <c r="J205">
        <v>0.429824561403509</v>
      </c>
      <c r="K205">
        <v>0.5</v>
      </c>
      <c r="L205">
        <v>1</v>
      </c>
      <c r="O205" t="s">
        <v>43</v>
      </c>
      <c r="P205">
        <v>0.54032258064516103</v>
      </c>
      <c r="Q205">
        <v>1</v>
      </c>
    </row>
    <row r="206" spans="2:17" ht="15" customHeight="1" x14ac:dyDescent="0.2">
      <c r="C206" t="s">
        <v>44</v>
      </c>
      <c r="D206">
        <v>0.55645161290322598</v>
      </c>
      <c r="E206">
        <v>0.5</v>
      </c>
      <c r="F206">
        <v>1</v>
      </c>
      <c r="I206" t="s">
        <v>43</v>
      </c>
      <c r="J206">
        <v>0.41935483870967699</v>
      </c>
      <c r="K206">
        <v>0.429824561403509</v>
      </c>
      <c r="L206">
        <v>1</v>
      </c>
      <c r="N206" t="s">
        <v>1135</v>
      </c>
      <c r="O206" t="s">
        <v>50</v>
      </c>
      <c r="P206">
        <v>0.55645161290322598</v>
      </c>
      <c r="Q206">
        <v>1</v>
      </c>
    </row>
    <row r="207" spans="2:17" ht="15" customHeight="1" x14ac:dyDescent="0.2">
      <c r="C207" t="s">
        <v>40</v>
      </c>
      <c r="D207">
        <v>0.41935483870967699</v>
      </c>
      <c r="E207">
        <v>0.429824561403509</v>
      </c>
      <c r="F207">
        <v>1</v>
      </c>
      <c r="I207" t="s">
        <v>55</v>
      </c>
      <c r="J207">
        <v>0.55645161290322598</v>
      </c>
      <c r="K207">
        <v>0.5</v>
      </c>
      <c r="L207">
        <v>1</v>
      </c>
      <c r="O207" t="s">
        <v>60</v>
      </c>
      <c r="P207">
        <v>0.62903225806451601</v>
      </c>
      <c r="Q207">
        <v>1</v>
      </c>
    </row>
    <row r="208" spans="2:17" ht="15" customHeight="1" x14ac:dyDescent="0.2">
      <c r="B208" t="s">
        <v>1136</v>
      </c>
      <c r="C208" t="s">
        <v>50</v>
      </c>
      <c r="D208">
        <v>0.5</v>
      </c>
      <c r="E208">
        <v>0.63888888888888895</v>
      </c>
      <c r="F208">
        <v>1</v>
      </c>
      <c r="H208" t="s">
        <v>1136</v>
      </c>
      <c r="I208" t="s">
        <v>42</v>
      </c>
      <c r="J208">
        <v>0.6875</v>
      </c>
      <c r="K208">
        <v>0.50980392156862697</v>
      </c>
      <c r="L208">
        <v>1</v>
      </c>
      <c r="N208" t="s">
        <v>1137</v>
      </c>
      <c r="O208" t="s">
        <v>54</v>
      </c>
      <c r="P208">
        <v>0.33333333333333298</v>
      </c>
      <c r="Q208">
        <v>1</v>
      </c>
    </row>
    <row r="209" spans="2:17" ht="15" customHeight="1" x14ac:dyDescent="0.2">
      <c r="D209">
        <v>0.6875</v>
      </c>
      <c r="E209">
        <v>0.50980392156862697</v>
      </c>
      <c r="F209">
        <v>1</v>
      </c>
      <c r="I209" t="s">
        <v>60</v>
      </c>
      <c r="J209">
        <v>0.5</v>
      </c>
      <c r="K209">
        <v>0.63888888888888895</v>
      </c>
      <c r="L209">
        <v>1</v>
      </c>
      <c r="O209" t="s">
        <v>53</v>
      </c>
      <c r="P209">
        <v>0.5</v>
      </c>
      <c r="Q209">
        <v>1</v>
      </c>
    </row>
    <row r="210" spans="2:17" ht="15" customHeight="1" x14ac:dyDescent="0.2">
      <c r="C210" t="s">
        <v>58</v>
      </c>
      <c r="D210">
        <v>0.59836065573770503</v>
      </c>
      <c r="E210">
        <v>0.62903225806451601</v>
      </c>
      <c r="F210">
        <v>1</v>
      </c>
      <c r="J210">
        <v>0.59836065573770503</v>
      </c>
      <c r="K210">
        <v>0.62903225806451601</v>
      </c>
      <c r="L210">
        <v>1</v>
      </c>
      <c r="N210" t="s">
        <v>1138</v>
      </c>
      <c r="O210" t="s">
        <v>651</v>
      </c>
      <c r="P210">
        <v>0.429824561403509</v>
      </c>
      <c r="Q210">
        <v>1</v>
      </c>
    </row>
    <row r="211" spans="2:17" ht="15" customHeight="1" x14ac:dyDescent="0.2">
      <c r="C211" t="s">
        <v>61</v>
      </c>
      <c r="D211">
        <v>0.59836065573770503</v>
      </c>
      <c r="E211">
        <v>0.50980392156862697</v>
      </c>
      <c r="F211">
        <v>1</v>
      </c>
      <c r="I211" t="s">
        <v>66</v>
      </c>
      <c r="J211">
        <v>0.59836065573770503</v>
      </c>
      <c r="K211">
        <v>0.50980392156862697</v>
      </c>
      <c r="L211">
        <v>1</v>
      </c>
      <c r="O211" t="s">
        <v>64</v>
      </c>
      <c r="P211">
        <v>0.37962962962962998</v>
      </c>
      <c r="Q211">
        <v>1</v>
      </c>
    </row>
    <row r="212" spans="2:17" ht="15" customHeight="1" x14ac:dyDescent="0.2">
      <c r="B212" t="s">
        <v>1139</v>
      </c>
      <c r="C212" t="s">
        <v>45</v>
      </c>
      <c r="D212">
        <v>0.41935483870967699</v>
      </c>
      <c r="E212">
        <v>0.42727272727272703</v>
      </c>
      <c r="F212">
        <v>1</v>
      </c>
      <c r="H212" t="s">
        <v>1139</v>
      </c>
      <c r="I212" t="s">
        <v>44</v>
      </c>
      <c r="J212">
        <v>0.59090909090909105</v>
      </c>
      <c r="K212">
        <v>0.5</v>
      </c>
      <c r="L212">
        <v>1</v>
      </c>
      <c r="N212" t="s">
        <v>1140</v>
      </c>
      <c r="O212" t="s">
        <v>45</v>
      </c>
      <c r="P212">
        <v>0.46296296296296302</v>
      </c>
      <c r="Q212">
        <v>1</v>
      </c>
    </row>
    <row r="213" spans="2:17" ht="15" customHeight="1" x14ac:dyDescent="0.2">
      <c r="C213" t="s">
        <v>63</v>
      </c>
      <c r="D213">
        <v>0.59090909090909105</v>
      </c>
      <c r="F213">
        <v>1</v>
      </c>
      <c r="I213" t="s">
        <v>41</v>
      </c>
      <c r="J213">
        <v>0.41935483870967699</v>
      </c>
      <c r="K213">
        <v>0.42727272727272703</v>
      </c>
      <c r="L213">
        <v>1</v>
      </c>
      <c r="O213" t="s">
        <v>59</v>
      </c>
      <c r="P213">
        <v>0.41935483870967699</v>
      </c>
      <c r="Q213">
        <v>1</v>
      </c>
    </row>
    <row r="214" spans="2:17" ht="15" customHeight="1" x14ac:dyDescent="0.2">
      <c r="C214" t="s">
        <v>44</v>
      </c>
      <c r="D214">
        <v>0.59375</v>
      </c>
      <c r="E214">
        <v>0.453703703703704</v>
      </c>
      <c r="F214">
        <v>1</v>
      </c>
      <c r="I214" t="s">
        <v>43</v>
      </c>
      <c r="J214">
        <v>0.46296296296296302</v>
      </c>
      <c r="K214">
        <v>0.41935483870967699</v>
      </c>
      <c r="L214">
        <v>1</v>
      </c>
      <c r="N214" t="s">
        <v>686</v>
      </c>
      <c r="Q214">
        <v>210</v>
      </c>
    </row>
    <row r="215" spans="2:17" ht="15" customHeight="1" x14ac:dyDescent="0.2">
      <c r="C215" t="s">
        <v>53</v>
      </c>
      <c r="D215">
        <v>0.46296296296296302</v>
      </c>
      <c r="E215">
        <v>0.41935483870967699</v>
      </c>
      <c r="F215">
        <v>1</v>
      </c>
      <c r="I215" t="s">
        <v>651</v>
      </c>
      <c r="J215">
        <v>0.59375</v>
      </c>
      <c r="K215">
        <v>0.453703703703704</v>
      </c>
      <c r="L215">
        <v>1</v>
      </c>
    </row>
    <row r="216" spans="2:17" ht="15" customHeight="1" x14ac:dyDescent="0.2">
      <c r="B216" t="s">
        <v>1141</v>
      </c>
      <c r="C216" t="s">
        <v>55</v>
      </c>
      <c r="D216">
        <v>0.62903225806451601</v>
      </c>
      <c r="E216">
        <v>0.5</v>
      </c>
      <c r="F216">
        <v>1</v>
      </c>
      <c r="H216" t="s">
        <v>1141</v>
      </c>
      <c r="I216" t="s">
        <v>40</v>
      </c>
      <c r="J216">
        <v>0.38596491228070201</v>
      </c>
      <c r="K216">
        <v>0.5</v>
      </c>
      <c r="L216">
        <v>1</v>
      </c>
    </row>
    <row r="217" spans="2:17" ht="15" customHeight="1" x14ac:dyDescent="0.2">
      <c r="C217" t="s">
        <v>52</v>
      </c>
      <c r="D217">
        <v>0.38596491228070201</v>
      </c>
      <c r="E217">
        <v>0.5</v>
      </c>
      <c r="F217">
        <v>1</v>
      </c>
      <c r="I217" t="s">
        <v>48</v>
      </c>
      <c r="J217">
        <v>0.62903225806451601</v>
      </c>
      <c r="K217">
        <v>0.5</v>
      </c>
      <c r="L217">
        <v>1</v>
      </c>
    </row>
    <row r="218" spans="2:17" ht="15" customHeight="1" x14ac:dyDescent="0.2">
      <c r="C218" t="s">
        <v>54</v>
      </c>
      <c r="D218">
        <v>0.33333333333333298</v>
      </c>
      <c r="E218">
        <v>0.55645161290322598</v>
      </c>
      <c r="F218">
        <v>1</v>
      </c>
      <c r="I218" t="s">
        <v>56</v>
      </c>
      <c r="J218">
        <v>0.33333333333333298</v>
      </c>
      <c r="K218">
        <v>0.55645161290322598</v>
      </c>
      <c r="L218">
        <v>1</v>
      </c>
    </row>
    <row r="219" spans="2:17" ht="15" customHeight="1" x14ac:dyDescent="0.2">
      <c r="C219" t="s">
        <v>42</v>
      </c>
      <c r="D219">
        <v>0.429824561403509</v>
      </c>
      <c r="E219">
        <v>0.54032258064516103</v>
      </c>
      <c r="F219">
        <v>1</v>
      </c>
      <c r="I219" t="s">
        <v>62</v>
      </c>
      <c r="J219">
        <v>0.429824561403509</v>
      </c>
      <c r="K219">
        <v>0.54032258064516103</v>
      </c>
      <c r="L219">
        <v>1</v>
      </c>
    </row>
    <row r="220" spans="2:17" ht="15" customHeight="1" x14ac:dyDescent="0.2">
      <c r="B220" t="s">
        <v>1142</v>
      </c>
      <c r="C220" t="s">
        <v>57</v>
      </c>
      <c r="D220">
        <v>0.35714285714285698</v>
      </c>
      <c r="E220">
        <v>0.54032258064516103</v>
      </c>
      <c r="F220">
        <v>1</v>
      </c>
      <c r="H220" t="s">
        <v>1142</v>
      </c>
      <c r="I220" t="s">
        <v>40</v>
      </c>
      <c r="J220">
        <v>0.59375</v>
      </c>
      <c r="K220">
        <v>0.453703703703704</v>
      </c>
      <c r="L220">
        <v>1</v>
      </c>
    </row>
    <row r="221" spans="2:17" ht="15" customHeight="1" x14ac:dyDescent="0.2">
      <c r="C221" t="s">
        <v>45</v>
      </c>
      <c r="D221">
        <v>0.54545454545454497</v>
      </c>
      <c r="E221">
        <v>0.55645161290322598</v>
      </c>
      <c r="F221">
        <v>1</v>
      </c>
      <c r="I221" t="s">
        <v>41</v>
      </c>
      <c r="J221">
        <v>0.54545454545454497</v>
      </c>
      <c r="K221">
        <v>0.55645161290322598</v>
      </c>
      <c r="L221">
        <v>1</v>
      </c>
    </row>
    <row r="222" spans="2:17" ht="15" customHeight="1" x14ac:dyDescent="0.2">
      <c r="C222" t="s">
        <v>47</v>
      </c>
      <c r="D222">
        <v>0.44827586206896602</v>
      </c>
      <c r="E222">
        <v>0.37962962962962998</v>
      </c>
      <c r="F222">
        <v>1</v>
      </c>
      <c r="I222" t="s">
        <v>48</v>
      </c>
      <c r="J222">
        <v>0.44827586206896602</v>
      </c>
      <c r="K222">
        <v>0.37962962962962998</v>
      </c>
      <c r="L222">
        <v>1</v>
      </c>
    </row>
    <row r="223" spans="2:17" ht="15" customHeight="1" x14ac:dyDescent="0.2">
      <c r="C223" t="s">
        <v>67</v>
      </c>
      <c r="D223">
        <v>0.59375</v>
      </c>
      <c r="E223">
        <v>0.453703703703704</v>
      </c>
      <c r="F223">
        <v>1</v>
      </c>
      <c r="I223" t="s">
        <v>46</v>
      </c>
      <c r="J223">
        <v>0.35714285714285698</v>
      </c>
      <c r="K223">
        <v>0.54032258064516103</v>
      </c>
      <c r="L223">
        <v>1</v>
      </c>
    </row>
    <row r="224" spans="2:17" ht="15" customHeight="1" x14ac:dyDescent="0.2">
      <c r="B224" t="s">
        <v>1143</v>
      </c>
      <c r="C224" t="s">
        <v>55</v>
      </c>
      <c r="D224">
        <v>0.59090909090909105</v>
      </c>
      <c r="F224">
        <v>1</v>
      </c>
      <c r="H224" t="s">
        <v>1143</v>
      </c>
      <c r="I224" t="s">
        <v>54</v>
      </c>
      <c r="J224">
        <v>0.33333333333333298</v>
      </c>
      <c r="K224">
        <v>0.42727272727272703</v>
      </c>
      <c r="L224">
        <v>1</v>
      </c>
    </row>
    <row r="225" spans="2:12" ht="15" customHeight="1" x14ac:dyDescent="0.2">
      <c r="C225" t="s">
        <v>52</v>
      </c>
      <c r="D225">
        <v>0.67500000000000004</v>
      </c>
      <c r="E225">
        <v>0.38596491228070201</v>
      </c>
      <c r="F225">
        <v>1</v>
      </c>
      <c r="I225" t="s">
        <v>61</v>
      </c>
      <c r="J225">
        <v>0.59090909090909105</v>
      </c>
      <c r="K225">
        <v>0.54411764705882404</v>
      </c>
      <c r="L225">
        <v>1</v>
      </c>
    </row>
    <row r="226" spans="2:12" ht="15" customHeight="1" x14ac:dyDescent="0.2">
      <c r="C226" t="s">
        <v>53</v>
      </c>
      <c r="D226">
        <v>0.429824561403509</v>
      </c>
      <c r="E226">
        <v>0.5</v>
      </c>
      <c r="F226">
        <v>1</v>
      </c>
      <c r="I226" t="s">
        <v>59</v>
      </c>
      <c r="J226">
        <v>0.429824561403509</v>
      </c>
      <c r="K226">
        <v>0.5</v>
      </c>
      <c r="L226">
        <v>1</v>
      </c>
    </row>
    <row r="227" spans="2:12" ht="15" customHeight="1" x14ac:dyDescent="0.2">
      <c r="C227" t="s">
        <v>64</v>
      </c>
      <c r="D227">
        <v>0.33333333333333298</v>
      </c>
      <c r="E227">
        <v>0.42727272727272703</v>
      </c>
      <c r="F227">
        <v>1</v>
      </c>
      <c r="I227" t="s">
        <v>651</v>
      </c>
      <c r="J227">
        <v>0.67500000000000004</v>
      </c>
      <c r="K227">
        <v>0.38596491228070201</v>
      </c>
      <c r="L227">
        <v>1</v>
      </c>
    </row>
    <row r="228" spans="2:12" ht="15" customHeight="1" x14ac:dyDescent="0.2">
      <c r="B228" t="s">
        <v>1144</v>
      </c>
      <c r="C228" t="s">
        <v>50</v>
      </c>
      <c r="D228">
        <v>0.5</v>
      </c>
      <c r="E228">
        <v>0.63888888888888895</v>
      </c>
      <c r="F228">
        <v>1</v>
      </c>
      <c r="H228" t="s">
        <v>1144</v>
      </c>
      <c r="I228" t="s">
        <v>42</v>
      </c>
      <c r="J228">
        <v>0.6875</v>
      </c>
      <c r="K228">
        <v>0.50980392156862697</v>
      </c>
      <c r="L228">
        <v>1</v>
      </c>
    </row>
    <row r="229" spans="2:12" ht="15" customHeight="1" x14ac:dyDescent="0.2">
      <c r="D229">
        <v>0.6875</v>
      </c>
      <c r="E229">
        <v>0.50980392156862697</v>
      </c>
      <c r="F229">
        <v>1</v>
      </c>
      <c r="I229" t="s">
        <v>60</v>
      </c>
      <c r="J229">
        <v>0.5</v>
      </c>
      <c r="K229">
        <v>0.63888888888888895</v>
      </c>
      <c r="L229">
        <v>1</v>
      </c>
    </row>
    <row r="230" spans="2:12" ht="15" customHeight="1" x14ac:dyDescent="0.2">
      <c r="C230" t="s">
        <v>58</v>
      </c>
      <c r="D230">
        <v>0.59836065573770503</v>
      </c>
      <c r="E230">
        <v>0.62903225806451601</v>
      </c>
      <c r="F230">
        <v>1</v>
      </c>
      <c r="J230">
        <v>0.59836065573770503</v>
      </c>
      <c r="K230">
        <v>0.62903225806451601</v>
      </c>
      <c r="L230">
        <v>1</v>
      </c>
    </row>
    <row r="231" spans="2:12" ht="15" customHeight="1" x14ac:dyDescent="0.2">
      <c r="C231" t="s">
        <v>61</v>
      </c>
      <c r="D231">
        <v>0.59836065573770503</v>
      </c>
      <c r="E231">
        <v>0.50980392156862697</v>
      </c>
      <c r="F231">
        <v>1</v>
      </c>
      <c r="I231" t="s">
        <v>66</v>
      </c>
      <c r="J231">
        <v>0.59836065573770503</v>
      </c>
      <c r="K231">
        <v>0.50980392156862697</v>
      </c>
      <c r="L231">
        <v>1</v>
      </c>
    </row>
    <row r="232" spans="2:12" ht="15" customHeight="1" x14ac:dyDescent="0.2">
      <c r="B232" t="s">
        <v>1145</v>
      </c>
      <c r="C232" t="s">
        <v>45</v>
      </c>
      <c r="D232">
        <v>0.41935483870967699</v>
      </c>
      <c r="E232">
        <v>0.42727272727272703</v>
      </c>
      <c r="F232">
        <v>1</v>
      </c>
      <c r="H232" t="s">
        <v>1145</v>
      </c>
      <c r="I232" t="s">
        <v>44</v>
      </c>
      <c r="J232">
        <v>0.59090909090909105</v>
      </c>
      <c r="K232">
        <v>0.5</v>
      </c>
      <c r="L232">
        <v>1</v>
      </c>
    </row>
    <row r="233" spans="2:12" ht="15" customHeight="1" x14ac:dyDescent="0.2">
      <c r="C233" t="s">
        <v>63</v>
      </c>
      <c r="D233">
        <v>0.59090909090909105</v>
      </c>
      <c r="F233">
        <v>1</v>
      </c>
      <c r="I233" t="s">
        <v>41</v>
      </c>
      <c r="J233">
        <v>0.41935483870967699</v>
      </c>
      <c r="K233">
        <v>0.42727272727272703</v>
      </c>
      <c r="L233">
        <v>1</v>
      </c>
    </row>
    <row r="234" spans="2:12" ht="15" customHeight="1" x14ac:dyDescent="0.2">
      <c r="C234" t="s">
        <v>44</v>
      </c>
      <c r="D234">
        <v>0.59375</v>
      </c>
      <c r="E234">
        <v>0.453703703703704</v>
      </c>
      <c r="F234">
        <v>1</v>
      </c>
      <c r="I234" t="s">
        <v>43</v>
      </c>
      <c r="J234">
        <v>0.46296296296296302</v>
      </c>
      <c r="K234">
        <v>0.41935483870967699</v>
      </c>
      <c r="L234">
        <v>1</v>
      </c>
    </row>
    <row r="235" spans="2:12" ht="15" customHeight="1" x14ac:dyDescent="0.2">
      <c r="C235" t="s">
        <v>53</v>
      </c>
      <c r="D235">
        <v>0.46296296296296302</v>
      </c>
      <c r="E235">
        <v>0.41935483870967699</v>
      </c>
      <c r="F235">
        <v>1</v>
      </c>
      <c r="I235" t="s">
        <v>651</v>
      </c>
      <c r="J235">
        <v>0.59375</v>
      </c>
      <c r="K235">
        <v>0.453703703703704</v>
      </c>
      <c r="L235">
        <v>1</v>
      </c>
    </row>
    <row r="236" spans="2:12" ht="15" customHeight="1" x14ac:dyDescent="0.2">
      <c r="B236" t="s">
        <v>1146</v>
      </c>
      <c r="C236" t="s">
        <v>55</v>
      </c>
      <c r="D236">
        <v>0.62903225806451601</v>
      </c>
      <c r="E236">
        <v>0.5</v>
      </c>
      <c r="F236">
        <v>1</v>
      </c>
      <c r="H236" t="s">
        <v>1146</v>
      </c>
      <c r="I236" t="s">
        <v>40</v>
      </c>
      <c r="J236">
        <v>0.38596491228070201</v>
      </c>
      <c r="K236">
        <v>0.5</v>
      </c>
      <c r="L236">
        <v>1</v>
      </c>
    </row>
    <row r="237" spans="2:12" ht="15" customHeight="1" x14ac:dyDescent="0.2">
      <c r="C237" t="s">
        <v>52</v>
      </c>
      <c r="D237">
        <v>0.38596491228070201</v>
      </c>
      <c r="E237">
        <v>0.5</v>
      </c>
      <c r="F237">
        <v>1</v>
      </c>
      <c r="I237" t="s">
        <v>48</v>
      </c>
      <c r="J237">
        <v>0.62903225806451601</v>
      </c>
      <c r="K237">
        <v>0.5</v>
      </c>
      <c r="L237">
        <v>1</v>
      </c>
    </row>
    <row r="238" spans="2:12" ht="15" customHeight="1" x14ac:dyDescent="0.2">
      <c r="C238" t="s">
        <v>54</v>
      </c>
      <c r="D238">
        <v>0.33333333333333298</v>
      </c>
      <c r="E238">
        <v>0.55645161290322598</v>
      </c>
      <c r="F238">
        <v>1</v>
      </c>
      <c r="I238" t="s">
        <v>56</v>
      </c>
      <c r="J238">
        <v>0.33333333333333298</v>
      </c>
      <c r="K238">
        <v>0.55645161290322598</v>
      </c>
      <c r="L238">
        <v>1</v>
      </c>
    </row>
    <row r="239" spans="2:12" ht="15" customHeight="1" x14ac:dyDescent="0.2">
      <c r="C239" t="s">
        <v>42</v>
      </c>
      <c r="D239">
        <v>0.429824561403509</v>
      </c>
      <c r="E239">
        <v>0.54032258064516103</v>
      </c>
      <c r="F239">
        <v>1</v>
      </c>
      <c r="I239" t="s">
        <v>62</v>
      </c>
      <c r="J239">
        <v>0.429824561403509</v>
      </c>
      <c r="K239">
        <v>0.54032258064516103</v>
      </c>
      <c r="L239">
        <v>1</v>
      </c>
    </row>
    <row r="240" spans="2:12" ht="15" customHeight="1" x14ac:dyDescent="0.2">
      <c r="B240" t="s">
        <v>1147</v>
      </c>
      <c r="C240" t="s">
        <v>57</v>
      </c>
      <c r="D240">
        <v>0.35714285714285698</v>
      </c>
      <c r="E240">
        <v>0.54032258064516103</v>
      </c>
      <c r="F240">
        <v>1</v>
      </c>
      <c r="H240" t="s">
        <v>1147</v>
      </c>
      <c r="I240" t="s">
        <v>40</v>
      </c>
      <c r="J240">
        <v>0.59375</v>
      </c>
      <c r="K240">
        <v>0.453703703703704</v>
      </c>
      <c r="L240">
        <v>1</v>
      </c>
    </row>
    <row r="241" spans="2:12" ht="15" customHeight="1" x14ac:dyDescent="0.2">
      <c r="C241" t="s">
        <v>45</v>
      </c>
      <c r="D241">
        <v>0.54545454545454497</v>
      </c>
      <c r="E241">
        <v>0.55645161290322598</v>
      </c>
      <c r="F241">
        <v>1</v>
      </c>
      <c r="I241" t="s">
        <v>41</v>
      </c>
      <c r="J241">
        <v>0.54545454545454497</v>
      </c>
      <c r="K241">
        <v>0.55645161290322598</v>
      </c>
      <c r="L241">
        <v>1</v>
      </c>
    </row>
    <row r="242" spans="2:12" ht="15" customHeight="1" x14ac:dyDescent="0.2">
      <c r="C242" t="s">
        <v>47</v>
      </c>
      <c r="D242">
        <v>0.44827586206896602</v>
      </c>
      <c r="E242">
        <v>0.37962962962962998</v>
      </c>
      <c r="F242">
        <v>1</v>
      </c>
      <c r="I242" t="s">
        <v>48</v>
      </c>
      <c r="J242">
        <v>0.44827586206896602</v>
      </c>
      <c r="K242">
        <v>0.37962962962962998</v>
      </c>
      <c r="L242">
        <v>1</v>
      </c>
    </row>
    <row r="243" spans="2:12" ht="15" customHeight="1" x14ac:dyDescent="0.2">
      <c r="C243" t="s">
        <v>67</v>
      </c>
      <c r="D243">
        <v>0.59375</v>
      </c>
      <c r="E243">
        <v>0.453703703703704</v>
      </c>
      <c r="F243">
        <v>1</v>
      </c>
      <c r="I243" t="s">
        <v>46</v>
      </c>
      <c r="J243">
        <v>0.35714285714285698</v>
      </c>
      <c r="K243">
        <v>0.54032258064516103</v>
      </c>
      <c r="L243">
        <v>1</v>
      </c>
    </row>
    <row r="244" spans="2:12" ht="15" customHeight="1" x14ac:dyDescent="0.2">
      <c r="B244" t="s">
        <v>1148</v>
      </c>
      <c r="C244" t="s">
        <v>63</v>
      </c>
      <c r="D244">
        <v>0.54545454545454497</v>
      </c>
      <c r="E244">
        <v>0.50980392156862697</v>
      </c>
      <c r="F244">
        <v>1</v>
      </c>
      <c r="H244" t="s">
        <v>1148</v>
      </c>
      <c r="I244" t="s">
        <v>42</v>
      </c>
      <c r="J244">
        <v>0.38596491228070201</v>
      </c>
      <c r="K244">
        <v>0.5</v>
      </c>
      <c r="L244">
        <v>1</v>
      </c>
    </row>
    <row r="245" spans="2:12" ht="15" customHeight="1" x14ac:dyDescent="0.2">
      <c r="C245" t="s">
        <v>54</v>
      </c>
      <c r="D245">
        <v>0.55645161290322598</v>
      </c>
      <c r="E245">
        <v>0.62903225806451601</v>
      </c>
      <c r="F245">
        <v>1</v>
      </c>
      <c r="I245" t="s">
        <v>651</v>
      </c>
      <c r="J245">
        <v>0.54545454545454497</v>
      </c>
      <c r="K245">
        <v>0.50980392156862697</v>
      </c>
      <c r="L245">
        <v>1</v>
      </c>
    </row>
    <row r="246" spans="2:12" ht="15" customHeight="1" x14ac:dyDescent="0.2">
      <c r="C246" t="s">
        <v>40</v>
      </c>
      <c r="D246">
        <v>0.38596491228070201</v>
      </c>
      <c r="E246">
        <v>0.5</v>
      </c>
      <c r="F246">
        <v>1</v>
      </c>
      <c r="I246" t="s">
        <v>56</v>
      </c>
      <c r="J246">
        <v>0.55645161290322598</v>
      </c>
      <c r="K246">
        <v>0.62903225806451601</v>
      </c>
      <c r="L246">
        <v>1</v>
      </c>
    </row>
    <row r="247" spans="2:12" ht="15" customHeight="1" x14ac:dyDescent="0.2">
      <c r="C247" t="s">
        <v>67</v>
      </c>
      <c r="D247">
        <v>0.46296296296296302</v>
      </c>
      <c r="E247">
        <v>0.42727272727272703</v>
      </c>
      <c r="F247">
        <v>1</v>
      </c>
      <c r="I247" t="s">
        <v>60</v>
      </c>
      <c r="J247">
        <v>0.46296296296296302</v>
      </c>
      <c r="K247">
        <v>0.42727272727272703</v>
      </c>
      <c r="L247">
        <v>1</v>
      </c>
    </row>
    <row r="248" spans="2:12" ht="15" customHeight="1" x14ac:dyDescent="0.2">
      <c r="B248" t="s">
        <v>1149</v>
      </c>
      <c r="C248" t="s">
        <v>55</v>
      </c>
      <c r="D248">
        <v>0.59090909090909105</v>
      </c>
      <c r="F248">
        <v>1</v>
      </c>
      <c r="H248" t="s">
        <v>1149</v>
      </c>
      <c r="I248" t="s">
        <v>54</v>
      </c>
      <c r="J248">
        <v>0.33333333333333298</v>
      </c>
      <c r="K248">
        <v>0.42727272727272703</v>
      </c>
      <c r="L248">
        <v>1</v>
      </c>
    </row>
    <row r="249" spans="2:12" ht="15" customHeight="1" x14ac:dyDescent="0.2">
      <c r="C249" t="s">
        <v>52</v>
      </c>
      <c r="D249">
        <v>0.67500000000000004</v>
      </c>
      <c r="E249">
        <v>0.38596491228070201</v>
      </c>
      <c r="F249">
        <v>1</v>
      </c>
      <c r="I249" t="s">
        <v>61</v>
      </c>
      <c r="J249">
        <v>0.59090909090909105</v>
      </c>
      <c r="K249">
        <v>0.54411764705882404</v>
      </c>
      <c r="L249">
        <v>1</v>
      </c>
    </row>
    <row r="250" spans="2:12" ht="15" customHeight="1" x14ac:dyDescent="0.2">
      <c r="C250" t="s">
        <v>53</v>
      </c>
      <c r="D250">
        <v>0.429824561403509</v>
      </c>
      <c r="E250">
        <v>0.5</v>
      </c>
      <c r="F250">
        <v>1</v>
      </c>
      <c r="I250" t="s">
        <v>59</v>
      </c>
      <c r="J250">
        <v>0.429824561403509</v>
      </c>
      <c r="K250">
        <v>0.5</v>
      </c>
      <c r="L250">
        <v>1</v>
      </c>
    </row>
    <row r="251" spans="2:12" ht="15" customHeight="1" x14ac:dyDescent="0.2">
      <c r="C251" t="s">
        <v>64</v>
      </c>
      <c r="D251">
        <v>0.33333333333333298</v>
      </c>
      <c r="E251">
        <v>0.42727272727272703</v>
      </c>
      <c r="F251">
        <v>1</v>
      </c>
      <c r="I251" t="s">
        <v>651</v>
      </c>
      <c r="J251">
        <v>0.67500000000000004</v>
      </c>
      <c r="K251">
        <v>0.38596491228070201</v>
      </c>
      <c r="L251">
        <v>1</v>
      </c>
    </row>
    <row r="252" spans="2:12" ht="15" customHeight="1" x14ac:dyDescent="0.2">
      <c r="B252" t="s">
        <v>1150</v>
      </c>
      <c r="C252" t="s">
        <v>52</v>
      </c>
      <c r="D252">
        <v>0.67500000000000004</v>
      </c>
      <c r="E252">
        <v>0.59090909090909105</v>
      </c>
      <c r="F252">
        <v>1</v>
      </c>
      <c r="H252" t="s">
        <v>1150</v>
      </c>
      <c r="I252" t="s">
        <v>53</v>
      </c>
      <c r="J252">
        <v>0.33333333333333298</v>
      </c>
      <c r="K252">
        <v>0.5</v>
      </c>
      <c r="L252">
        <v>1</v>
      </c>
    </row>
    <row r="253" spans="2:12" ht="15" customHeight="1" x14ac:dyDescent="0.2">
      <c r="C253" t="s">
        <v>44</v>
      </c>
      <c r="D253">
        <v>0.6875</v>
      </c>
      <c r="E253">
        <v>0.50980392156862697</v>
      </c>
      <c r="F253">
        <v>1</v>
      </c>
      <c r="J253">
        <v>0.6875</v>
      </c>
      <c r="K253">
        <v>0.50980392156862697</v>
      </c>
      <c r="L253">
        <v>1</v>
      </c>
    </row>
    <row r="254" spans="2:12" ht="15" customHeight="1" x14ac:dyDescent="0.2">
      <c r="C254" t="s">
        <v>58</v>
      </c>
      <c r="D254">
        <v>0.41935483870967699</v>
      </c>
      <c r="E254">
        <v>0.59090909090909105</v>
      </c>
      <c r="F254">
        <v>1</v>
      </c>
      <c r="I254" t="s">
        <v>61</v>
      </c>
      <c r="J254">
        <v>0.67500000000000004</v>
      </c>
      <c r="K254">
        <v>0.59090909090909105</v>
      </c>
      <c r="L254">
        <v>1</v>
      </c>
    </row>
    <row r="255" spans="2:12" ht="15" customHeight="1" x14ac:dyDescent="0.2">
      <c r="C255" t="s">
        <v>64</v>
      </c>
      <c r="D255">
        <v>0.33333333333333298</v>
      </c>
      <c r="E255">
        <v>0.5</v>
      </c>
      <c r="F255">
        <v>1</v>
      </c>
      <c r="I255" t="s">
        <v>60</v>
      </c>
      <c r="J255">
        <v>0.41935483870967699</v>
      </c>
      <c r="K255">
        <v>0.59090909090909105</v>
      </c>
      <c r="L255">
        <v>1</v>
      </c>
    </row>
    <row r="256" spans="2:12" ht="15" customHeight="1" x14ac:dyDescent="0.2">
      <c r="B256" t="s">
        <v>1151</v>
      </c>
      <c r="C256" t="s">
        <v>57</v>
      </c>
      <c r="D256">
        <v>0.35714285714285698</v>
      </c>
      <c r="E256">
        <v>0.54032258064516103</v>
      </c>
      <c r="F256">
        <v>1</v>
      </c>
      <c r="H256" t="s">
        <v>1151</v>
      </c>
      <c r="I256" t="s">
        <v>48</v>
      </c>
      <c r="J256">
        <v>0.44827586206896602</v>
      </c>
      <c r="K256">
        <v>0.37962962962962998</v>
      </c>
      <c r="L256">
        <v>1</v>
      </c>
    </row>
    <row r="257" spans="2:12" ht="15" customHeight="1" x14ac:dyDescent="0.2">
      <c r="C257" t="s">
        <v>54</v>
      </c>
      <c r="D257">
        <v>0.453703703703704</v>
      </c>
      <c r="E257">
        <v>0.54032258064516103</v>
      </c>
      <c r="F257">
        <v>1</v>
      </c>
      <c r="J257">
        <v>0.38596491228070201</v>
      </c>
      <c r="K257">
        <v>0.5</v>
      </c>
      <c r="L257">
        <v>1</v>
      </c>
    </row>
    <row r="258" spans="2:12" ht="15" customHeight="1" x14ac:dyDescent="0.2">
      <c r="C258" t="s">
        <v>47</v>
      </c>
      <c r="D258">
        <v>0.44827586206896602</v>
      </c>
      <c r="E258">
        <v>0.37962962962962998</v>
      </c>
      <c r="F258">
        <v>1</v>
      </c>
      <c r="I258" t="s">
        <v>46</v>
      </c>
      <c r="J258">
        <v>0.35714285714285698</v>
      </c>
      <c r="K258">
        <v>0.54032258064516103</v>
      </c>
      <c r="L258">
        <v>1</v>
      </c>
    </row>
    <row r="259" spans="2:12" ht="15" customHeight="1" x14ac:dyDescent="0.2">
      <c r="C259" t="s">
        <v>41</v>
      </c>
      <c r="D259">
        <v>0.38596491228070201</v>
      </c>
      <c r="E259">
        <v>0.5</v>
      </c>
      <c r="F259">
        <v>1</v>
      </c>
      <c r="I259" t="s">
        <v>62</v>
      </c>
      <c r="J259">
        <v>0.453703703703704</v>
      </c>
      <c r="K259">
        <v>0.54032258064516103</v>
      </c>
      <c r="L259">
        <v>1</v>
      </c>
    </row>
    <row r="260" spans="2:12" ht="15" customHeight="1" x14ac:dyDescent="0.2">
      <c r="B260" t="s">
        <v>1152</v>
      </c>
      <c r="C260" t="s">
        <v>55</v>
      </c>
      <c r="D260">
        <v>0.33333333333333298</v>
      </c>
      <c r="E260">
        <v>0.54411764705882404</v>
      </c>
      <c r="F260">
        <v>1</v>
      </c>
      <c r="H260" t="s">
        <v>1152</v>
      </c>
      <c r="I260" t="s">
        <v>61</v>
      </c>
      <c r="J260">
        <v>0.33333333333333298</v>
      </c>
      <c r="K260">
        <v>0.54411764705882404</v>
      </c>
      <c r="L260">
        <v>1</v>
      </c>
    </row>
    <row r="261" spans="2:12" ht="15" customHeight="1" x14ac:dyDescent="0.2">
      <c r="C261" t="s">
        <v>52</v>
      </c>
      <c r="D261">
        <v>0.429824561403509</v>
      </c>
      <c r="E261">
        <v>0.5</v>
      </c>
      <c r="F261">
        <v>1</v>
      </c>
      <c r="I261" t="s">
        <v>59</v>
      </c>
      <c r="J261">
        <v>0.429824561403509</v>
      </c>
      <c r="K261">
        <v>0.5</v>
      </c>
      <c r="L261">
        <v>1</v>
      </c>
    </row>
    <row r="262" spans="2:12" ht="15" customHeight="1" x14ac:dyDescent="0.2">
      <c r="C262" t="s">
        <v>44</v>
      </c>
      <c r="D262">
        <v>0.55645161290322598</v>
      </c>
      <c r="E262">
        <v>0.5</v>
      </c>
      <c r="F262">
        <v>1</v>
      </c>
      <c r="I262" t="s">
        <v>43</v>
      </c>
      <c r="J262">
        <v>0.41935483870967699</v>
      </c>
      <c r="K262">
        <v>0.429824561403509</v>
      </c>
      <c r="L262">
        <v>1</v>
      </c>
    </row>
    <row r="263" spans="2:12" ht="15" customHeight="1" x14ac:dyDescent="0.2">
      <c r="C263" t="s">
        <v>40</v>
      </c>
      <c r="D263">
        <v>0.41935483870967699</v>
      </c>
      <c r="E263">
        <v>0.429824561403509</v>
      </c>
      <c r="F263">
        <v>1</v>
      </c>
      <c r="I263" t="s">
        <v>55</v>
      </c>
      <c r="J263">
        <v>0.55645161290322598</v>
      </c>
      <c r="K263">
        <v>0.5</v>
      </c>
      <c r="L263">
        <v>1</v>
      </c>
    </row>
    <row r="264" spans="2:12" ht="15" customHeight="1" x14ac:dyDescent="0.2">
      <c r="B264" t="s">
        <v>1153</v>
      </c>
      <c r="C264" t="s">
        <v>45</v>
      </c>
      <c r="D264">
        <v>0.59836065573770503</v>
      </c>
      <c r="E264">
        <v>0.62903225806451601</v>
      </c>
      <c r="F264">
        <v>1</v>
      </c>
      <c r="H264" t="s">
        <v>1153</v>
      </c>
      <c r="I264" t="s">
        <v>41</v>
      </c>
      <c r="J264">
        <v>0.59836065573770503</v>
      </c>
      <c r="K264">
        <v>0.42727272727272703</v>
      </c>
      <c r="L264">
        <v>1</v>
      </c>
    </row>
    <row r="265" spans="2:12" ht="15" customHeight="1" x14ac:dyDescent="0.2">
      <c r="E265">
        <v>0.42727272727272703</v>
      </c>
      <c r="F265">
        <v>1</v>
      </c>
      <c r="I265" t="s">
        <v>42</v>
      </c>
      <c r="J265">
        <v>0.59375</v>
      </c>
      <c r="K265">
        <v>0.63888888888888895</v>
      </c>
      <c r="L265">
        <v>1</v>
      </c>
    </row>
    <row r="266" spans="2:12" ht="15" customHeight="1" x14ac:dyDescent="0.2">
      <c r="C266" t="s">
        <v>50</v>
      </c>
      <c r="D266">
        <v>0.59375</v>
      </c>
      <c r="E266">
        <v>0.63888888888888895</v>
      </c>
      <c r="F266">
        <v>1</v>
      </c>
      <c r="I266" t="s">
        <v>651</v>
      </c>
      <c r="J266">
        <v>0.59375</v>
      </c>
      <c r="K266">
        <v>0.453703703703704</v>
      </c>
      <c r="L266">
        <v>1</v>
      </c>
    </row>
    <row r="267" spans="2:12" ht="15" customHeight="1" x14ac:dyDescent="0.2">
      <c r="E267">
        <v>0.453703703703704</v>
      </c>
      <c r="F267">
        <v>1</v>
      </c>
      <c r="I267" t="s">
        <v>66</v>
      </c>
      <c r="J267">
        <v>0.59836065573770503</v>
      </c>
      <c r="K267">
        <v>0.62903225806451601</v>
      </c>
      <c r="L267">
        <v>1</v>
      </c>
    </row>
    <row r="268" spans="2:12" ht="15" customHeight="1" x14ac:dyDescent="0.2">
      <c r="B268" t="s">
        <v>1154</v>
      </c>
      <c r="C268" t="s">
        <v>63</v>
      </c>
      <c r="D268">
        <v>0.54545454545454497</v>
      </c>
      <c r="E268">
        <v>0.50980392156862697</v>
      </c>
      <c r="F268">
        <v>1</v>
      </c>
      <c r="H268" t="s">
        <v>1154</v>
      </c>
      <c r="I268" t="s">
        <v>42</v>
      </c>
      <c r="J268">
        <v>0.38596491228070201</v>
      </c>
      <c r="K268">
        <v>0.5</v>
      </c>
      <c r="L268">
        <v>1</v>
      </c>
    </row>
    <row r="269" spans="2:12" ht="15" customHeight="1" x14ac:dyDescent="0.2">
      <c r="C269" t="s">
        <v>54</v>
      </c>
      <c r="D269">
        <v>0.55645161290322598</v>
      </c>
      <c r="E269">
        <v>0.62903225806451601</v>
      </c>
      <c r="F269">
        <v>1</v>
      </c>
      <c r="I269" t="s">
        <v>651</v>
      </c>
      <c r="J269">
        <v>0.54545454545454497</v>
      </c>
      <c r="K269">
        <v>0.50980392156862697</v>
      </c>
      <c r="L269">
        <v>1</v>
      </c>
    </row>
    <row r="270" spans="2:12" ht="15" customHeight="1" x14ac:dyDescent="0.2">
      <c r="C270" t="s">
        <v>40</v>
      </c>
      <c r="D270">
        <v>0.38596491228070201</v>
      </c>
      <c r="E270">
        <v>0.5</v>
      </c>
      <c r="F270">
        <v>1</v>
      </c>
      <c r="I270" t="s">
        <v>56</v>
      </c>
      <c r="J270">
        <v>0.55645161290322598</v>
      </c>
      <c r="K270">
        <v>0.62903225806451601</v>
      </c>
      <c r="L270">
        <v>1</v>
      </c>
    </row>
    <row r="271" spans="2:12" ht="15" customHeight="1" x14ac:dyDescent="0.2">
      <c r="C271" t="s">
        <v>67</v>
      </c>
      <c r="D271">
        <v>0.46296296296296302</v>
      </c>
      <c r="E271">
        <v>0.42727272727272703</v>
      </c>
      <c r="F271">
        <v>1</v>
      </c>
      <c r="I271" t="s">
        <v>60</v>
      </c>
      <c r="J271">
        <v>0.46296296296296302</v>
      </c>
      <c r="K271">
        <v>0.42727272727272703</v>
      </c>
      <c r="L271">
        <v>1</v>
      </c>
    </row>
    <row r="272" spans="2:12" ht="15" customHeight="1" x14ac:dyDescent="0.2">
      <c r="B272" t="s">
        <v>1155</v>
      </c>
      <c r="C272" t="s">
        <v>52</v>
      </c>
      <c r="D272">
        <v>0.67500000000000004</v>
      </c>
      <c r="E272">
        <v>0.59090909090909105</v>
      </c>
      <c r="F272">
        <v>1</v>
      </c>
      <c r="H272" t="s">
        <v>1155</v>
      </c>
      <c r="I272" t="s">
        <v>53</v>
      </c>
      <c r="J272">
        <v>0.33333333333333298</v>
      </c>
      <c r="K272">
        <v>0.5</v>
      </c>
      <c r="L272">
        <v>1</v>
      </c>
    </row>
    <row r="273" spans="2:12" ht="15" customHeight="1" x14ac:dyDescent="0.2">
      <c r="C273" t="s">
        <v>44</v>
      </c>
      <c r="D273">
        <v>0.6875</v>
      </c>
      <c r="E273">
        <v>0.50980392156862697</v>
      </c>
      <c r="F273">
        <v>1</v>
      </c>
      <c r="J273">
        <v>0.6875</v>
      </c>
      <c r="K273">
        <v>0.50980392156862697</v>
      </c>
      <c r="L273">
        <v>1</v>
      </c>
    </row>
    <row r="274" spans="2:12" ht="15" customHeight="1" x14ac:dyDescent="0.2">
      <c r="C274" t="s">
        <v>58</v>
      </c>
      <c r="D274">
        <v>0.41935483870967699</v>
      </c>
      <c r="E274">
        <v>0.59090909090909105</v>
      </c>
      <c r="F274">
        <v>1</v>
      </c>
      <c r="I274" t="s">
        <v>61</v>
      </c>
      <c r="J274">
        <v>0.67500000000000004</v>
      </c>
      <c r="K274">
        <v>0.59090909090909105</v>
      </c>
      <c r="L274">
        <v>1</v>
      </c>
    </row>
    <row r="275" spans="2:12" ht="15" customHeight="1" x14ac:dyDescent="0.2">
      <c r="C275" t="s">
        <v>64</v>
      </c>
      <c r="D275">
        <v>0.33333333333333298</v>
      </c>
      <c r="E275">
        <v>0.5</v>
      </c>
      <c r="F275">
        <v>1</v>
      </c>
      <c r="I275" t="s">
        <v>60</v>
      </c>
      <c r="J275">
        <v>0.41935483870967699</v>
      </c>
      <c r="K275">
        <v>0.59090909090909105</v>
      </c>
      <c r="L275">
        <v>1</v>
      </c>
    </row>
    <row r="276" spans="2:12" ht="15" customHeight="1" x14ac:dyDescent="0.2">
      <c r="B276" t="s">
        <v>1156</v>
      </c>
      <c r="C276" t="s">
        <v>57</v>
      </c>
      <c r="D276">
        <v>0.35714285714285698</v>
      </c>
      <c r="E276">
        <v>0.54032258064516103</v>
      </c>
      <c r="F276">
        <v>1</v>
      </c>
      <c r="H276" t="s">
        <v>1156</v>
      </c>
      <c r="I276" t="s">
        <v>48</v>
      </c>
      <c r="J276">
        <v>0.44827586206896602</v>
      </c>
      <c r="K276">
        <v>0.37962962962962998</v>
      </c>
      <c r="L276">
        <v>1</v>
      </c>
    </row>
    <row r="277" spans="2:12" ht="15" customHeight="1" x14ac:dyDescent="0.2">
      <c r="C277" t="s">
        <v>54</v>
      </c>
      <c r="D277">
        <v>0.453703703703704</v>
      </c>
      <c r="E277">
        <v>0.54032258064516103</v>
      </c>
      <c r="F277">
        <v>1</v>
      </c>
      <c r="J277">
        <v>0.38596491228070201</v>
      </c>
      <c r="K277">
        <v>0.5</v>
      </c>
      <c r="L277">
        <v>1</v>
      </c>
    </row>
    <row r="278" spans="2:12" ht="15" customHeight="1" x14ac:dyDescent="0.2">
      <c r="C278" t="s">
        <v>47</v>
      </c>
      <c r="D278">
        <v>0.44827586206896602</v>
      </c>
      <c r="E278">
        <v>0.37962962962962998</v>
      </c>
      <c r="F278">
        <v>1</v>
      </c>
      <c r="I278" t="s">
        <v>46</v>
      </c>
      <c r="J278">
        <v>0.35714285714285698</v>
      </c>
      <c r="K278">
        <v>0.54032258064516103</v>
      </c>
      <c r="L278">
        <v>1</v>
      </c>
    </row>
    <row r="279" spans="2:12" ht="15" customHeight="1" x14ac:dyDescent="0.2">
      <c r="C279" t="s">
        <v>41</v>
      </c>
      <c r="D279">
        <v>0.38596491228070201</v>
      </c>
      <c r="E279">
        <v>0.5</v>
      </c>
      <c r="F279">
        <v>1</v>
      </c>
      <c r="I279" t="s">
        <v>62</v>
      </c>
      <c r="J279">
        <v>0.453703703703704</v>
      </c>
      <c r="K279">
        <v>0.54032258064516103</v>
      </c>
      <c r="L279">
        <v>1</v>
      </c>
    </row>
    <row r="280" spans="2:12" ht="15" customHeight="1" x14ac:dyDescent="0.2">
      <c r="B280" t="s">
        <v>1157</v>
      </c>
      <c r="C280" t="s">
        <v>57</v>
      </c>
      <c r="D280">
        <v>0.55645161290322598</v>
      </c>
      <c r="E280">
        <v>0.62903225806451601</v>
      </c>
      <c r="F280">
        <v>1</v>
      </c>
      <c r="H280" t="s">
        <v>1157</v>
      </c>
      <c r="I280" t="s">
        <v>54</v>
      </c>
      <c r="J280">
        <v>0.55645161290322598</v>
      </c>
      <c r="K280">
        <v>0.62903225806451601</v>
      </c>
      <c r="L280">
        <v>1</v>
      </c>
    </row>
    <row r="281" spans="2:12" ht="15" customHeight="1" x14ac:dyDescent="0.2">
      <c r="C281" t="s">
        <v>40</v>
      </c>
      <c r="D281">
        <v>0.44827586206896602</v>
      </c>
      <c r="E281">
        <v>0.38596491228070201</v>
      </c>
      <c r="F281">
        <v>1</v>
      </c>
      <c r="I281" t="s">
        <v>42</v>
      </c>
      <c r="J281">
        <v>0.44827586206896602</v>
      </c>
      <c r="K281">
        <v>0.38596491228070201</v>
      </c>
      <c r="L281">
        <v>1</v>
      </c>
    </row>
    <row r="282" spans="2:12" ht="15" customHeight="1" x14ac:dyDescent="0.2">
      <c r="B282" t="s">
        <v>1158</v>
      </c>
      <c r="C282" t="s">
        <v>45</v>
      </c>
      <c r="D282">
        <v>0.38596491228070201</v>
      </c>
      <c r="E282">
        <v>0.5</v>
      </c>
      <c r="F282">
        <v>1</v>
      </c>
      <c r="H282" t="s">
        <v>1158</v>
      </c>
      <c r="I282" t="s">
        <v>42</v>
      </c>
      <c r="J282">
        <v>0.38596491228070201</v>
      </c>
      <c r="K282">
        <v>0.5</v>
      </c>
      <c r="L282">
        <v>1</v>
      </c>
    </row>
    <row r="283" spans="2:12" ht="15" customHeight="1" x14ac:dyDescent="0.2">
      <c r="C283" t="s">
        <v>54</v>
      </c>
      <c r="D283">
        <v>0.59375</v>
      </c>
      <c r="E283">
        <v>0.62903225806451601</v>
      </c>
      <c r="F283">
        <v>1</v>
      </c>
      <c r="I283" t="s">
        <v>56</v>
      </c>
      <c r="J283">
        <v>0.59375</v>
      </c>
      <c r="K283">
        <v>0.62903225806451601</v>
      </c>
      <c r="L283">
        <v>1</v>
      </c>
    </row>
    <row r="284" spans="2:12" ht="15" customHeight="1" x14ac:dyDescent="0.2">
      <c r="B284" t="s">
        <v>1159</v>
      </c>
      <c r="C284" t="s">
        <v>57</v>
      </c>
      <c r="D284">
        <v>0.41935483870967699</v>
      </c>
      <c r="E284">
        <v>0.453703703703704</v>
      </c>
      <c r="F284">
        <v>1</v>
      </c>
      <c r="H284" t="s">
        <v>1159</v>
      </c>
      <c r="I284" t="s">
        <v>47</v>
      </c>
      <c r="J284">
        <v>0.41935483870967699</v>
      </c>
      <c r="K284">
        <v>0.453703703703704</v>
      </c>
      <c r="L284">
        <v>1</v>
      </c>
    </row>
    <row r="285" spans="2:12" ht="15" customHeight="1" x14ac:dyDescent="0.2">
      <c r="C285" t="s">
        <v>44</v>
      </c>
      <c r="D285">
        <v>0.44827586206896602</v>
      </c>
      <c r="E285">
        <v>0.35714285714285698</v>
      </c>
      <c r="F285">
        <v>1</v>
      </c>
      <c r="I285" t="s">
        <v>41</v>
      </c>
      <c r="J285">
        <v>0.44827586206896602</v>
      </c>
      <c r="K285">
        <v>0.35714285714285698</v>
      </c>
      <c r="L285">
        <v>1</v>
      </c>
    </row>
    <row r="286" spans="2:12" ht="15" customHeight="1" x14ac:dyDescent="0.2">
      <c r="B286" t="s">
        <v>1160</v>
      </c>
      <c r="C286" t="s">
        <v>52</v>
      </c>
      <c r="D286">
        <v>0.37962962962962998</v>
      </c>
      <c r="E286">
        <v>0.42727272727272703</v>
      </c>
      <c r="F286">
        <v>1</v>
      </c>
      <c r="H286" t="s">
        <v>1160</v>
      </c>
      <c r="I286" t="s">
        <v>40</v>
      </c>
      <c r="J286">
        <v>0.37962962962962998</v>
      </c>
      <c r="K286">
        <v>0.42727272727272703</v>
      </c>
      <c r="L286">
        <v>1</v>
      </c>
    </row>
    <row r="287" spans="2:12" ht="15" customHeight="1" x14ac:dyDescent="0.2">
      <c r="C287" t="s">
        <v>46</v>
      </c>
      <c r="D287">
        <v>0.33333333333333298</v>
      </c>
      <c r="E287">
        <v>0.55645161290322598</v>
      </c>
      <c r="F287">
        <v>1</v>
      </c>
      <c r="I287" t="s">
        <v>651</v>
      </c>
      <c r="J287">
        <v>0.33333333333333298</v>
      </c>
      <c r="K287">
        <v>0.55645161290322598</v>
      </c>
      <c r="L287">
        <v>1</v>
      </c>
    </row>
    <row r="288" spans="2:12" ht="15" customHeight="1" x14ac:dyDescent="0.2">
      <c r="B288" t="s">
        <v>1161</v>
      </c>
      <c r="C288" t="s">
        <v>55</v>
      </c>
      <c r="D288">
        <v>0.59090909090909105</v>
      </c>
      <c r="F288">
        <v>1</v>
      </c>
      <c r="H288" t="s">
        <v>1161</v>
      </c>
      <c r="I288" t="s">
        <v>50</v>
      </c>
      <c r="J288">
        <v>0.59090909090909105</v>
      </c>
      <c r="K288">
        <v>0.54032258064516103</v>
      </c>
      <c r="L288">
        <v>1</v>
      </c>
    </row>
    <row r="289" spans="2:12" ht="15" customHeight="1" x14ac:dyDescent="0.2">
      <c r="C289" t="s">
        <v>53</v>
      </c>
      <c r="D289">
        <v>0.429824561403509</v>
      </c>
      <c r="E289">
        <v>0.59836065573770503</v>
      </c>
      <c r="F289">
        <v>1</v>
      </c>
      <c r="I289" t="s">
        <v>48</v>
      </c>
      <c r="J289">
        <v>0.429824561403509</v>
      </c>
      <c r="K289">
        <v>0.59836065573770503</v>
      </c>
      <c r="L289">
        <v>1</v>
      </c>
    </row>
    <row r="290" spans="2:12" ht="15" customHeight="1" x14ac:dyDescent="0.2">
      <c r="B290" t="s">
        <v>1162</v>
      </c>
      <c r="C290" t="s">
        <v>45</v>
      </c>
      <c r="D290">
        <v>0.38596491228070201</v>
      </c>
      <c r="E290">
        <v>0.5</v>
      </c>
      <c r="F290">
        <v>1</v>
      </c>
      <c r="H290" t="s">
        <v>1162</v>
      </c>
      <c r="I290" t="s">
        <v>42</v>
      </c>
      <c r="J290">
        <v>0.38596491228070201</v>
      </c>
      <c r="K290">
        <v>0.5</v>
      </c>
      <c r="L290">
        <v>1</v>
      </c>
    </row>
    <row r="291" spans="2:12" ht="15" customHeight="1" x14ac:dyDescent="0.2">
      <c r="C291" t="s">
        <v>54</v>
      </c>
      <c r="D291">
        <v>0.59375</v>
      </c>
      <c r="E291">
        <v>0.62903225806451601</v>
      </c>
      <c r="F291">
        <v>1</v>
      </c>
      <c r="I291" t="s">
        <v>56</v>
      </c>
      <c r="J291">
        <v>0.59375</v>
      </c>
      <c r="K291">
        <v>0.62903225806451601</v>
      </c>
      <c r="L291">
        <v>1</v>
      </c>
    </row>
    <row r="292" spans="2:12" ht="15" customHeight="1" x14ac:dyDescent="0.2">
      <c r="B292" t="s">
        <v>1163</v>
      </c>
      <c r="C292" t="s">
        <v>57</v>
      </c>
      <c r="D292">
        <v>0.41935483870967699</v>
      </c>
      <c r="E292">
        <v>0.453703703703704</v>
      </c>
      <c r="F292">
        <v>1</v>
      </c>
      <c r="H292" t="s">
        <v>1163</v>
      </c>
      <c r="I292" t="s">
        <v>47</v>
      </c>
      <c r="J292">
        <v>0.41935483870967699</v>
      </c>
      <c r="K292">
        <v>0.453703703703704</v>
      </c>
      <c r="L292">
        <v>1</v>
      </c>
    </row>
    <row r="293" spans="2:12" ht="15" customHeight="1" x14ac:dyDescent="0.2">
      <c r="C293" t="s">
        <v>44</v>
      </c>
      <c r="D293">
        <v>0.44827586206896602</v>
      </c>
      <c r="E293">
        <v>0.35714285714285698</v>
      </c>
      <c r="F293">
        <v>1</v>
      </c>
      <c r="I293" t="s">
        <v>41</v>
      </c>
      <c r="J293">
        <v>0.44827586206896602</v>
      </c>
      <c r="K293">
        <v>0.35714285714285698</v>
      </c>
      <c r="L293">
        <v>1</v>
      </c>
    </row>
    <row r="294" spans="2:12" ht="15" customHeight="1" x14ac:dyDescent="0.2">
      <c r="B294" t="s">
        <v>1164</v>
      </c>
      <c r="C294" t="s">
        <v>52</v>
      </c>
      <c r="D294">
        <v>0.37962962962962998</v>
      </c>
      <c r="E294">
        <v>0.42727272727272703</v>
      </c>
      <c r="F294">
        <v>1</v>
      </c>
      <c r="H294" t="s">
        <v>1164</v>
      </c>
      <c r="I294" t="s">
        <v>40</v>
      </c>
      <c r="J294">
        <v>0.37962962962962998</v>
      </c>
      <c r="K294">
        <v>0.42727272727272703</v>
      </c>
      <c r="L294">
        <v>1</v>
      </c>
    </row>
    <row r="295" spans="2:12" ht="15" customHeight="1" x14ac:dyDescent="0.2">
      <c r="C295" t="s">
        <v>46</v>
      </c>
      <c r="D295">
        <v>0.33333333333333298</v>
      </c>
      <c r="E295">
        <v>0.55645161290322598</v>
      </c>
      <c r="F295">
        <v>1</v>
      </c>
      <c r="I295" t="s">
        <v>651</v>
      </c>
      <c r="J295">
        <v>0.33333333333333298</v>
      </c>
      <c r="K295">
        <v>0.55645161290322598</v>
      </c>
      <c r="L295">
        <v>1</v>
      </c>
    </row>
    <row r="296" spans="2:12" ht="15" customHeight="1" x14ac:dyDescent="0.2">
      <c r="B296" t="s">
        <v>1165</v>
      </c>
      <c r="C296" t="s">
        <v>50</v>
      </c>
      <c r="D296">
        <v>0.41935483870967699</v>
      </c>
      <c r="E296">
        <v>0.59090909090909105</v>
      </c>
      <c r="F296">
        <v>1</v>
      </c>
      <c r="H296" t="s">
        <v>1165</v>
      </c>
      <c r="I296" t="s">
        <v>53</v>
      </c>
      <c r="J296">
        <v>0.59836065573770503</v>
      </c>
      <c r="K296">
        <v>0.5</v>
      </c>
      <c r="L296">
        <v>1</v>
      </c>
    </row>
    <row r="297" spans="2:12" ht="15" customHeight="1" x14ac:dyDescent="0.2">
      <c r="C297" t="s">
        <v>44</v>
      </c>
      <c r="D297">
        <v>0.59836065573770503</v>
      </c>
      <c r="E297">
        <v>0.5</v>
      </c>
      <c r="F297">
        <v>1</v>
      </c>
      <c r="I297" t="s">
        <v>56</v>
      </c>
      <c r="J297">
        <v>0.41935483870967699</v>
      </c>
      <c r="K297">
        <v>0.59090909090909105</v>
      </c>
      <c r="L297">
        <v>1</v>
      </c>
    </row>
    <row r="298" spans="2:12" ht="15" customHeight="1" x14ac:dyDescent="0.2">
      <c r="B298" t="s">
        <v>1166</v>
      </c>
      <c r="C298" t="s">
        <v>55</v>
      </c>
      <c r="D298">
        <v>0.59375</v>
      </c>
      <c r="E298">
        <v>0.33333333333333298</v>
      </c>
      <c r="F298">
        <v>1</v>
      </c>
      <c r="H298" t="s">
        <v>1166</v>
      </c>
      <c r="I298" t="s">
        <v>52</v>
      </c>
      <c r="J298">
        <v>0.429824561403509</v>
      </c>
      <c r="K298">
        <v>0.37962962962962998</v>
      </c>
      <c r="L298">
        <v>1</v>
      </c>
    </row>
    <row r="299" spans="2:12" ht="15" customHeight="1" x14ac:dyDescent="0.2">
      <c r="C299" t="s">
        <v>45</v>
      </c>
      <c r="D299">
        <v>0.429824561403509</v>
      </c>
      <c r="E299">
        <v>0.37962962962962998</v>
      </c>
      <c r="F299">
        <v>1</v>
      </c>
      <c r="I299" t="s">
        <v>46</v>
      </c>
      <c r="J299">
        <v>0.59375</v>
      </c>
      <c r="K299">
        <v>0.33333333333333298</v>
      </c>
      <c r="L299">
        <v>1</v>
      </c>
    </row>
    <row r="300" spans="2:12" ht="15" customHeight="1" x14ac:dyDescent="0.2">
      <c r="B300" t="s">
        <v>1167</v>
      </c>
      <c r="C300" t="s">
        <v>47</v>
      </c>
      <c r="D300">
        <v>0.453703703703704</v>
      </c>
      <c r="E300">
        <v>0.54032258064516103</v>
      </c>
      <c r="F300">
        <v>1</v>
      </c>
      <c r="H300" t="s">
        <v>1167</v>
      </c>
      <c r="I300" t="s">
        <v>48</v>
      </c>
      <c r="J300">
        <v>0.35714285714285698</v>
      </c>
      <c r="K300">
        <v>0.42727272727272703</v>
      </c>
      <c r="L300">
        <v>1</v>
      </c>
    </row>
    <row r="301" spans="2:12" ht="15" customHeight="1" x14ac:dyDescent="0.2">
      <c r="C301" t="s">
        <v>41</v>
      </c>
      <c r="D301">
        <v>0.35714285714285698</v>
      </c>
      <c r="E301">
        <v>0.42727272727272703</v>
      </c>
      <c r="F301">
        <v>1</v>
      </c>
      <c r="I301" t="s">
        <v>651</v>
      </c>
      <c r="J301">
        <v>0.453703703703704</v>
      </c>
      <c r="K301">
        <v>0.54032258064516103</v>
      </c>
      <c r="L301">
        <v>1</v>
      </c>
    </row>
    <row r="302" spans="2:12" ht="15" customHeight="1" x14ac:dyDescent="0.2">
      <c r="B302" t="s">
        <v>1168</v>
      </c>
      <c r="C302" t="s">
        <v>57</v>
      </c>
      <c r="D302">
        <v>0.55645161290322598</v>
      </c>
      <c r="E302">
        <v>0.62903225806451601</v>
      </c>
      <c r="F302">
        <v>1</v>
      </c>
      <c r="H302" t="s">
        <v>1168</v>
      </c>
      <c r="I302" t="s">
        <v>54</v>
      </c>
      <c r="J302">
        <v>0.55645161290322598</v>
      </c>
      <c r="K302">
        <v>0.62903225806451601</v>
      </c>
      <c r="L302">
        <v>1</v>
      </c>
    </row>
    <row r="303" spans="2:12" ht="15" customHeight="1" x14ac:dyDescent="0.2">
      <c r="C303" t="s">
        <v>40</v>
      </c>
      <c r="D303">
        <v>0.44827586206896602</v>
      </c>
      <c r="E303">
        <v>0.38596491228070201</v>
      </c>
      <c r="F303">
        <v>1</v>
      </c>
      <c r="I303" t="s">
        <v>42</v>
      </c>
      <c r="J303">
        <v>0.44827586206896602</v>
      </c>
      <c r="K303">
        <v>0.38596491228070201</v>
      </c>
      <c r="L303">
        <v>1</v>
      </c>
    </row>
    <row r="304" spans="2:12" ht="15" customHeight="1" x14ac:dyDescent="0.2">
      <c r="B304" t="s">
        <v>1169</v>
      </c>
      <c r="C304" t="s">
        <v>50</v>
      </c>
      <c r="D304">
        <v>0.41935483870967699</v>
      </c>
      <c r="E304">
        <v>0.59090909090909105</v>
      </c>
      <c r="F304">
        <v>1</v>
      </c>
      <c r="H304" t="s">
        <v>1169</v>
      </c>
      <c r="I304" t="s">
        <v>53</v>
      </c>
      <c r="J304">
        <v>0.59836065573770503</v>
      </c>
      <c r="K304">
        <v>0.5</v>
      </c>
      <c r="L304">
        <v>1</v>
      </c>
    </row>
    <row r="305" spans="2:12" ht="15" customHeight="1" x14ac:dyDescent="0.2">
      <c r="C305" t="s">
        <v>44</v>
      </c>
      <c r="D305">
        <v>0.59836065573770503</v>
      </c>
      <c r="E305">
        <v>0.5</v>
      </c>
      <c r="F305">
        <v>1</v>
      </c>
      <c r="I305" t="s">
        <v>56</v>
      </c>
      <c r="J305">
        <v>0.41935483870967699</v>
      </c>
      <c r="K305">
        <v>0.59090909090909105</v>
      </c>
      <c r="L305">
        <v>1</v>
      </c>
    </row>
    <row r="306" spans="2:12" ht="15" customHeight="1" x14ac:dyDescent="0.2">
      <c r="B306" t="s">
        <v>1170</v>
      </c>
      <c r="C306" t="s">
        <v>55</v>
      </c>
      <c r="D306">
        <v>0.59375</v>
      </c>
      <c r="E306">
        <v>0.33333333333333298</v>
      </c>
      <c r="F306">
        <v>1</v>
      </c>
      <c r="H306" t="s">
        <v>1170</v>
      </c>
      <c r="I306" t="s">
        <v>52</v>
      </c>
      <c r="J306">
        <v>0.429824561403509</v>
      </c>
      <c r="K306">
        <v>0.37962962962962998</v>
      </c>
      <c r="L306">
        <v>1</v>
      </c>
    </row>
    <row r="307" spans="2:12" ht="15" customHeight="1" x14ac:dyDescent="0.2">
      <c r="C307" t="s">
        <v>45</v>
      </c>
      <c r="D307">
        <v>0.429824561403509</v>
      </c>
      <c r="E307">
        <v>0.37962962962962998</v>
      </c>
      <c r="F307">
        <v>1</v>
      </c>
      <c r="I307" t="s">
        <v>46</v>
      </c>
      <c r="J307">
        <v>0.59375</v>
      </c>
      <c r="K307">
        <v>0.33333333333333298</v>
      </c>
      <c r="L307">
        <v>1</v>
      </c>
    </row>
    <row r="308" spans="2:12" ht="15" customHeight="1" x14ac:dyDescent="0.2">
      <c r="B308" t="s">
        <v>1171</v>
      </c>
      <c r="C308" t="s">
        <v>47</v>
      </c>
      <c r="D308">
        <v>0.453703703703704</v>
      </c>
      <c r="E308">
        <v>0.54032258064516103</v>
      </c>
      <c r="F308">
        <v>1</v>
      </c>
      <c r="H308" t="s">
        <v>1171</v>
      </c>
      <c r="I308" t="s">
        <v>48</v>
      </c>
      <c r="J308">
        <v>0.35714285714285698</v>
      </c>
      <c r="K308">
        <v>0.42727272727272703</v>
      </c>
      <c r="L308">
        <v>1</v>
      </c>
    </row>
    <row r="309" spans="2:12" ht="15" customHeight="1" x14ac:dyDescent="0.2">
      <c r="C309" t="s">
        <v>41</v>
      </c>
      <c r="D309">
        <v>0.35714285714285698</v>
      </c>
      <c r="E309">
        <v>0.42727272727272703</v>
      </c>
      <c r="F309">
        <v>1</v>
      </c>
      <c r="I309" t="s">
        <v>651</v>
      </c>
      <c r="J309">
        <v>0.453703703703704</v>
      </c>
      <c r="K309">
        <v>0.54032258064516103</v>
      </c>
      <c r="L309">
        <v>1</v>
      </c>
    </row>
    <row r="310" spans="2:12" ht="15" customHeight="1" x14ac:dyDescent="0.2">
      <c r="B310" t="s">
        <v>1172</v>
      </c>
      <c r="C310" t="s">
        <v>55</v>
      </c>
      <c r="D310">
        <v>0.59090909090909105</v>
      </c>
      <c r="F310">
        <v>1</v>
      </c>
      <c r="H310" t="s">
        <v>1172</v>
      </c>
      <c r="I310" t="s">
        <v>50</v>
      </c>
      <c r="J310">
        <v>0.59090909090909105</v>
      </c>
      <c r="K310">
        <v>0.54032258064516103</v>
      </c>
      <c r="L310">
        <v>1</v>
      </c>
    </row>
    <row r="311" spans="2:12" ht="15" customHeight="1" x14ac:dyDescent="0.2">
      <c r="C311" t="s">
        <v>53</v>
      </c>
      <c r="D311">
        <v>0.429824561403509</v>
      </c>
      <c r="E311">
        <v>0.59836065573770503</v>
      </c>
      <c r="F311">
        <v>1</v>
      </c>
      <c r="I311" t="s">
        <v>48</v>
      </c>
      <c r="J311">
        <v>0.429824561403509</v>
      </c>
      <c r="K311">
        <v>0.59836065573770503</v>
      </c>
      <c r="L311">
        <v>1</v>
      </c>
    </row>
    <row r="312" spans="2:12" ht="15" customHeight="1" x14ac:dyDescent="0.2">
      <c r="B312" t="s">
        <v>1173</v>
      </c>
      <c r="C312" t="s">
        <v>44</v>
      </c>
      <c r="D312">
        <v>0.54545454545454497</v>
      </c>
      <c r="E312">
        <v>0.59836065573770503</v>
      </c>
      <c r="F312">
        <v>1</v>
      </c>
      <c r="H312" t="s">
        <v>1173</v>
      </c>
      <c r="I312" t="s">
        <v>50</v>
      </c>
      <c r="J312">
        <v>0.41935483870967699</v>
      </c>
      <c r="K312">
        <v>0.59090909090909105</v>
      </c>
      <c r="L312">
        <v>1</v>
      </c>
    </row>
    <row r="313" spans="2:12" ht="15" customHeight="1" x14ac:dyDescent="0.2">
      <c r="C313" t="s">
        <v>67</v>
      </c>
      <c r="D313">
        <v>0.41935483870967699</v>
      </c>
      <c r="E313">
        <v>0.59090909090909105</v>
      </c>
      <c r="F313">
        <v>1</v>
      </c>
      <c r="I313" t="s">
        <v>53</v>
      </c>
      <c r="J313">
        <v>0.54545454545454497</v>
      </c>
      <c r="K313">
        <v>0.59836065573770503</v>
      </c>
      <c r="L313">
        <v>1</v>
      </c>
    </row>
    <row r="314" spans="2:12" ht="15" customHeight="1" x14ac:dyDescent="0.2">
      <c r="B314" t="s">
        <v>1174</v>
      </c>
      <c r="C314" t="s">
        <v>63</v>
      </c>
      <c r="D314">
        <v>0.37962962962962998</v>
      </c>
      <c r="E314">
        <v>0.33333333333333298</v>
      </c>
      <c r="F314">
        <v>1</v>
      </c>
      <c r="H314" t="s">
        <v>1174</v>
      </c>
      <c r="I314" t="s">
        <v>66</v>
      </c>
      <c r="J314">
        <v>0.37962962962962998</v>
      </c>
      <c r="K314">
        <v>0.33333333333333298</v>
      </c>
      <c r="L314">
        <v>1</v>
      </c>
    </row>
    <row r="315" spans="2:12" ht="15" customHeight="1" x14ac:dyDescent="0.2">
      <c r="C315" t="s">
        <v>46</v>
      </c>
      <c r="D315">
        <v>0.46296296296296302</v>
      </c>
      <c r="E315">
        <v>0.63888888888888895</v>
      </c>
      <c r="F315">
        <v>1</v>
      </c>
      <c r="I315" t="s">
        <v>65</v>
      </c>
      <c r="J315">
        <v>0.46296296296296302</v>
      </c>
      <c r="K315">
        <v>0.63888888888888895</v>
      </c>
      <c r="L315">
        <v>1</v>
      </c>
    </row>
    <row r="316" spans="2:12" ht="15" customHeight="1" x14ac:dyDescent="0.2">
      <c r="B316" t="s">
        <v>1175</v>
      </c>
      <c r="C316" t="s">
        <v>55</v>
      </c>
      <c r="D316">
        <v>0.453703703703704</v>
      </c>
      <c r="E316">
        <v>0.5</v>
      </c>
      <c r="F316">
        <v>1</v>
      </c>
      <c r="H316" t="s">
        <v>1175</v>
      </c>
      <c r="I316" t="s">
        <v>54</v>
      </c>
      <c r="J316">
        <v>0.453703703703704</v>
      </c>
      <c r="K316">
        <v>0.5</v>
      </c>
      <c r="L316">
        <v>1</v>
      </c>
    </row>
    <row r="317" spans="2:12" ht="15" customHeight="1" x14ac:dyDescent="0.2">
      <c r="C317" t="s">
        <v>41</v>
      </c>
      <c r="D317">
        <v>0.429824561403509</v>
      </c>
      <c r="E317">
        <v>0.38596491228070201</v>
      </c>
      <c r="F317">
        <v>1</v>
      </c>
      <c r="I317" t="s">
        <v>62</v>
      </c>
      <c r="J317">
        <v>0.429824561403509</v>
      </c>
      <c r="K317">
        <v>0.38596491228070201</v>
      </c>
      <c r="L317">
        <v>1</v>
      </c>
    </row>
    <row r="318" spans="2:12" ht="15" customHeight="1" x14ac:dyDescent="0.2">
      <c r="B318" t="s">
        <v>1176</v>
      </c>
      <c r="C318" t="s">
        <v>40</v>
      </c>
      <c r="D318">
        <v>0.54032258064516103</v>
      </c>
      <c r="F318">
        <v>1</v>
      </c>
      <c r="H318" t="s">
        <v>1176</v>
      </c>
      <c r="I318" t="s">
        <v>60</v>
      </c>
      <c r="J318">
        <v>0.54032258064516103</v>
      </c>
      <c r="L318">
        <v>1</v>
      </c>
    </row>
    <row r="319" spans="2:12" ht="15" customHeight="1" x14ac:dyDescent="0.2">
      <c r="C319" t="s">
        <v>48</v>
      </c>
      <c r="D319">
        <v>0.55645161290322598</v>
      </c>
      <c r="E319">
        <v>0.50980392156862697</v>
      </c>
      <c r="F319">
        <v>1</v>
      </c>
      <c r="I319" t="s">
        <v>68</v>
      </c>
      <c r="J319">
        <v>0.55645161290322598</v>
      </c>
      <c r="K319">
        <v>0.50980392156862697</v>
      </c>
      <c r="L319">
        <v>1</v>
      </c>
    </row>
    <row r="320" spans="2:12" ht="15" customHeight="1" x14ac:dyDescent="0.2">
      <c r="B320" t="s">
        <v>1177</v>
      </c>
      <c r="C320" t="s">
        <v>45</v>
      </c>
      <c r="D320">
        <v>0.62903225806451601</v>
      </c>
      <c r="E320">
        <v>0.42727272727272703</v>
      </c>
      <c r="F320">
        <v>1</v>
      </c>
      <c r="H320" t="s">
        <v>1177</v>
      </c>
      <c r="I320" t="s">
        <v>52</v>
      </c>
      <c r="J320">
        <v>0.62903225806451601</v>
      </c>
      <c r="K320">
        <v>0.42727272727272703</v>
      </c>
      <c r="L320">
        <v>1</v>
      </c>
    </row>
    <row r="321" spans="2:12" ht="15" customHeight="1" x14ac:dyDescent="0.2">
      <c r="C321" t="s">
        <v>42</v>
      </c>
      <c r="D321">
        <v>0.59375</v>
      </c>
      <c r="E321">
        <v>0.33333333333333298</v>
      </c>
      <c r="F321">
        <v>1</v>
      </c>
      <c r="I321" t="s">
        <v>651</v>
      </c>
      <c r="J321">
        <v>0.59375</v>
      </c>
      <c r="K321">
        <v>0.33333333333333298</v>
      </c>
      <c r="L321">
        <v>1</v>
      </c>
    </row>
    <row r="322" spans="2:12" ht="15" customHeight="1" x14ac:dyDescent="0.2">
      <c r="B322" t="s">
        <v>1178</v>
      </c>
      <c r="C322" t="s">
        <v>44</v>
      </c>
      <c r="D322">
        <v>0.54545454545454497</v>
      </c>
      <c r="E322">
        <v>0.59836065573770503</v>
      </c>
      <c r="F322">
        <v>1</v>
      </c>
      <c r="H322" t="s">
        <v>1178</v>
      </c>
      <c r="I322" t="s">
        <v>50</v>
      </c>
      <c r="J322">
        <v>0.41935483870967699</v>
      </c>
      <c r="K322">
        <v>0.59090909090909105</v>
      </c>
      <c r="L322">
        <v>1</v>
      </c>
    </row>
    <row r="323" spans="2:12" ht="15" customHeight="1" x14ac:dyDescent="0.2">
      <c r="C323" t="s">
        <v>67</v>
      </c>
      <c r="D323">
        <v>0.41935483870967699</v>
      </c>
      <c r="E323">
        <v>0.59090909090909105</v>
      </c>
      <c r="F323">
        <v>1</v>
      </c>
      <c r="I323" t="s">
        <v>53</v>
      </c>
      <c r="J323">
        <v>0.54545454545454497</v>
      </c>
      <c r="K323">
        <v>0.59836065573770503</v>
      </c>
      <c r="L323">
        <v>1</v>
      </c>
    </row>
    <row r="324" spans="2:12" ht="15" customHeight="1" x14ac:dyDescent="0.2">
      <c r="B324" t="s">
        <v>1179</v>
      </c>
      <c r="C324" t="s">
        <v>63</v>
      </c>
      <c r="D324">
        <v>0.37962962962962998</v>
      </c>
      <c r="E324">
        <v>0.33333333333333298</v>
      </c>
      <c r="F324">
        <v>1</v>
      </c>
      <c r="H324" t="s">
        <v>1179</v>
      </c>
      <c r="I324" t="s">
        <v>66</v>
      </c>
      <c r="J324">
        <v>0.37962962962962998</v>
      </c>
      <c r="K324">
        <v>0.33333333333333298</v>
      </c>
      <c r="L324">
        <v>1</v>
      </c>
    </row>
    <row r="325" spans="2:12" ht="15" customHeight="1" x14ac:dyDescent="0.2">
      <c r="C325" t="s">
        <v>46</v>
      </c>
      <c r="D325">
        <v>0.46296296296296302</v>
      </c>
      <c r="E325">
        <v>0.63888888888888895</v>
      </c>
      <c r="F325">
        <v>1</v>
      </c>
      <c r="I325" t="s">
        <v>65</v>
      </c>
      <c r="J325">
        <v>0.46296296296296302</v>
      </c>
      <c r="K325">
        <v>0.63888888888888895</v>
      </c>
      <c r="L325">
        <v>1</v>
      </c>
    </row>
    <row r="326" spans="2:12" ht="15" customHeight="1" x14ac:dyDescent="0.2">
      <c r="B326" t="s">
        <v>1180</v>
      </c>
      <c r="C326" t="s">
        <v>55</v>
      </c>
      <c r="D326">
        <v>0.453703703703704</v>
      </c>
      <c r="E326">
        <v>0.5</v>
      </c>
      <c r="F326">
        <v>1</v>
      </c>
      <c r="H326" t="s">
        <v>1180</v>
      </c>
      <c r="I326" t="s">
        <v>54</v>
      </c>
      <c r="J326">
        <v>0.453703703703704</v>
      </c>
      <c r="K326">
        <v>0.5</v>
      </c>
      <c r="L326">
        <v>1</v>
      </c>
    </row>
    <row r="327" spans="2:12" ht="15" customHeight="1" x14ac:dyDescent="0.2">
      <c r="C327" t="s">
        <v>41</v>
      </c>
      <c r="D327">
        <v>0.429824561403509</v>
      </c>
      <c r="E327">
        <v>0.38596491228070201</v>
      </c>
      <c r="F327">
        <v>1</v>
      </c>
      <c r="I327" t="s">
        <v>62</v>
      </c>
      <c r="J327">
        <v>0.429824561403509</v>
      </c>
      <c r="K327">
        <v>0.38596491228070201</v>
      </c>
      <c r="L327">
        <v>1</v>
      </c>
    </row>
    <row r="328" spans="2:12" ht="15" customHeight="1" x14ac:dyDescent="0.2">
      <c r="B328" t="s">
        <v>1181</v>
      </c>
      <c r="C328" t="s">
        <v>40</v>
      </c>
      <c r="D328">
        <v>0.54032258064516103</v>
      </c>
      <c r="F328">
        <v>1</v>
      </c>
      <c r="H328" t="s">
        <v>1181</v>
      </c>
      <c r="I328" t="s">
        <v>60</v>
      </c>
      <c r="J328">
        <v>0.54032258064516103</v>
      </c>
      <c r="L328">
        <v>1</v>
      </c>
    </row>
    <row r="329" spans="2:12" ht="15" customHeight="1" x14ac:dyDescent="0.2">
      <c r="C329" t="s">
        <v>48</v>
      </c>
      <c r="D329">
        <v>0.55645161290322598</v>
      </c>
      <c r="E329">
        <v>0.50980392156862697</v>
      </c>
      <c r="F329">
        <v>1</v>
      </c>
      <c r="I329" t="s">
        <v>68</v>
      </c>
      <c r="J329">
        <v>0.55645161290322598</v>
      </c>
      <c r="K329">
        <v>0.50980392156862697</v>
      </c>
      <c r="L329">
        <v>1</v>
      </c>
    </row>
    <row r="330" spans="2:12" ht="15" customHeight="1" x14ac:dyDescent="0.2">
      <c r="B330" t="s">
        <v>1182</v>
      </c>
      <c r="C330" t="s">
        <v>45</v>
      </c>
      <c r="D330">
        <v>0.62903225806451601</v>
      </c>
      <c r="E330">
        <v>0.42727272727272703</v>
      </c>
      <c r="F330">
        <v>1</v>
      </c>
      <c r="H330" t="s">
        <v>1182</v>
      </c>
      <c r="I330" t="s">
        <v>52</v>
      </c>
      <c r="J330">
        <v>0.62903225806451601</v>
      </c>
      <c r="K330">
        <v>0.42727272727272703</v>
      </c>
      <c r="L330">
        <v>1</v>
      </c>
    </row>
    <row r="331" spans="2:12" ht="15" customHeight="1" x14ac:dyDescent="0.2">
      <c r="C331" t="s">
        <v>42</v>
      </c>
      <c r="D331">
        <v>0.59375</v>
      </c>
      <c r="E331">
        <v>0.33333333333333298</v>
      </c>
      <c r="F331">
        <v>1</v>
      </c>
      <c r="I331" t="s">
        <v>651</v>
      </c>
      <c r="J331">
        <v>0.59375</v>
      </c>
      <c r="K331">
        <v>0.33333333333333298</v>
      </c>
      <c r="L331">
        <v>1</v>
      </c>
    </row>
    <row r="332" spans="2:12" ht="15" customHeight="1" x14ac:dyDescent="0.2">
      <c r="B332" t="s">
        <v>1183</v>
      </c>
      <c r="C332" t="s">
        <v>61</v>
      </c>
      <c r="D332">
        <v>0.54545454545454497</v>
      </c>
      <c r="E332">
        <v>0.5</v>
      </c>
      <c r="F332">
        <v>1</v>
      </c>
      <c r="H332" t="s">
        <v>1183</v>
      </c>
      <c r="I332" t="s">
        <v>62</v>
      </c>
      <c r="J332">
        <v>0.5</v>
      </c>
      <c r="L332">
        <v>1</v>
      </c>
    </row>
    <row r="333" spans="2:12" ht="15" customHeight="1" x14ac:dyDescent="0.2">
      <c r="C333" t="s">
        <v>67</v>
      </c>
      <c r="D333">
        <v>0.5</v>
      </c>
      <c r="F333">
        <v>1</v>
      </c>
      <c r="I333" t="s">
        <v>68</v>
      </c>
      <c r="J333">
        <v>0.54545454545454497</v>
      </c>
      <c r="K333">
        <v>0.5</v>
      </c>
      <c r="L333">
        <v>1</v>
      </c>
    </row>
    <row r="334" spans="2:12" ht="15" customHeight="1" x14ac:dyDescent="0.2">
      <c r="B334" t="s">
        <v>1184</v>
      </c>
      <c r="C334" t="s">
        <v>55</v>
      </c>
      <c r="D334">
        <v>0.59375</v>
      </c>
      <c r="E334">
        <v>0.67500000000000004</v>
      </c>
      <c r="F334">
        <v>1</v>
      </c>
      <c r="H334" t="s">
        <v>1184</v>
      </c>
      <c r="I334" t="s">
        <v>42</v>
      </c>
      <c r="J334">
        <v>0.59375</v>
      </c>
      <c r="K334">
        <v>0.67500000000000004</v>
      </c>
      <c r="L334">
        <v>1</v>
      </c>
    </row>
    <row r="335" spans="2:12" ht="15" customHeight="1" x14ac:dyDescent="0.2">
      <c r="C335" t="s">
        <v>45</v>
      </c>
      <c r="D335">
        <v>0.429824561403509</v>
      </c>
      <c r="E335">
        <v>0.62903225806451601</v>
      </c>
      <c r="F335">
        <v>1</v>
      </c>
      <c r="I335" t="s">
        <v>64</v>
      </c>
      <c r="J335">
        <v>0.429824561403509</v>
      </c>
      <c r="K335">
        <v>0.62903225806451601</v>
      </c>
      <c r="L335">
        <v>1</v>
      </c>
    </row>
    <row r="336" spans="2:12" ht="15" customHeight="1" x14ac:dyDescent="0.2">
      <c r="B336" t="s">
        <v>1185</v>
      </c>
      <c r="C336" t="s">
        <v>63</v>
      </c>
      <c r="D336">
        <v>0.33333333333333298</v>
      </c>
      <c r="E336">
        <v>0.42727272727272703</v>
      </c>
      <c r="F336">
        <v>1</v>
      </c>
      <c r="H336" t="s">
        <v>1185</v>
      </c>
      <c r="I336" t="s">
        <v>41</v>
      </c>
      <c r="J336">
        <v>0.33333333333333298</v>
      </c>
      <c r="K336">
        <v>0.42727272727272703</v>
      </c>
      <c r="L336">
        <v>1</v>
      </c>
    </row>
    <row r="337" spans="2:12" ht="15" customHeight="1" x14ac:dyDescent="0.2">
      <c r="C337" t="s">
        <v>65</v>
      </c>
      <c r="D337">
        <v>0.46296296296296302</v>
      </c>
      <c r="E337">
        <v>0.453703703703704</v>
      </c>
      <c r="F337">
        <v>1</v>
      </c>
      <c r="I337" t="s">
        <v>651</v>
      </c>
      <c r="J337">
        <v>0.46296296296296302</v>
      </c>
      <c r="K337">
        <v>0.453703703703704</v>
      </c>
      <c r="L337">
        <v>1</v>
      </c>
    </row>
    <row r="338" spans="2:12" ht="15" customHeight="1" x14ac:dyDescent="0.2">
      <c r="B338" t="s">
        <v>1186</v>
      </c>
      <c r="C338" t="s">
        <v>52</v>
      </c>
      <c r="D338">
        <v>0.41935483870967699</v>
      </c>
      <c r="E338">
        <v>0.38596491228070201</v>
      </c>
      <c r="F338">
        <v>1</v>
      </c>
      <c r="H338" t="s">
        <v>1186</v>
      </c>
      <c r="I338" t="s">
        <v>54</v>
      </c>
      <c r="J338">
        <v>0.33333333333333298</v>
      </c>
      <c r="K338">
        <v>0.63888888888888895</v>
      </c>
      <c r="L338">
        <v>1</v>
      </c>
    </row>
    <row r="339" spans="2:12" ht="15" customHeight="1" x14ac:dyDescent="0.2">
      <c r="C339" t="s">
        <v>44</v>
      </c>
      <c r="D339">
        <v>0.33333333333333298</v>
      </c>
      <c r="E339">
        <v>0.63888888888888895</v>
      </c>
      <c r="F339">
        <v>1</v>
      </c>
      <c r="I339" t="s">
        <v>66</v>
      </c>
      <c r="J339">
        <v>0.41935483870967699</v>
      </c>
      <c r="K339">
        <v>0.38596491228070201</v>
      </c>
      <c r="L339">
        <v>1</v>
      </c>
    </row>
    <row r="340" spans="2:12" ht="15" customHeight="1" x14ac:dyDescent="0.2">
      <c r="B340" t="s">
        <v>1187</v>
      </c>
      <c r="C340" t="s">
        <v>50</v>
      </c>
      <c r="D340">
        <v>0.54032258064516103</v>
      </c>
      <c r="E340">
        <v>0.37962962962962998</v>
      </c>
      <c r="F340">
        <v>1</v>
      </c>
      <c r="H340" t="s">
        <v>1187</v>
      </c>
      <c r="I340" t="s">
        <v>40</v>
      </c>
      <c r="J340">
        <v>0.54032258064516103</v>
      </c>
      <c r="K340">
        <v>0.37962962962962998</v>
      </c>
      <c r="L340">
        <v>1</v>
      </c>
    </row>
    <row r="341" spans="2:12" ht="15" customHeight="1" x14ac:dyDescent="0.2">
      <c r="C341" t="s">
        <v>48</v>
      </c>
      <c r="D341">
        <v>0.59836065573770503</v>
      </c>
      <c r="E341">
        <v>0.55645161290322598</v>
      </c>
      <c r="F341">
        <v>1</v>
      </c>
      <c r="I341" t="s">
        <v>46</v>
      </c>
      <c r="J341">
        <v>0.59836065573770503</v>
      </c>
      <c r="K341">
        <v>0.55645161290322598</v>
      </c>
      <c r="L341">
        <v>1</v>
      </c>
    </row>
    <row r="342" spans="2:12" ht="15" customHeight="1" x14ac:dyDescent="0.2">
      <c r="B342" t="s">
        <v>1188</v>
      </c>
      <c r="C342" t="s">
        <v>61</v>
      </c>
      <c r="D342">
        <v>0.54545454545454497</v>
      </c>
      <c r="E342">
        <v>0.5</v>
      </c>
      <c r="F342">
        <v>1</v>
      </c>
      <c r="H342" t="s">
        <v>1188</v>
      </c>
      <c r="I342" t="s">
        <v>62</v>
      </c>
      <c r="J342">
        <v>0.5</v>
      </c>
      <c r="L342">
        <v>1</v>
      </c>
    </row>
    <row r="343" spans="2:12" ht="15" customHeight="1" x14ac:dyDescent="0.2">
      <c r="C343" t="s">
        <v>67</v>
      </c>
      <c r="D343">
        <v>0.5</v>
      </c>
      <c r="F343">
        <v>1</v>
      </c>
      <c r="I343" t="s">
        <v>68</v>
      </c>
      <c r="J343">
        <v>0.54545454545454497</v>
      </c>
      <c r="K343">
        <v>0.5</v>
      </c>
      <c r="L343">
        <v>1</v>
      </c>
    </row>
    <row r="344" spans="2:12" ht="15" customHeight="1" x14ac:dyDescent="0.2">
      <c r="B344" t="s">
        <v>1189</v>
      </c>
      <c r="C344" t="s">
        <v>55</v>
      </c>
      <c r="D344">
        <v>0.59375</v>
      </c>
      <c r="E344">
        <v>0.67500000000000004</v>
      </c>
      <c r="F344">
        <v>1</v>
      </c>
      <c r="H344" t="s">
        <v>1189</v>
      </c>
      <c r="I344" t="s">
        <v>42</v>
      </c>
      <c r="J344">
        <v>0.59375</v>
      </c>
      <c r="K344">
        <v>0.67500000000000004</v>
      </c>
      <c r="L344">
        <v>1</v>
      </c>
    </row>
    <row r="345" spans="2:12" ht="15" customHeight="1" x14ac:dyDescent="0.2">
      <c r="C345" t="s">
        <v>45</v>
      </c>
      <c r="D345">
        <v>0.429824561403509</v>
      </c>
      <c r="E345">
        <v>0.62903225806451601</v>
      </c>
      <c r="F345">
        <v>1</v>
      </c>
      <c r="I345" t="s">
        <v>64</v>
      </c>
      <c r="J345">
        <v>0.429824561403509</v>
      </c>
      <c r="K345">
        <v>0.62903225806451601</v>
      </c>
      <c r="L345">
        <v>1</v>
      </c>
    </row>
    <row r="346" spans="2:12" ht="15" customHeight="1" x14ac:dyDescent="0.2">
      <c r="B346" t="s">
        <v>1190</v>
      </c>
      <c r="C346" t="s">
        <v>63</v>
      </c>
      <c r="D346">
        <v>0.33333333333333298</v>
      </c>
      <c r="E346">
        <v>0.42727272727272703</v>
      </c>
      <c r="F346">
        <v>1</v>
      </c>
      <c r="H346" t="s">
        <v>1190</v>
      </c>
      <c r="I346" t="s">
        <v>41</v>
      </c>
      <c r="J346">
        <v>0.33333333333333298</v>
      </c>
      <c r="K346">
        <v>0.42727272727272703</v>
      </c>
      <c r="L346">
        <v>1</v>
      </c>
    </row>
    <row r="347" spans="2:12" ht="15" customHeight="1" x14ac:dyDescent="0.2">
      <c r="C347" t="s">
        <v>65</v>
      </c>
      <c r="D347">
        <v>0.46296296296296302</v>
      </c>
      <c r="E347">
        <v>0.453703703703704</v>
      </c>
      <c r="F347">
        <v>1</v>
      </c>
      <c r="I347" t="s">
        <v>651</v>
      </c>
      <c r="J347">
        <v>0.46296296296296302</v>
      </c>
      <c r="K347">
        <v>0.453703703703704</v>
      </c>
      <c r="L347">
        <v>1</v>
      </c>
    </row>
    <row r="348" spans="2:12" ht="15" customHeight="1" x14ac:dyDescent="0.2">
      <c r="B348" t="s">
        <v>1191</v>
      </c>
      <c r="C348" t="s">
        <v>52</v>
      </c>
      <c r="D348">
        <v>0.41935483870967699</v>
      </c>
      <c r="E348">
        <v>0.38596491228070201</v>
      </c>
      <c r="F348">
        <v>1</v>
      </c>
      <c r="H348" t="s">
        <v>1191</v>
      </c>
      <c r="I348" t="s">
        <v>54</v>
      </c>
      <c r="J348">
        <v>0.33333333333333298</v>
      </c>
      <c r="K348">
        <v>0.63888888888888895</v>
      </c>
      <c r="L348">
        <v>1</v>
      </c>
    </row>
    <row r="349" spans="2:12" ht="15" customHeight="1" x14ac:dyDescent="0.2">
      <c r="C349" t="s">
        <v>44</v>
      </c>
      <c r="D349">
        <v>0.33333333333333298</v>
      </c>
      <c r="E349">
        <v>0.63888888888888895</v>
      </c>
      <c r="F349">
        <v>1</v>
      </c>
      <c r="I349" t="s">
        <v>66</v>
      </c>
      <c r="J349">
        <v>0.41935483870967699</v>
      </c>
      <c r="K349">
        <v>0.38596491228070201</v>
      </c>
      <c r="L349">
        <v>1</v>
      </c>
    </row>
    <row r="350" spans="2:12" ht="15" customHeight="1" x14ac:dyDescent="0.2">
      <c r="B350" t="s">
        <v>1192</v>
      </c>
      <c r="C350" t="s">
        <v>50</v>
      </c>
      <c r="D350">
        <v>0.54032258064516103</v>
      </c>
      <c r="E350">
        <v>0.37962962962962998</v>
      </c>
      <c r="F350">
        <v>1</v>
      </c>
      <c r="H350" t="s">
        <v>1192</v>
      </c>
      <c r="I350" t="s">
        <v>40</v>
      </c>
      <c r="J350">
        <v>0.54032258064516103</v>
      </c>
      <c r="K350">
        <v>0.37962962962962998</v>
      </c>
      <c r="L350">
        <v>1</v>
      </c>
    </row>
    <row r="351" spans="2:12" ht="15" customHeight="1" x14ac:dyDescent="0.2">
      <c r="C351" t="s">
        <v>48</v>
      </c>
      <c r="D351">
        <v>0.59836065573770503</v>
      </c>
      <c r="E351">
        <v>0.55645161290322598</v>
      </c>
      <c r="F351">
        <v>1</v>
      </c>
      <c r="I351" t="s">
        <v>46</v>
      </c>
      <c r="J351">
        <v>0.59836065573770503</v>
      </c>
      <c r="K351">
        <v>0.55645161290322598</v>
      </c>
      <c r="L351">
        <v>1</v>
      </c>
    </row>
    <row r="352" spans="2:12" ht="15" customHeight="1" x14ac:dyDescent="0.2">
      <c r="B352" t="s">
        <v>1193</v>
      </c>
      <c r="C352" t="s">
        <v>55</v>
      </c>
      <c r="D352">
        <v>0.33333333333333298</v>
      </c>
      <c r="E352">
        <v>0.37962962962962998</v>
      </c>
      <c r="F352">
        <v>1</v>
      </c>
      <c r="H352" t="s">
        <v>1193</v>
      </c>
      <c r="I352" t="s">
        <v>41</v>
      </c>
      <c r="J352">
        <v>0.33333333333333298</v>
      </c>
      <c r="K352">
        <v>0.37962962962962998</v>
      </c>
      <c r="L352">
        <v>1</v>
      </c>
    </row>
    <row r="353" spans="2:12" ht="15" customHeight="1" x14ac:dyDescent="0.2">
      <c r="C353" t="s">
        <v>52</v>
      </c>
      <c r="D353">
        <v>0.429824561403509</v>
      </c>
      <c r="E353">
        <v>0.453703703703704</v>
      </c>
      <c r="F353">
        <v>1</v>
      </c>
      <c r="I353" t="s">
        <v>46</v>
      </c>
      <c r="J353">
        <v>0.429824561403509</v>
      </c>
      <c r="K353">
        <v>0.453703703703704</v>
      </c>
      <c r="L353">
        <v>1</v>
      </c>
    </row>
    <row r="354" spans="2:12" ht="15" customHeight="1" x14ac:dyDescent="0.2">
      <c r="B354" t="s">
        <v>1194</v>
      </c>
      <c r="C354" t="s">
        <v>50</v>
      </c>
      <c r="D354">
        <v>0.62903225806451601</v>
      </c>
      <c r="E354">
        <v>0.50980392156862697</v>
      </c>
      <c r="F354">
        <v>1</v>
      </c>
      <c r="H354" t="s">
        <v>1194</v>
      </c>
      <c r="I354" t="s">
        <v>40</v>
      </c>
      <c r="J354">
        <v>0.62903225806451601</v>
      </c>
      <c r="K354">
        <v>0.50980392156862697</v>
      </c>
      <c r="L354">
        <v>1</v>
      </c>
    </row>
    <row r="355" spans="2:12" ht="15" customHeight="1" x14ac:dyDescent="0.2">
      <c r="C355" t="s">
        <v>42</v>
      </c>
      <c r="D355">
        <v>0.59836065573770503</v>
      </c>
      <c r="E355">
        <v>0.55645161290322598</v>
      </c>
      <c r="F355">
        <v>1</v>
      </c>
      <c r="I355" t="s">
        <v>60</v>
      </c>
      <c r="J355">
        <v>0.59836065573770503</v>
      </c>
      <c r="K355">
        <v>0.55645161290322598</v>
      </c>
      <c r="L355">
        <v>1</v>
      </c>
    </row>
    <row r="356" spans="2:12" ht="15" customHeight="1" x14ac:dyDescent="0.2">
      <c r="B356" t="s">
        <v>1195</v>
      </c>
      <c r="C356" t="s">
        <v>44</v>
      </c>
      <c r="D356">
        <v>0.59090909090909105</v>
      </c>
      <c r="F356">
        <v>1</v>
      </c>
      <c r="H356" t="s">
        <v>1195</v>
      </c>
      <c r="I356" t="s">
        <v>48</v>
      </c>
      <c r="J356">
        <v>0.59090909090909105</v>
      </c>
      <c r="K356">
        <v>0.5</v>
      </c>
      <c r="L356">
        <v>1</v>
      </c>
    </row>
    <row r="357" spans="2:12" ht="15" customHeight="1" x14ac:dyDescent="0.2">
      <c r="C357" t="s">
        <v>53</v>
      </c>
      <c r="D357">
        <v>0.41935483870967699</v>
      </c>
      <c r="E357">
        <v>0.54032258064516103</v>
      </c>
      <c r="F357">
        <v>1</v>
      </c>
      <c r="I357" t="s">
        <v>62</v>
      </c>
      <c r="J357">
        <v>0.41935483870967699</v>
      </c>
      <c r="K357">
        <v>0.54032258064516103</v>
      </c>
      <c r="L357">
        <v>1</v>
      </c>
    </row>
    <row r="358" spans="2:12" ht="15" customHeight="1" x14ac:dyDescent="0.2">
      <c r="B358" t="s">
        <v>1196</v>
      </c>
      <c r="C358" t="s">
        <v>45</v>
      </c>
      <c r="D358">
        <v>0.6875</v>
      </c>
      <c r="E358">
        <v>0.5</v>
      </c>
      <c r="F358">
        <v>1</v>
      </c>
      <c r="H358" t="s">
        <v>1196</v>
      </c>
      <c r="I358" t="s">
        <v>61</v>
      </c>
      <c r="J358">
        <v>0.59375</v>
      </c>
      <c r="K358">
        <v>0.33333333333333298</v>
      </c>
      <c r="L358">
        <v>1</v>
      </c>
    </row>
    <row r="359" spans="2:12" ht="15" customHeight="1" x14ac:dyDescent="0.2">
      <c r="C359" t="s">
        <v>58</v>
      </c>
      <c r="D359">
        <v>0.59375</v>
      </c>
      <c r="E359">
        <v>0.33333333333333298</v>
      </c>
      <c r="F359">
        <v>1</v>
      </c>
      <c r="I359" t="s">
        <v>69</v>
      </c>
      <c r="J359">
        <v>0.6875</v>
      </c>
      <c r="K359">
        <v>0.5</v>
      </c>
      <c r="L359">
        <v>1</v>
      </c>
    </row>
    <row r="360" spans="2:12" ht="15" customHeight="1" x14ac:dyDescent="0.2">
      <c r="B360" t="s">
        <v>1197</v>
      </c>
      <c r="C360" t="s">
        <v>55</v>
      </c>
      <c r="D360">
        <v>0.33333333333333298</v>
      </c>
      <c r="E360">
        <v>0.37962962962962998</v>
      </c>
      <c r="F360">
        <v>1</v>
      </c>
      <c r="H360" t="s">
        <v>1197</v>
      </c>
      <c r="I360" t="s">
        <v>41</v>
      </c>
      <c r="J360">
        <v>0.33333333333333298</v>
      </c>
      <c r="K360">
        <v>0.37962962962962998</v>
      </c>
      <c r="L360">
        <v>1</v>
      </c>
    </row>
    <row r="361" spans="2:12" ht="15" customHeight="1" x14ac:dyDescent="0.2">
      <c r="C361" t="s">
        <v>52</v>
      </c>
      <c r="D361">
        <v>0.429824561403509</v>
      </c>
      <c r="E361">
        <v>0.453703703703704</v>
      </c>
      <c r="F361">
        <v>1</v>
      </c>
      <c r="I361" t="s">
        <v>46</v>
      </c>
      <c r="J361">
        <v>0.429824561403509</v>
      </c>
      <c r="K361">
        <v>0.453703703703704</v>
      </c>
      <c r="L361">
        <v>1</v>
      </c>
    </row>
    <row r="362" spans="2:12" ht="15" customHeight="1" x14ac:dyDescent="0.2">
      <c r="B362" t="s">
        <v>1198</v>
      </c>
      <c r="C362" t="s">
        <v>50</v>
      </c>
      <c r="D362">
        <v>0.62903225806451601</v>
      </c>
      <c r="E362">
        <v>0.50980392156862697</v>
      </c>
      <c r="F362">
        <v>1</v>
      </c>
      <c r="H362" t="s">
        <v>1198</v>
      </c>
      <c r="I362" t="s">
        <v>40</v>
      </c>
      <c r="J362">
        <v>0.62903225806451601</v>
      </c>
      <c r="K362">
        <v>0.50980392156862697</v>
      </c>
      <c r="L362">
        <v>1</v>
      </c>
    </row>
    <row r="363" spans="2:12" ht="15" customHeight="1" x14ac:dyDescent="0.2">
      <c r="C363" t="s">
        <v>42</v>
      </c>
      <c r="D363">
        <v>0.59836065573770503</v>
      </c>
      <c r="E363">
        <v>0.55645161290322598</v>
      </c>
      <c r="F363">
        <v>1</v>
      </c>
      <c r="I363" t="s">
        <v>60</v>
      </c>
      <c r="J363">
        <v>0.59836065573770503</v>
      </c>
      <c r="K363">
        <v>0.55645161290322598</v>
      </c>
      <c r="L363">
        <v>1</v>
      </c>
    </row>
    <row r="364" spans="2:12" ht="15" customHeight="1" x14ac:dyDescent="0.2">
      <c r="B364" t="s">
        <v>1199</v>
      </c>
      <c r="C364" t="s">
        <v>44</v>
      </c>
      <c r="D364">
        <v>0.59090909090909105</v>
      </c>
      <c r="F364">
        <v>1</v>
      </c>
      <c r="H364" t="s">
        <v>1199</v>
      </c>
      <c r="I364" t="s">
        <v>48</v>
      </c>
      <c r="J364">
        <v>0.59090909090909105</v>
      </c>
      <c r="K364">
        <v>0.5</v>
      </c>
      <c r="L364">
        <v>1</v>
      </c>
    </row>
    <row r="365" spans="2:12" ht="15" customHeight="1" x14ac:dyDescent="0.2">
      <c r="C365" t="s">
        <v>53</v>
      </c>
      <c r="D365">
        <v>0.41935483870967699</v>
      </c>
      <c r="E365">
        <v>0.54032258064516103</v>
      </c>
      <c r="F365">
        <v>1</v>
      </c>
      <c r="I365" t="s">
        <v>62</v>
      </c>
      <c r="J365">
        <v>0.41935483870967699</v>
      </c>
      <c r="K365">
        <v>0.54032258064516103</v>
      </c>
      <c r="L365">
        <v>1</v>
      </c>
    </row>
    <row r="366" spans="2:12" ht="15" customHeight="1" x14ac:dyDescent="0.2">
      <c r="B366" t="s">
        <v>1200</v>
      </c>
      <c r="C366" t="s">
        <v>45</v>
      </c>
      <c r="D366">
        <v>0.6875</v>
      </c>
      <c r="E366">
        <v>0.5</v>
      </c>
      <c r="F366">
        <v>1</v>
      </c>
      <c r="H366" t="s">
        <v>1200</v>
      </c>
      <c r="I366" t="s">
        <v>61</v>
      </c>
      <c r="J366">
        <v>0.59375</v>
      </c>
      <c r="K366">
        <v>0.33333333333333298</v>
      </c>
      <c r="L366">
        <v>1</v>
      </c>
    </row>
    <row r="367" spans="2:12" ht="15" customHeight="1" x14ac:dyDescent="0.2">
      <c r="C367" t="s">
        <v>58</v>
      </c>
      <c r="D367">
        <v>0.59375</v>
      </c>
      <c r="E367">
        <v>0.33333333333333298</v>
      </c>
      <c r="F367">
        <v>1</v>
      </c>
      <c r="I367" t="s">
        <v>69</v>
      </c>
      <c r="J367">
        <v>0.6875</v>
      </c>
      <c r="K367">
        <v>0.5</v>
      </c>
      <c r="L367">
        <v>1</v>
      </c>
    </row>
    <row r="368" spans="2:12" ht="15" customHeight="1" x14ac:dyDescent="0.2">
      <c r="B368" t="s">
        <v>1201</v>
      </c>
      <c r="C368" t="s">
        <v>63</v>
      </c>
      <c r="D368">
        <v>0.67500000000000004</v>
      </c>
      <c r="E368">
        <v>0.38596491228070201</v>
      </c>
      <c r="F368">
        <v>1</v>
      </c>
      <c r="H368" t="s">
        <v>1201</v>
      </c>
      <c r="I368" t="s">
        <v>54</v>
      </c>
      <c r="J368">
        <v>0.46296296296296302</v>
      </c>
      <c r="K368">
        <v>0.63888888888888895</v>
      </c>
      <c r="L368">
        <v>1</v>
      </c>
    </row>
    <row r="369" spans="2:12" ht="15" customHeight="1" x14ac:dyDescent="0.2">
      <c r="C369" t="s">
        <v>64</v>
      </c>
      <c r="D369">
        <v>0.46296296296296302</v>
      </c>
      <c r="E369">
        <v>0.63888888888888895</v>
      </c>
      <c r="F369">
        <v>1</v>
      </c>
      <c r="I369" t="s">
        <v>66</v>
      </c>
      <c r="J369">
        <v>0.67500000000000004</v>
      </c>
      <c r="K369">
        <v>0.38596491228070201</v>
      </c>
      <c r="L369">
        <v>1</v>
      </c>
    </row>
    <row r="370" spans="2:12" ht="15" customHeight="1" x14ac:dyDescent="0.2">
      <c r="B370" t="s">
        <v>1202</v>
      </c>
      <c r="C370" t="s">
        <v>55</v>
      </c>
      <c r="D370">
        <v>0.37962962962962998</v>
      </c>
      <c r="E370">
        <v>0.5</v>
      </c>
      <c r="F370">
        <v>1</v>
      </c>
      <c r="H370" t="s">
        <v>1202</v>
      </c>
      <c r="I370" t="s">
        <v>62</v>
      </c>
      <c r="J370">
        <v>0.429824561403509</v>
      </c>
      <c r="K370">
        <v>0.33333333333333298</v>
      </c>
      <c r="L370">
        <v>1</v>
      </c>
    </row>
    <row r="371" spans="2:12" ht="15" customHeight="1" x14ac:dyDescent="0.2">
      <c r="C371" t="s">
        <v>46</v>
      </c>
      <c r="D371">
        <v>0.429824561403509</v>
      </c>
      <c r="E371">
        <v>0.33333333333333298</v>
      </c>
      <c r="F371">
        <v>1</v>
      </c>
      <c r="I371" t="s">
        <v>69</v>
      </c>
      <c r="J371">
        <v>0.37962962962962998</v>
      </c>
      <c r="K371">
        <v>0.5</v>
      </c>
      <c r="L371">
        <v>1</v>
      </c>
    </row>
    <row r="372" spans="2:12" ht="15" customHeight="1" x14ac:dyDescent="0.2">
      <c r="B372" t="s">
        <v>1203</v>
      </c>
      <c r="C372" t="s">
        <v>52</v>
      </c>
      <c r="D372">
        <v>0.46296296296296302</v>
      </c>
      <c r="E372">
        <v>0.453703703703704</v>
      </c>
      <c r="F372">
        <v>1</v>
      </c>
      <c r="H372" t="s">
        <v>1203</v>
      </c>
      <c r="I372" t="s">
        <v>41</v>
      </c>
      <c r="J372">
        <v>0.33333333333333298</v>
      </c>
      <c r="K372">
        <v>0.62903225806451601</v>
      </c>
      <c r="L372">
        <v>1</v>
      </c>
    </row>
    <row r="373" spans="2:12" ht="15" customHeight="1" x14ac:dyDescent="0.2">
      <c r="C373" t="s">
        <v>63</v>
      </c>
      <c r="D373">
        <v>0.33333333333333298</v>
      </c>
      <c r="E373">
        <v>0.62903225806451601</v>
      </c>
      <c r="F373">
        <v>1</v>
      </c>
      <c r="I373" t="s">
        <v>42</v>
      </c>
      <c r="J373">
        <v>0.46296296296296302</v>
      </c>
      <c r="K373">
        <v>0.453703703703704</v>
      </c>
      <c r="L373">
        <v>1</v>
      </c>
    </row>
    <row r="374" spans="2:12" ht="15" customHeight="1" x14ac:dyDescent="0.2">
      <c r="B374" t="s">
        <v>1204</v>
      </c>
      <c r="C374" t="s">
        <v>48</v>
      </c>
      <c r="D374">
        <v>0.67500000000000004</v>
      </c>
      <c r="E374">
        <v>0.6875</v>
      </c>
      <c r="F374">
        <v>1</v>
      </c>
      <c r="H374" t="s">
        <v>1204</v>
      </c>
      <c r="I374" t="s">
        <v>66</v>
      </c>
      <c r="J374">
        <v>0.67500000000000004</v>
      </c>
      <c r="K374">
        <v>0.6875</v>
      </c>
      <c r="L374">
        <v>1</v>
      </c>
    </row>
    <row r="375" spans="2:12" ht="15" customHeight="1" x14ac:dyDescent="0.2">
      <c r="C375" t="s">
        <v>64</v>
      </c>
      <c r="D375">
        <v>0.54032258064516103</v>
      </c>
      <c r="E375">
        <v>0.63888888888888895</v>
      </c>
      <c r="F375">
        <v>1</v>
      </c>
      <c r="I375" t="s">
        <v>58</v>
      </c>
      <c r="J375">
        <v>0.54032258064516103</v>
      </c>
      <c r="K375">
        <v>0.63888888888888895</v>
      </c>
      <c r="L375">
        <v>1</v>
      </c>
    </row>
    <row r="376" spans="2:12" ht="15" customHeight="1" x14ac:dyDescent="0.2">
      <c r="B376" t="s">
        <v>1205</v>
      </c>
      <c r="C376" t="s">
        <v>45</v>
      </c>
      <c r="D376">
        <v>0.5</v>
      </c>
      <c r="E376">
        <v>0.38596491228070201</v>
      </c>
      <c r="F376">
        <v>1</v>
      </c>
      <c r="H376" t="s">
        <v>1205</v>
      </c>
      <c r="I376" t="s">
        <v>54</v>
      </c>
      <c r="J376">
        <v>0.59375</v>
      </c>
      <c r="K376">
        <v>0.55645161290322598</v>
      </c>
      <c r="L376">
        <v>1</v>
      </c>
    </row>
    <row r="377" spans="2:12" ht="15" customHeight="1" x14ac:dyDescent="0.2">
      <c r="C377" t="s">
        <v>61</v>
      </c>
      <c r="D377">
        <v>0.59375</v>
      </c>
      <c r="E377">
        <v>0.55645161290322598</v>
      </c>
      <c r="F377">
        <v>1</v>
      </c>
      <c r="I377" t="s">
        <v>40</v>
      </c>
      <c r="J377">
        <v>0.5</v>
      </c>
      <c r="K377">
        <v>0.38596491228070201</v>
      </c>
      <c r="L377">
        <v>1</v>
      </c>
    </row>
    <row r="378" spans="2:12" ht="15" customHeight="1" x14ac:dyDescent="0.2">
      <c r="B378" t="s">
        <v>1206</v>
      </c>
      <c r="C378" t="s">
        <v>50</v>
      </c>
      <c r="D378">
        <v>0.59090909090909105</v>
      </c>
      <c r="F378">
        <v>1</v>
      </c>
      <c r="H378" t="s">
        <v>1206</v>
      </c>
      <c r="I378" t="s">
        <v>44</v>
      </c>
      <c r="J378">
        <v>0.59090909090909105</v>
      </c>
      <c r="K378">
        <v>0.50980392156862697</v>
      </c>
      <c r="L378">
        <v>1</v>
      </c>
    </row>
    <row r="379" spans="2:12" ht="15" customHeight="1" x14ac:dyDescent="0.2">
      <c r="C379" t="s">
        <v>53</v>
      </c>
      <c r="D379">
        <v>0.59836065573770503</v>
      </c>
      <c r="E379">
        <v>0.41935483870967699</v>
      </c>
      <c r="F379">
        <v>1</v>
      </c>
      <c r="I379" t="s">
        <v>60</v>
      </c>
      <c r="J379">
        <v>0.59836065573770503</v>
      </c>
      <c r="K379">
        <v>0.41935483870967699</v>
      </c>
      <c r="L379">
        <v>1</v>
      </c>
    </row>
    <row r="380" spans="2:12" ht="15" customHeight="1" x14ac:dyDescent="0.2">
      <c r="B380" t="s">
        <v>1207</v>
      </c>
      <c r="C380" t="s">
        <v>55</v>
      </c>
      <c r="D380">
        <v>0.37962962962962998</v>
      </c>
      <c r="E380">
        <v>0.5</v>
      </c>
      <c r="F380">
        <v>1</v>
      </c>
      <c r="H380" t="s">
        <v>1207</v>
      </c>
      <c r="I380" t="s">
        <v>62</v>
      </c>
      <c r="J380">
        <v>0.429824561403509</v>
      </c>
      <c r="K380">
        <v>0.33333333333333298</v>
      </c>
      <c r="L380">
        <v>1</v>
      </c>
    </row>
    <row r="381" spans="2:12" ht="15" customHeight="1" x14ac:dyDescent="0.2">
      <c r="C381" t="s">
        <v>46</v>
      </c>
      <c r="D381">
        <v>0.429824561403509</v>
      </c>
      <c r="E381">
        <v>0.33333333333333298</v>
      </c>
      <c r="F381">
        <v>1</v>
      </c>
      <c r="I381" t="s">
        <v>69</v>
      </c>
      <c r="J381">
        <v>0.37962962962962998</v>
      </c>
      <c r="K381">
        <v>0.5</v>
      </c>
      <c r="L381">
        <v>1</v>
      </c>
    </row>
    <row r="382" spans="2:12" ht="15" customHeight="1" x14ac:dyDescent="0.2">
      <c r="B382" t="s">
        <v>1208</v>
      </c>
      <c r="C382" t="s">
        <v>52</v>
      </c>
      <c r="D382">
        <v>0.46296296296296302</v>
      </c>
      <c r="E382">
        <v>0.453703703703704</v>
      </c>
      <c r="F382">
        <v>1</v>
      </c>
      <c r="H382" t="s">
        <v>1208</v>
      </c>
      <c r="I382" t="s">
        <v>41</v>
      </c>
      <c r="J382">
        <v>0.33333333333333298</v>
      </c>
      <c r="K382">
        <v>0.62903225806451601</v>
      </c>
      <c r="L382">
        <v>1</v>
      </c>
    </row>
    <row r="383" spans="2:12" ht="15" customHeight="1" x14ac:dyDescent="0.2">
      <c r="C383" t="s">
        <v>63</v>
      </c>
      <c r="D383">
        <v>0.33333333333333298</v>
      </c>
      <c r="E383">
        <v>0.62903225806451601</v>
      </c>
      <c r="F383">
        <v>1</v>
      </c>
      <c r="I383" t="s">
        <v>42</v>
      </c>
      <c r="J383">
        <v>0.46296296296296302</v>
      </c>
      <c r="K383">
        <v>0.453703703703704</v>
      </c>
      <c r="L383">
        <v>1</v>
      </c>
    </row>
    <row r="384" spans="2:12" ht="15" customHeight="1" x14ac:dyDescent="0.2">
      <c r="B384" t="s">
        <v>1209</v>
      </c>
      <c r="C384" t="s">
        <v>48</v>
      </c>
      <c r="D384">
        <v>0.67500000000000004</v>
      </c>
      <c r="E384">
        <v>0.6875</v>
      </c>
      <c r="F384">
        <v>1</v>
      </c>
      <c r="H384" t="s">
        <v>1209</v>
      </c>
      <c r="I384" t="s">
        <v>66</v>
      </c>
      <c r="J384">
        <v>0.67500000000000004</v>
      </c>
      <c r="K384">
        <v>0.6875</v>
      </c>
      <c r="L384">
        <v>1</v>
      </c>
    </row>
    <row r="385" spans="2:12" ht="15" customHeight="1" x14ac:dyDescent="0.2">
      <c r="C385" t="s">
        <v>64</v>
      </c>
      <c r="D385">
        <v>0.54032258064516103</v>
      </c>
      <c r="E385">
        <v>0.63888888888888895</v>
      </c>
      <c r="F385">
        <v>1</v>
      </c>
      <c r="I385" t="s">
        <v>58</v>
      </c>
      <c r="J385">
        <v>0.54032258064516103</v>
      </c>
      <c r="K385">
        <v>0.63888888888888895</v>
      </c>
      <c r="L385">
        <v>1</v>
      </c>
    </row>
    <row r="386" spans="2:12" ht="15" customHeight="1" x14ac:dyDescent="0.2">
      <c r="B386" t="s">
        <v>1210</v>
      </c>
      <c r="C386" t="s">
        <v>45</v>
      </c>
      <c r="D386">
        <v>0.5</v>
      </c>
      <c r="E386">
        <v>0.38596491228070201</v>
      </c>
      <c r="F386">
        <v>1</v>
      </c>
      <c r="H386" t="s">
        <v>1210</v>
      </c>
      <c r="I386" t="s">
        <v>54</v>
      </c>
      <c r="J386">
        <v>0.59375</v>
      </c>
      <c r="K386">
        <v>0.55645161290322598</v>
      </c>
      <c r="L386">
        <v>1</v>
      </c>
    </row>
    <row r="387" spans="2:12" ht="15" customHeight="1" x14ac:dyDescent="0.2">
      <c r="C387" t="s">
        <v>61</v>
      </c>
      <c r="D387">
        <v>0.59375</v>
      </c>
      <c r="E387">
        <v>0.55645161290322598</v>
      </c>
      <c r="F387">
        <v>1</v>
      </c>
      <c r="I387" t="s">
        <v>40</v>
      </c>
      <c r="J387">
        <v>0.5</v>
      </c>
      <c r="K387">
        <v>0.38596491228070201</v>
      </c>
      <c r="L387">
        <v>1</v>
      </c>
    </row>
    <row r="388" spans="2:12" ht="15" customHeight="1" x14ac:dyDescent="0.2">
      <c r="B388" t="s">
        <v>1211</v>
      </c>
      <c r="C388" t="s">
        <v>50</v>
      </c>
      <c r="D388">
        <v>0.59090909090909105</v>
      </c>
      <c r="F388">
        <v>1</v>
      </c>
      <c r="H388" t="s">
        <v>1211</v>
      </c>
      <c r="I388" t="s">
        <v>44</v>
      </c>
      <c r="J388">
        <v>0.59090909090909105</v>
      </c>
      <c r="K388">
        <v>0.50980392156862697</v>
      </c>
      <c r="L388">
        <v>1</v>
      </c>
    </row>
    <row r="389" spans="2:12" ht="15" customHeight="1" x14ac:dyDescent="0.2">
      <c r="C389" t="s">
        <v>53</v>
      </c>
      <c r="D389">
        <v>0.59836065573770503</v>
      </c>
      <c r="E389">
        <v>0.41935483870967699</v>
      </c>
      <c r="F389">
        <v>1</v>
      </c>
      <c r="I389" t="s">
        <v>60</v>
      </c>
      <c r="J389">
        <v>0.59836065573770503</v>
      </c>
      <c r="K389">
        <v>0.41935483870967699</v>
      </c>
      <c r="L389">
        <v>1</v>
      </c>
    </row>
    <row r="390" spans="2:12" ht="15" customHeight="1" x14ac:dyDescent="0.2">
      <c r="B390" t="s">
        <v>1105</v>
      </c>
      <c r="C390" t="s">
        <v>63</v>
      </c>
      <c r="D390">
        <v>0.38596491228070201</v>
      </c>
      <c r="E390">
        <v>0.5</v>
      </c>
      <c r="F390">
        <v>1</v>
      </c>
      <c r="H390" t="s">
        <v>1105</v>
      </c>
      <c r="I390" t="s">
        <v>50</v>
      </c>
      <c r="J390">
        <v>0.38596491228070201</v>
      </c>
      <c r="K390">
        <v>0.5</v>
      </c>
      <c r="L390">
        <v>1</v>
      </c>
    </row>
    <row r="391" spans="2:12" ht="15" customHeight="1" x14ac:dyDescent="0.2">
      <c r="C391" t="s">
        <v>54</v>
      </c>
      <c r="D391">
        <v>0.46296296296296302</v>
      </c>
      <c r="E391">
        <v>0.59836065573770503</v>
      </c>
      <c r="F391">
        <v>1</v>
      </c>
      <c r="I391" t="s">
        <v>62</v>
      </c>
      <c r="J391">
        <v>0.46296296296296302</v>
      </c>
      <c r="K391">
        <v>0.59836065573770503</v>
      </c>
      <c r="L391">
        <v>1</v>
      </c>
    </row>
    <row r="392" spans="2:12" ht="15" customHeight="1" x14ac:dyDescent="0.2">
      <c r="B392" t="s">
        <v>1107</v>
      </c>
      <c r="C392" t="s">
        <v>53</v>
      </c>
      <c r="D392">
        <v>0.453703703703704</v>
      </c>
      <c r="E392">
        <v>0.54032258064516103</v>
      </c>
      <c r="F392">
        <v>1</v>
      </c>
      <c r="H392" t="s">
        <v>1107</v>
      </c>
      <c r="I392" t="s">
        <v>48</v>
      </c>
      <c r="J392">
        <v>0.59090909090909105</v>
      </c>
      <c r="K392">
        <v>0.37962962962962998</v>
      </c>
      <c r="L392">
        <v>1</v>
      </c>
    </row>
    <row r="393" spans="2:12" ht="15" customHeight="1" x14ac:dyDescent="0.2">
      <c r="C393" t="s">
        <v>41</v>
      </c>
      <c r="D393">
        <v>0.59090909090909105</v>
      </c>
      <c r="F393">
        <v>1</v>
      </c>
      <c r="I393" t="s">
        <v>46</v>
      </c>
      <c r="J393">
        <v>0.453703703703704</v>
      </c>
      <c r="K393">
        <v>0.54032258064516103</v>
      </c>
      <c r="L393">
        <v>1</v>
      </c>
    </row>
    <row r="394" spans="2:12" ht="15" customHeight="1" x14ac:dyDescent="0.2">
      <c r="B394" t="s">
        <v>1109</v>
      </c>
      <c r="C394" t="s">
        <v>44</v>
      </c>
      <c r="D394">
        <v>0.6875</v>
      </c>
      <c r="E394">
        <v>0.62903225806451601</v>
      </c>
      <c r="F394">
        <v>1</v>
      </c>
      <c r="H394" t="s">
        <v>1109</v>
      </c>
      <c r="I394" t="s">
        <v>40</v>
      </c>
      <c r="J394">
        <v>0.6875</v>
      </c>
      <c r="K394">
        <v>0.62903225806451601</v>
      </c>
      <c r="L394">
        <v>1</v>
      </c>
    </row>
    <row r="395" spans="2:12" ht="15" customHeight="1" x14ac:dyDescent="0.2">
      <c r="C395" t="s">
        <v>58</v>
      </c>
      <c r="D395">
        <v>0.41935483870967699</v>
      </c>
      <c r="E395">
        <v>0.55645161290322598</v>
      </c>
      <c r="F395">
        <v>1</v>
      </c>
      <c r="I395" t="s">
        <v>42</v>
      </c>
      <c r="J395">
        <v>0.41935483870967699</v>
      </c>
      <c r="K395">
        <v>0.55645161290322598</v>
      </c>
      <c r="L395">
        <v>1</v>
      </c>
    </row>
    <row r="396" spans="2:12" ht="15" customHeight="1" x14ac:dyDescent="0.2">
      <c r="B396" t="s">
        <v>1111</v>
      </c>
      <c r="C396" t="s">
        <v>55</v>
      </c>
      <c r="D396">
        <v>0.5</v>
      </c>
      <c r="E396">
        <v>0.50980392156862697</v>
      </c>
      <c r="F396">
        <v>1</v>
      </c>
      <c r="H396" t="s">
        <v>1111</v>
      </c>
      <c r="I396" t="s">
        <v>60</v>
      </c>
      <c r="J396">
        <v>0.429824561403509</v>
      </c>
      <c r="K396">
        <v>0.59375</v>
      </c>
      <c r="L396">
        <v>1</v>
      </c>
    </row>
    <row r="397" spans="2:12" ht="15" customHeight="1" x14ac:dyDescent="0.2">
      <c r="C397" t="s">
        <v>61</v>
      </c>
      <c r="D397">
        <v>0.429824561403509</v>
      </c>
      <c r="E397">
        <v>0.59375</v>
      </c>
      <c r="F397">
        <v>1</v>
      </c>
      <c r="I397" t="s">
        <v>45</v>
      </c>
      <c r="J397">
        <v>0.5</v>
      </c>
      <c r="K397">
        <v>0.50980392156862697</v>
      </c>
      <c r="L397">
        <v>1</v>
      </c>
    </row>
    <row r="398" spans="2:12" ht="15" customHeight="1" x14ac:dyDescent="0.2">
      <c r="B398" t="s">
        <v>1113</v>
      </c>
      <c r="C398" t="s">
        <v>52</v>
      </c>
      <c r="D398">
        <v>0.33333333333333298</v>
      </c>
      <c r="E398">
        <v>0.63888888888888895</v>
      </c>
      <c r="F398">
        <v>1</v>
      </c>
      <c r="H398" t="s">
        <v>1113</v>
      </c>
      <c r="I398" t="s">
        <v>66</v>
      </c>
      <c r="J398">
        <v>0.33333333333333298</v>
      </c>
      <c r="K398">
        <v>0.67500000000000004</v>
      </c>
      <c r="L398">
        <v>1</v>
      </c>
    </row>
    <row r="399" spans="2:12" ht="15" customHeight="1" x14ac:dyDescent="0.2">
      <c r="C399" t="s">
        <v>69</v>
      </c>
      <c r="D399">
        <v>0.33333333333333298</v>
      </c>
      <c r="E399">
        <v>0.67500000000000004</v>
      </c>
      <c r="F399">
        <v>1</v>
      </c>
      <c r="I399" t="s">
        <v>64</v>
      </c>
      <c r="J399">
        <v>0.33333333333333298</v>
      </c>
      <c r="K399">
        <v>0.63888888888888895</v>
      </c>
      <c r="L399">
        <v>1</v>
      </c>
    </row>
    <row r="400" spans="2:12" ht="15" customHeight="1" x14ac:dyDescent="0.2">
      <c r="B400" t="s">
        <v>1212</v>
      </c>
      <c r="C400" t="s">
        <v>44</v>
      </c>
      <c r="D400">
        <v>0.38596491228070201</v>
      </c>
      <c r="E400">
        <v>0.5</v>
      </c>
      <c r="F400">
        <v>1</v>
      </c>
      <c r="H400" t="s">
        <v>1212</v>
      </c>
      <c r="I400" t="s">
        <v>40</v>
      </c>
      <c r="J400">
        <v>0.38596491228070201</v>
      </c>
      <c r="K400">
        <v>0.5</v>
      </c>
      <c r="L400">
        <v>1</v>
      </c>
    </row>
    <row r="401" spans="2:12" ht="15" customHeight="1" x14ac:dyDescent="0.2">
      <c r="C401" t="s">
        <v>54</v>
      </c>
      <c r="D401">
        <v>0.41935483870967699</v>
      </c>
      <c r="E401">
        <v>0.54411764705882404</v>
      </c>
      <c r="F401">
        <v>1</v>
      </c>
      <c r="I401" t="s">
        <v>43</v>
      </c>
      <c r="J401">
        <v>0.41935483870967699</v>
      </c>
      <c r="K401">
        <v>0.54411764705882404</v>
      </c>
      <c r="L401">
        <v>1</v>
      </c>
    </row>
    <row r="402" spans="2:12" ht="15" customHeight="1" x14ac:dyDescent="0.2">
      <c r="B402" t="s">
        <v>1213</v>
      </c>
      <c r="C402" t="s">
        <v>55</v>
      </c>
      <c r="D402">
        <v>0.6875</v>
      </c>
      <c r="E402">
        <v>0.54411764705882404</v>
      </c>
      <c r="F402">
        <v>1</v>
      </c>
      <c r="H402" t="s">
        <v>1213</v>
      </c>
      <c r="I402" t="s">
        <v>48</v>
      </c>
      <c r="J402">
        <v>0.6875</v>
      </c>
      <c r="K402">
        <v>0.54411764705882404</v>
      </c>
      <c r="L402">
        <v>1</v>
      </c>
    </row>
    <row r="403" spans="2:12" ht="15" customHeight="1" x14ac:dyDescent="0.2">
      <c r="C403" t="s">
        <v>58</v>
      </c>
      <c r="D403">
        <v>0.429824561403509</v>
      </c>
      <c r="E403">
        <v>0.54032258064516103</v>
      </c>
      <c r="F403">
        <v>1</v>
      </c>
      <c r="I403" t="s">
        <v>59</v>
      </c>
      <c r="J403">
        <v>0.429824561403509</v>
      </c>
      <c r="K403">
        <v>0.54032258064516103</v>
      </c>
      <c r="L403">
        <v>1</v>
      </c>
    </row>
    <row r="404" spans="2:12" ht="15" customHeight="1" x14ac:dyDescent="0.2">
      <c r="B404" t="s">
        <v>1214</v>
      </c>
      <c r="C404" t="s">
        <v>45</v>
      </c>
      <c r="D404">
        <v>0.33333333333333298</v>
      </c>
      <c r="E404">
        <v>0.62903225806451601</v>
      </c>
      <c r="F404">
        <v>1</v>
      </c>
      <c r="H404" t="s">
        <v>1214</v>
      </c>
      <c r="I404" t="s">
        <v>42</v>
      </c>
      <c r="J404">
        <v>0.59375</v>
      </c>
      <c r="K404">
        <v>0.67500000000000004</v>
      </c>
      <c r="L404">
        <v>1</v>
      </c>
    </row>
    <row r="405" spans="2:12" ht="15" customHeight="1" x14ac:dyDescent="0.2">
      <c r="C405" t="s">
        <v>52</v>
      </c>
      <c r="D405">
        <v>0.59375</v>
      </c>
      <c r="E405">
        <v>0.67500000000000004</v>
      </c>
      <c r="F405">
        <v>1</v>
      </c>
      <c r="I405" t="s">
        <v>64</v>
      </c>
      <c r="J405">
        <v>0.33333333333333298</v>
      </c>
      <c r="K405">
        <v>0.62903225806451601</v>
      </c>
      <c r="L405">
        <v>1</v>
      </c>
    </row>
    <row r="406" spans="2:12" ht="15" customHeight="1" x14ac:dyDescent="0.2">
      <c r="B406" t="s">
        <v>1215</v>
      </c>
      <c r="C406" t="s">
        <v>63</v>
      </c>
      <c r="D406">
        <v>0.42727272727272703</v>
      </c>
      <c r="E406">
        <v>0.50980392156862697</v>
      </c>
      <c r="F406">
        <v>1</v>
      </c>
      <c r="H406" t="s">
        <v>1215</v>
      </c>
      <c r="I406" t="s">
        <v>41</v>
      </c>
      <c r="J406">
        <v>0.42727272727272703</v>
      </c>
      <c r="K406">
        <v>0.50980392156862697</v>
      </c>
      <c r="L406">
        <v>1</v>
      </c>
    </row>
    <row r="407" spans="2:12" ht="15" customHeight="1" x14ac:dyDescent="0.2">
      <c r="C407" t="s">
        <v>651</v>
      </c>
      <c r="D407">
        <v>0.46296296296296302</v>
      </c>
      <c r="E407">
        <v>0.453703703703704</v>
      </c>
      <c r="F407">
        <v>1</v>
      </c>
      <c r="I407" t="s">
        <v>60</v>
      </c>
      <c r="J407">
        <v>0.46296296296296302</v>
      </c>
      <c r="K407">
        <v>0.453703703703704</v>
      </c>
      <c r="L407">
        <v>1</v>
      </c>
    </row>
    <row r="408" spans="2:12" ht="15" customHeight="1" x14ac:dyDescent="0.2">
      <c r="B408" t="s">
        <v>1216</v>
      </c>
      <c r="C408" t="s">
        <v>50</v>
      </c>
      <c r="D408">
        <v>0.37962962962962998</v>
      </c>
      <c r="E408">
        <v>0.5</v>
      </c>
      <c r="F408">
        <v>1</v>
      </c>
      <c r="H408" t="s">
        <v>1216</v>
      </c>
      <c r="I408" t="s">
        <v>53</v>
      </c>
      <c r="J408">
        <v>0.37962962962962998</v>
      </c>
      <c r="K408">
        <v>0.5</v>
      </c>
      <c r="L408">
        <v>1</v>
      </c>
    </row>
    <row r="409" spans="2:12" ht="15" customHeight="1" x14ac:dyDescent="0.2">
      <c r="C409" t="s">
        <v>46</v>
      </c>
      <c r="D409">
        <v>0.59836065573770503</v>
      </c>
      <c r="E409">
        <v>0.59090909090909105</v>
      </c>
      <c r="F409">
        <v>1</v>
      </c>
      <c r="I409" t="s">
        <v>62</v>
      </c>
      <c r="J409">
        <v>0.59836065573770503</v>
      </c>
      <c r="K409">
        <v>0.59090909090909105</v>
      </c>
      <c r="L409">
        <v>1</v>
      </c>
    </row>
    <row r="410" spans="2:12" ht="15" customHeight="1" x14ac:dyDescent="0.2">
      <c r="B410" t="s">
        <v>1217</v>
      </c>
      <c r="C410" t="s">
        <v>44</v>
      </c>
      <c r="D410">
        <v>0.38596491228070201</v>
      </c>
      <c r="E410">
        <v>0.5</v>
      </c>
      <c r="F410">
        <v>1</v>
      </c>
      <c r="H410" t="s">
        <v>1217</v>
      </c>
      <c r="I410" t="s">
        <v>40</v>
      </c>
      <c r="J410">
        <v>0.38596491228070201</v>
      </c>
      <c r="K410">
        <v>0.5</v>
      </c>
      <c r="L410">
        <v>1</v>
      </c>
    </row>
    <row r="411" spans="2:12" ht="15" customHeight="1" x14ac:dyDescent="0.2">
      <c r="C411" t="s">
        <v>54</v>
      </c>
      <c r="D411">
        <v>0.41935483870967699</v>
      </c>
      <c r="E411">
        <v>0.55645161290322598</v>
      </c>
      <c r="F411">
        <v>1</v>
      </c>
      <c r="I411" t="s">
        <v>43</v>
      </c>
      <c r="J411">
        <v>0.41935483870967699</v>
      </c>
      <c r="K411">
        <v>0.55645161290322598</v>
      </c>
      <c r="L411">
        <v>1</v>
      </c>
    </row>
    <row r="412" spans="2:12" ht="15" customHeight="1" x14ac:dyDescent="0.2">
      <c r="B412" t="s">
        <v>1218</v>
      </c>
      <c r="C412" t="s">
        <v>55</v>
      </c>
      <c r="D412">
        <v>0.6875</v>
      </c>
      <c r="E412">
        <v>0.54411764705882404</v>
      </c>
      <c r="F412">
        <v>1</v>
      </c>
      <c r="H412" t="s">
        <v>1218</v>
      </c>
      <c r="I412" t="s">
        <v>48</v>
      </c>
      <c r="J412">
        <v>0.6875</v>
      </c>
      <c r="K412">
        <v>0.54411764705882404</v>
      </c>
      <c r="L412">
        <v>1</v>
      </c>
    </row>
    <row r="413" spans="2:12" ht="15" customHeight="1" x14ac:dyDescent="0.2">
      <c r="C413" t="s">
        <v>58</v>
      </c>
      <c r="D413">
        <v>0.429824561403509</v>
      </c>
      <c r="E413">
        <v>0.54032258064516103</v>
      </c>
      <c r="F413">
        <v>1</v>
      </c>
      <c r="I413" t="s">
        <v>59</v>
      </c>
      <c r="J413">
        <v>0.429824561403509</v>
      </c>
      <c r="K413">
        <v>0.54032258064516103</v>
      </c>
      <c r="L413">
        <v>1</v>
      </c>
    </row>
    <row r="414" spans="2:12" ht="15" customHeight="1" x14ac:dyDescent="0.2">
      <c r="B414" t="s">
        <v>1219</v>
      </c>
      <c r="C414" t="s">
        <v>45</v>
      </c>
      <c r="D414">
        <v>0.33333333333333298</v>
      </c>
      <c r="E414">
        <v>0.62903225806451601</v>
      </c>
      <c r="F414">
        <v>1</v>
      </c>
      <c r="H414" t="s">
        <v>1219</v>
      </c>
      <c r="I414" t="s">
        <v>42</v>
      </c>
      <c r="J414">
        <v>0.59375</v>
      </c>
      <c r="K414">
        <v>0.67500000000000004</v>
      </c>
      <c r="L414">
        <v>1</v>
      </c>
    </row>
    <row r="415" spans="2:12" ht="15" customHeight="1" x14ac:dyDescent="0.2">
      <c r="C415" t="s">
        <v>52</v>
      </c>
      <c r="D415">
        <v>0.59375</v>
      </c>
      <c r="E415">
        <v>0.67500000000000004</v>
      </c>
      <c r="F415">
        <v>1</v>
      </c>
      <c r="I415" t="s">
        <v>64</v>
      </c>
      <c r="J415">
        <v>0.33333333333333298</v>
      </c>
      <c r="K415">
        <v>0.62903225806451601</v>
      </c>
      <c r="L415">
        <v>1</v>
      </c>
    </row>
    <row r="416" spans="2:12" ht="15" customHeight="1" x14ac:dyDescent="0.2">
      <c r="B416" t="s">
        <v>1220</v>
      </c>
      <c r="C416" t="s">
        <v>63</v>
      </c>
      <c r="D416">
        <v>0.42727272727272703</v>
      </c>
      <c r="E416">
        <v>0.50980392156862697</v>
      </c>
      <c r="F416">
        <v>1</v>
      </c>
      <c r="H416" t="s">
        <v>1220</v>
      </c>
      <c r="I416" t="s">
        <v>41</v>
      </c>
      <c r="J416">
        <v>0.42727272727272703</v>
      </c>
      <c r="K416">
        <v>0.50980392156862697</v>
      </c>
      <c r="L416">
        <v>1</v>
      </c>
    </row>
    <row r="417" spans="2:12" ht="15" customHeight="1" x14ac:dyDescent="0.2">
      <c r="C417" t="s">
        <v>651</v>
      </c>
      <c r="D417">
        <v>0.46296296296296302</v>
      </c>
      <c r="E417">
        <v>0.453703703703704</v>
      </c>
      <c r="F417">
        <v>1</v>
      </c>
      <c r="I417" t="s">
        <v>60</v>
      </c>
      <c r="J417">
        <v>0.46296296296296302</v>
      </c>
      <c r="K417">
        <v>0.453703703703704</v>
      </c>
      <c r="L417">
        <v>1</v>
      </c>
    </row>
    <row r="418" spans="2:12" ht="15" customHeight="1" x14ac:dyDescent="0.2">
      <c r="B418" t="s">
        <v>1221</v>
      </c>
      <c r="C418" t="s">
        <v>50</v>
      </c>
      <c r="D418">
        <v>0.37962962962962998</v>
      </c>
      <c r="E418">
        <v>0.5</v>
      </c>
      <c r="F418">
        <v>1</v>
      </c>
      <c r="H418" t="s">
        <v>1221</v>
      </c>
      <c r="I418" t="s">
        <v>53</v>
      </c>
      <c r="J418">
        <v>0.37962962962962998</v>
      </c>
      <c r="K418">
        <v>0.5</v>
      </c>
      <c r="L418">
        <v>1</v>
      </c>
    </row>
    <row r="419" spans="2:12" ht="15" customHeight="1" x14ac:dyDescent="0.2">
      <c r="C419" t="s">
        <v>46</v>
      </c>
      <c r="D419">
        <v>0.59836065573770503</v>
      </c>
      <c r="E419">
        <v>0.59090909090909105</v>
      </c>
      <c r="F419">
        <v>1</v>
      </c>
      <c r="I419" t="s">
        <v>62</v>
      </c>
      <c r="J419">
        <v>0.59836065573770503</v>
      </c>
      <c r="K419">
        <v>0.59090909090909105</v>
      </c>
      <c r="L419">
        <v>1</v>
      </c>
    </row>
    <row r="420" spans="2:12" ht="15" customHeight="1" x14ac:dyDescent="0.2">
      <c r="B420" t="s">
        <v>1222</v>
      </c>
      <c r="C420" t="s">
        <v>45</v>
      </c>
      <c r="D420">
        <v>0.55645161290322598</v>
      </c>
      <c r="E420">
        <v>0.62903225806451601</v>
      </c>
      <c r="F420">
        <v>1</v>
      </c>
      <c r="H420" t="s">
        <v>1222</v>
      </c>
      <c r="I420" t="s">
        <v>53</v>
      </c>
      <c r="J420">
        <v>0.55645161290322598</v>
      </c>
      <c r="K420">
        <v>0.62903225806451601</v>
      </c>
      <c r="L420">
        <v>1</v>
      </c>
    </row>
    <row r="421" spans="2:12" ht="15" customHeight="1" x14ac:dyDescent="0.2">
      <c r="C421" t="s">
        <v>40</v>
      </c>
      <c r="D421">
        <v>0.59375</v>
      </c>
      <c r="E421">
        <v>0.59090909090909105</v>
      </c>
      <c r="F421">
        <v>1</v>
      </c>
      <c r="I421" t="s">
        <v>42</v>
      </c>
      <c r="J421">
        <v>0.59375</v>
      </c>
      <c r="K421">
        <v>0.59090909090909105</v>
      </c>
      <c r="L421">
        <v>1</v>
      </c>
    </row>
    <row r="422" spans="2:12" ht="15" customHeight="1" x14ac:dyDescent="0.2">
      <c r="B422" t="s">
        <v>1223</v>
      </c>
      <c r="C422" t="s">
        <v>52</v>
      </c>
      <c r="D422">
        <v>0.5</v>
      </c>
      <c r="E422">
        <v>0.42727272727272703</v>
      </c>
      <c r="F422">
        <v>1</v>
      </c>
      <c r="H422" t="s">
        <v>1223</v>
      </c>
      <c r="I422" t="s">
        <v>44</v>
      </c>
      <c r="J422">
        <v>0.5</v>
      </c>
      <c r="K422">
        <v>0.42727272727272703</v>
      </c>
      <c r="L422">
        <v>1</v>
      </c>
    </row>
    <row r="423" spans="2:12" ht="15" customHeight="1" x14ac:dyDescent="0.2">
      <c r="C423" t="s">
        <v>43</v>
      </c>
      <c r="D423">
        <v>0.33333333333333298</v>
      </c>
      <c r="E423">
        <v>0.41935483870967699</v>
      </c>
      <c r="F423">
        <v>1</v>
      </c>
      <c r="I423" t="s">
        <v>651</v>
      </c>
      <c r="J423">
        <v>0.33333333333333298</v>
      </c>
      <c r="K423">
        <v>0.41935483870967699</v>
      </c>
      <c r="L423">
        <v>1</v>
      </c>
    </row>
    <row r="424" spans="2:12" ht="15" customHeight="1" x14ac:dyDescent="0.2">
      <c r="B424" t="s">
        <v>1224</v>
      </c>
      <c r="C424" t="s">
        <v>54</v>
      </c>
      <c r="D424">
        <v>0.453703703703704</v>
      </c>
      <c r="E424">
        <v>0.54032258064516103</v>
      </c>
      <c r="F424">
        <v>1</v>
      </c>
      <c r="H424" t="s">
        <v>1224</v>
      </c>
      <c r="I424" t="s">
        <v>48</v>
      </c>
      <c r="J424">
        <v>0.38596491228070201</v>
      </c>
      <c r="K424">
        <v>0.6875</v>
      </c>
      <c r="L424">
        <v>1</v>
      </c>
    </row>
    <row r="425" spans="2:12" ht="15" customHeight="1" x14ac:dyDescent="0.2">
      <c r="C425" t="s">
        <v>41</v>
      </c>
      <c r="D425">
        <v>0.38596491228070201</v>
      </c>
      <c r="E425">
        <v>0.6875</v>
      </c>
      <c r="F425">
        <v>1</v>
      </c>
      <c r="I425" t="s">
        <v>58</v>
      </c>
      <c r="J425">
        <v>0.453703703703704</v>
      </c>
      <c r="K425">
        <v>0.54032258064516103</v>
      </c>
      <c r="L425">
        <v>1</v>
      </c>
    </row>
    <row r="426" spans="2:12" ht="15" customHeight="1" x14ac:dyDescent="0.2">
      <c r="B426" t="s">
        <v>1225</v>
      </c>
      <c r="C426" t="s">
        <v>63</v>
      </c>
      <c r="D426">
        <v>0.67500000000000004</v>
      </c>
      <c r="E426">
        <v>0.59836065573770503</v>
      </c>
      <c r="F426">
        <v>1</v>
      </c>
      <c r="H426" t="s">
        <v>1225</v>
      </c>
      <c r="I426" t="s">
        <v>50</v>
      </c>
      <c r="J426">
        <v>0.46296296296296302</v>
      </c>
      <c r="K426">
        <v>0.37962962962962998</v>
      </c>
      <c r="L426">
        <v>1</v>
      </c>
    </row>
    <row r="427" spans="2:12" ht="15" customHeight="1" x14ac:dyDescent="0.2">
      <c r="C427" t="s">
        <v>64</v>
      </c>
      <c r="D427">
        <v>0.46296296296296302</v>
      </c>
      <c r="E427">
        <v>0.37962962962962998</v>
      </c>
      <c r="F427">
        <v>1</v>
      </c>
      <c r="I427" t="s">
        <v>46</v>
      </c>
      <c r="J427">
        <v>0.67500000000000004</v>
      </c>
      <c r="K427">
        <v>0.59836065573770503</v>
      </c>
      <c r="L427">
        <v>1</v>
      </c>
    </row>
    <row r="428" spans="2:12" ht="15" customHeight="1" x14ac:dyDescent="0.2">
      <c r="B428" t="s">
        <v>1226</v>
      </c>
      <c r="C428" t="s">
        <v>55</v>
      </c>
      <c r="D428">
        <v>0.54411764705882404</v>
      </c>
      <c r="E428">
        <v>0.50980392156862697</v>
      </c>
      <c r="F428">
        <v>1</v>
      </c>
      <c r="H428" t="s">
        <v>1226</v>
      </c>
      <c r="I428" t="s">
        <v>62</v>
      </c>
      <c r="J428">
        <v>0.54411764705882404</v>
      </c>
      <c r="K428">
        <v>0.50980392156862697</v>
      </c>
      <c r="L428">
        <v>1</v>
      </c>
    </row>
    <row r="429" spans="2:12" ht="15" customHeight="1" x14ac:dyDescent="0.2">
      <c r="C429" t="s">
        <v>59</v>
      </c>
      <c r="D429">
        <v>0.429824561403509</v>
      </c>
      <c r="E429">
        <v>0.5</v>
      </c>
      <c r="F429">
        <v>1</v>
      </c>
      <c r="I429" t="s">
        <v>60</v>
      </c>
      <c r="J429">
        <v>0.429824561403509</v>
      </c>
      <c r="K429">
        <v>0.5</v>
      </c>
      <c r="L429">
        <v>1</v>
      </c>
    </row>
    <row r="430" spans="2:12" ht="15" customHeight="1" x14ac:dyDescent="0.2">
      <c r="B430" t="s">
        <v>1227</v>
      </c>
      <c r="C430" t="s">
        <v>45</v>
      </c>
      <c r="D430">
        <v>0.55645161290322598</v>
      </c>
      <c r="E430">
        <v>0.62903225806451601</v>
      </c>
      <c r="F430">
        <v>1</v>
      </c>
      <c r="H430" t="s">
        <v>1227</v>
      </c>
      <c r="I430" t="s">
        <v>53</v>
      </c>
      <c r="J430">
        <v>0.55645161290322598</v>
      </c>
      <c r="K430">
        <v>0.62903225806451601</v>
      </c>
      <c r="L430">
        <v>1</v>
      </c>
    </row>
    <row r="431" spans="2:12" ht="15" customHeight="1" x14ac:dyDescent="0.2">
      <c r="C431" t="s">
        <v>40</v>
      </c>
      <c r="D431">
        <v>0.59375</v>
      </c>
      <c r="E431">
        <v>0.59090909090909105</v>
      </c>
      <c r="F431">
        <v>1</v>
      </c>
      <c r="I431" t="s">
        <v>42</v>
      </c>
      <c r="J431">
        <v>0.59375</v>
      </c>
      <c r="K431">
        <v>0.59090909090909105</v>
      </c>
      <c r="L431">
        <v>1</v>
      </c>
    </row>
    <row r="432" spans="2:12" ht="15" customHeight="1" x14ac:dyDescent="0.2">
      <c r="B432" t="s">
        <v>1228</v>
      </c>
      <c r="C432" t="s">
        <v>52</v>
      </c>
      <c r="D432">
        <v>0.5</v>
      </c>
      <c r="E432">
        <v>0.42727272727272703</v>
      </c>
      <c r="F432">
        <v>1</v>
      </c>
      <c r="H432" t="s">
        <v>1228</v>
      </c>
      <c r="I432" t="s">
        <v>44</v>
      </c>
      <c r="J432">
        <v>0.5</v>
      </c>
      <c r="K432">
        <v>0.42727272727272703</v>
      </c>
      <c r="L432">
        <v>1</v>
      </c>
    </row>
    <row r="433" spans="2:12" ht="15" customHeight="1" x14ac:dyDescent="0.2">
      <c r="C433" t="s">
        <v>43</v>
      </c>
      <c r="D433">
        <v>0.33333333333333298</v>
      </c>
      <c r="E433">
        <v>0.41935483870967699</v>
      </c>
      <c r="F433">
        <v>1</v>
      </c>
      <c r="I433" t="s">
        <v>651</v>
      </c>
      <c r="J433">
        <v>0.33333333333333298</v>
      </c>
      <c r="K433">
        <v>0.41935483870967699</v>
      </c>
      <c r="L433">
        <v>1</v>
      </c>
    </row>
    <row r="434" spans="2:12" ht="15" customHeight="1" x14ac:dyDescent="0.2">
      <c r="B434" t="s">
        <v>1229</v>
      </c>
      <c r="C434" t="s">
        <v>54</v>
      </c>
      <c r="D434">
        <v>0.453703703703704</v>
      </c>
      <c r="E434">
        <v>0.54032258064516103</v>
      </c>
      <c r="F434">
        <v>1</v>
      </c>
      <c r="H434" t="s">
        <v>1229</v>
      </c>
      <c r="I434" t="s">
        <v>48</v>
      </c>
      <c r="J434">
        <v>0.38596491228070201</v>
      </c>
      <c r="K434">
        <v>0.6875</v>
      </c>
      <c r="L434">
        <v>1</v>
      </c>
    </row>
    <row r="435" spans="2:12" ht="15" customHeight="1" x14ac:dyDescent="0.2">
      <c r="C435" t="s">
        <v>41</v>
      </c>
      <c r="D435">
        <v>0.38596491228070201</v>
      </c>
      <c r="E435">
        <v>0.6875</v>
      </c>
      <c r="F435">
        <v>1</v>
      </c>
      <c r="I435" t="s">
        <v>58</v>
      </c>
      <c r="J435">
        <v>0.453703703703704</v>
      </c>
      <c r="K435">
        <v>0.54032258064516103</v>
      </c>
      <c r="L435">
        <v>1</v>
      </c>
    </row>
    <row r="436" spans="2:12" ht="15" customHeight="1" x14ac:dyDescent="0.2">
      <c r="B436" t="s">
        <v>1230</v>
      </c>
      <c r="C436" t="s">
        <v>63</v>
      </c>
      <c r="D436">
        <v>0.67500000000000004</v>
      </c>
      <c r="E436">
        <v>0.59836065573770503</v>
      </c>
      <c r="F436">
        <v>1</v>
      </c>
      <c r="H436" t="s">
        <v>1230</v>
      </c>
      <c r="I436" t="s">
        <v>50</v>
      </c>
      <c r="J436">
        <v>0.46296296296296302</v>
      </c>
      <c r="K436">
        <v>0.37962962962962998</v>
      </c>
      <c r="L436">
        <v>1</v>
      </c>
    </row>
    <row r="437" spans="2:12" ht="15" customHeight="1" x14ac:dyDescent="0.2">
      <c r="C437" t="s">
        <v>64</v>
      </c>
      <c r="D437">
        <v>0.46296296296296302</v>
      </c>
      <c r="E437">
        <v>0.37962962962962998</v>
      </c>
      <c r="F437">
        <v>1</v>
      </c>
      <c r="I437" t="s">
        <v>46</v>
      </c>
      <c r="J437">
        <v>0.67500000000000004</v>
      </c>
      <c r="K437">
        <v>0.59836065573770503</v>
      </c>
      <c r="L437">
        <v>1</v>
      </c>
    </row>
    <row r="438" spans="2:12" ht="15" customHeight="1" x14ac:dyDescent="0.2">
      <c r="B438" t="s">
        <v>1231</v>
      </c>
      <c r="C438" t="s">
        <v>55</v>
      </c>
      <c r="D438">
        <v>0.54411764705882404</v>
      </c>
      <c r="E438">
        <v>0.50980392156862697</v>
      </c>
      <c r="F438">
        <v>1</v>
      </c>
      <c r="H438" t="s">
        <v>1231</v>
      </c>
      <c r="I438" t="s">
        <v>62</v>
      </c>
      <c r="J438">
        <v>0.54411764705882404</v>
      </c>
      <c r="K438">
        <v>0.50980392156862697</v>
      </c>
      <c r="L438">
        <v>1</v>
      </c>
    </row>
    <row r="439" spans="2:12" ht="15" customHeight="1" x14ac:dyDescent="0.2">
      <c r="C439" t="s">
        <v>59</v>
      </c>
      <c r="D439">
        <v>0.429824561403509</v>
      </c>
      <c r="E439">
        <v>0.5</v>
      </c>
      <c r="F439">
        <v>1</v>
      </c>
      <c r="I439" t="s">
        <v>60</v>
      </c>
      <c r="J439">
        <v>0.429824561403509</v>
      </c>
      <c r="K439">
        <v>0.5</v>
      </c>
      <c r="L439">
        <v>1</v>
      </c>
    </row>
    <row r="440" spans="2:12" ht="15" customHeight="1" x14ac:dyDescent="0.2">
      <c r="B440" t="s">
        <v>686</v>
      </c>
      <c r="F440">
        <v>434</v>
      </c>
      <c r="H440" t="s">
        <v>686</v>
      </c>
      <c r="L440">
        <v>434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4"/>
  <sheetViews>
    <sheetView zoomScaleNormal="100" workbookViewId="0"/>
  </sheetViews>
  <sheetFormatPr baseColWidth="10" defaultColWidth="8.83203125" defaultRowHeight="15" x14ac:dyDescent="0.2"/>
  <sheetData>
    <row r="1" spans="1:8" ht="15" customHeight="1" x14ac:dyDescent="0.2">
      <c r="A1" s="3" t="s">
        <v>0</v>
      </c>
      <c r="B1" s="3" t="s">
        <v>652</v>
      </c>
      <c r="C1" s="3" t="s">
        <v>653</v>
      </c>
      <c r="D1" s="3" t="s">
        <v>654</v>
      </c>
      <c r="E1" s="3" t="s">
        <v>655</v>
      </c>
      <c r="F1" s="3" t="s">
        <v>656</v>
      </c>
      <c r="G1" s="3" t="s">
        <v>657</v>
      </c>
      <c r="H1" s="3" t="s">
        <v>658</v>
      </c>
    </row>
    <row r="4" spans="1:8" ht="15" customHeight="1" x14ac:dyDescent="0.2">
      <c r="E4" t="s">
        <v>1232</v>
      </c>
    </row>
    <row r="6" spans="1:8" ht="15" customHeight="1" x14ac:dyDescent="0.2">
      <c r="E6" t="s">
        <v>1233</v>
      </c>
    </row>
    <row r="7" spans="1:8" ht="15" customHeight="1" x14ac:dyDescent="0.2">
      <c r="E7" t="s">
        <v>1234</v>
      </c>
      <c r="F7">
        <v>9</v>
      </c>
      <c r="H7" t="s">
        <v>1235</v>
      </c>
    </row>
    <row r="8" spans="1:8" ht="15" customHeight="1" x14ac:dyDescent="0.2">
      <c r="E8" t="s">
        <v>1236</v>
      </c>
      <c r="F8">
        <v>0.82</v>
      </c>
      <c r="H8" t="s">
        <v>1235</v>
      </c>
    </row>
    <row r="9" spans="1:8" ht="15" customHeight="1" x14ac:dyDescent="0.2">
      <c r="E9" t="s">
        <v>1237</v>
      </c>
      <c r="F9">
        <v>0.23</v>
      </c>
      <c r="H9" t="s">
        <v>1238</v>
      </c>
    </row>
    <row r="10" spans="1:8" ht="15" customHeight="1" x14ac:dyDescent="0.2">
      <c r="E10" t="s">
        <v>1239</v>
      </c>
      <c r="F10">
        <v>44</v>
      </c>
      <c r="H10" t="s">
        <v>45</v>
      </c>
    </row>
    <row r="11" spans="1:8" ht="15" customHeight="1" x14ac:dyDescent="0.2">
      <c r="E11" t="s">
        <v>1240</v>
      </c>
      <c r="F11">
        <v>4.5</v>
      </c>
      <c r="H11" t="s">
        <v>66</v>
      </c>
    </row>
    <row r="12" spans="1:8" ht="96" customHeight="1" x14ac:dyDescent="0.2">
      <c r="E12" t="s">
        <v>1241</v>
      </c>
      <c r="F12">
        <v>0.875</v>
      </c>
      <c r="H12" s="33" t="s">
        <v>1242</v>
      </c>
    </row>
    <row r="13" spans="1:8" ht="15" customHeight="1" x14ac:dyDescent="0.2">
      <c r="E13" t="s">
        <v>1243</v>
      </c>
      <c r="F13">
        <v>7.5</v>
      </c>
      <c r="H13" t="s">
        <v>1244</v>
      </c>
    </row>
    <row r="15" spans="1:8" ht="15" customHeight="1" x14ac:dyDescent="0.2">
      <c r="E15" t="s">
        <v>1243</v>
      </c>
    </row>
    <row r="16" spans="1:8" ht="96" customHeight="1" x14ac:dyDescent="0.2">
      <c r="E16" t="s">
        <v>111</v>
      </c>
      <c r="F16" t="s">
        <v>342</v>
      </c>
      <c r="H16" s="33" t="s">
        <v>1245</v>
      </c>
    </row>
    <row r="17" spans="5:8" ht="144" customHeight="1" x14ac:dyDescent="0.2">
      <c r="E17" t="s">
        <v>79</v>
      </c>
      <c r="F17" t="s">
        <v>202</v>
      </c>
      <c r="H17" s="33" t="s">
        <v>1246</v>
      </c>
    </row>
    <row r="18" spans="5:8" ht="159.75" customHeight="1" x14ac:dyDescent="0.2">
      <c r="E18" t="s">
        <v>313</v>
      </c>
      <c r="F18" t="s">
        <v>202</v>
      </c>
      <c r="H18" s="33" t="s">
        <v>1247</v>
      </c>
    </row>
    <row r="19" spans="5:8" ht="144" customHeight="1" x14ac:dyDescent="0.2">
      <c r="E19" t="s">
        <v>1248</v>
      </c>
      <c r="F19" t="s">
        <v>1249</v>
      </c>
      <c r="H19" s="33" t="s">
        <v>1250</v>
      </c>
    </row>
    <row r="20" spans="5:8" ht="240" customHeight="1" x14ac:dyDescent="0.2">
      <c r="E20" t="s">
        <v>98</v>
      </c>
      <c r="F20" t="s">
        <v>202</v>
      </c>
      <c r="H20" s="33" t="s">
        <v>1251</v>
      </c>
    </row>
    <row r="21" spans="5:8" ht="15" customHeight="1" x14ac:dyDescent="0.2">
      <c r="E21" t="s">
        <v>145</v>
      </c>
      <c r="F21">
        <v>12.5</v>
      </c>
      <c r="H21" t="s">
        <v>1252</v>
      </c>
    </row>
    <row r="23" spans="5:8" ht="15" customHeight="1" x14ac:dyDescent="0.2">
      <c r="E23" t="s">
        <v>1253</v>
      </c>
      <c r="F23">
        <v>24</v>
      </c>
      <c r="H23" t="s">
        <v>1254</v>
      </c>
    </row>
    <row r="24" spans="5:8" ht="15" customHeight="1" x14ac:dyDescent="0.2">
      <c r="E24" t="s">
        <v>1255</v>
      </c>
      <c r="F24">
        <v>6</v>
      </c>
      <c r="H24" t="s">
        <v>1256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46"/>
  <sheetViews>
    <sheetView zoomScaleNormal="100" workbookViewId="0"/>
  </sheetViews>
  <sheetFormatPr baseColWidth="10" defaultColWidth="8.83203125" defaultRowHeight="15" x14ac:dyDescent="0.2"/>
  <sheetData>
    <row r="1" spans="1:11" ht="15" customHeight="1" x14ac:dyDescent="0.2">
      <c r="A1" s="3" t="s">
        <v>0</v>
      </c>
      <c r="B1" s="3" t="s">
        <v>652</v>
      </c>
      <c r="C1" s="3" t="s">
        <v>653</v>
      </c>
      <c r="D1" s="3" t="s">
        <v>654</v>
      </c>
      <c r="E1" s="3" t="s">
        <v>655</v>
      </c>
      <c r="F1" s="3" t="s">
        <v>656</v>
      </c>
      <c r="G1" s="3" t="s">
        <v>657</v>
      </c>
      <c r="H1" s="3" t="s">
        <v>658</v>
      </c>
      <c r="I1" s="3" t="s">
        <v>659</v>
      </c>
      <c r="J1" s="3" t="s">
        <v>660</v>
      </c>
      <c r="K1" s="3" t="s">
        <v>661</v>
      </c>
    </row>
    <row r="3" spans="1:11" ht="15" customHeight="1" x14ac:dyDescent="0.2">
      <c r="D3" t="s">
        <v>1257</v>
      </c>
      <c r="H3" t="s">
        <v>1257</v>
      </c>
      <c r="K3" t="s">
        <v>1258</v>
      </c>
    </row>
    <row r="4" spans="1:11" ht="15" customHeight="1" x14ac:dyDescent="0.2">
      <c r="K4" t="s">
        <v>1259</v>
      </c>
    </row>
    <row r="5" spans="1:11" ht="15" customHeight="1" x14ac:dyDescent="0.2">
      <c r="D5" t="s">
        <v>1260</v>
      </c>
      <c r="E5">
        <v>0</v>
      </c>
      <c r="H5" t="s">
        <v>57</v>
      </c>
      <c r="I5">
        <v>5</v>
      </c>
      <c r="K5" t="s">
        <v>1261</v>
      </c>
    </row>
    <row r="6" spans="1:11" ht="15" customHeight="1" x14ac:dyDescent="0.2">
      <c r="D6" t="s">
        <v>55</v>
      </c>
      <c r="E6">
        <v>5</v>
      </c>
      <c r="H6" t="s">
        <v>54</v>
      </c>
      <c r="I6">
        <v>4</v>
      </c>
    </row>
    <row r="7" spans="1:11" ht="15" customHeight="1" x14ac:dyDescent="0.2">
      <c r="D7" t="s">
        <v>45</v>
      </c>
      <c r="E7">
        <v>2</v>
      </c>
      <c r="H7" t="s">
        <v>58</v>
      </c>
      <c r="I7">
        <v>5</v>
      </c>
    </row>
    <row r="8" spans="1:11" ht="15" customHeight="1" x14ac:dyDescent="0.2">
      <c r="D8" t="s">
        <v>52</v>
      </c>
      <c r="E8">
        <v>9</v>
      </c>
      <c r="H8" t="s">
        <v>40</v>
      </c>
      <c r="I8">
        <v>4</v>
      </c>
    </row>
    <row r="9" spans="1:11" ht="15" customHeight="1" x14ac:dyDescent="0.2">
      <c r="D9" t="s">
        <v>1262</v>
      </c>
      <c r="E9">
        <v>10</v>
      </c>
      <c r="H9" t="s">
        <v>41</v>
      </c>
      <c r="I9">
        <v>1</v>
      </c>
    </row>
    <row r="10" spans="1:11" ht="15" customHeight="1" x14ac:dyDescent="0.2">
      <c r="D10" t="s">
        <v>44</v>
      </c>
      <c r="E10">
        <v>10</v>
      </c>
      <c r="H10" t="s">
        <v>42</v>
      </c>
      <c r="I10">
        <v>2</v>
      </c>
    </row>
    <row r="11" spans="1:11" ht="15" customHeight="1" x14ac:dyDescent="0.2">
      <c r="D11" t="s">
        <v>53</v>
      </c>
      <c r="E11">
        <v>3</v>
      </c>
      <c r="H11" t="s">
        <v>48</v>
      </c>
      <c r="I11">
        <v>2</v>
      </c>
    </row>
    <row r="12" spans="1:11" ht="15" customHeight="1" x14ac:dyDescent="0.2">
      <c r="D12" t="s">
        <v>59</v>
      </c>
      <c r="E12">
        <v>11</v>
      </c>
      <c r="H12" t="s">
        <v>46</v>
      </c>
      <c r="I12">
        <v>5</v>
      </c>
    </row>
    <row r="13" spans="1:11" ht="15" customHeight="1" x14ac:dyDescent="0.2">
      <c r="D13" t="s">
        <v>43</v>
      </c>
      <c r="E13">
        <v>10</v>
      </c>
      <c r="H13" t="s">
        <v>61</v>
      </c>
      <c r="I13">
        <v>1</v>
      </c>
    </row>
    <row r="14" spans="1:11" ht="15" customHeight="1" x14ac:dyDescent="0.2">
      <c r="D14" t="s">
        <v>62</v>
      </c>
      <c r="E14">
        <v>9</v>
      </c>
      <c r="H14" t="s">
        <v>651</v>
      </c>
      <c r="I14">
        <v>4</v>
      </c>
    </row>
    <row r="15" spans="1:11" ht="15" customHeight="1" x14ac:dyDescent="0.2">
      <c r="D15" t="s">
        <v>60</v>
      </c>
      <c r="E15">
        <v>7</v>
      </c>
    </row>
    <row r="16" spans="1:11" ht="15" customHeight="1" x14ac:dyDescent="0.2">
      <c r="H16" t="s">
        <v>650</v>
      </c>
      <c r="I16">
        <v>3.3</v>
      </c>
    </row>
    <row r="17" spans="4:6" ht="15" customHeight="1" x14ac:dyDescent="0.2">
      <c r="D17" t="s">
        <v>650</v>
      </c>
      <c r="E17">
        <v>7.6</v>
      </c>
    </row>
    <row r="25" spans="4:6" ht="15" customHeight="1" x14ac:dyDescent="0.2">
      <c r="E25">
        <v>2018</v>
      </c>
      <c r="F25">
        <v>2019</v>
      </c>
    </row>
    <row r="26" spans="4:6" ht="15" customHeight="1" x14ac:dyDescent="0.2">
      <c r="D26" t="s">
        <v>1260</v>
      </c>
      <c r="E26">
        <v>0</v>
      </c>
      <c r="F26">
        <v>0</v>
      </c>
    </row>
    <row r="27" spans="4:6" ht="15" customHeight="1" x14ac:dyDescent="0.2">
      <c r="D27" t="s">
        <v>55</v>
      </c>
      <c r="E27">
        <v>5</v>
      </c>
      <c r="F27">
        <v>5</v>
      </c>
    </row>
    <row r="28" spans="4:6" ht="15" customHeight="1" x14ac:dyDescent="0.2">
      <c r="D28" t="s">
        <v>45</v>
      </c>
      <c r="E28">
        <v>2</v>
      </c>
      <c r="F28">
        <v>2</v>
      </c>
    </row>
    <row r="29" spans="4:6" ht="15" customHeight="1" x14ac:dyDescent="0.2">
      <c r="D29" t="s">
        <v>52</v>
      </c>
      <c r="E29">
        <v>9</v>
      </c>
      <c r="F29">
        <v>9</v>
      </c>
    </row>
    <row r="30" spans="4:6" ht="15" customHeight="1" x14ac:dyDescent="0.2">
      <c r="D30" t="s">
        <v>1262</v>
      </c>
      <c r="E30">
        <v>10</v>
      </c>
      <c r="F30">
        <v>10</v>
      </c>
    </row>
    <row r="31" spans="4:6" ht="15" customHeight="1" x14ac:dyDescent="0.2">
      <c r="D31" t="s">
        <v>44</v>
      </c>
      <c r="E31">
        <v>10</v>
      </c>
      <c r="F31">
        <v>9</v>
      </c>
    </row>
    <row r="32" spans="4:6" ht="15" customHeight="1" x14ac:dyDescent="0.2">
      <c r="D32" t="s">
        <v>53</v>
      </c>
      <c r="E32">
        <v>3</v>
      </c>
      <c r="F32">
        <v>2</v>
      </c>
    </row>
    <row r="33" spans="4:6" ht="15" customHeight="1" x14ac:dyDescent="0.2">
      <c r="D33" t="s">
        <v>59</v>
      </c>
      <c r="E33">
        <v>11</v>
      </c>
      <c r="F33">
        <v>11</v>
      </c>
    </row>
    <row r="34" spans="4:6" ht="15" customHeight="1" x14ac:dyDescent="0.2">
      <c r="D34" t="s">
        <v>43</v>
      </c>
      <c r="E34">
        <v>10</v>
      </c>
      <c r="F34">
        <v>10</v>
      </c>
    </row>
    <row r="35" spans="4:6" ht="15" customHeight="1" x14ac:dyDescent="0.2">
      <c r="D35" t="s">
        <v>62</v>
      </c>
      <c r="E35">
        <v>9</v>
      </c>
      <c r="F35">
        <v>5</v>
      </c>
    </row>
    <row r="36" spans="4:6" ht="15" customHeight="1" x14ac:dyDescent="0.2">
      <c r="D36" t="s">
        <v>60</v>
      </c>
      <c r="E36">
        <v>7</v>
      </c>
      <c r="F36">
        <v>7</v>
      </c>
    </row>
    <row r="37" spans="4:6" ht="15" customHeight="1" x14ac:dyDescent="0.2">
      <c r="D37" t="s">
        <v>57</v>
      </c>
      <c r="E37">
        <v>5</v>
      </c>
      <c r="F37">
        <v>5</v>
      </c>
    </row>
    <row r="38" spans="4:6" ht="15" customHeight="1" x14ac:dyDescent="0.2">
      <c r="D38" t="s">
        <v>54</v>
      </c>
      <c r="E38">
        <v>4</v>
      </c>
      <c r="F38">
        <v>4</v>
      </c>
    </row>
    <row r="39" spans="4:6" ht="15" customHeight="1" x14ac:dyDescent="0.2">
      <c r="D39" t="s">
        <v>58</v>
      </c>
      <c r="E39">
        <v>5</v>
      </c>
      <c r="F39">
        <v>7</v>
      </c>
    </row>
    <row r="40" spans="4:6" ht="15" customHeight="1" x14ac:dyDescent="0.2">
      <c r="D40" t="s">
        <v>40</v>
      </c>
      <c r="E40">
        <v>4</v>
      </c>
      <c r="F40">
        <v>6</v>
      </c>
    </row>
    <row r="41" spans="4:6" ht="15" customHeight="1" x14ac:dyDescent="0.2">
      <c r="D41" t="s">
        <v>41</v>
      </c>
      <c r="E41">
        <v>1</v>
      </c>
      <c r="F41">
        <v>1</v>
      </c>
    </row>
    <row r="42" spans="4:6" ht="15" customHeight="1" x14ac:dyDescent="0.2">
      <c r="D42" t="s">
        <v>42</v>
      </c>
      <c r="E42">
        <v>2</v>
      </c>
      <c r="F42">
        <v>2</v>
      </c>
    </row>
    <row r="43" spans="4:6" ht="15" customHeight="1" x14ac:dyDescent="0.2">
      <c r="D43" t="s">
        <v>48</v>
      </c>
      <c r="E43">
        <v>2</v>
      </c>
      <c r="F43">
        <v>2</v>
      </c>
    </row>
    <row r="44" spans="4:6" ht="15" customHeight="1" x14ac:dyDescent="0.2">
      <c r="D44" t="s">
        <v>46</v>
      </c>
      <c r="E44">
        <v>5</v>
      </c>
      <c r="F44">
        <v>5</v>
      </c>
    </row>
    <row r="45" spans="4:6" ht="15" customHeight="1" x14ac:dyDescent="0.2">
      <c r="D45" t="s">
        <v>61</v>
      </c>
      <c r="E45">
        <v>1</v>
      </c>
      <c r="F45">
        <v>1</v>
      </c>
    </row>
    <row r="46" spans="4:6" ht="15" customHeight="1" x14ac:dyDescent="0.2">
      <c r="D46" t="s">
        <v>651</v>
      </c>
      <c r="E46">
        <v>4</v>
      </c>
      <c r="F46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N152"/>
  <sheetViews>
    <sheetView zoomScaleNormal="100" workbookViewId="0"/>
  </sheetViews>
  <sheetFormatPr baseColWidth="10" defaultColWidth="8.83203125" defaultRowHeight="15" x14ac:dyDescent="0.2"/>
  <sheetData>
    <row r="1" spans="1:40" ht="15" customHeight="1" x14ac:dyDescent="0.2">
      <c r="A1" s="3" t="s">
        <v>0</v>
      </c>
      <c r="B1" s="3" t="s">
        <v>652</v>
      </c>
      <c r="C1" s="3" t="s">
        <v>653</v>
      </c>
      <c r="D1" s="3" t="s">
        <v>654</v>
      </c>
      <c r="E1" s="3" t="s">
        <v>655</v>
      </c>
      <c r="F1" s="3" t="s">
        <v>656</v>
      </c>
      <c r="G1" s="3" t="s">
        <v>657</v>
      </c>
      <c r="H1" s="3" t="s">
        <v>658</v>
      </c>
      <c r="I1" s="3" t="s">
        <v>659</v>
      </c>
      <c r="J1" s="3" t="s">
        <v>660</v>
      </c>
      <c r="K1" s="3" t="s">
        <v>661</v>
      </c>
      <c r="L1" s="3" t="s">
        <v>662</v>
      </c>
      <c r="M1" s="3" t="s">
        <v>663</v>
      </c>
      <c r="N1" s="3" t="s">
        <v>664</v>
      </c>
      <c r="O1" s="3" t="s">
        <v>665</v>
      </c>
      <c r="P1" s="3" t="s">
        <v>666</v>
      </c>
      <c r="Q1" s="3" t="s">
        <v>667</v>
      </c>
      <c r="R1" s="3" t="s">
        <v>668</v>
      </c>
      <c r="S1" s="3" t="s">
        <v>669</v>
      </c>
      <c r="T1" s="3" t="s">
        <v>689</v>
      </c>
      <c r="U1" s="3" t="s">
        <v>690</v>
      </c>
      <c r="V1" s="3" t="s">
        <v>691</v>
      </c>
      <c r="W1" s="3" t="s">
        <v>692</v>
      </c>
      <c r="X1" s="3" t="s">
        <v>693</v>
      </c>
      <c r="Y1" s="3" t="s">
        <v>694</v>
      </c>
      <c r="Z1" s="3" t="s">
        <v>695</v>
      </c>
      <c r="AA1" s="3" t="s">
        <v>696</v>
      </c>
      <c r="AB1" s="3" t="s">
        <v>697</v>
      </c>
      <c r="AC1" s="3" t="s">
        <v>698</v>
      </c>
      <c r="AD1" s="3" t="s">
        <v>699</v>
      </c>
      <c r="AE1" s="3" t="s">
        <v>700</v>
      </c>
      <c r="AF1" s="3" t="s">
        <v>701</v>
      </c>
      <c r="AG1" s="3" t="s">
        <v>702</v>
      </c>
      <c r="AH1" s="3" t="s">
        <v>671</v>
      </c>
      <c r="AI1" s="3" t="s">
        <v>1263</v>
      </c>
      <c r="AJ1" s="3" t="s">
        <v>1264</v>
      </c>
      <c r="AK1" s="3" t="s">
        <v>1265</v>
      </c>
      <c r="AL1" s="3" t="s">
        <v>1266</v>
      </c>
      <c r="AM1" s="3" t="s">
        <v>1267</v>
      </c>
      <c r="AN1" s="3" t="s">
        <v>1268</v>
      </c>
    </row>
    <row r="2" spans="1:40" ht="15" customHeight="1" x14ac:dyDescent="0.2">
      <c r="A2" t="s">
        <v>924</v>
      </c>
      <c r="B2" t="s">
        <v>111</v>
      </c>
      <c r="O2" t="s">
        <v>924</v>
      </c>
      <c r="P2" t="s">
        <v>80</v>
      </c>
      <c r="AB2" t="s">
        <v>924</v>
      </c>
      <c r="AC2" t="s">
        <v>80</v>
      </c>
      <c r="AI2" t="s">
        <v>924</v>
      </c>
      <c r="AJ2" t="s">
        <v>80</v>
      </c>
    </row>
    <row r="4" spans="1:40" ht="15" customHeight="1" x14ac:dyDescent="0.2">
      <c r="A4" t="s">
        <v>892</v>
      </c>
      <c r="B4" t="s">
        <v>703</v>
      </c>
      <c r="C4" t="s">
        <v>704</v>
      </c>
      <c r="D4" t="s">
        <v>705</v>
      </c>
      <c r="E4" t="s">
        <v>1269</v>
      </c>
      <c r="F4" t="s">
        <v>720</v>
      </c>
      <c r="H4" t="s">
        <v>714</v>
      </c>
      <c r="I4" t="s">
        <v>1269</v>
      </c>
      <c r="J4" t="s">
        <v>720</v>
      </c>
      <c r="O4" t="s">
        <v>892</v>
      </c>
      <c r="P4" t="s">
        <v>703</v>
      </c>
      <c r="Q4" t="s">
        <v>704</v>
      </c>
      <c r="R4" t="s">
        <v>705</v>
      </c>
      <c r="T4" t="s">
        <v>1269</v>
      </c>
      <c r="U4" t="s">
        <v>1270</v>
      </c>
      <c r="V4" t="s">
        <v>1271</v>
      </c>
      <c r="W4" t="s">
        <v>1272</v>
      </c>
      <c r="X4" t="s">
        <v>1273</v>
      </c>
      <c r="AC4" t="s">
        <v>703</v>
      </c>
      <c r="AD4" t="s">
        <v>704</v>
      </c>
      <c r="AE4" t="s">
        <v>705</v>
      </c>
      <c r="AF4" t="s">
        <v>706</v>
      </c>
      <c r="AI4" t="s">
        <v>1274</v>
      </c>
      <c r="AJ4" t="s">
        <v>32</v>
      </c>
      <c r="AK4" t="s">
        <v>33</v>
      </c>
      <c r="AL4" t="s">
        <v>34</v>
      </c>
      <c r="AM4" t="s">
        <v>706</v>
      </c>
      <c r="AN4" t="s">
        <v>1275</v>
      </c>
    </row>
    <row r="5" spans="1:40" ht="15" customHeight="1" x14ac:dyDescent="0.2">
      <c r="A5" t="s">
        <v>57</v>
      </c>
      <c r="B5">
        <v>1</v>
      </c>
      <c r="C5">
        <v>4</v>
      </c>
      <c r="D5">
        <v>0</v>
      </c>
      <c r="E5">
        <v>0.2</v>
      </c>
      <c r="F5">
        <v>5</v>
      </c>
      <c r="H5" t="s">
        <v>69</v>
      </c>
      <c r="I5">
        <v>1</v>
      </c>
      <c r="J5">
        <v>1</v>
      </c>
      <c r="O5" t="s">
        <v>860</v>
      </c>
      <c r="P5">
        <v>0</v>
      </c>
      <c r="Q5">
        <v>2</v>
      </c>
      <c r="R5">
        <v>0</v>
      </c>
      <c r="T5">
        <v>0</v>
      </c>
      <c r="U5">
        <v>0</v>
      </c>
      <c r="V5">
        <v>2</v>
      </c>
      <c r="W5">
        <v>0</v>
      </c>
      <c r="X5">
        <v>0</v>
      </c>
      <c r="AB5" t="s">
        <v>883</v>
      </c>
      <c r="AC5">
        <v>0</v>
      </c>
      <c r="AD5">
        <v>1</v>
      </c>
      <c r="AE5">
        <v>0</v>
      </c>
      <c r="AF5">
        <v>0</v>
      </c>
      <c r="AI5" t="s">
        <v>722</v>
      </c>
      <c r="AJ5">
        <v>2</v>
      </c>
      <c r="AK5">
        <v>0</v>
      </c>
      <c r="AL5">
        <v>0</v>
      </c>
      <c r="AM5">
        <v>1</v>
      </c>
      <c r="AN5">
        <v>2</v>
      </c>
    </row>
    <row r="6" spans="1:40" ht="15" customHeight="1" x14ac:dyDescent="0.2">
      <c r="A6" t="s">
        <v>55</v>
      </c>
      <c r="B6">
        <v>5</v>
      </c>
      <c r="C6">
        <v>4</v>
      </c>
      <c r="D6">
        <v>1</v>
      </c>
      <c r="E6">
        <v>0.55000000000000004</v>
      </c>
      <c r="F6">
        <v>10</v>
      </c>
      <c r="H6" t="s">
        <v>58</v>
      </c>
      <c r="I6">
        <v>0.78571428571428603</v>
      </c>
      <c r="J6">
        <v>7</v>
      </c>
      <c r="O6" t="s">
        <v>722</v>
      </c>
      <c r="P6">
        <v>2</v>
      </c>
      <c r="Q6">
        <v>0</v>
      </c>
      <c r="R6">
        <v>0</v>
      </c>
      <c r="T6">
        <v>1</v>
      </c>
      <c r="U6">
        <v>2</v>
      </c>
      <c r="V6">
        <v>0</v>
      </c>
      <c r="W6">
        <v>0</v>
      </c>
      <c r="X6">
        <v>1</v>
      </c>
      <c r="AB6" t="s">
        <v>840</v>
      </c>
      <c r="AC6">
        <v>0</v>
      </c>
      <c r="AD6">
        <v>1</v>
      </c>
      <c r="AE6">
        <v>1</v>
      </c>
      <c r="AF6">
        <v>0.25</v>
      </c>
      <c r="AI6" t="s">
        <v>723</v>
      </c>
      <c r="AJ6">
        <v>2</v>
      </c>
      <c r="AK6">
        <v>0</v>
      </c>
      <c r="AL6">
        <v>0</v>
      </c>
      <c r="AM6">
        <v>1</v>
      </c>
      <c r="AN6">
        <v>2</v>
      </c>
    </row>
    <row r="7" spans="1:40" ht="15" customHeight="1" x14ac:dyDescent="0.2">
      <c r="A7" t="s">
        <v>45</v>
      </c>
      <c r="B7">
        <v>7</v>
      </c>
      <c r="C7">
        <v>4</v>
      </c>
      <c r="D7">
        <v>0</v>
      </c>
      <c r="E7">
        <v>0.63636363636363602</v>
      </c>
      <c r="F7">
        <v>11</v>
      </c>
      <c r="H7" t="s">
        <v>43</v>
      </c>
      <c r="I7">
        <v>0.75</v>
      </c>
      <c r="J7">
        <v>6</v>
      </c>
      <c r="O7" t="s">
        <v>773</v>
      </c>
      <c r="P7">
        <v>2</v>
      </c>
      <c r="Q7">
        <v>1</v>
      </c>
      <c r="R7">
        <v>1</v>
      </c>
      <c r="T7">
        <v>0.625</v>
      </c>
      <c r="U7">
        <v>2</v>
      </c>
      <c r="V7">
        <v>1</v>
      </c>
      <c r="W7">
        <v>1</v>
      </c>
      <c r="X7">
        <v>0.625</v>
      </c>
      <c r="AB7" t="s">
        <v>753</v>
      </c>
      <c r="AC7">
        <v>1</v>
      </c>
      <c r="AD7">
        <v>0</v>
      </c>
      <c r="AE7">
        <v>1</v>
      </c>
      <c r="AF7">
        <v>0.75</v>
      </c>
      <c r="AI7" t="s">
        <v>724</v>
      </c>
      <c r="AJ7">
        <v>2</v>
      </c>
      <c r="AK7">
        <v>0</v>
      </c>
      <c r="AL7">
        <v>0</v>
      </c>
      <c r="AM7">
        <v>1</v>
      </c>
      <c r="AN7">
        <v>2</v>
      </c>
    </row>
    <row r="8" spans="1:40" ht="15" customHeight="1" x14ac:dyDescent="0.2">
      <c r="A8" t="s">
        <v>52</v>
      </c>
      <c r="B8">
        <v>2</v>
      </c>
      <c r="C8">
        <v>7</v>
      </c>
      <c r="D8">
        <v>1</v>
      </c>
      <c r="E8">
        <v>0.25</v>
      </c>
      <c r="F8">
        <v>10</v>
      </c>
      <c r="H8" t="s">
        <v>61</v>
      </c>
      <c r="I8">
        <v>0.7</v>
      </c>
      <c r="J8">
        <v>10</v>
      </c>
      <c r="O8" t="s">
        <v>787</v>
      </c>
      <c r="P8">
        <v>3</v>
      </c>
      <c r="Q8">
        <v>2</v>
      </c>
      <c r="R8">
        <v>2</v>
      </c>
      <c r="T8">
        <v>0.57142857142857095</v>
      </c>
      <c r="U8">
        <v>3</v>
      </c>
      <c r="V8">
        <v>2</v>
      </c>
      <c r="W8">
        <v>2</v>
      </c>
      <c r="X8">
        <v>0.57142857142857095</v>
      </c>
      <c r="AB8" t="s">
        <v>860</v>
      </c>
      <c r="AC8">
        <v>0</v>
      </c>
      <c r="AD8">
        <v>2</v>
      </c>
      <c r="AE8">
        <v>0</v>
      </c>
      <c r="AF8">
        <v>0</v>
      </c>
      <c r="AI8" t="s">
        <v>747</v>
      </c>
      <c r="AJ8">
        <v>2</v>
      </c>
      <c r="AK8">
        <v>0</v>
      </c>
      <c r="AL8">
        <v>0</v>
      </c>
      <c r="AM8">
        <v>1</v>
      </c>
      <c r="AN8">
        <v>2</v>
      </c>
    </row>
    <row r="9" spans="1:40" ht="15" customHeight="1" x14ac:dyDescent="0.2">
      <c r="A9" t="s">
        <v>50</v>
      </c>
      <c r="B9">
        <v>6</v>
      </c>
      <c r="C9">
        <v>4</v>
      </c>
      <c r="D9">
        <v>1</v>
      </c>
      <c r="E9">
        <v>0.59090909090909105</v>
      </c>
      <c r="F9">
        <v>11</v>
      </c>
      <c r="H9" t="s">
        <v>60</v>
      </c>
      <c r="I9">
        <v>0.68181818181818199</v>
      </c>
      <c r="J9">
        <v>11</v>
      </c>
      <c r="O9" t="s">
        <v>747</v>
      </c>
      <c r="P9">
        <v>2</v>
      </c>
      <c r="Q9">
        <v>0</v>
      </c>
      <c r="R9">
        <v>0</v>
      </c>
      <c r="T9">
        <v>1</v>
      </c>
      <c r="U9">
        <v>2</v>
      </c>
      <c r="V9">
        <v>0</v>
      </c>
      <c r="W9">
        <v>0</v>
      </c>
      <c r="X9">
        <v>1</v>
      </c>
      <c r="AB9" t="s">
        <v>722</v>
      </c>
      <c r="AC9">
        <v>2</v>
      </c>
      <c r="AD9">
        <v>0</v>
      </c>
      <c r="AE9">
        <v>0</v>
      </c>
      <c r="AF9">
        <v>1</v>
      </c>
      <c r="AI9" t="s">
        <v>725</v>
      </c>
      <c r="AJ9">
        <v>2</v>
      </c>
      <c r="AK9">
        <v>0</v>
      </c>
      <c r="AL9">
        <v>0</v>
      </c>
      <c r="AM9">
        <v>1</v>
      </c>
      <c r="AN9">
        <v>2</v>
      </c>
    </row>
    <row r="10" spans="1:40" ht="15" customHeight="1" x14ac:dyDescent="0.2">
      <c r="A10" t="s">
        <v>44</v>
      </c>
      <c r="B10">
        <v>3</v>
      </c>
      <c r="C10">
        <v>6</v>
      </c>
      <c r="D10">
        <v>2</v>
      </c>
      <c r="E10">
        <v>0.36363636363636398</v>
      </c>
      <c r="F10">
        <v>11</v>
      </c>
      <c r="H10" t="s">
        <v>66</v>
      </c>
      <c r="I10">
        <v>0.66666666666666696</v>
      </c>
      <c r="J10">
        <v>3</v>
      </c>
      <c r="O10" t="s">
        <v>769</v>
      </c>
      <c r="P10">
        <v>4</v>
      </c>
      <c r="Q10">
        <v>2</v>
      </c>
      <c r="R10">
        <v>0</v>
      </c>
      <c r="T10">
        <v>0.66666666666666696</v>
      </c>
      <c r="U10">
        <v>4</v>
      </c>
      <c r="V10">
        <v>2</v>
      </c>
      <c r="W10">
        <v>0</v>
      </c>
      <c r="X10">
        <v>0.66666666666666696</v>
      </c>
      <c r="AB10" t="s">
        <v>799</v>
      </c>
      <c r="AC10">
        <v>1</v>
      </c>
      <c r="AD10">
        <v>1</v>
      </c>
      <c r="AE10">
        <v>0</v>
      </c>
      <c r="AF10">
        <v>0.5</v>
      </c>
      <c r="AI10" t="s">
        <v>726</v>
      </c>
      <c r="AJ10">
        <v>2</v>
      </c>
      <c r="AK10">
        <v>0</v>
      </c>
      <c r="AL10">
        <v>0</v>
      </c>
      <c r="AM10">
        <v>1</v>
      </c>
      <c r="AN10">
        <v>2</v>
      </c>
    </row>
    <row r="11" spans="1:40" ht="15" customHeight="1" x14ac:dyDescent="0.2">
      <c r="A11" t="s">
        <v>54</v>
      </c>
      <c r="B11">
        <v>6</v>
      </c>
      <c r="C11">
        <v>4</v>
      </c>
      <c r="D11">
        <v>0</v>
      </c>
      <c r="E11">
        <v>0.6</v>
      </c>
      <c r="F11">
        <v>10</v>
      </c>
      <c r="H11" t="s">
        <v>53</v>
      </c>
      <c r="I11">
        <v>0.59090909090909105</v>
      </c>
      <c r="J11">
        <v>11</v>
      </c>
      <c r="O11" t="s">
        <v>867</v>
      </c>
      <c r="P11">
        <v>0</v>
      </c>
      <c r="Q11">
        <v>2</v>
      </c>
      <c r="R11">
        <v>0</v>
      </c>
      <c r="T11">
        <v>0</v>
      </c>
      <c r="U11">
        <v>0</v>
      </c>
      <c r="V11">
        <v>2</v>
      </c>
      <c r="W11">
        <v>0</v>
      </c>
      <c r="X11">
        <v>0</v>
      </c>
      <c r="AB11" t="s">
        <v>827</v>
      </c>
      <c r="AC11">
        <v>2</v>
      </c>
      <c r="AD11">
        <v>3</v>
      </c>
      <c r="AE11">
        <v>1</v>
      </c>
      <c r="AF11">
        <v>0.41666666666666702</v>
      </c>
      <c r="AI11" t="s">
        <v>727</v>
      </c>
      <c r="AJ11">
        <v>2</v>
      </c>
      <c r="AK11">
        <v>0</v>
      </c>
      <c r="AL11">
        <v>0</v>
      </c>
      <c r="AM11">
        <v>1</v>
      </c>
      <c r="AN11">
        <v>2</v>
      </c>
    </row>
    <row r="12" spans="1:40" ht="15" customHeight="1" x14ac:dyDescent="0.2">
      <c r="A12" t="s">
        <v>53</v>
      </c>
      <c r="B12">
        <v>6</v>
      </c>
      <c r="C12">
        <v>4</v>
      </c>
      <c r="D12">
        <v>1</v>
      </c>
      <c r="E12">
        <v>0.59090909090909105</v>
      </c>
      <c r="F12">
        <v>11</v>
      </c>
      <c r="H12" t="s">
        <v>45</v>
      </c>
      <c r="I12">
        <v>0.63636363636363602</v>
      </c>
      <c r="J12">
        <v>11</v>
      </c>
      <c r="O12" t="s">
        <v>844</v>
      </c>
      <c r="P12">
        <v>0</v>
      </c>
      <c r="Q12">
        <v>1</v>
      </c>
      <c r="R12">
        <v>1</v>
      </c>
      <c r="T12">
        <v>0.25</v>
      </c>
      <c r="U12">
        <v>0</v>
      </c>
      <c r="V12">
        <v>1</v>
      </c>
      <c r="W12">
        <v>1</v>
      </c>
      <c r="X12">
        <v>0.25</v>
      </c>
      <c r="AB12" t="s">
        <v>771</v>
      </c>
      <c r="AC12">
        <v>2</v>
      </c>
      <c r="AD12">
        <v>1</v>
      </c>
      <c r="AE12">
        <v>1</v>
      </c>
      <c r="AF12">
        <v>0.625</v>
      </c>
      <c r="AI12" t="s">
        <v>776</v>
      </c>
      <c r="AJ12">
        <v>2</v>
      </c>
      <c r="AK12">
        <v>0</v>
      </c>
      <c r="AL12">
        <v>0</v>
      </c>
      <c r="AM12">
        <v>1</v>
      </c>
      <c r="AN12">
        <v>2</v>
      </c>
    </row>
    <row r="13" spans="1:40" ht="15" customHeight="1" x14ac:dyDescent="0.2">
      <c r="A13" t="s">
        <v>40</v>
      </c>
      <c r="B13">
        <v>6</v>
      </c>
      <c r="C13">
        <v>5</v>
      </c>
      <c r="D13">
        <v>0</v>
      </c>
      <c r="E13">
        <v>0.54545454545454497</v>
      </c>
      <c r="F13">
        <v>11</v>
      </c>
      <c r="H13" t="s">
        <v>40</v>
      </c>
      <c r="I13">
        <v>0.54545454545454497</v>
      </c>
      <c r="J13">
        <v>11</v>
      </c>
      <c r="O13" t="s">
        <v>826</v>
      </c>
      <c r="P13">
        <v>5</v>
      </c>
      <c r="Q13">
        <v>6</v>
      </c>
      <c r="R13">
        <v>1</v>
      </c>
      <c r="T13">
        <v>0.45833333333333298</v>
      </c>
      <c r="U13">
        <v>5</v>
      </c>
      <c r="V13">
        <v>6</v>
      </c>
      <c r="W13">
        <v>1</v>
      </c>
      <c r="X13">
        <v>0.45833333333333298</v>
      </c>
      <c r="AB13" t="s">
        <v>741</v>
      </c>
      <c r="AC13">
        <v>1</v>
      </c>
      <c r="AD13">
        <v>0</v>
      </c>
      <c r="AE13">
        <v>0</v>
      </c>
      <c r="AF13">
        <v>1</v>
      </c>
      <c r="AI13" t="s">
        <v>729</v>
      </c>
      <c r="AJ13">
        <v>2</v>
      </c>
      <c r="AK13">
        <v>0</v>
      </c>
      <c r="AL13">
        <v>0</v>
      </c>
      <c r="AM13">
        <v>1</v>
      </c>
      <c r="AN13">
        <v>2</v>
      </c>
    </row>
    <row r="14" spans="1:40" ht="15" customHeight="1" x14ac:dyDescent="0.2">
      <c r="A14" t="s">
        <v>47</v>
      </c>
      <c r="B14">
        <v>0</v>
      </c>
      <c r="C14">
        <v>2</v>
      </c>
      <c r="D14">
        <v>2</v>
      </c>
      <c r="E14">
        <v>0.25</v>
      </c>
      <c r="F14">
        <v>4</v>
      </c>
      <c r="H14" t="s">
        <v>54</v>
      </c>
      <c r="I14">
        <v>0.6</v>
      </c>
      <c r="J14">
        <v>10</v>
      </c>
      <c r="O14" t="s">
        <v>837</v>
      </c>
      <c r="P14">
        <v>0</v>
      </c>
      <c r="Q14">
        <v>2</v>
      </c>
      <c r="R14">
        <v>0</v>
      </c>
      <c r="T14">
        <v>0</v>
      </c>
      <c r="U14">
        <v>0</v>
      </c>
      <c r="V14">
        <v>2</v>
      </c>
      <c r="W14">
        <v>0</v>
      </c>
      <c r="X14">
        <v>0</v>
      </c>
      <c r="AB14" t="s">
        <v>863</v>
      </c>
      <c r="AC14">
        <v>0</v>
      </c>
      <c r="AD14">
        <v>2</v>
      </c>
      <c r="AE14">
        <v>0</v>
      </c>
      <c r="AF14">
        <v>0</v>
      </c>
      <c r="AI14" t="s">
        <v>730</v>
      </c>
      <c r="AJ14">
        <v>2</v>
      </c>
      <c r="AK14">
        <v>0</v>
      </c>
      <c r="AL14">
        <v>0</v>
      </c>
      <c r="AM14">
        <v>1</v>
      </c>
      <c r="AN14">
        <v>2</v>
      </c>
    </row>
    <row r="15" spans="1:40" ht="15" customHeight="1" x14ac:dyDescent="0.2">
      <c r="A15" t="s">
        <v>41</v>
      </c>
      <c r="B15">
        <v>4</v>
      </c>
      <c r="C15">
        <v>5</v>
      </c>
      <c r="D15">
        <v>0</v>
      </c>
      <c r="E15">
        <v>0.44444444444444398</v>
      </c>
      <c r="F15">
        <v>9</v>
      </c>
      <c r="H15" t="s">
        <v>50</v>
      </c>
      <c r="I15">
        <v>0.59090909090909105</v>
      </c>
      <c r="J15">
        <v>11</v>
      </c>
      <c r="O15" t="s">
        <v>833</v>
      </c>
      <c r="P15">
        <v>0</v>
      </c>
      <c r="Q15">
        <v>4</v>
      </c>
      <c r="R15">
        <v>0</v>
      </c>
      <c r="T15">
        <v>0</v>
      </c>
      <c r="U15">
        <v>0</v>
      </c>
      <c r="V15">
        <v>4</v>
      </c>
      <c r="W15">
        <v>0</v>
      </c>
      <c r="X15">
        <v>0</v>
      </c>
      <c r="AB15" t="s">
        <v>857</v>
      </c>
      <c r="AC15">
        <v>0</v>
      </c>
      <c r="AD15">
        <v>4</v>
      </c>
      <c r="AE15">
        <v>0</v>
      </c>
      <c r="AF15">
        <v>0</v>
      </c>
      <c r="AI15" t="s">
        <v>731</v>
      </c>
      <c r="AJ15">
        <v>2</v>
      </c>
      <c r="AK15">
        <v>0</v>
      </c>
      <c r="AL15">
        <v>0</v>
      </c>
      <c r="AM15">
        <v>1</v>
      </c>
      <c r="AN15">
        <v>2</v>
      </c>
    </row>
    <row r="16" spans="1:40" ht="15" customHeight="1" x14ac:dyDescent="0.2">
      <c r="A16" t="s">
        <v>42</v>
      </c>
      <c r="B16">
        <v>5</v>
      </c>
      <c r="C16">
        <v>5</v>
      </c>
      <c r="D16">
        <v>1</v>
      </c>
      <c r="E16">
        <v>0.5</v>
      </c>
      <c r="F16">
        <v>11</v>
      </c>
      <c r="H16" t="s">
        <v>55</v>
      </c>
      <c r="I16">
        <v>0.55000000000000004</v>
      </c>
      <c r="J16">
        <v>10</v>
      </c>
      <c r="O16" t="s">
        <v>791</v>
      </c>
      <c r="P16">
        <v>3</v>
      </c>
      <c r="Q16">
        <v>3</v>
      </c>
      <c r="R16">
        <v>0</v>
      </c>
      <c r="T16">
        <v>0.5</v>
      </c>
      <c r="U16">
        <v>3</v>
      </c>
      <c r="V16">
        <v>3</v>
      </c>
      <c r="W16">
        <v>0</v>
      </c>
      <c r="X16">
        <v>0.5</v>
      </c>
      <c r="AB16" t="s">
        <v>788</v>
      </c>
      <c r="AC16">
        <v>3</v>
      </c>
      <c r="AD16">
        <v>3</v>
      </c>
      <c r="AE16">
        <v>0</v>
      </c>
      <c r="AF16">
        <v>0.5</v>
      </c>
      <c r="AI16" t="s">
        <v>732</v>
      </c>
      <c r="AJ16">
        <v>2</v>
      </c>
      <c r="AK16">
        <v>0</v>
      </c>
      <c r="AL16">
        <v>0</v>
      </c>
      <c r="AM16">
        <v>1</v>
      </c>
      <c r="AN16">
        <v>2</v>
      </c>
    </row>
    <row r="17" spans="1:40" ht="15" customHeight="1" x14ac:dyDescent="0.2">
      <c r="A17" t="s">
        <v>48</v>
      </c>
      <c r="B17">
        <v>4</v>
      </c>
      <c r="C17">
        <v>6</v>
      </c>
      <c r="D17">
        <v>1</v>
      </c>
      <c r="E17">
        <v>0.40909090909090901</v>
      </c>
      <c r="F17">
        <v>11</v>
      </c>
      <c r="H17" t="s">
        <v>42</v>
      </c>
      <c r="I17">
        <v>0.5</v>
      </c>
      <c r="J17">
        <v>11</v>
      </c>
      <c r="O17" t="s">
        <v>731</v>
      </c>
      <c r="P17">
        <v>2</v>
      </c>
      <c r="Q17">
        <v>0</v>
      </c>
      <c r="R17">
        <v>0</v>
      </c>
      <c r="T17">
        <v>1</v>
      </c>
      <c r="U17">
        <v>2</v>
      </c>
      <c r="V17">
        <v>0</v>
      </c>
      <c r="W17">
        <v>0</v>
      </c>
      <c r="X17">
        <v>1</v>
      </c>
      <c r="AB17" t="s">
        <v>861</v>
      </c>
      <c r="AC17">
        <v>0</v>
      </c>
      <c r="AD17">
        <v>2</v>
      </c>
      <c r="AE17">
        <v>0</v>
      </c>
      <c r="AF17">
        <v>0</v>
      </c>
      <c r="AI17" t="s">
        <v>733</v>
      </c>
      <c r="AJ17">
        <v>2</v>
      </c>
      <c r="AK17">
        <v>0</v>
      </c>
      <c r="AL17">
        <v>0</v>
      </c>
      <c r="AM17">
        <v>1</v>
      </c>
      <c r="AN17">
        <v>2</v>
      </c>
    </row>
    <row r="18" spans="1:40" ht="15" customHeight="1" x14ac:dyDescent="0.2">
      <c r="A18" t="s">
        <v>51</v>
      </c>
      <c r="B18">
        <v>0</v>
      </c>
      <c r="C18">
        <v>1</v>
      </c>
      <c r="D18">
        <v>0</v>
      </c>
      <c r="E18">
        <v>0</v>
      </c>
      <c r="F18">
        <v>1</v>
      </c>
      <c r="H18" t="s">
        <v>59</v>
      </c>
      <c r="I18">
        <v>0.58333333333333304</v>
      </c>
      <c r="J18">
        <v>6</v>
      </c>
      <c r="O18" t="s">
        <v>795</v>
      </c>
      <c r="P18">
        <v>1</v>
      </c>
      <c r="Q18">
        <v>1</v>
      </c>
      <c r="R18">
        <v>2</v>
      </c>
      <c r="T18">
        <v>0.5</v>
      </c>
      <c r="U18">
        <v>1</v>
      </c>
      <c r="V18">
        <v>1</v>
      </c>
      <c r="W18">
        <v>2</v>
      </c>
      <c r="X18">
        <v>0.5</v>
      </c>
      <c r="AB18" t="s">
        <v>755</v>
      </c>
      <c r="AC18">
        <v>1</v>
      </c>
      <c r="AD18">
        <v>0</v>
      </c>
      <c r="AE18">
        <v>1</v>
      </c>
      <c r="AF18">
        <v>0.75</v>
      </c>
      <c r="AI18" t="s">
        <v>734</v>
      </c>
      <c r="AJ18">
        <v>2</v>
      </c>
      <c r="AK18">
        <v>0</v>
      </c>
      <c r="AL18">
        <v>0</v>
      </c>
      <c r="AM18">
        <v>1</v>
      </c>
      <c r="AN18">
        <v>2</v>
      </c>
    </row>
    <row r="19" spans="1:40" ht="15" customHeight="1" x14ac:dyDescent="0.2">
      <c r="A19" t="s">
        <v>46</v>
      </c>
      <c r="B19">
        <v>2</v>
      </c>
      <c r="C19">
        <v>5</v>
      </c>
      <c r="D19">
        <v>2</v>
      </c>
      <c r="E19">
        <v>0.33333333333333298</v>
      </c>
      <c r="F19">
        <v>9</v>
      </c>
      <c r="H19" t="s">
        <v>67</v>
      </c>
      <c r="I19">
        <v>0.5</v>
      </c>
      <c r="J19">
        <v>1</v>
      </c>
      <c r="O19" t="s">
        <v>779</v>
      </c>
      <c r="P19">
        <v>2</v>
      </c>
      <c r="Q19">
        <v>1</v>
      </c>
      <c r="R19">
        <v>1</v>
      </c>
      <c r="T19">
        <v>0.625</v>
      </c>
      <c r="U19">
        <v>2</v>
      </c>
      <c r="V19">
        <v>1</v>
      </c>
      <c r="W19">
        <v>1</v>
      </c>
      <c r="X19">
        <v>0.625</v>
      </c>
      <c r="AB19" t="s">
        <v>792</v>
      </c>
      <c r="AC19">
        <v>2</v>
      </c>
      <c r="AD19">
        <v>2</v>
      </c>
      <c r="AE19">
        <v>0</v>
      </c>
      <c r="AF19">
        <v>0.5</v>
      </c>
      <c r="AI19" t="s">
        <v>735</v>
      </c>
      <c r="AJ19">
        <v>2</v>
      </c>
      <c r="AK19">
        <v>0</v>
      </c>
      <c r="AL19">
        <v>0</v>
      </c>
      <c r="AM19">
        <v>1</v>
      </c>
      <c r="AN19">
        <v>2</v>
      </c>
    </row>
    <row r="20" spans="1:40" ht="15" customHeight="1" x14ac:dyDescent="0.2">
      <c r="A20" t="s">
        <v>59</v>
      </c>
      <c r="B20">
        <v>3</v>
      </c>
      <c r="C20">
        <v>2</v>
      </c>
      <c r="D20">
        <v>1</v>
      </c>
      <c r="E20">
        <v>0.58333333333333304</v>
      </c>
      <c r="F20">
        <v>6</v>
      </c>
      <c r="H20" t="s">
        <v>48</v>
      </c>
      <c r="I20">
        <v>0.40909090909090901</v>
      </c>
      <c r="J20">
        <v>11</v>
      </c>
      <c r="O20" t="s">
        <v>751</v>
      </c>
      <c r="P20">
        <v>7</v>
      </c>
      <c r="Q20">
        <v>2</v>
      </c>
      <c r="R20">
        <v>1</v>
      </c>
      <c r="T20">
        <v>0.75</v>
      </c>
      <c r="U20">
        <v>7</v>
      </c>
      <c r="V20">
        <v>2</v>
      </c>
      <c r="W20">
        <v>1</v>
      </c>
      <c r="X20">
        <v>0.75</v>
      </c>
      <c r="AB20" t="s">
        <v>828</v>
      </c>
      <c r="AC20">
        <v>2</v>
      </c>
      <c r="AD20">
        <v>3</v>
      </c>
      <c r="AE20">
        <v>1</v>
      </c>
      <c r="AF20">
        <v>0.41666666666666702</v>
      </c>
      <c r="AI20" t="s">
        <v>736</v>
      </c>
      <c r="AJ20">
        <v>2</v>
      </c>
      <c r="AK20">
        <v>0</v>
      </c>
      <c r="AL20">
        <v>0</v>
      </c>
      <c r="AM20">
        <v>1</v>
      </c>
      <c r="AN20">
        <v>2</v>
      </c>
    </row>
    <row r="21" spans="1:40" ht="15" customHeight="1" x14ac:dyDescent="0.2">
      <c r="A21" t="s">
        <v>43</v>
      </c>
      <c r="B21">
        <v>4</v>
      </c>
      <c r="C21">
        <v>1</v>
      </c>
      <c r="D21">
        <v>1</v>
      </c>
      <c r="E21">
        <v>0.75</v>
      </c>
      <c r="F21">
        <v>6</v>
      </c>
      <c r="H21" t="s">
        <v>62</v>
      </c>
      <c r="I21">
        <v>0.5</v>
      </c>
      <c r="J21">
        <v>8</v>
      </c>
      <c r="O21" t="s">
        <v>796</v>
      </c>
      <c r="P21">
        <v>2</v>
      </c>
      <c r="Q21">
        <v>2</v>
      </c>
      <c r="R21">
        <v>0</v>
      </c>
      <c r="T21">
        <v>0.5</v>
      </c>
      <c r="U21">
        <v>2</v>
      </c>
      <c r="V21">
        <v>2</v>
      </c>
      <c r="W21">
        <v>0</v>
      </c>
      <c r="X21">
        <v>0.5</v>
      </c>
      <c r="AB21" t="s">
        <v>841</v>
      </c>
      <c r="AC21">
        <v>0</v>
      </c>
      <c r="AD21">
        <v>1</v>
      </c>
      <c r="AE21">
        <v>1</v>
      </c>
      <c r="AF21">
        <v>0.25</v>
      </c>
      <c r="AI21" t="s">
        <v>737</v>
      </c>
      <c r="AJ21">
        <v>2</v>
      </c>
      <c r="AK21">
        <v>0</v>
      </c>
      <c r="AL21">
        <v>0</v>
      </c>
      <c r="AM21">
        <v>1</v>
      </c>
      <c r="AN21">
        <v>2</v>
      </c>
    </row>
    <row r="22" spans="1:40" ht="15" customHeight="1" x14ac:dyDescent="0.2">
      <c r="A22" t="s">
        <v>651</v>
      </c>
      <c r="B22">
        <v>3</v>
      </c>
      <c r="C22">
        <v>7</v>
      </c>
      <c r="D22">
        <v>0</v>
      </c>
      <c r="E22">
        <v>0.3</v>
      </c>
      <c r="F22">
        <v>10</v>
      </c>
      <c r="H22" t="s">
        <v>44</v>
      </c>
      <c r="I22">
        <v>0.36363636363636398</v>
      </c>
      <c r="J22">
        <v>11</v>
      </c>
      <c r="O22" t="s">
        <v>877</v>
      </c>
      <c r="P22">
        <v>0</v>
      </c>
      <c r="Q22">
        <v>2</v>
      </c>
      <c r="R22">
        <v>0</v>
      </c>
      <c r="T22">
        <v>0</v>
      </c>
      <c r="U22">
        <v>0</v>
      </c>
      <c r="V22">
        <v>2</v>
      </c>
      <c r="W22">
        <v>0</v>
      </c>
      <c r="X22">
        <v>0</v>
      </c>
      <c r="AB22" t="s">
        <v>772</v>
      </c>
      <c r="AC22">
        <v>2</v>
      </c>
      <c r="AD22">
        <v>1</v>
      </c>
      <c r="AE22">
        <v>1</v>
      </c>
      <c r="AF22">
        <v>0.625</v>
      </c>
      <c r="AI22" t="s">
        <v>738</v>
      </c>
      <c r="AJ22">
        <v>2</v>
      </c>
      <c r="AK22">
        <v>0</v>
      </c>
      <c r="AL22">
        <v>0</v>
      </c>
      <c r="AM22">
        <v>1</v>
      </c>
      <c r="AN22">
        <v>2</v>
      </c>
    </row>
    <row r="23" spans="1:40" ht="15" customHeight="1" x14ac:dyDescent="0.2">
      <c r="A23" t="s">
        <v>56</v>
      </c>
      <c r="B23">
        <v>1</v>
      </c>
      <c r="C23">
        <v>2</v>
      </c>
      <c r="D23">
        <v>0</v>
      </c>
      <c r="E23">
        <v>0.33333333333333298</v>
      </c>
      <c r="F23">
        <v>3</v>
      </c>
      <c r="H23" t="s">
        <v>41</v>
      </c>
      <c r="I23">
        <v>0.44444444444444398</v>
      </c>
      <c r="J23">
        <v>9</v>
      </c>
      <c r="O23" t="s">
        <v>768</v>
      </c>
      <c r="P23">
        <v>7</v>
      </c>
      <c r="Q23">
        <v>3</v>
      </c>
      <c r="R23">
        <v>1</v>
      </c>
      <c r="T23">
        <v>0.68181818181818199</v>
      </c>
      <c r="U23">
        <v>7</v>
      </c>
      <c r="V23">
        <v>3</v>
      </c>
      <c r="W23">
        <v>1</v>
      </c>
      <c r="X23">
        <v>0.68181818181818199</v>
      </c>
      <c r="AB23" t="s">
        <v>862</v>
      </c>
      <c r="AC23">
        <v>0</v>
      </c>
      <c r="AD23">
        <v>2</v>
      </c>
      <c r="AE23">
        <v>0</v>
      </c>
      <c r="AF23">
        <v>0</v>
      </c>
      <c r="AI23" t="s">
        <v>740</v>
      </c>
      <c r="AJ23">
        <v>2</v>
      </c>
      <c r="AK23">
        <v>0</v>
      </c>
      <c r="AL23">
        <v>0</v>
      </c>
      <c r="AM23">
        <v>1</v>
      </c>
      <c r="AN23">
        <v>2</v>
      </c>
    </row>
    <row r="24" spans="1:40" ht="15" customHeight="1" x14ac:dyDescent="0.2">
      <c r="A24" t="s">
        <v>58</v>
      </c>
      <c r="B24">
        <v>5</v>
      </c>
      <c r="C24">
        <v>1</v>
      </c>
      <c r="D24">
        <v>1</v>
      </c>
      <c r="E24">
        <v>0.78571428571428603</v>
      </c>
      <c r="F24">
        <v>7</v>
      </c>
      <c r="H24" t="s">
        <v>46</v>
      </c>
      <c r="I24">
        <v>0.33333333333333298</v>
      </c>
      <c r="J24">
        <v>9</v>
      </c>
      <c r="O24" t="s">
        <v>783</v>
      </c>
      <c r="P24">
        <v>8</v>
      </c>
      <c r="Q24">
        <v>5</v>
      </c>
      <c r="R24">
        <v>2</v>
      </c>
      <c r="T24">
        <v>0.6</v>
      </c>
      <c r="U24">
        <v>8</v>
      </c>
      <c r="V24">
        <v>5</v>
      </c>
      <c r="W24">
        <v>2</v>
      </c>
      <c r="X24">
        <v>0.6</v>
      </c>
      <c r="AB24" t="s">
        <v>723</v>
      </c>
      <c r="AC24">
        <v>2</v>
      </c>
      <c r="AD24">
        <v>0</v>
      </c>
      <c r="AE24">
        <v>0</v>
      </c>
      <c r="AF24">
        <v>1</v>
      </c>
      <c r="AI24" t="s">
        <v>741</v>
      </c>
      <c r="AJ24">
        <v>1</v>
      </c>
      <c r="AK24">
        <v>0</v>
      </c>
      <c r="AL24">
        <v>0</v>
      </c>
      <c r="AM24">
        <v>1</v>
      </c>
      <c r="AN24">
        <v>1</v>
      </c>
    </row>
    <row r="25" spans="1:40" ht="15" customHeight="1" x14ac:dyDescent="0.2">
      <c r="A25" t="s">
        <v>61</v>
      </c>
      <c r="B25">
        <v>6</v>
      </c>
      <c r="C25">
        <v>2</v>
      </c>
      <c r="D25">
        <v>2</v>
      </c>
      <c r="E25">
        <v>0.7</v>
      </c>
      <c r="F25">
        <v>10</v>
      </c>
      <c r="H25" t="s">
        <v>64</v>
      </c>
      <c r="I25">
        <v>0.5</v>
      </c>
      <c r="J25">
        <v>5</v>
      </c>
      <c r="O25" t="s">
        <v>841</v>
      </c>
      <c r="P25">
        <v>0</v>
      </c>
      <c r="Q25">
        <v>1</v>
      </c>
      <c r="R25">
        <v>1</v>
      </c>
      <c r="T25">
        <v>0.25</v>
      </c>
      <c r="U25">
        <v>0</v>
      </c>
      <c r="V25">
        <v>1</v>
      </c>
      <c r="W25">
        <v>1</v>
      </c>
      <c r="X25">
        <v>0.25</v>
      </c>
      <c r="AB25" t="s">
        <v>757</v>
      </c>
      <c r="AC25">
        <v>1</v>
      </c>
      <c r="AD25">
        <v>0</v>
      </c>
      <c r="AE25">
        <v>1</v>
      </c>
      <c r="AF25">
        <v>0.75</v>
      </c>
      <c r="AI25" t="s">
        <v>742</v>
      </c>
      <c r="AJ25">
        <v>1</v>
      </c>
      <c r="AK25">
        <v>0</v>
      </c>
      <c r="AL25">
        <v>0</v>
      </c>
      <c r="AM25">
        <v>1</v>
      </c>
      <c r="AN25">
        <v>1</v>
      </c>
    </row>
    <row r="26" spans="1:40" ht="15" customHeight="1" x14ac:dyDescent="0.2">
      <c r="A26" t="s">
        <v>60</v>
      </c>
      <c r="B26">
        <v>6</v>
      </c>
      <c r="C26">
        <v>2</v>
      </c>
      <c r="D26">
        <v>3</v>
      </c>
      <c r="E26">
        <v>0.68181818181818199</v>
      </c>
      <c r="F26">
        <v>11</v>
      </c>
      <c r="H26" t="s">
        <v>651</v>
      </c>
      <c r="I26">
        <v>0.3</v>
      </c>
      <c r="J26">
        <v>10</v>
      </c>
      <c r="O26" t="s">
        <v>788</v>
      </c>
      <c r="P26">
        <v>3</v>
      </c>
      <c r="Q26">
        <v>3</v>
      </c>
      <c r="R26">
        <v>0</v>
      </c>
      <c r="T26">
        <v>0.5</v>
      </c>
      <c r="U26">
        <v>3</v>
      </c>
      <c r="V26">
        <v>3</v>
      </c>
      <c r="W26">
        <v>0</v>
      </c>
      <c r="X26">
        <v>0.5</v>
      </c>
      <c r="AB26" t="s">
        <v>1276</v>
      </c>
      <c r="AC26">
        <v>0</v>
      </c>
      <c r="AD26">
        <v>1</v>
      </c>
      <c r="AE26">
        <v>0</v>
      </c>
      <c r="AF26">
        <v>0</v>
      </c>
      <c r="AI26" t="s">
        <v>764</v>
      </c>
      <c r="AJ26">
        <v>1</v>
      </c>
      <c r="AK26">
        <v>0</v>
      </c>
      <c r="AL26">
        <v>0</v>
      </c>
      <c r="AM26">
        <v>1</v>
      </c>
      <c r="AN26">
        <v>1</v>
      </c>
    </row>
    <row r="27" spans="1:40" ht="15" customHeight="1" x14ac:dyDescent="0.2">
      <c r="A27" t="s">
        <v>62</v>
      </c>
      <c r="B27">
        <v>4</v>
      </c>
      <c r="C27">
        <v>4</v>
      </c>
      <c r="D27">
        <v>0</v>
      </c>
      <c r="E27">
        <v>0.5</v>
      </c>
      <c r="F27">
        <v>8</v>
      </c>
      <c r="H27" t="s">
        <v>56</v>
      </c>
      <c r="I27">
        <v>0.33333333333333298</v>
      </c>
      <c r="J27">
        <v>3</v>
      </c>
      <c r="O27" t="s">
        <v>823</v>
      </c>
      <c r="P27">
        <v>1</v>
      </c>
      <c r="Q27">
        <v>1</v>
      </c>
      <c r="R27">
        <v>0</v>
      </c>
      <c r="T27">
        <v>0.5</v>
      </c>
      <c r="U27">
        <v>1</v>
      </c>
      <c r="V27">
        <v>1</v>
      </c>
      <c r="W27">
        <v>0</v>
      </c>
      <c r="X27">
        <v>0.5</v>
      </c>
      <c r="AB27" t="s">
        <v>752</v>
      </c>
      <c r="AC27">
        <v>0</v>
      </c>
      <c r="AD27">
        <v>0</v>
      </c>
      <c r="AE27">
        <v>2</v>
      </c>
      <c r="AF27">
        <v>0.5</v>
      </c>
      <c r="AI27" t="s">
        <v>743</v>
      </c>
      <c r="AJ27">
        <v>1</v>
      </c>
      <c r="AK27">
        <v>0</v>
      </c>
      <c r="AL27">
        <v>0</v>
      </c>
      <c r="AM27">
        <v>1</v>
      </c>
      <c r="AN27">
        <v>1</v>
      </c>
    </row>
    <row r="28" spans="1:40" ht="15" customHeight="1" x14ac:dyDescent="0.2">
      <c r="A28" t="s">
        <v>63</v>
      </c>
      <c r="B28">
        <v>1</v>
      </c>
      <c r="C28">
        <v>4</v>
      </c>
      <c r="D28">
        <v>0</v>
      </c>
      <c r="E28">
        <v>0.2</v>
      </c>
      <c r="F28">
        <v>5</v>
      </c>
      <c r="H28" t="s">
        <v>52</v>
      </c>
      <c r="I28">
        <v>0.25</v>
      </c>
      <c r="J28">
        <v>10</v>
      </c>
      <c r="O28" t="s">
        <v>854</v>
      </c>
      <c r="P28">
        <v>1</v>
      </c>
      <c r="Q28">
        <v>4</v>
      </c>
      <c r="R28">
        <v>0</v>
      </c>
      <c r="T28">
        <v>0.2</v>
      </c>
      <c r="U28">
        <v>1</v>
      </c>
      <c r="V28">
        <v>4</v>
      </c>
      <c r="W28">
        <v>0</v>
      </c>
      <c r="X28">
        <v>0.2</v>
      </c>
      <c r="AB28" t="s">
        <v>773</v>
      </c>
      <c r="AC28">
        <v>2</v>
      </c>
      <c r="AD28">
        <v>1</v>
      </c>
      <c r="AE28">
        <v>1</v>
      </c>
      <c r="AF28">
        <v>0.625</v>
      </c>
      <c r="AI28" t="s">
        <v>744</v>
      </c>
      <c r="AJ28">
        <v>1</v>
      </c>
      <c r="AK28">
        <v>0</v>
      </c>
      <c r="AL28">
        <v>0</v>
      </c>
      <c r="AM28">
        <v>1</v>
      </c>
      <c r="AN28">
        <v>1</v>
      </c>
    </row>
    <row r="29" spans="1:40" ht="15" customHeight="1" x14ac:dyDescent="0.2">
      <c r="A29" t="s">
        <v>64</v>
      </c>
      <c r="B29">
        <v>2</v>
      </c>
      <c r="C29">
        <v>2</v>
      </c>
      <c r="D29">
        <v>1</v>
      </c>
      <c r="E29">
        <v>0.5</v>
      </c>
      <c r="F29">
        <v>5</v>
      </c>
      <c r="H29" t="s">
        <v>47</v>
      </c>
      <c r="I29">
        <v>0.25</v>
      </c>
      <c r="J29">
        <v>4</v>
      </c>
      <c r="O29" t="s">
        <v>809</v>
      </c>
      <c r="P29">
        <v>1</v>
      </c>
      <c r="Q29">
        <v>1</v>
      </c>
      <c r="R29">
        <v>0</v>
      </c>
      <c r="T29">
        <v>0.5</v>
      </c>
      <c r="U29">
        <v>1</v>
      </c>
      <c r="V29">
        <v>1</v>
      </c>
      <c r="W29">
        <v>0</v>
      </c>
      <c r="X29">
        <v>0.5</v>
      </c>
      <c r="AB29" t="s">
        <v>793</v>
      </c>
      <c r="AC29">
        <v>2</v>
      </c>
      <c r="AD29">
        <v>2</v>
      </c>
      <c r="AE29">
        <v>0</v>
      </c>
      <c r="AF29">
        <v>0.5</v>
      </c>
      <c r="AI29" t="s">
        <v>745</v>
      </c>
      <c r="AJ29">
        <v>1</v>
      </c>
      <c r="AK29">
        <v>0</v>
      </c>
      <c r="AL29">
        <v>0</v>
      </c>
      <c r="AM29">
        <v>1</v>
      </c>
      <c r="AN29">
        <v>1</v>
      </c>
    </row>
    <row r="30" spans="1:40" ht="15" customHeight="1" x14ac:dyDescent="0.2">
      <c r="A30" t="s">
        <v>65</v>
      </c>
      <c r="B30">
        <v>0</v>
      </c>
      <c r="C30">
        <v>1</v>
      </c>
      <c r="D30">
        <v>0</v>
      </c>
      <c r="E30">
        <v>0</v>
      </c>
      <c r="F30">
        <v>1</v>
      </c>
      <c r="H30" t="s">
        <v>63</v>
      </c>
      <c r="I30">
        <v>0.2</v>
      </c>
      <c r="J30">
        <v>5</v>
      </c>
      <c r="O30" t="s">
        <v>827</v>
      </c>
      <c r="P30">
        <v>2</v>
      </c>
      <c r="Q30">
        <v>3</v>
      </c>
      <c r="R30">
        <v>1</v>
      </c>
      <c r="T30">
        <v>0.41666666666666702</v>
      </c>
      <c r="U30">
        <v>2</v>
      </c>
      <c r="V30">
        <v>3</v>
      </c>
      <c r="W30">
        <v>1</v>
      </c>
      <c r="X30">
        <v>0.41666666666666702</v>
      </c>
      <c r="AB30" t="s">
        <v>864</v>
      </c>
      <c r="AC30">
        <v>0</v>
      </c>
      <c r="AD30">
        <v>2</v>
      </c>
      <c r="AE30">
        <v>0</v>
      </c>
      <c r="AF30">
        <v>0</v>
      </c>
      <c r="AI30" t="s">
        <v>746</v>
      </c>
      <c r="AJ30">
        <v>7</v>
      </c>
      <c r="AK30">
        <v>1</v>
      </c>
      <c r="AL30">
        <v>0</v>
      </c>
      <c r="AM30">
        <v>0.875</v>
      </c>
      <c r="AN30">
        <v>8</v>
      </c>
    </row>
    <row r="31" spans="1:40" ht="15" customHeight="1" x14ac:dyDescent="0.2">
      <c r="A31" t="s">
        <v>67</v>
      </c>
      <c r="B31">
        <v>0</v>
      </c>
      <c r="C31">
        <v>0</v>
      </c>
      <c r="D31">
        <v>1</v>
      </c>
      <c r="E31">
        <v>0.5</v>
      </c>
      <c r="F31">
        <v>1</v>
      </c>
      <c r="H31" t="s">
        <v>57</v>
      </c>
      <c r="I31">
        <v>0.2</v>
      </c>
      <c r="J31">
        <v>5</v>
      </c>
      <c r="O31" t="s">
        <v>846</v>
      </c>
      <c r="P31">
        <v>0</v>
      </c>
      <c r="Q31">
        <v>1</v>
      </c>
      <c r="R31">
        <v>1</v>
      </c>
      <c r="T31">
        <v>0.25</v>
      </c>
      <c r="U31">
        <v>0</v>
      </c>
      <c r="V31">
        <v>1</v>
      </c>
      <c r="W31">
        <v>1</v>
      </c>
      <c r="X31">
        <v>0.25</v>
      </c>
      <c r="AB31" t="s">
        <v>749</v>
      </c>
      <c r="AC31">
        <v>4</v>
      </c>
      <c r="AD31">
        <v>0</v>
      </c>
      <c r="AE31">
        <v>2</v>
      </c>
      <c r="AF31">
        <v>0.83333333333333304</v>
      </c>
      <c r="AI31" t="s">
        <v>748</v>
      </c>
      <c r="AJ31">
        <v>3</v>
      </c>
      <c r="AK31">
        <v>0</v>
      </c>
      <c r="AL31">
        <v>1</v>
      </c>
      <c r="AM31">
        <v>0.875</v>
      </c>
      <c r="AN31">
        <v>4</v>
      </c>
    </row>
    <row r="32" spans="1:40" ht="15" customHeight="1" x14ac:dyDescent="0.2">
      <c r="A32" t="s">
        <v>66</v>
      </c>
      <c r="B32">
        <v>2</v>
      </c>
      <c r="C32">
        <v>1</v>
      </c>
      <c r="D32">
        <v>0</v>
      </c>
      <c r="E32">
        <v>0.66666666666666696</v>
      </c>
      <c r="F32">
        <v>3</v>
      </c>
      <c r="H32" t="s">
        <v>51</v>
      </c>
      <c r="I32">
        <v>0</v>
      </c>
      <c r="J32">
        <v>1</v>
      </c>
      <c r="O32" t="s">
        <v>832</v>
      </c>
      <c r="P32">
        <v>1</v>
      </c>
      <c r="Q32">
        <v>2</v>
      </c>
      <c r="R32">
        <v>1</v>
      </c>
      <c r="T32">
        <v>0.375</v>
      </c>
      <c r="U32">
        <v>1</v>
      </c>
      <c r="V32">
        <v>2</v>
      </c>
      <c r="W32">
        <v>1</v>
      </c>
      <c r="X32">
        <v>0.375</v>
      </c>
      <c r="AB32" t="s">
        <v>724</v>
      </c>
      <c r="AC32">
        <v>2</v>
      </c>
      <c r="AD32">
        <v>0</v>
      </c>
      <c r="AE32">
        <v>0</v>
      </c>
      <c r="AF32">
        <v>1</v>
      </c>
      <c r="AI32" t="s">
        <v>749</v>
      </c>
      <c r="AJ32">
        <v>4</v>
      </c>
      <c r="AK32">
        <v>0</v>
      </c>
      <c r="AL32">
        <v>2</v>
      </c>
      <c r="AM32">
        <v>0.83333333333333304</v>
      </c>
      <c r="AN32">
        <v>6</v>
      </c>
    </row>
    <row r="33" spans="1:40" ht="15" customHeight="1" x14ac:dyDescent="0.2">
      <c r="A33">
        <v>0</v>
      </c>
      <c r="B33">
        <v>0</v>
      </c>
      <c r="C33">
        <v>0</v>
      </c>
      <c r="D33">
        <v>0</v>
      </c>
      <c r="F33">
        <v>0</v>
      </c>
      <c r="H33" t="s">
        <v>65</v>
      </c>
      <c r="I33">
        <v>0</v>
      </c>
      <c r="J33">
        <v>1</v>
      </c>
      <c r="O33" t="s">
        <v>785</v>
      </c>
      <c r="P33">
        <v>3</v>
      </c>
      <c r="Q33">
        <v>2</v>
      </c>
      <c r="R33">
        <v>1</v>
      </c>
      <c r="T33">
        <v>0.58333333333333304</v>
      </c>
      <c r="U33">
        <v>3</v>
      </c>
      <c r="V33">
        <v>2</v>
      </c>
      <c r="W33">
        <v>1</v>
      </c>
      <c r="X33">
        <v>0.58333333333333304</v>
      </c>
      <c r="AB33" t="s">
        <v>787</v>
      </c>
      <c r="AC33">
        <v>3</v>
      </c>
      <c r="AD33">
        <v>2</v>
      </c>
      <c r="AE33">
        <v>2</v>
      </c>
      <c r="AF33">
        <v>0.57142857142857095</v>
      </c>
      <c r="AI33" t="s">
        <v>750</v>
      </c>
      <c r="AJ33">
        <v>2</v>
      </c>
      <c r="AK33">
        <v>0</v>
      </c>
      <c r="AL33">
        <v>1</v>
      </c>
      <c r="AM33">
        <v>0.83333333333333304</v>
      </c>
      <c r="AN33">
        <v>3</v>
      </c>
    </row>
    <row r="34" spans="1:40" ht="15" customHeight="1" x14ac:dyDescent="0.2">
      <c r="A34" t="s">
        <v>69</v>
      </c>
      <c r="B34">
        <v>1</v>
      </c>
      <c r="C34">
        <v>0</v>
      </c>
      <c r="D34">
        <v>0</v>
      </c>
      <c r="E34">
        <v>1</v>
      </c>
      <c r="F34">
        <v>1</v>
      </c>
      <c r="O34" t="s">
        <v>772</v>
      </c>
      <c r="P34">
        <v>2</v>
      </c>
      <c r="Q34">
        <v>1</v>
      </c>
      <c r="R34">
        <v>1</v>
      </c>
      <c r="T34">
        <v>0.625</v>
      </c>
      <c r="U34">
        <v>2</v>
      </c>
      <c r="V34">
        <v>1</v>
      </c>
      <c r="W34">
        <v>1</v>
      </c>
      <c r="X34">
        <v>0.625</v>
      </c>
      <c r="AB34" t="s">
        <v>747</v>
      </c>
      <c r="AC34">
        <v>2</v>
      </c>
      <c r="AD34">
        <v>0</v>
      </c>
      <c r="AE34">
        <v>0</v>
      </c>
      <c r="AF34">
        <v>1</v>
      </c>
      <c r="AI34" t="s">
        <v>751</v>
      </c>
      <c r="AJ34">
        <v>7</v>
      </c>
      <c r="AK34">
        <v>2</v>
      </c>
      <c r="AL34">
        <v>1</v>
      </c>
      <c r="AM34">
        <v>0.75</v>
      </c>
      <c r="AN34">
        <v>10</v>
      </c>
    </row>
    <row r="35" spans="1:40" ht="15" customHeight="1" x14ac:dyDescent="0.2">
      <c r="A35" t="s">
        <v>686</v>
      </c>
      <c r="B35">
        <v>95</v>
      </c>
      <c r="C35">
        <v>95</v>
      </c>
      <c r="D35">
        <v>22</v>
      </c>
      <c r="E35">
        <v>0.5</v>
      </c>
      <c r="F35">
        <v>212</v>
      </c>
      <c r="O35" t="s">
        <v>735</v>
      </c>
      <c r="P35">
        <v>2</v>
      </c>
      <c r="Q35">
        <v>0</v>
      </c>
      <c r="R35">
        <v>0</v>
      </c>
      <c r="T35">
        <v>1</v>
      </c>
      <c r="U35">
        <v>2</v>
      </c>
      <c r="V35">
        <v>0</v>
      </c>
      <c r="W35">
        <v>0</v>
      </c>
      <c r="X35">
        <v>1</v>
      </c>
      <c r="AB35" t="s">
        <v>865</v>
      </c>
      <c r="AC35">
        <v>0</v>
      </c>
      <c r="AD35">
        <v>2</v>
      </c>
      <c r="AE35">
        <v>0</v>
      </c>
      <c r="AF35">
        <v>0</v>
      </c>
      <c r="AI35" t="s">
        <v>753</v>
      </c>
      <c r="AJ35">
        <v>1</v>
      </c>
      <c r="AK35">
        <v>0</v>
      </c>
      <c r="AL35">
        <v>1</v>
      </c>
      <c r="AM35">
        <v>0.75</v>
      </c>
      <c r="AN35">
        <v>2</v>
      </c>
    </row>
    <row r="36" spans="1:40" ht="15" customHeight="1" x14ac:dyDescent="0.2">
      <c r="F36">
        <v>0</v>
      </c>
      <c r="O36" t="s">
        <v>771</v>
      </c>
      <c r="P36">
        <v>2</v>
      </c>
      <c r="Q36">
        <v>1</v>
      </c>
      <c r="R36">
        <v>1</v>
      </c>
      <c r="T36">
        <v>0.625</v>
      </c>
      <c r="U36">
        <v>2</v>
      </c>
      <c r="V36">
        <v>1</v>
      </c>
      <c r="W36">
        <v>1</v>
      </c>
      <c r="X36">
        <v>0.625</v>
      </c>
      <c r="AB36" t="s">
        <v>759</v>
      </c>
      <c r="AC36">
        <v>1</v>
      </c>
      <c r="AD36">
        <v>0</v>
      </c>
      <c r="AE36">
        <v>1</v>
      </c>
      <c r="AF36">
        <v>0.75</v>
      </c>
      <c r="AI36" t="s">
        <v>755</v>
      </c>
      <c r="AJ36">
        <v>1</v>
      </c>
      <c r="AK36">
        <v>0</v>
      </c>
      <c r="AL36">
        <v>1</v>
      </c>
      <c r="AM36">
        <v>0.75</v>
      </c>
      <c r="AN36">
        <v>2</v>
      </c>
    </row>
    <row r="37" spans="1:40" ht="15" customHeight="1" x14ac:dyDescent="0.2">
      <c r="O37" t="s">
        <v>852</v>
      </c>
      <c r="P37">
        <v>0</v>
      </c>
      <c r="Q37">
        <v>1</v>
      </c>
      <c r="R37">
        <v>1</v>
      </c>
      <c r="T37">
        <v>0.25</v>
      </c>
      <c r="U37">
        <v>0</v>
      </c>
      <c r="V37">
        <v>1</v>
      </c>
      <c r="W37">
        <v>1</v>
      </c>
      <c r="X37">
        <v>0.25</v>
      </c>
      <c r="AB37" t="s">
        <v>725</v>
      </c>
      <c r="AC37">
        <v>2</v>
      </c>
      <c r="AD37">
        <v>0</v>
      </c>
      <c r="AE37">
        <v>0</v>
      </c>
      <c r="AF37">
        <v>1</v>
      </c>
      <c r="AI37" t="s">
        <v>757</v>
      </c>
      <c r="AJ37">
        <v>1</v>
      </c>
      <c r="AK37">
        <v>0</v>
      </c>
      <c r="AL37">
        <v>1</v>
      </c>
      <c r="AM37">
        <v>0.75</v>
      </c>
      <c r="AN37">
        <v>2</v>
      </c>
    </row>
    <row r="38" spans="1:40" ht="15" customHeight="1" x14ac:dyDescent="0.2">
      <c r="O38" t="s">
        <v>876</v>
      </c>
      <c r="P38">
        <v>0</v>
      </c>
      <c r="Q38">
        <v>2</v>
      </c>
      <c r="R38">
        <v>0</v>
      </c>
      <c r="T38">
        <v>0</v>
      </c>
      <c r="U38">
        <v>0</v>
      </c>
      <c r="V38">
        <v>2</v>
      </c>
      <c r="W38">
        <v>0</v>
      </c>
      <c r="X38">
        <v>0</v>
      </c>
      <c r="AB38" t="s">
        <v>769</v>
      </c>
      <c r="AC38">
        <v>4</v>
      </c>
      <c r="AD38">
        <v>2</v>
      </c>
      <c r="AE38">
        <v>0</v>
      </c>
      <c r="AF38">
        <v>0.66666666666666696</v>
      </c>
      <c r="AI38" t="s">
        <v>759</v>
      </c>
      <c r="AJ38">
        <v>1</v>
      </c>
      <c r="AK38">
        <v>0</v>
      </c>
      <c r="AL38">
        <v>1</v>
      </c>
      <c r="AM38">
        <v>0.75</v>
      </c>
      <c r="AN38">
        <v>2</v>
      </c>
    </row>
    <row r="39" spans="1:40" ht="15" customHeight="1" x14ac:dyDescent="0.2">
      <c r="O39" t="s">
        <v>794</v>
      </c>
      <c r="P39">
        <v>2</v>
      </c>
      <c r="Q39">
        <v>2</v>
      </c>
      <c r="R39">
        <v>0</v>
      </c>
      <c r="T39">
        <v>0.5</v>
      </c>
      <c r="U39">
        <v>2</v>
      </c>
      <c r="V39">
        <v>2</v>
      </c>
      <c r="W39">
        <v>0</v>
      </c>
      <c r="X39">
        <v>0.5</v>
      </c>
      <c r="AB39" t="s">
        <v>794</v>
      </c>
      <c r="AC39">
        <v>2</v>
      </c>
      <c r="AD39">
        <v>2</v>
      </c>
      <c r="AE39">
        <v>0</v>
      </c>
      <c r="AF39">
        <v>0.5</v>
      </c>
      <c r="AI39" t="s">
        <v>760</v>
      </c>
      <c r="AJ39">
        <v>1</v>
      </c>
      <c r="AK39">
        <v>0</v>
      </c>
      <c r="AL39">
        <v>1</v>
      </c>
      <c r="AM39">
        <v>0.75</v>
      </c>
      <c r="AN39">
        <v>2</v>
      </c>
    </row>
    <row r="40" spans="1:40" ht="15" customHeight="1" x14ac:dyDescent="0.2">
      <c r="O40" t="s">
        <v>857</v>
      </c>
      <c r="P40">
        <v>0</v>
      </c>
      <c r="Q40">
        <v>4</v>
      </c>
      <c r="R40">
        <v>0</v>
      </c>
      <c r="T40">
        <v>0</v>
      </c>
      <c r="U40">
        <v>0</v>
      </c>
      <c r="V40">
        <v>4</v>
      </c>
      <c r="W40">
        <v>0</v>
      </c>
      <c r="X40">
        <v>0</v>
      </c>
      <c r="AB40" t="s">
        <v>742</v>
      </c>
      <c r="AC40">
        <v>1</v>
      </c>
      <c r="AD40">
        <v>0</v>
      </c>
      <c r="AE40">
        <v>0</v>
      </c>
      <c r="AF40">
        <v>1</v>
      </c>
      <c r="AI40" t="s">
        <v>761</v>
      </c>
      <c r="AJ40">
        <v>1</v>
      </c>
      <c r="AK40">
        <v>0</v>
      </c>
      <c r="AL40">
        <v>1</v>
      </c>
      <c r="AM40">
        <v>0.75</v>
      </c>
      <c r="AN40">
        <v>2</v>
      </c>
    </row>
    <row r="41" spans="1:40" ht="15" customHeight="1" x14ac:dyDescent="0.2">
      <c r="O41" t="s">
        <v>784</v>
      </c>
      <c r="P41">
        <v>3</v>
      </c>
      <c r="Q41">
        <v>2</v>
      </c>
      <c r="R41">
        <v>1</v>
      </c>
      <c r="T41">
        <v>0.58333333333333304</v>
      </c>
      <c r="U41">
        <v>3</v>
      </c>
      <c r="V41">
        <v>2</v>
      </c>
      <c r="W41">
        <v>1</v>
      </c>
      <c r="X41">
        <v>0.58333333333333304</v>
      </c>
      <c r="AB41" t="s">
        <v>760</v>
      </c>
      <c r="AC41">
        <v>1</v>
      </c>
      <c r="AD41">
        <v>0</v>
      </c>
      <c r="AE41">
        <v>1</v>
      </c>
      <c r="AF41">
        <v>0.75</v>
      </c>
      <c r="AI41" t="s">
        <v>763</v>
      </c>
      <c r="AJ41">
        <v>1</v>
      </c>
      <c r="AK41">
        <v>0</v>
      </c>
      <c r="AL41">
        <v>1</v>
      </c>
      <c r="AM41">
        <v>0.75</v>
      </c>
      <c r="AN41">
        <v>2</v>
      </c>
    </row>
    <row r="42" spans="1:40" ht="15" customHeight="1" x14ac:dyDescent="0.2">
      <c r="O42" t="s">
        <v>838</v>
      </c>
      <c r="P42">
        <v>1</v>
      </c>
      <c r="Q42">
        <v>3</v>
      </c>
      <c r="R42">
        <v>0</v>
      </c>
      <c r="T42">
        <v>0.25</v>
      </c>
      <c r="U42">
        <v>1</v>
      </c>
      <c r="V42">
        <v>3</v>
      </c>
      <c r="W42">
        <v>0</v>
      </c>
      <c r="X42">
        <v>0.25</v>
      </c>
      <c r="AB42" t="s">
        <v>854</v>
      </c>
      <c r="AC42">
        <v>1</v>
      </c>
      <c r="AD42">
        <v>4</v>
      </c>
      <c r="AE42">
        <v>0</v>
      </c>
      <c r="AF42">
        <v>0.2</v>
      </c>
      <c r="AI42" t="s">
        <v>766</v>
      </c>
      <c r="AJ42">
        <v>1</v>
      </c>
      <c r="AK42">
        <v>0</v>
      </c>
      <c r="AL42">
        <v>1</v>
      </c>
      <c r="AM42">
        <v>0.75</v>
      </c>
      <c r="AN42">
        <v>2</v>
      </c>
    </row>
    <row r="43" spans="1:40" ht="15" customHeight="1" x14ac:dyDescent="0.2">
      <c r="O43" t="s">
        <v>829</v>
      </c>
      <c r="P43">
        <v>1</v>
      </c>
      <c r="Q43">
        <v>2</v>
      </c>
      <c r="R43">
        <v>1</v>
      </c>
      <c r="T43">
        <v>0.375</v>
      </c>
      <c r="U43">
        <v>1</v>
      </c>
      <c r="V43">
        <v>2</v>
      </c>
      <c r="W43">
        <v>1</v>
      </c>
      <c r="X43">
        <v>0.375</v>
      </c>
      <c r="AB43" t="s">
        <v>789</v>
      </c>
      <c r="AC43">
        <v>2</v>
      </c>
      <c r="AD43">
        <v>2</v>
      </c>
      <c r="AE43">
        <v>2</v>
      </c>
      <c r="AF43">
        <v>0.5</v>
      </c>
      <c r="AI43" t="s">
        <v>767</v>
      </c>
      <c r="AJ43">
        <v>1</v>
      </c>
      <c r="AK43">
        <v>0</v>
      </c>
      <c r="AL43">
        <v>1</v>
      </c>
      <c r="AM43">
        <v>0.75</v>
      </c>
      <c r="AN43">
        <v>2</v>
      </c>
    </row>
    <row r="44" spans="1:40" ht="15" customHeight="1" x14ac:dyDescent="0.2">
      <c r="O44" t="s">
        <v>817</v>
      </c>
      <c r="P44">
        <v>1</v>
      </c>
      <c r="Q44">
        <v>1</v>
      </c>
      <c r="R44">
        <v>0</v>
      </c>
      <c r="T44">
        <v>0.5</v>
      </c>
      <c r="U44">
        <v>1</v>
      </c>
      <c r="V44">
        <v>1</v>
      </c>
      <c r="W44">
        <v>0</v>
      </c>
      <c r="X44">
        <v>0.5</v>
      </c>
      <c r="AB44" t="s">
        <v>829</v>
      </c>
      <c r="AC44">
        <v>1</v>
      </c>
      <c r="AD44">
        <v>2</v>
      </c>
      <c r="AE44">
        <v>1</v>
      </c>
      <c r="AF44">
        <v>0.375</v>
      </c>
      <c r="AI44" t="s">
        <v>768</v>
      </c>
      <c r="AJ44">
        <v>7</v>
      </c>
      <c r="AK44">
        <v>3</v>
      </c>
      <c r="AL44">
        <v>1</v>
      </c>
      <c r="AM44">
        <v>0.68181818181818199</v>
      </c>
      <c r="AN44">
        <v>11</v>
      </c>
    </row>
    <row r="45" spans="1:40" ht="15" customHeight="1" x14ac:dyDescent="0.2">
      <c r="O45" t="s">
        <v>799</v>
      </c>
      <c r="P45">
        <v>1</v>
      </c>
      <c r="Q45">
        <v>1</v>
      </c>
      <c r="R45">
        <v>0</v>
      </c>
      <c r="T45">
        <v>0.5</v>
      </c>
      <c r="U45">
        <v>1</v>
      </c>
      <c r="V45">
        <v>1</v>
      </c>
      <c r="W45">
        <v>0</v>
      </c>
      <c r="X45">
        <v>0.5</v>
      </c>
      <c r="AB45" t="s">
        <v>866</v>
      </c>
      <c r="AC45">
        <v>0</v>
      </c>
      <c r="AD45">
        <v>2</v>
      </c>
      <c r="AE45">
        <v>0</v>
      </c>
      <c r="AF45">
        <v>0</v>
      </c>
      <c r="AI45" t="s">
        <v>769</v>
      </c>
      <c r="AJ45">
        <v>4</v>
      </c>
      <c r="AK45">
        <v>2</v>
      </c>
      <c r="AL45">
        <v>0</v>
      </c>
      <c r="AM45">
        <v>0.66666666666666696</v>
      </c>
      <c r="AN45">
        <v>6</v>
      </c>
    </row>
    <row r="46" spans="1:40" ht="15" customHeight="1" x14ac:dyDescent="0.2">
      <c r="O46" t="s">
        <v>759</v>
      </c>
      <c r="P46">
        <v>1</v>
      </c>
      <c r="Q46">
        <v>0</v>
      </c>
      <c r="R46">
        <v>1</v>
      </c>
      <c r="T46">
        <v>0.75</v>
      </c>
      <c r="U46">
        <v>1</v>
      </c>
      <c r="V46">
        <v>0</v>
      </c>
      <c r="W46">
        <v>1</v>
      </c>
      <c r="X46">
        <v>0.75</v>
      </c>
      <c r="AB46" t="s">
        <v>867</v>
      </c>
      <c r="AC46">
        <v>0</v>
      </c>
      <c r="AD46">
        <v>2</v>
      </c>
      <c r="AE46">
        <v>0</v>
      </c>
      <c r="AF46">
        <v>0</v>
      </c>
      <c r="AI46" t="s">
        <v>770</v>
      </c>
      <c r="AJ46">
        <v>2</v>
      </c>
      <c r="AK46">
        <v>1</v>
      </c>
      <c r="AL46">
        <v>0</v>
      </c>
      <c r="AM46">
        <v>0.66666666666666696</v>
      </c>
      <c r="AN46">
        <v>3</v>
      </c>
    </row>
    <row r="47" spans="1:40" ht="15" customHeight="1" x14ac:dyDescent="0.2">
      <c r="O47" t="s">
        <v>1277</v>
      </c>
      <c r="P47">
        <v>0</v>
      </c>
      <c r="Q47">
        <v>2</v>
      </c>
      <c r="R47">
        <v>0</v>
      </c>
      <c r="T47">
        <v>0</v>
      </c>
      <c r="U47">
        <v>0</v>
      </c>
      <c r="V47">
        <v>2</v>
      </c>
      <c r="W47">
        <v>0</v>
      </c>
      <c r="X47">
        <v>0</v>
      </c>
      <c r="AB47" t="s">
        <v>761</v>
      </c>
      <c r="AC47">
        <v>1</v>
      </c>
      <c r="AD47">
        <v>0</v>
      </c>
      <c r="AE47">
        <v>1</v>
      </c>
      <c r="AF47">
        <v>0.75</v>
      </c>
      <c r="AI47" t="s">
        <v>781</v>
      </c>
      <c r="AJ47">
        <v>2</v>
      </c>
      <c r="AK47">
        <v>1</v>
      </c>
      <c r="AL47">
        <v>0</v>
      </c>
      <c r="AM47">
        <v>0.66666666666666696</v>
      </c>
      <c r="AN47">
        <v>3</v>
      </c>
    </row>
    <row r="48" spans="1:40" ht="15" customHeight="1" x14ac:dyDescent="0.2">
      <c r="O48" t="s">
        <v>723</v>
      </c>
      <c r="P48">
        <v>2</v>
      </c>
      <c r="Q48">
        <v>0</v>
      </c>
      <c r="R48">
        <v>0</v>
      </c>
      <c r="T48">
        <v>1</v>
      </c>
      <c r="U48">
        <v>2</v>
      </c>
      <c r="V48">
        <v>0</v>
      </c>
      <c r="W48">
        <v>0</v>
      </c>
      <c r="X48">
        <v>1</v>
      </c>
      <c r="AB48" t="s">
        <v>868</v>
      </c>
      <c r="AC48">
        <v>0</v>
      </c>
      <c r="AD48">
        <v>2</v>
      </c>
      <c r="AE48">
        <v>0</v>
      </c>
      <c r="AF48">
        <v>0</v>
      </c>
      <c r="AI48" t="s">
        <v>771</v>
      </c>
      <c r="AJ48">
        <v>2</v>
      </c>
      <c r="AK48">
        <v>1</v>
      </c>
      <c r="AL48">
        <v>1</v>
      </c>
      <c r="AM48">
        <v>0.625</v>
      </c>
      <c r="AN48">
        <v>4</v>
      </c>
    </row>
    <row r="49" spans="15:40" ht="15" customHeight="1" x14ac:dyDescent="0.2">
      <c r="O49" t="s">
        <v>873</v>
      </c>
      <c r="P49">
        <v>0</v>
      </c>
      <c r="Q49">
        <v>2</v>
      </c>
      <c r="R49">
        <v>0</v>
      </c>
      <c r="T49">
        <v>0</v>
      </c>
      <c r="U49">
        <v>0</v>
      </c>
      <c r="V49">
        <v>2</v>
      </c>
      <c r="W49">
        <v>0</v>
      </c>
      <c r="X49">
        <v>0</v>
      </c>
      <c r="AB49" t="s">
        <v>774</v>
      </c>
      <c r="AC49">
        <v>2</v>
      </c>
      <c r="AD49">
        <v>1</v>
      </c>
      <c r="AE49">
        <v>1</v>
      </c>
      <c r="AF49">
        <v>0.625</v>
      </c>
      <c r="AI49" t="s">
        <v>772</v>
      </c>
      <c r="AJ49">
        <v>2</v>
      </c>
      <c r="AK49">
        <v>1</v>
      </c>
      <c r="AL49">
        <v>1</v>
      </c>
      <c r="AM49">
        <v>0.625</v>
      </c>
      <c r="AN49">
        <v>4</v>
      </c>
    </row>
    <row r="50" spans="15:40" ht="15" customHeight="1" x14ac:dyDescent="0.2">
      <c r="O50" t="s">
        <v>848</v>
      </c>
      <c r="P50">
        <v>0</v>
      </c>
      <c r="Q50">
        <v>1</v>
      </c>
      <c r="R50">
        <v>1</v>
      </c>
      <c r="T50">
        <v>0.25</v>
      </c>
      <c r="U50">
        <v>0</v>
      </c>
      <c r="V50">
        <v>1</v>
      </c>
      <c r="W50">
        <v>1</v>
      </c>
      <c r="X50">
        <v>0.25</v>
      </c>
      <c r="AB50" t="s">
        <v>802</v>
      </c>
      <c r="AC50">
        <v>1</v>
      </c>
      <c r="AD50">
        <v>1</v>
      </c>
      <c r="AE50">
        <v>0</v>
      </c>
      <c r="AF50">
        <v>0.5</v>
      </c>
      <c r="AI50" t="s">
        <v>773</v>
      </c>
      <c r="AJ50">
        <v>2</v>
      </c>
      <c r="AK50">
        <v>1</v>
      </c>
      <c r="AL50">
        <v>1</v>
      </c>
      <c r="AM50">
        <v>0.625</v>
      </c>
      <c r="AN50">
        <v>4</v>
      </c>
    </row>
    <row r="51" spans="15:40" ht="15" customHeight="1" x14ac:dyDescent="0.2">
      <c r="O51" t="s">
        <v>775</v>
      </c>
      <c r="P51">
        <v>2</v>
      </c>
      <c r="Q51">
        <v>1</v>
      </c>
      <c r="R51">
        <v>1</v>
      </c>
      <c r="T51">
        <v>0.625</v>
      </c>
      <c r="U51">
        <v>2</v>
      </c>
      <c r="V51">
        <v>1</v>
      </c>
      <c r="W51">
        <v>1</v>
      </c>
      <c r="X51">
        <v>0.625</v>
      </c>
      <c r="AB51" t="s">
        <v>884</v>
      </c>
      <c r="AC51">
        <v>0</v>
      </c>
      <c r="AD51">
        <v>1</v>
      </c>
      <c r="AE51">
        <v>0</v>
      </c>
      <c r="AF51">
        <v>0</v>
      </c>
      <c r="AI51" t="s">
        <v>774</v>
      </c>
      <c r="AJ51">
        <v>2</v>
      </c>
      <c r="AK51">
        <v>1</v>
      </c>
      <c r="AL51">
        <v>1</v>
      </c>
      <c r="AM51">
        <v>0.625</v>
      </c>
      <c r="AN51">
        <v>4</v>
      </c>
    </row>
    <row r="52" spans="15:40" ht="15" customHeight="1" x14ac:dyDescent="0.2">
      <c r="O52" t="s">
        <v>816</v>
      </c>
      <c r="P52">
        <v>1</v>
      </c>
      <c r="Q52">
        <v>1</v>
      </c>
      <c r="R52">
        <v>0</v>
      </c>
      <c r="T52">
        <v>0.5</v>
      </c>
      <c r="U52">
        <v>1</v>
      </c>
      <c r="V52">
        <v>1</v>
      </c>
      <c r="W52">
        <v>0</v>
      </c>
      <c r="X52">
        <v>0.5</v>
      </c>
      <c r="AB52" t="s">
        <v>870</v>
      </c>
      <c r="AC52">
        <v>0</v>
      </c>
      <c r="AD52">
        <v>2</v>
      </c>
      <c r="AE52">
        <v>0</v>
      </c>
      <c r="AF52">
        <v>0</v>
      </c>
      <c r="AI52" t="s">
        <v>775</v>
      </c>
      <c r="AJ52">
        <v>2</v>
      </c>
      <c r="AK52">
        <v>1</v>
      </c>
      <c r="AL52">
        <v>1</v>
      </c>
      <c r="AM52">
        <v>0.625</v>
      </c>
      <c r="AN52">
        <v>4</v>
      </c>
    </row>
    <row r="53" spans="15:40" ht="15" customHeight="1" x14ac:dyDescent="0.2">
      <c r="O53" t="s">
        <v>792</v>
      </c>
      <c r="P53">
        <v>2</v>
      </c>
      <c r="Q53">
        <v>2</v>
      </c>
      <c r="R53">
        <v>0</v>
      </c>
      <c r="T53">
        <v>0.5</v>
      </c>
      <c r="U53">
        <v>2</v>
      </c>
      <c r="V53">
        <v>2</v>
      </c>
      <c r="W53">
        <v>0</v>
      </c>
      <c r="X53">
        <v>0.5</v>
      </c>
      <c r="AB53" t="s">
        <v>790</v>
      </c>
      <c r="AC53">
        <v>2</v>
      </c>
      <c r="AD53">
        <v>2</v>
      </c>
      <c r="AE53">
        <v>1</v>
      </c>
      <c r="AF53">
        <v>0.5</v>
      </c>
      <c r="AI53" t="s">
        <v>777</v>
      </c>
      <c r="AJ53">
        <v>2</v>
      </c>
      <c r="AK53">
        <v>1</v>
      </c>
      <c r="AL53">
        <v>1</v>
      </c>
      <c r="AM53">
        <v>0.625</v>
      </c>
      <c r="AN53">
        <v>4</v>
      </c>
    </row>
    <row r="54" spans="15:40" ht="15" customHeight="1" x14ac:dyDescent="0.2">
      <c r="O54" t="s">
        <v>746</v>
      </c>
      <c r="P54">
        <v>7</v>
      </c>
      <c r="Q54">
        <v>1</v>
      </c>
      <c r="R54">
        <v>0</v>
      </c>
      <c r="T54">
        <v>0.875</v>
      </c>
      <c r="U54">
        <v>7</v>
      </c>
      <c r="V54">
        <v>1</v>
      </c>
      <c r="W54">
        <v>0</v>
      </c>
      <c r="X54">
        <v>0.875</v>
      </c>
      <c r="AB54" t="s">
        <v>726</v>
      </c>
      <c r="AC54">
        <v>2</v>
      </c>
      <c r="AD54">
        <v>0</v>
      </c>
      <c r="AE54">
        <v>0</v>
      </c>
      <c r="AF54">
        <v>1</v>
      </c>
      <c r="AI54" t="s">
        <v>779</v>
      </c>
      <c r="AJ54">
        <v>2</v>
      </c>
      <c r="AK54">
        <v>1</v>
      </c>
      <c r="AL54">
        <v>1</v>
      </c>
      <c r="AM54">
        <v>0.625</v>
      </c>
      <c r="AN54">
        <v>4</v>
      </c>
    </row>
    <row r="55" spans="15:40" ht="15" customHeight="1" x14ac:dyDescent="0.2">
      <c r="O55" t="s">
        <v>812</v>
      </c>
      <c r="P55">
        <v>1</v>
      </c>
      <c r="Q55">
        <v>1</v>
      </c>
      <c r="R55">
        <v>0</v>
      </c>
      <c r="T55">
        <v>0.5</v>
      </c>
      <c r="U55">
        <v>1</v>
      </c>
      <c r="V55">
        <v>1</v>
      </c>
      <c r="W55">
        <v>0</v>
      </c>
      <c r="X55">
        <v>0.5</v>
      </c>
      <c r="AB55" t="s">
        <v>775</v>
      </c>
      <c r="AC55">
        <v>2</v>
      </c>
      <c r="AD55">
        <v>1</v>
      </c>
      <c r="AE55">
        <v>1</v>
      </c>
      <c r="AF55">
        <v>0.625</v>
      </c>
      <c r="AI55" t="s">
        <v>782</v>
      </c>
      <c r="AJ55">
        <v>2</v>
      </c>
      <c r="AK55">
        <v>1</v>
      </c>
      <c r="AL55">
        <v>1</v>
      </c>
      <c r="AM55">
        <v>0.625</v>
      </c>
      <c r="AN55">
        <v>4</v>
      </c>
    </row>
    <row r="56" spans="15:40" ht="15" customHeight="1" x14ac:dyDescent="0.2">
      <c r="O56" t="s">
        <v>855</v>
      </c>
      <c r="P56">
        <v>1</v>
      </c>
      <c r="Q56">
        <v>5</v>
      </c>
      <c r="R56">
        <v>0</v>
      </c>
      <c r="T56">
        <v>0.16666666666666699</v>
      </c>
      <c r="U56">
        <v>1</v>
      </c>
      <c r="V56">
        <v>5</v>
      </c>
      <c r="W56">
        <v>0</v>
      </c>
      <c r="X56">
        <v>0.16666666666666699</v>
      </c>
      <c r="AB56" t="s">
        <v>748</v>
      </c>
      <c r="AC56">
        <v>3</v>
      </c>
      <c r="AD56">
        <v>0</v>
      </c>
      <c r="AE56">
        <v>1</v>
      </c>
      <c r="AF56">
        <v>0.875</v>
      </c>
      <c r="AI56" t="s">
        <v>783</v>
      </c>
      <c r="AJ56">
        <v>8</v>
      </c>
      <c r="AK56">
        <v>5</v>
      </c>
      <c r="AL56">
        <v>2</v>
      </c>
      <c r="AM56">
        <v>0.6</v>
      </c>
      <c r="AN56">
        <v>15</v>
      </c>
    </row>
    <row r="57" spans="15:40" ht="15" customHeight="1" x14ac:dyDescent="0.2">
      <c r="O57" t="s">
        <v>774</v>
      </c>
      <c r="P57">
        <v>2</v>
      </c>
      <c r="Q57">
        <v>1</v>
      </c>
      <c r="R57">
        <v>1</v>
      </c>
      <c r="T57">
        <v>0.625</v>
      </c>
      <c r="U57">
        <v>2</v>
      </c>
      <c r="V57">
        <v>1</v>
      </c>
      <c r="W57">
        <v>1</v>
      </c>
      <c r="X57">
        <v>0.625</v>
      </c>
      <c r="AB57" t="s">
        <v>803</v>
      </c>
      <c r="AC57">
        <v>1</v>
      </c>
      <c r="AD57">
        <v>1</v>
      </c>
      <c r="AE57">
        <v>0</v>
      </c>
      <c r="AF57">
        <v>0.5</v>
      </c>
      <c r="AI57" t="s">
        <v>784</v>
      </c>
      <c r="AJ57">
        <v>3</v>
      </c>
      <c r="AK57">
        <v>2</v>
      </c>
      <c r="AL57">
        <v>1</v>
      </c>
      <c r="AM57">
        <v>0.58333333333333304</v>
      </c>
      <c r="AN57">
        <v>6</v>
      </c>
    </row>
    <row r="58" spans="15:40" ht="15" customHeight="1" x14ac:dyDescent="0.2">
      <c r="O58" t="s">
        <v>786</v>
      </c>
      <c r="P58">
        <v>3</v>
      </c>
      <c r="Q58">
        <v>2</v>
      </c>
      <c r="R58">
        <v>1</v>
      </c>
      <c r="T58">
        <v>0.58333333333333304</v>
      </c>
      <c r="U58">
        <v>3</v>
      </c>
      <c r="V58">
        <v>2</v>
      </c>
      <c r="W58">
        <v>1</v>
      </c>
      <c r="X58">
        <v>0.58333333333333304</v>
      </c>
      <c r="AB58" t="s">
        <v>804</v>
      </c>
      <c r="AC58">
        <v>1</v>
      </c>
      <c r="AD58">
        <v>1</v>
      </c>
      <c r="AE58">
        <v>0</v>
      </c>
      <c r="AF58">
        <v>0.5</v>
      </c>
      <c r="AI58" t="s">
        <v>785</v>
      </c>
      <c r="AJ58">
        <v>3</v>
      </c>
      <c r="AK58">
        <v>2</v>
      </c>
      <c r="AL58">
        <v>1</v>
      </c>
      <c r="AM58">
        <v>0.58333333333333304</v>
      </c>
      <c r="AN58">
        <v>6</v>
      </c>
    </row>
    <row r="59" spans="15:40" ht="15" customHeight="1" x14ac:dyDescent="0.2">
      <c r="O59" t="s">
        <v>778</v>
      </c>
      <c r="P59">
        <v>1</v>
      </c>
      <c r="Q59">
        <v>1</v>
      </c>
      <c r="R59">
        <v>0</v>
      </c>
      <c r="T59">
        <v>0.5</v>
      </c>
      <c r="U59">
        <v>1</v>
      </c>
      <c r="V59">
        <v>1</v>
      </c>
      <c r="W59">
        <v>0</v>
      </c>
      <c r="X59">
        <v>0.5</v>
      </c>
      <c r="AB59" t="s">
        <v>750</v>
      </c>
      <c r="AC59">
        <v>2</v>
      </c>
      <c r="AD59">
        <v>0</v>
      </c>
      <c r="AE59">
        <v>1</v>
      </c>
      <c r="AF59">
        <v>0.83333333333333304</v>
      </c>
      <c r="AI59" t="s">
        <v>786</v>
      </c>
      <c r="AJ59">
        <v>3</v>
      </c>
      <c r="AK59">
        <v>2</v>
      </c>
      <c r="AL59">
        <v>1</v>
      </c>
      <c r="AM59">
        <v>0.58333333333333304</v>
      </c>
      <c r="AN59">
        <v>6</v>
      </c>
    </row>
    <row r="60" spans="15:40" ht="15" customHeight="1" x14ac:dyDescent="0.2">
      <c r="O60" t="s">
        <v>839</v>
      </c>
      <c r="P60">
        <v>1</v>
      </c>
      <c r="Q60">
        <v>3</v>
      </c>
      <c r="R60">
        <v>0</v>
      </c>
      <c r="T60">
        <v>0.25</v>
      </c>
      <c r="U60">
        <v>1</v>
      </c>
      <c r="V60">
        <v>3</v>
      </c>
      <c r="W60">
        <v>0</v>
      </c>
      <c r="X60">
        <v>0.25</v>
      </c>
      <c r="AB60" t="s">
        <v>727</v>
      </c>
      <c r="AC60">
        <v>2</v>
      </c>
      <c r="AD60">
        <v>0</v>
      </c>
      <c r="AE60">
        <v>0</v>
      </c>
      <c r="AF60">
        <v>1</v>
      </c>
      <c r="AI60" t="s">
        <v>787</v>
      </c>
      <c r="AJ60">
        <v>3</v>
      </c>
      <c r="AK60">
        <v>2</v>
      </c>
      <c r="AL60">
        <v>2</v>
      </c>
      <c r="AM60">
        <v>0.57142857142857095</v>
      </c>
      <c r="AN60">
        <v>7</v>
      </c>
    </row>
    <row r="61" spans="15:40" ht="15" customHeight="1" x14ac:dyDescent="0.2">
      <c r="O61" t="s">
        <v>749</v>
      </c>
      <c r="P61">
        <v>4</v>
      </c>
      <c r="Q61">
        <v>0</v>
      </c>
      <c r="R61">
        <v>2</v>
      </c>
      <c r="T61">
        <v>0.83333333333333304</v>
      </c>
      <c r="U61">
        <v>4</v>
      </c>
      <c r="V61">
        <v>0</v>
      </c>
      <c r="W61">
        <v>2</v>
      </c>
      <c r="X61">
        <v>0.83333333333333304</v>
      </c>
      <c r="AB61" t="s">
        <v>763</v>
      </c>
      <c r="AC61">
        <v>1</v>
      </c>
      <c r="AD61">
        <v>0</v>
      </c>
      <c r="AE61">
        <v>1</v>
      </c>
      <c r="AF61">
        <v>0.75</v>
      </c>
      <c r="AI61" t="s">
        <v>788</v>
      </c>
      <c r="AJ61">
        <v>3</v>
      </c>
      <c r="AK61">
        <v>3</v>
      </c>
      <c r="AL61">
        <v>0</v>
      </c>
      <c r="AM61">
        <v>0.5</v>
      </c>
      <c r="AN61">
        <v>6</v>
      </c>
    </row>
    <row r="62" spans="15:40" ht="15" customHeight="1" x14ac:dyDescent="0.2">
      <c r="O62" t="s">
        <v>734</v>
      </c>
      <c r="P62">
        <v>2</v>
      </c>
      <c r="Q62">
        <v>0</v>
      </c>
      <c r="R62">
        <v>0</v>
      </c>
      <c r="T62">
        <v>1</v>
      </c>
      <c r="U62">
        <v>2</v>
      </c>
      <c r="V62">
        <v>0</v>
      </c>
      <c r="W62">
        <v>0</v>
      </c>
      <c r="X62">
        <v>1</v>
      </c>
      <c r="AB62" t="s">
        <v>776</v>
      </c>
      <c r="AC62">
        <v>2</v>
      </c>
      <c r="AD62">
        <v>0</v>
      </c>
      <c r="AE62">
        <v>0</v>
      </c>
      <c r="AF62">
        <v>1</v>
      </c>
      <c r="AI62" t="s">
        <v>789</v>
      </c>
      <c r="AJ62">
        <v>2</v>
      </c>
      <c r="AK62">
        <v>2</v>
      </c>
      <c r="AL62">
        <v>2</v>
      </c>
      <c r="AM62">
        <v>0.5</v>
      </c>
      <c r="AN62">
        <v>6</v>
      </c>
    </row>
    <row r="63" spans="15:40" ht="15" customHeight="1" x14ac:dyDescent="0.2">
      <c r="O63" t="s">
        <v>834</v>
      </c>
      <c r="P63">
        <v>2</v>
      </c>
      <c r="Q63">
        <v>4</v>
      </c>
      <c r="R63">
        <v>0</v>
      </c>
      <c r="T63">
        <v>0.33333333333333298</v>
      </c>
      <c r="U63">
        <v>2</v>
      </c>
      <c r="V63">
        <v>4</v>
      </c>
      <c r="W63">
        <v>0</v>
      </c>
      <c r="X63">
        <v>0.33333333333333298</v>
      </c>
      <c r="AB63" t="s">
        <v>843</v>
      </c>
      <c r="AC63">
        <v>0</v>
      </c>
      <c r="AD63">
        <v>1</v>
      </c>
      <c r="AE63">
        <v>1</v>
      </c>
      <c r="AF63">
        <v>0.25</v>
      </c>
      <c r="AI63" t="s">
        <v>791</v>
      </c>
      <c r="AJ63">
        <v>3</v>
      </c>
      <c r="AK63">
        <v>3</v>
      </c>
      <c r="AL63">
        <v>0</v>
      </c>
      <c r="AM63">
        <v>0.5</v>
      </c>
      <c r="AN63">
        <v>6</v>
      </c>
    </row>
    <row r="64" spans="15:40" ht="15" customHeight="1" x14ac:dyDescent="0.2">
      <c r="O64" t="s">
        <v>726</v>
      </c>
      <c r="P64">
        <v>2</v>
      </c>
      <c r="Q64">
        <v>0</v>
      </c>
      <c r="R64">
        <v>0</v>
      </c>
      <c r="T64">
        <v>1</v>
      </c>
      <c r="U64">
        <v>2</v>
      </c>
      <c r="V64">
        <v>0</v>
      </c>
      <c r="W64">
        <v>0</v>
      </c>
      <c r="X64">
        <v>1</v>
      </c>
      <c r="AB64" t="s">
        <v>808</v>
      </c>
      <c r="AC64">
        <v>1</v>
      </c>
      <c r="AD64">
        <v>1</v>
      </c>
      <c r="AE64">
        <v>0</v>
      </c>
      <c r="AF64">
        <v>0.5</v>
      </c>
      <c r="AI64" t="s">
        <v>790</v>
      </c>
      <c r="AJ64">
        <v>2</v>
      </c>
      <c r="AK64">
        <v>2</v>
      </c>
      <c r="AL64">
        <v>1</v>
      </c>
      <c r="AM64">
        <v>0.5</v>
      </c>
      <c r="AN64">
        <v>5</v>
      </c>
    </row>
    <row r="65" spans="15:40" ht="15" customHeight="1" x14ac:dyDescent="0.2">
      <c r="O65" t="s">
        <v>814</v>
      </c>
      <c r="P65">
        <v>1</v>
      </c>
      <c r="Q65">
        <v>1</v>
      </c>
      <c r="R65">
        <v>0</v>
      </c>
      <c r="T65">
        <v>0.5</v>
      </c>
      <c r="U65">
        <v>1</v>
      </c>
      <c r="V65">
        <v>1</v>
      </c>
      <c r="W65">
        <v>0</v>
      </c>
      <c r="X65">
        <v>0.5</v>
      </c>
      <c r="AB65" t="s">
        <v>830</v>
      </c>
      <c r="AC65">
        <v>1</v>
      </c>
      <c r="AD65">
        <v>1</v>
      </c>
      <c r="AE65">
        <v>0</v>
      </c>
      <c r="AF65">
        <v>0.5</v>
      </c>
      <c r="AI65" t="s">
        <v>792</v>
      </c>
      <c r="AJ65">
        <v>2</v>
      </c>
      <c r="AK65">
        <v>2</v>
      </c>
      <c r="AL65">
        <v>0</v>
      </c>
      <c r="AM65">
        <v>0.5</v>
      </c>
      <c r="AN65">
        <v>4</v>
      </c>
    </row>
    <row r="66" spans="15:40" ht="15" customHeight="1" x14ac:dyDescent="0.2">
      <c r="O66" t="s">
        <v>879</v>
      </c>
      <c r="P66">
        <v>0</v>
      </c>
      <c r="Q66">
        <v>2</v>
      </c>
      <c r="R66">
        <v>0</v>
      </c>
      <c r="T66">
        <v>0</v>
      </c>
      <c r="U66">
        <v>0</v>
      </c>
      <c r="V66">
        <v>2</v>
      </c>
      <c r="W66">
        <v>0</v>
      </c>
      <c r="X66">
        <v>0</v>
      </c>
      <c r="AB66" t="s">
        <v>746</v>
      </c>
      <c r="AC66">
        <v>7</v>
      </c>
      <c r="AD66">
        <v>1</v>
      </c>
      <c r="AE66">
        <v>0</v>
      </c>
      <c r="AF66">
        <v>0.875</v>
      </c>
      <c r="AI66" t="s">
        <v>793</v>
      </c>
      <c r="AJ66">
        <v>2</v>
      </c>
      <c r="AK66">
        <v>2</v>
      </c>
      <c r="AL66">
        <v>0</v>
      </c>
      <c r="AM66">
        <v>0.5</v>
      </c>
      <c r="AN66">
        <v>4</v>
      </c>
    </row>
    <row r="67" spans="15:40" ht="15" customHeight="1" x14ac:dyDescent="0.2">
      <c r="O67" t="s">
        <v>770</v>
      </c>
      <c r="P67">
        <v>2</v>
      </c>
      <c r="Q67">
        <v>1</v>
      </c>
      <c r="R67">
        <v>0</v>
      </c>
      <c r="T67">
        <v>0.66666666666666696</v>
      </c>
      <c r="U67">
        <v>2</v>
      </c>
      <c r="V67">
        <v>1</v>
      </c>
      <c r="W67">
        <v>0</v>
      </c>
      <c r="X67">
        <v>0.66666666666666696</v>
      </c>
      <c r="AB67" t="s">
        <v>764</v>
      </c>
      <c r="AC67">
        <v>1</v>
      </c>
      <c r="AD67">
        <v>0</v>
      </c>
      <c r="AE67">
        <v>0</v>
      </c>
      <c r="AF67">
        <v>1</v>
      </c>
      <c r="AI67" t="s">
        <v>794</v>
      </c>
      <c r="AJ67">
        <v>2</v>
      </c>
      <c r="AK67">
        <v>2</v>
      </c>
      <c r="AL67">
        <v>0</v>
      </c>
      <c r="AM67">
        <v>0.5</v>
      </c>
      <c r="AN67">
        <v>4</v>
      </c>
    </row>
    <row r="68" spans="15:40" ht="15" customHeight="1" x14ac:dyDescent="0.2">
      <c r="O68" t="s">
        <v>862</v>
      </c>
      <c r="P68">
        <v>0</v>
      </c>
      <c r="Q68">
        <v>2</v>
      </c>
      <c r="R68">
        <v>0</v>
      </c>
      <c r="T68">
        <v>0</v>
      </c>
      <c r="U68">
        <v>0</v>
      </c>
      <c r="V68">
        <v>2</v>
      </c>
      <c r="W68">
        <v>0</v>
      </c>
      <c r="X68">
        <v>0</v>
      </c>
      <c r="AB68" t="s">
        <v>777</v>
      </c>
      <c r="AC68">
        <v>2</v>
      </c>
      <c r="AD68">
        <v>1</v>
      </c>
      <c r="AE68">
        <v>1</v>
      </c>
      <c r="AF68">
        <v>0.625</v>
      </c>
      <c r="AI68" t="s">
        <v>795</v>
      </c>
      <c r="AJ68">
        <v>1</v>
      </c>
      <c r="AK68">
        <v>1</v>
      </c>
      <c r="AL68">
        <v>2</v>
      </c>
      <c r="AM68">
        <v>0.5</v>
      </c>
      <c r="AN68">
        <v>4</v>
      </c>
    </row>
    <row r="69" spans="15:40" ht="15" customHeight="1" x14ac:dyDescent="0.2">
      <c r="O69" t="s">
        <v>782</v>
      </c>
      <c r="P69">
        <v>2</v>
      </c>
      <c r="Q69">
        <v>1</v>
      </c>
      <c r="R69">
        <v>1</v>
      </c>
      <c r="T69">
        <v>0.625</v>
      </c>
      <c r="U69">
        <v>2</v>
      </c>
      <c r="V69">
        <v>1</v>
      </c>
      <c r="W69">
        <v>1</v>
      </c>
      <c r="X69">
        <v>0.625</v>
      </c>
      <c r="AB69" t="s">
        <v>783</v>
      </c>
      <c r="AC69">
        <v>8</v>
      </c>
      <c r="AD69">
        <v>5</v>
      </c>
      <c r="AE69">
        <v>2</v>
      </c>
      <c r="AF69">
        <v>0.6</v>
      </c>
      <c r="AI69" t="s">
        <v>796</v>
      </c>
      <c r="AJ69">
        <v>2</v>
      </c>
      <c r="AK69">
        <v>2</v>
      </c>
      <c r="AL69">
        <v>0</v>
      </c>
      <c r="AM69">
        <v>0.5</v>
      </c>
      <c r="AN69">
        <v>4</v>
      </c>
    </row>
    <row r="70" spans="15:40" ht="15" customHeight="1" x14ac:dyDescent="0.2">
      <c r="O70" t="s">
        <v>802</v>
      </c>
      <c r="P70">
        <v>1</v>
      </c>
      <c r="Q70">
        <v>1</v>
      </c>
      <c r="R70">
        <v>0</v>
      </c>
      <c r="T70">
        <v>0.5</v>
      </c>
      <c r="U70">
        <v>1</v>
      </c>
      <c r="V70">
        <v>1</v>
      </c>
      <c r="W70">
        <v>0</v>
      </c>
      <c r="X70">
        <v>0.5</v>
      </c>
      <c r="AB70" t="s">
        <v>809</v>
      </c>
      <c r="AC70">
        <v>1</v>
      </c>
      <c r="AD70">
        <v>1</v>
      </c>
      <c r="AE70">
        <v>0</v>
      </c>
      <c r="AF70">
        <v>0.5</v>
      </c>
      <c r="AI70" t="s">
        <v>799</v>
      </c>
      <c r="AJ70">
        <v>1</v>
      </c>
      <c r="AK70">
        <v>1</v>
      </c>
      <c r="AL70">
        <v>0</v>
      </c>
      <c r="AM70">
        <v>0.5</v>
      </c>
      <c r="AN70">
        <v>2</v>
      </c>
    </row>
    <row r="71" spans="15:40" ht="15" customHeight="1" x14ac:dyDescent="0.2">
      <c r="O71" t="s">
        <v>737</v>
      </c>
      <c r="P71">
        <v>2</v>
      </c>
      <c r="Q71">
        <v>0</v>
      </c>
      <c r="R71">
        <v>0</v>
      </c>
      <c r="T71">
        <v>1</v>
      </c>
      <c r="U71">
        <v>2</v>
      </c>
      <c r="V71">
        <v>0</v>
      </c>
      <c r="W71">
        <v>0</v>
      </c>
      <c r="X71">
        <v>1</v>
      </c>
      <c r="AB71" t="s">
        <v>844</v>
      </c>
      <c r="AC71">
        <v>0</v>
      </c>
      <c r="AD71">
        <v>1</v>
      </c>
      <c r="AE71">
        <v>1</v>
      </c>
      <c r="AF71">
        <v>0.25</v>
      </c>
      <c r="AI71" t="s">
        <v>752</v>
      </c>
      <c r="AJ71">
        <v>0</v>
      </c>
      <c r="AK71">
        <v>0</v>
      </c>
      <c r="AL71">
        <v>2</v>
      </c>
      <c r="AM71">
        <v>0.5</v>
      </c>
      <c r="AN71">
        <v>2</v>
      </c>
    </row>
    <row r="72" spans="15:40" ht="15" customHeight="1" x14ac:dyDescent="0.2">
      <c r="O72" t="s">
        <v>864</v>
      </c>
      <c r="P72">
        <v>0</v>
      </c>
      <c r="Q72">
        <v>2</v>
      </c>
      <c r="R72">
        <v>0</v>
      </c>
      <c r="T72">
        <v>0</v>
      </c>
      <c r="U72">
        <v>0</v>
      </c>
      <c r="V72">
        <v>2</v>
      </c>
      <c r="W72">
        <v>0</v>
      </c>
      <c r="X72">
        <v>0</v>
      </c>
      <c r="AB72" t="s">
        <v>871</v>
      </c>
      <c r="AC72">
        <v>0</v>
      </c>
      <c r="AD72">
        <v>2</v>
      </c>
      <c r="AE72">
        <v>0</v>
      </c>
      <c r="AF72">
        <v>0</v>
      </c>
      <c r="AI72" t="s">
        <v>802</v>
      </c>
      <c r="AJ72">
        <v>1</v>
      </c>
      <c r="AK72">
        <v>1</v>
      </c>
      <c r="AL72">
        <v>0</v>
      </c>
      <c r="AM72">
        <v>0.5</v>
      </c>
      <c r="AN72">
        <v>2</v>
      </c>
    </row>
    <row r="73" spans="15:40" ht="15" customHeight="1" x14ac:dyDescent="0.2">
      <c r="O73" t="s">
        <v>828</v>
      </c>
      <c r="P73">
        <v>2</v>
      </c>
      <c r="Q73">
        <v>3</v>
      </c>
      <c r="R73">
        <v>1</v>
      </c>
      <c r="T73">
        <v>0.41666666666666702</v>
      </c>
      <c r="U73">
        <v>2</v>
      </c>
      <c r="V73">
        <v>3</v>
      </c>
      <c r="W73">
        <v>1</v>
      </c>
      <c r="X73">
        <v>0.41666666666666702</v>
      </c>
      <c r="AB73" t="s">
        <v>1278</v>
      </c>
      <c r="AC73">
        <v>1</v>
      </c>
      <c r="AD73">
        <v>1</v>
      </c>
      <c r="AE73">
        <v>0</v>
      </c>
      <c r="AF73">
        <v>0.5</v>
      </c>
      <c r="AI73" t="s">
        <v>803</v>
      </c>
      <c r="AJ73">
        <v>1</v>
      </c>
      <c r="AK73">
        <v>1</v>
      </c>
      <c r="AL73">
        <v>0</v>
      </c>
      <c r="AM73">
        <v>0.5</v>
      </c>
      <c r="AN73">
        <v>2</v>
      </c>
    </row>
    <row r="74" spans="15:40" ht="15" customHeight="1" x14ac:dyDescent="0.2">
      <c r="O74" t="s">
        <v>811</v>
      </c>
      <c r="P74">
        <v>1</v>
      </c>
      <c r="Q74">
        <v>1</v>
      </c>
      <c r="R74">
        <v>0</v>
      </c>
      <c r="T74">
        <v>0.5</v>
      </c>
      <c r="U74">
        <v>1</v>
      </c>
      <c r="V74">
        <v>1</v>
      </c>
      <c r="W74">
        <v>0</v>
      </c>
      <c r="X74">
        <v>0.5</v>
      </c>
      <c r="AB74" t="s">
        <v>845</v>
      </c>
      <c r="AC74">
        <v>0</v>
      </c>
      <c r="AD74">
        <v>1</v>
      </c>
      <c r="AE74">
        <v>1</v>
      </c>
      <c r="AF74">
        <v>0.25</v>
      </c>
      <c r="AI74" t="s">
        <v>804</v>
      </c>
      <c r="AJ74">
        <v>1</v>
      </c>
      <c r="AK74">
        <v>1</v>
      </c>
      <c r="AL74">
        <v>0</v>
      </c>
      <c r="AM74">
        <v>0.5</v>
      </c>
      <c r="AN74">
        <v>2</v>
      </c>
    </row>
    <row r="75" spans="15:40" ht="15" customHeight="1" x14ac:dyDescent="0.2">
      <c r="O75" t="s">
        <v>840</v>
      </c>
      <c r="P75">
        <v>0</v>
      </c>
      <c r="Q75">
        <v>1</v>
      </c>
      <c r="R75">
        <v>1</v>
      </c>
      <c r="T75">
        <v>0.25</v>
      </c>
      <c r="U75">
        <v>0</v>
      </c>
      <c r="V75">
        <v>1</v>
      </c>
      <c r="W75">
        <v>1</v>
      </c>
      <c r="X75">
        <v>0.25</v>
      </c>
      <c r="AB75" t="s">
        <v>826</v>
      </c>
      <c r="AC75">
        <v>5</v>
      </c>
      <c r="AD75">
        <v>6</v>
      </c>
      <c r="AE75">
        <v>1</v>
      </c>
      <c r="AF75">
        <v>0.45833333333333298</v>
      </c>
      <c r="AI75" t="s">
        <v>808</v>
      </c>
      <c r="AJ75">
        <v>1</v>
      </c>
      <c r="AK75">
        <v>1</v>
      </c>
      <c r="AL75">
        <v>0</v>
      </c>
      <c r="AM75">
        <v>0.5</v>
      </c>
      <c r="AN75">
        <v>2</v>
      </c>
    </row>
    <row r="76" spans="15:40" ht="15" customHeight="1" x14ac:dyDescent="0.2">
      <c r="O76" t="s">
        <v>766</v>
      </c>
      <c r="P76">
        <v>1</v>
      </c>
      <c r="Q76">
        <v>0</v>
      </c>
      <c r="R76">
        <v>1</v>
      </c>
      <c r="T76">
        <v>0.75</v>
      </c>
      <c r="U76">
        <v>1</v>
      </c>
      <c r="V76">
        <v>0</v>
      </c>
      <c r="W76">
        <v>1</v>
      </c>
      <c r="X76">
        <v>0.75</v>
      </c>
      <c r="AB76" t="s">
        <v>859</v>
      </c>
      <c r="AC76">
        <v>0</v>
      </c>
      <c r="AD76">
        <v>3</v>
      </c>
      <c r="AE76">
        <v>0</v>
      </c>
      <c r="AF76">
        <v>0</v>
      </c>
      <c r="AI76" t="s">
        <v>830</v>
      </c>
      <c r="AJ76">
        <v>1</v>
      </c>
      <c r="AK76">
        <v>1</v>
      </c>
      <c r="AL76">
        <v>0</v>
      </c>
      <c r="AM76">
        <v>0.5</v>
      </c>
      <c r="AN76">
        <v>2</v>
      </c>
    </row>
    <row r="77" spans="15:40" ht="15" customHeight="1" x14ac:dyDescent="0.2">
      <c r="O77" t="s">
        <v>797</v>
      </c>
      <c r="P77">
        <v>1</v>
      </c>
      <c r="Q77">
        <v>1</v>
      </c>
      <c r="R77">
        <v>0</v>
      </c>
      <c r="T77">
        <v>0.5</v>
      </c>
      <c r="U77">
        <v>1</v>
      </c>
      <c r="V77">
        <v>1</v>
      </c>
      <c r="W77">
        <v>0</v>
      </c>
      <c r="X77">
        <v>0.5</v>
      </c>
      <c r="AB77" t="s">
        <v>837</v>
      </c>
      <c r="AC77">
        <v>0</v>
      </c>
      <c r="AD77">
        <v>2</v>
      </c>
      <c r="AE77">
        <v>0</v>
      </c>
      <c r="AF77">
        <v>0</v>
      </c>
      <c r="AI77" t="s">
        <v>809</v>
      </c>
      <c r="AJ77">
        <v>1</v>
      </c>
      <c r="AK77">
        <v>1</v>
      </c>
      <c r="AL77">
        <v>0</v>
      </c>
      <c r="AM77">
        <v>0.5</v>
      </c>
      <c r="AN77">
        <v>2</v>
      </c>
    </row>
    <row r="78" spans="15:40" ht="15" customHeight="1" x14ac:dyDescent="0.2">
      <c r="O78" t="s">
        <v>865</v>
      </c>
      <c r="P78">
        <v>0</v>
      </c>
      <c r="Q78">
        <v>2</v>
      </c>
      <c r="R78">
        <v>0</v>
      </c>
      <c r="T78">
        <v>0</v>
      </c>
      <c r="U78">
        <v>0</v>
      </c>
      <c r="V78">
        <v>2</v>
      </c>
      <c r="W78">
        <v>0</v>
      </c>
      <c r="X78">
        <v>0</v>
      </c>
      <c r="AB78" t="s">
        <v>729</v>
      </c>
      <c r="AC78">
        <v>2</v>
      </c>
      <c r="AD78">
        <v>0</v>
      </c>
      <c r="AE78">
        <v>0</v>
      </c>
      <c r="AF78">
        <v>1</v>
      </c>
      <c r="AI78" t="s">
        <v>1278</v>
      </c>
      <c r="AJ78">
        <v>1</v>
      </c>
      <c r="AK78">
        <v>1</v>
      </c>
      <c r="AL78">
        <v>0</v>
      </c>
      <c r="AM78">
        <v>0.5</v>
      </c>
      <c r="AN78">
        <v>2</v>
      </c>
    </row>
    <row r="79" spans="15:40" ht="15" customHeight="1" x14ac:dyDescent="0.2">
      <c r="O79" t="s">
        <v>733</v>
      </c>
      <c r="P79">
        <v>2</v>
      </c>
      <c r="Q79">
        <v>0</v>
      </c>
      <c r="R79">
        <v>0</v>
      </c>
      <c r="T79">
        <v>1</v>
      </c>
      <c r="U79">
        <v>2</v>
      </c>
      <c r="V79">
        <v>0</v>
      </c>
      <c r="W79">
        <v>0</v>
      </c>
      <c r="X79">
        <v>1</v>
      </c>
      <c r="AB79" t="s">
        <v>833</v>
      </c>
      <c r="AC79">
        <v>0</v>
      </c>
      <c r="AD79">
        <v>4</v>
      </c>
      <c r="AE79">
        <v>0</v>
      </c>
      <c r="AF79">
        <v>0</v>
      </c>
      <c r="AI79" t="s">
        <v>778</v>
      </c>
      <c r="AJ79">
        <v>1</v>
      </c>
      <c r="AK79">
        <v>1</v>
      </c>
      <c r="AL79">
        <v>0</v>
      </c>
      <c r="AM79">
        <v>0.5</v>
      </c>
      <c r="AN79">
        <v>2</v>
      </c>
    </row>
    <row r="80" spans="15:40" ht="15" customHeight="1" x14ac:dyDescent="0.2">
      <c r="O80" t="s">
        <v>753</v>
      </c>
      <c r="P80">
        <v>1</v>
      </c>
      <c r="Q80">
        <v>0</v>
      </c>
      <c r="R80">
        <v>1</v>
      </c>
      <c r="T80">
        <v>0.75</v>
      </c>
      <c r="U80">
        <v>1</v>
      </c>
      <c r="V80">
        <v>0</v>
      </c>
      <c r="W80">
        <v>1</v>
      </c>
      <c r="X80">
        <v>0.75</v>
      </c>
      <c r="AB80" t="s">
        <v>778</v>
      </c>
      <c r="AC80">
        <v>1</v>
      </c>
      <c r="AD80">
        <v>1</v>
      </c>
      <c r="AE80">
        <v>0</v>
      </c>
      <c r="AF80">
        <v>0.5</v>
      </c>
      <c r="AI80" t="s">
        <v>811</v>
      </c>
      <c r="AJ80">
        <v>1</v>
      </c>
      <c r="AK80">
        <v>1</v>
      </c>
      <c r="AL80">
        <v>0</v>
      </c>
      <c r="AM80">
        <v>0.5</v>
      </c>
      <c r="AN80">
        <v>2</v>
      </c>
    </row>
    <row r="81" spans="15:40" ht="15" customHeight="1" x14ac:dyDescent="0.2">
      <c r="O81" t="s">
        <v>767</v>
      </c>
      <c r="P81">
        <v>1</v>
      </c>
      <c r="Q81">
        <v>0</v>
      </c>
      <c r="R81">
        <v>1</v>
      </c>
      <c r="T81">
        <v>0.75</v>
      </c>
      <c r="U81">
        <v>1</v>
      </c>
      <c r="V81">
        <v>0</v>
      </c>
      <c r="W81">
        <v>1</v>
      </c>
      <c r="X81">
        <v>0.75</v>
      </c>
      <c r="AB81" t="s">
        <v>846</v>
      </c>
      <c r="AC81">
        <v>0</v>
      </c>
      <c r="AD81">
        <v>1</v>
      </c>
      <c r="AE81">
        <v>1</v>
      </c>
      <c r="AF81">
        <v>0.25</v>
      </c>
      <c r="AI81" t="s">
        <v>812</v>
      </c>
      <c r="AJ81">
        <v>1</v>
      </c>
      <c r="AK81">
        <v>1</v>
      </c>
      <c r="AL81">
        <v>0</v>
      </c>
      <c r="AM81">
        <v>0.5</v>
      </c>
      <c r="AN81">
        <v>2</v>
      </c>
    </row>
    <row r="82" spans="15:40" ht="15" customHeight="1" x14ac:dyDescent="0.2">
      <c r="O82" t="s">
        <v>789</v>
      </c>
      <c r="P82">
        <v>2</v>
      </c>
      <c r="Q82">
        <v>2</v>
      </c>
      <c r="R82">
        <v>2</v>
      </c>
      <c r="T82">
        <v>0.5</v>
      </c>
      <c r="U82">
        <v>2</v>
      </c>
      <c r="V82">
        <v>2</v>
      </c>
      <c r="W82">
        <v>2</v>
      </c>
      <c r="X82">
        <v>0.5</v>
      </c>
      <c r="AB82" t="s">
        <v>885</v>
      </c>
      <c r="AC82">
        <v>0</v>
      </c>
      <c r="AD82">
        <v>1</v>
      </c>
      <c r="AE82">
        <v>0</v>
      </c>
      <c r="AF82">
        <v>0</v>
      </c>
      <c r="AI82" t="s">
        <v>814</v>
      </c>
      <c r="AJ82">
        <v>1</v>
      </c>
      <c r="AK82">
        <v>1</v>
      </c>
      <c r="AL82">
        <v>0</v>
      </c>
      <c r="AM82">
        <v>0.5</v>
      </c>
      <c r="AN82">
        <v>2</v>
      </c>
    </row>
    <row r="83" spans="15:40" ht="15" customHeight="1" x14ac:dyDescent="0.2">
      <c r="O83" t="s">
        <v>738</v>
      </c>
      <c r="P83">
        <v>2</v>
      </c>
      <c r="Q83">
        <v>0</v>
      </c>
      <c r="R83">
        <v>0</v>
      </c>
      <c r="T83">
        <v>1</v>
      </c>
      <c r="U83">
        <v>2</v>
      </c>
      <c r="V83">
        <v>0</v>
      </c>
      <c r="W83">
        <v>0</v>
      </c>
      <c r="X83">
        <v>1</v>
      </c>
      <c r="AB83" t="s">
        <v>886</v>
      </c>
      <c r="AC83">
        <v>0</v>
      </c>
      <c r="AD83">
        <v>1</v>
      </c>
      <c r="AE83">
        <v>0</v>
      </c>
      <c r="AF83">
        <v>0</v>
      </c>
      <c r="AI83" t="s">
        <v>815</v>
      </c>
      <c r="AJ83">
        <v>0</v>
      </c>
      <c r="AK83">
        <v>0</v>
      </c>
      <c r="AL83">
        <v>2</v>
      </c>
      <c r="AM83">
        <v>0.5</v>
      </c>
      <c r="AN83">
        <v>2</v>
      </c>
    </row>
    <row r="84" spans="15:40" ht="15" customHeight="1" x14ac:dyDescent="0.2">
      <c r="O84" t="s">
        <v>858</v>
      </c>
      <c r="P84">
        <v>0</v>
      </c>
      <c r="Q84">
        <v>2</v>
      </c>
      <c r="R84">
        <v>0</v>
      </c>
      <c r="T84">
        <v>0</v>
      </c>
      <c r="U84">
        <v>0</v>
      </c>
      <c r="V84">
        <v>2</v>
      </c>
      <c r="W84">
        <v>0</v>
      </c>
      <c r="X84">
        <v>0</v>
      </c>
      <c r="AB84" t="s">
        <v>872</v>
      </c>
      <c r="AC84">
        <v>0</v>
      </c>
      <c r="AD84">
        <v>2</v>
      </c>
      <c r="AE84">
        <v>0</v>
      </c>
      <c r="AF84">
        <v>0</v>
      </c>
      <c r="AI84" t="s">
        <v>816</v>
      </c>
      <c r="AJ84">
        <v>1</v>
      </c>
      <c r="AK84">
        <v>1</v>
      </c>
      <c r="AL84">
        <v>0</v>
      </c>
      <c r="AM84">
        <v>0.5</v>
      </c>
      <c r="AN84">
        <v>2</v>
      </c>
    </row>
    <row r="85" spans="15:40" ht="15" customHeight="1" x14ac:dyDescent="0.2">
      <c r="O85" t="s">
        <v>856</v>
      </c>
      <c r="P85">
        <v>0</v>
      </c>
      <c r="Q85">
        <v>2</v>
      </c>
      <c r="R85">
        <v>1</v>
      </c>
      <c r="T85">
        <v>0.16666666666666699</v>
      </c>
      <c r="U85">
        <v>0</v>
      </c>
      <c r="V85">
        <v>2</v>
      </c>
      <c r="W85">
        <v>1</v>
      </c>
      <c r="X85">
        <v>0.16666666666666699</v>
      </c>
      <c r="AB85" t="s">
        <v>873</v>
      </c>
      <c r="AC85">
        <v>0</v>
      </c>
      <c r="AD85">
        <v>2</v>
      </c>
      <c r="AE85">
        <v>0</v>
      </c>
      <c r="AF85">
        <v>0</v>
      </c>
      <c r="AI85" t="s">
        <v>780</v>
      </c>
      <c r="AJ85">
        <v>1</v>
      </c>
      <c r="AK85">
        <v>1</v>
      </c>
      <c r="AL85">
        <v>0</v>
      </c>
      <c r="AM85">
        <v>0.5</v>
      </c>
      <c r="AN85">
        <v>2</v>
      </c>
    </row>
    <row r="86" spans="15:40" ht="15" customHeight="1" x14ac:dyDescent="0.2">
      <c r="O86" t="s">
        <v>885</v>
      </c>
      <c r="P86">
        <v>0</v>
      </c>
      <c r="Q86">
        <v>1</v>
      </c>
      <c r="R86">
        <v>0</v>
      </c>
      <c r="T86">
        <v>0</v>
      </c>
      <c r="U86">
        <v>0</v>
      </c>
      <c r="V86">
        <v>1</v>
      </c>
      <c r="W86">
        <v>0</v>
      </c>
      <c r="X86">
        <v>0</v>
      </c>
      <c r="AB86" t="s">
        <v>855</v>
      </c>
      <c r="AC86">
        <v>1</v>
      </c>
      <c r="AD86">
        <v>5</v>
      </c>
      <c r="AE86">
        <v>0</v>
      </c>
      <c r="AF86">
        <v>0.16666666666666699</v>
      </c>
      <c r="AI86" t="s">
        <v>817</v>
      </c>
      <c r="AJ86">
        <v>1</v>
      </c>
      <c r="AK86">
        <v>1</v>
      </c>
      <c r="AL86">
        <v>0</v>
      </c>
      <c r="AM86">
        <v>0.5</v>
      </c>
      <c r="AN86">
        <v>2</v>
      </c>
    </row>
    <row r="87" spans="15:40" ht="15" customHeight="1" x14ac:dyDescent="0.2">
      <c r="O87" t="s">
        <v>745</v>
      </c>
      <c r="P87">
        <v>1</v>
      </c>
      <c r="Q87">
        <v>0</v>
      </c>
      <c r="R87">
        <v>0</v>
      </c>
      <c r="T87">
        <v>1</v>
      </c>
      <c r="U87">
        <v>1</v>
      </c>
      <c r="V87">
        <v>0</v>
      </c>
      <c r="W87">
        <v>0</v>
      </c>
      <c r="X87">
        <v>1</v>
      </c>
      <c r="AB87" t="s">
        <v>838</v>
      </c>
      <c r="AC87">
        <v>1</v>
      </c>
      <c r="AD87">
        <v>3</v>
      </c>
      <c r="AE87">
        <v>0</v>
      </c>
      <c r="AF87">
        <v>0.25</v>
      </c>
      <c r="AI87" t="s">
        <v>818</v>
      </c>
      <c r="AJ87">
        <v>1</v>
      </c>
      <c r="AK87">
        <v>1</v>
      </c>
      <c r="AL87">
        <v>0</v>
      </c>
      <c r="AM87">
        <v>0.5</v>
      </c>
      <c r="AN87">
        <v>2</v>
      </c>
    </row>
    <row r="88" spans="15:40" ht="15" customHeight="1" x14ac:dyDescent="0.2">
      <c r="O88" t="s">
        <v>836</v>
      </c>
      <c r="P88">
        <v>1</v>
      </c>
      <c r="Q88">
        <v>2</v>
      </c>
      <c r="R88">
        <v>0</v>
      </c>
      <c r="T88">
        <v>0.33333333333333298</v>
      </c>
      <c r="U88">
        <v>1</v>
      </c>
      <c r="V88">
        <v>2</v>
      </c>
      <c r="W88">
        <v>0</v>
      </c>
      <c r="X88">
        <v>0.33333333333333298</v>
      </c>
      <c r="AB88" t="s">
        <v>743</v>
      </c>
      <c r="AC88">
        <v>1</v>
      </c>
      <c r="AD88">
        <v>0</v>
      </c>
      <c r="AE88">
        <v>0</v>
      </c>
      <c r="AF88">
        <v>1</v>
      </c>
      <c r="AI88" t="s">
        <v>797</v>
      </c>
      <c r="AJ88">
        <v>1</v>
      </c>
      <c r="AK88">
        <v>1</v>
      </c>
      <c r="AL88">
        <v>0</v>
      </c>
      <c r="AM88">
        <v>0.5</v>
      </c>
      <c r="AN88">
        <v>2</v>
      </c>
    </row>
    <row r="89" spans="15:40" ht="15" customHeight="1" x14ac:dyDescent="0.2">
      <c r="O89" t="s">
        <v>883</v>
      </c>
      <c r="P89">
        <v>0</v>
      </c>
      <c r="Q89">
        <v>1</v>
      </c>
      <c r="R89">
        <v>0</v>
      </c>
      <c r="T89">
        <v>0</v>
      </c>
      <c r="U89">
        <v>0</v>
      </c>
      <c r="V89">
        <v>1</v>
      </c>
      <c r="W89">
        <v>0</v>
      </c>
      <c r="X89">
        <v>0</v>
      </c>
      <c r="AB89" t="s">
        <v>858</v>
      </c>
      <c r="AC89">
        <v>0</v>
      </c>
      <c r="AD89">
        <v>2</v>
      </c>
      <c r="AE89">
        <v>0</v>
      </c>
      <c r="AF89">
        <v>0</v>
      </c>
      <c r="AI89" t="s">
        <v>820</v>
      </c>
      <c r="AJ89">
        <v>1</v>
      </c>
      <c r="AK89">
        <v>1</v>
      </c>
      <c r="AL89">
        <v>0</v>
      </c>
      <c r="AM89">
        <v>0.5</v>
      </c>
      <c r="AN89">
        <v>2</v>
      </c>
    </row>
    <row r="90" spans="15:40" ht="15" customHeight="1" x14ac:dyDescent="0.2">
      <c r="O90" t="s">
        <v>743</v>
      </c>
      <c r="P90">
        <v>1</v>
      </c>
      <c r="Q90">
        <v>0</v>
      </c>
      <c r="R90">
        <v>0</v>
      </c>
      <c r="T90">
        <v>1</v>
      </c>
      <c r="U90">
        <v>1</v>
      </c>
      <c r="V90">
        <v>0</v>
      </c>
      <c r="W90">
        <v>0</v>
      </c>
      <c r="X90">
        <v>1</v>
      </c>
      <c r="AB90" t="s">
        <v>730</v>
      </c>
      <c r="AC90">
        <v>2</v>
      </c>
      <c r="AD90">
        <v>0</v>
      </c>
      <c r="AE90">
        <v>0</v>
      </c>
      <c r="AF90">
        <v>1</v>
      </c>
      <c r="AI90" t="s">
        <v>821</v>
      </c>
      <c r="AJ90">
        <v>1</v>
      </c>
      <c r="AK90">
        <v>1</v>
      </c>
      <c r="AL90">
        <v>0</v>
      </c>
      <c r="AM90">
        <v>0.5</v>
      </c>
      <c r="AN90">
        <v>2</v>
      </c>
    </row>
    <row r="91" spans="15:40" ht="15" customHeight="1" x14ac:dyDescent="0.2">
      <c r="O91" t="s">
        <v>776</v>
      </c>
      <c r="P91">
        <v>2</v>
      </c>
      <c r="Q91">
        <v>0</v>
      </c>
      <c r="R91">
        <v>0</v>
      </c>
      <c r="T91">
        <v>1</v>
      </c>
      <c r="U91">
        <v>2</v>
      </c>
      <c r="V91">
        <v>0</v>
      </c>
      <c r="W91">
        <v>0</v>
      </c>
      <c r="X91">
        <v>1</v>
      </c>
      <c r="AB91" t="s">
        <v>791</v>
      </c>
      <c r="AC91">
        <v>3</v>
      </c>
      <c r="AD91">
        <v>3</v>
      </c>
      <c r="AE91">
        <v>0</v>
      </c>
      <c r="AF91">
        <v>0.5</v>
      </c>
      <c r="AI91" t="s">
        <v>822</v>
      </c>
      <c r="AJ91">
        <v>1</v>
      </c>
      <c r="AK91">
        <v>1</v>
      </c>
      <c r="AL91">
        <v>0</v>
      </c>
      <c r="AM91">
        <v>0.5</v>
      </c>
      <c r="AN91">
        <v>2</v>
      </c>
    </row>
    <row r="92" spans="15:40" ht="15" customHeight="1" x14ac:dyDescent="0.2">
      <c r="O92" t="s">
        <v>748</v>
      </c>
      <c r="P92">
        <v>3</v>
      </c>
      <c r="Q92">
        <v>0</v>
      </c>
      <c r="R92">
        <v>1</v>
      </c>
      <c r="T92">
        <v>0.875</v>
      </c>
      <c r="U92">
        <v>3</v>
      </c>
      <c r="V92">
        <v>0</v>
      </c>
      <c r="W92">
        <v>1</v>
      </c>
      <c r="X92">
        <v>0.875</v>
      </c>
      <c r="AB92" t="s">
        <v>835</v>
      </c>
      <c r="AC92">
        <v>1</v>
      </c>
      <c r="AD92">
        <v>2</v>
      </c>
      <c r="AE92">
        <v>0</v>
      </c>
      <c r="AF92">
        <v>0.33333333333333298</v>
      </c>
      <c r="AI92" t="s">
        <v>823</v>
      </c>
      <c r="AJ92">
        <v>1</v>
      </c>
      <c r="AK92">
        <v>1</v>
      </c>
      <c r="AL92">
        <v>0</v>
      </c>
      <c r="AM92">
        <v>0.5</v>
      </c>
      <c r="AN92">
        <v>2</v>
      </c>
    </row>
    <row r="93" spans="15:40" ht="15" customHeight="1" x14ac:dyDescent="0.2">
      <c r="O93" t="s">
        <v>878</v>
      </c>
      <c r="P93">
        <v>0</v>
      </c>
      <c r="Q93">
        <v>2</v>
      </c>
      <c r="R93">
        <v>0</v>
      </c>
      <c r="T93">
        <v>0</v>
      </c>
      <c r="U93">
        <v>0</v>
      </c>
      <c r="V93">
        <v>2</v>
      </c>
      <c r="W93">
        <v>0</v>
      </c>
      <c r="X93">
        <v>0</v>
      </c>
      <c r="AB93" t="s">
        <v>811</v>
      </c>
      <c r="AC93">
        <v>1</v>
      </c>
      <c r="AD93">
        <v>1</v>
      </c>
      <c r="AE93">
        <v>0</v>
      </c>
      <c r="AF93">
        <v>0.5</v>
      </c>
      <c r="AI93" t="s">
        <v>824</v>
      </c>
      <c r="AJ93">
        <v>1</v>
      </c>
      <c r="AK93">
        <v>1</v>
      </c>
      <c r="AL93">
        <v>0</v>
      </c>
      <c r="AM93">
        <v>0.5</v>
      </c>
      <c r="AN93">
        <v>2</v>
      </c>
    </row>
    <row r="94" spans="15:40" ht="15" customHeight="1" x14ac:dyDescent="0.2">
      <c r="O94" t="s">
        <v>861</v>
      </c>
      <c r="P94">
        <v>0</v>
      </c>
      <c r="Q94">
        <v>2</v>
      </c>
      <c r="R94">
        <v>0</v>
      </c>
      <c r="T94">
        <v>0</v>
      </c>
      <c r="U94">
        <v>0</v>
      </c>
      <c r="V94">
        <v>2</v>
      </c>
      <c r="W94">
        <v>0</v>
      </c>
      <c r="X94">
        <v>0</v>
      </c>
      <c r="AB94" t="s">
        <v>731</v>
      </c>
      <c r="AC94">
        <v>2</v>
      </c>
      <c r="AD94">
        <v>0</v>
      </c>
      <c r="AE94">
        <v>0</v>
      </c>
      <c r="AF94">
        <v>1</v>
      </c>
      <c r="AI94" t="s">
        <v>825</v>
      </c>
      <c r="AJ94">
        <v>1</v>
      </c>
      <c r="AK94">
        <v>1</v>
      </c>
      <c r="AL94">
        <v>0</v>
      </c>
      <c r="AM94">
        <v>0.5</v>
      </c>
      <c r="AN94">
        <v>2</v>
      </c>
    </row>
    <row r="95" spans="15:40" ht="15" customHeight="1" x14ac:dyDescent="0.2">
      <c r="O95" t="s">
        <v>736</v>
      </c>
      <c r="P95">
        <v>2</v>
      </c>
      <c r="Q95">
        <v>0</v>
      </c>
      <c r="R95">
        <v>0</v>
      </c>
      <c r="T95">
        <v>1</v>
      </c>
      <c r="U95">
        <v>2</v>
      </c>
      <c r="V95">
        <v>0</v>
      </c>
      <c r="W95">
        <v>0</v>
      </c>
      <c r="X95">
        <v>1</v>
      </c>
      <c r="AB95" t="s">
        <v>887</v>
      </c>
      <c r="AC95">
        <v>0</v>
      </c>
      <c r="AD95">
        <v>1</v>
      </c>
      <c r="AE95">
        <v>0</v>
      </c>
      <c r="AF95">
        <v>0</v>
      </c>
      <c r="AI95" t="s">
        <v>826</v>
      </c>
      <c r="AJ95">
        <v>5</v>
      </c>
      <c r="AK95">
        <v>6</v>
      </c>
      <c r="AL95">
        <v>1</v>
      </c>
      <c r="AM95">
        <v>0.45833333333333298</v>
      </c>
      <c r="AN95">
        <v>12</v>
      </c>
    </row>
    <row r="96" spans="15:40" ht="15" customHeight="1" x14ac:dyDescent="0.2">
      <c r="O96" t="s">
        <v>818</v>
      </c>
      <c r="P96">
        <v>1</v>
      </c>
      <c r="Q96">
        <v>1</v>
      </c>
      <c r="R96">
        <v>0</v>
      </c>
      <c r="T96">
        <v>0.5</v>
      </c>
      <c r="U96">
        <v>1</v>
      </c>
      <c r="V96">
        <v>1</v>
      </c>
      <c r="W96">
        <v>0</v>
      </c>
      <c r="X96">
        <v>0.5</v>
      </c>
      <c r="AB96" t="s">
        <v>812</v>
      </c>
      <c r="AC96">
        <v>1</v>
      </c>
      <c r="AD96">
        <v>1</v>
      </c>
      <c r="AE96">
        <v>0</v>
      </c>
      <c r="AF96">
        <v>0.5</v>
      </c>
      <c r="AI96" t="s">
        <v>827</v>
      </c>
      <c r="AJ96">
        <v>2</v>
      </c>
      <c r="AK96">
        <v>3</v>
      </c>
      <c r="AL96">
        <v>1</v>
      </c>
      <c r="AM96">
        <v>0.41666666666666702</v>
      </c>
      <c r="AN96">
        <v>6</v>
      </c>
    </row>
    <row r="97" spans="15:40" ht="15" customHeight="1" x14ac:dyDescent="0.2">
      <c r="O97" t="s">
        <v>822</v>
      </c>
      <c r="P97">
        <v>1</v>
      </c>
      <c r="Q97">
        <v>1</v>
      </c>
      <c r="R97">
        <v>0</v>
      </c>
      <c r="T97">
        <v>0.5</v>
      </c>
      <c r="U97">
        <v>1</v>
      </c>
      <c r="V97">
        <v>1</v>
      </c>
      <c r="W97">
        <v>0</v>
      </c>
      <c r="X97">
        <v>0.5</v>
      </c>
      <c r="AB97" t="s">
        <v>795</v>
      </c>
      <c r="AC97">
        <v>1</v>
      </c>
      <c r="AD97">
        <v>1</v>
      </c>
      <c r="AE97">
        <v>2</v>
      </c>
      <c r="AF97">
        <v>0.5</v>
      </c>
      <c r="AI97" t="s">
        <v>828</v>
      </c>
      <c r="AJ97">
        <v>2</v>
      </c>
      <c r="AK97">
        <v>3</v>
      </c>
      <c r="AL97">
        <v>1</v>
      </c>
      <c r="AM97">
        <v>0.41666666666666702</v>
      </c>
      <c r="AN97">
        <v>6</v>
      </c>
    </row>
    <row r="98" spans="15:40" ht="15" customHeight="1" x14ac:dyDescent="0.2">
      <c r="O98" t="s">
        <v>820</v>
      </c>
      <c r="P98">
        <v>1</v>
      </c>
      <c r="Q98">
        <v>1</v>
      </c>
      <c r="R98">
        <v>0</v>
      </c>
      <c r="T98">
        <v>0.5</v>
      </c>
      <c r="U98">
        <v>1</v>
      </c>
      <c r="V98">
        <v>1</v>
      </c>
      <c r="W98">
        <v>0</v>
      </c>
      <c r="X98">
        <v>0.5</v>
      </c>
      <c r="AB98" t="s">
        <v>732</v>
      </c>
      <c r="AC98">
        <v>2</v>
      </c>
      <c r="AD98">
        <v>0</v>
      </c>
      <c r="AE98">
        <v>0</v>
      </c>
      <c r="AF98">
        <v>1</v>
      </c>
      <c r="AI98" t="s">
        <v>829</v>
      </c>
      <c r="AJ98">
        <v>1</v>
      </c>
      <c r="AK98">
        <v>2</v>
      </c>
      <c r="AL98">
        <v>1</v>
      </c>
      <c r="AM98">
        <v>0.375</v>
      </c>
      <c r="AN98">
        <v>4</v>
      </c>
    </row>
    <row r="99" spans="15:40" ht="15" customHeight="1" x14ac:dyDescent="0.2">
      <c r="O99" t="s">
        <v>824</v>
      </c>
      <c r="P99">
        <v>1</v>
      </c>
      <c r="Q99">
        <v>1</v>
      </c>
      <c r="R99">
        <v>0</v>
      </c>
      <c r="T99">
        <v>0.5</v>
      </c>
      <c r="U99">
        <v>1</v>
      </c>
      <c r="V99">
        <v>1</v>
      </c>
      <c r="W99">
        <v>0</v>
      </c>
      <c r="X99">
        <v>0.5</v>
      </c>
      <c r="AB99" t="s">
        <v>836</v>
      </c>
      <c r="AC99">
        <v>1</v>
      </c>
      <c r="AD99">
        <v>2</v>
      </c>
      <c r="AE99">
        <v>0</v>
      </c>
      <c r="AF99">
        <v>0.33333333333333298</v>
      </c>
      <c r="AI99" t="s">
        <v>832</v>
      </c>
      <c r="AJ99">
        <v>1</v>
      </c>
      <c r="AK99">
        <v>2</v>
      </c>
      <c r="AL99">
        <v>1</v>
      </c>
      <c r="AM99">
        <v>0.375</v>
      </c>
      <c r="AN99">
        <v>4</v>
      </c>
    </row>
    <row r="100" spans="15:40" ht="15" customHeight="1" x14ac:dyDescent="0.2">
      <c r="O100" t="s">
        <v>808</v>
      </c>
      <c r="P100">
        <v>1</v>
      </c>
      <c r="Q100">
        <v>1</v>
      </c>
      <c r="R100">
        <v>0</v>
      </c>
      <c r="T100">
        <v>0.5</v>
      </c>
      <c r="U100">
        <v>1</v>
      </c>
      <c r="V100">
        <v>1</v>
      </c>
      <c r="W100">
        <v>0</v>
      </c>
      <c r="X100">
        <v>0.5</v>
      </c>
      <c r="AB100" t="s">
        <v>875</v>
      </c>
      <c r="AC100">
        <v>0</v>
      </c>
      <c r="AD100">
        <v>2</v>
      </c>
      <c r="AE100">
        <v>0</v>
      </c>
      <c r="AF100">
        <v>0</v>
      </c>
      <c r="AI100" t="s">
        <v>834</v>
      </c>
      <c r="AJ100">
        <v>2</v>
      </c>
      <c r="AK100">
        <v>4</v>
      </c>
      <c r="AL100">
        <v>0</v>
      </c>
      <c r="AM100">
        <v>0.33333333333333298</v>
      </c>
      <c r="AN100">
        <v>6</v>
      </c>
    </row>
    <row r="101" spans="15:40" ht="15" customHeight="1" x14ac:dyDescent="0.2">
      <c r="O101" t="s">
        <v>793</v>
      </c>
      <c r="P101">
        <v>2</v>
      </c>
      <c r="Q101">
        <v>2</v>
      </c>
      <c r="R101">
        <v>0</v>
      </c>
      <c r="T101">
        <v>0.5</v>
      </c>
      <c r="U101">
        <v>2</v>
      </c>
      <c r="V101">
        <v>2</v>
      </c>
      <c r="W101">
        <v>0</v>
      </c>
      <c r="X101">
        <v>0.5</v>
      </c>
      <c r="AB101" t="s">
        <v>733</v>
      </c>
      <c r="AC101">
        <v>2</v>
      </c>
      <c r="AD101">
        <v>0</v>
      </c>
      <c r="AE101">
        <v>0</v>
      </c>
      <c r="AF101">
        <v>1</v>
      </c>
      <c r="AI101" t="s">
        <v>835</v>
      </c>
      <c r="AJ101">
        <v>1</v>
      </c>
      <c r="AK101">
        <v>2</v>
      </c>
      <c r="AL101">
        <v>0</v>
      </c>
      <c r="AM101">
        <v>0.33333333333333298</v>
      </c>
      <c r="AN101">
        <v>3</v>
      </c>
    </row>
    <row r="102" spans="15:40" ht="15" customHeight="1" x14ac:dyDescent="0.2">
      <c r="O102" t="s">
        <v>825</v>
      </c>
      <c r="P102">
        <v>1</v>
      </c>
      <c r="Q102">
        <v>1</v>
      </c>
      <c r="R102">
        <v>0</v>
      </c>
      <c r="T102">
        <v>0.5</v>
      </c>
      <c r="U102">
        <v>1</v>
      </c>
      <c r="V102">
        <v>1</v>
      </c>
      <c r="W102">
        <v>0</v>
      </c>
      <c r="X102">
        <v>0.5</v>
      </c>
      <c r="AB102" t="s">
        <v>814</v>
      </c>
      <c r="AC102">
        <v>1</v>
      </c>
      <c r="AD102">
        <v>1</v>
      </c>
      <c r="AE102">
        <v>0</v>
      </c>
      <c r="AF102">
        <v>0.5</v>
      </c>
      <c r="AI102" t="s">
        <v>836</v>
      </c>
      <c r="AJ102">
        <v>1</v>
      </c>
      <c r="AK102">
        <v>2</v>
      </c>
      <c r="AL102">
        <v>0</v>
      </c>
      <c r="AM102">
        <v>0.33333333333333298</v>
      </c>
      <c r="AN102">
        <v>3</v>
      </c>
    </row>
    <row r="103" spans="15:40" ht="15" customHeight="1" x14ac:dyDescent="0.2">
      <c r="O103" t="s">
        <v>790</v>
      </c>
      <c r="P103">
        <v>2</v>
      </c>
      <c r="Q103">
        <v>2</v>
      </c>
      <c r="R103">
        <v>1</v>
      </c>
      <c r="T103">
        <v>0.5</v>
      </c>
      <c r="U103">
        <v>2</v>
      </c>
      <c r="V103">
        <v>2</v>
      </c>
      <c r="W103">
        <v>1</v>
      </c>
      <c r="X103">
        <v>0.5</v>
      </c>
      <c r="AB103" t="s">
        <v>744</v>
      </c>
      <c r="AC103">
        <v>1</v>
      </c>
      <c r="AD103">
        <v>0</v>
      </c>
      <c r="AE103">
        <v>0</v>
      </c>
      <c r="AF103">
        <v>1</v>
      </c>
      <c r="AI103" t="s">
        <v>838</v>
      </c>
      <c r="AJ103">
        <v>1</v>
      </c>
      <c r="AK103">
        <v>3</v>
      </c>
      <c r="AL103">
        <v>0</v>
      </c>
      <c r="AM103">
        <v>0.25</v>
      </c>
      <c r="AN103">
        <v>4</v>
      </c>
    </row>
    <row r="104" spans="15:40" ht="15" customHeight="1" x14ac:dyDescent="0.2">
      <c r="O104" t="s">
        <v>761</v>
      </c>
      <c r="P104">
        <v>1</v>
      </c>
      <c r="Q104">
        <v>0</v>
      </c>
      <c r="R104">
        <v>1</v>
      </c>
      <c r="T104">
        <v>0.75</v>
      </c>
      <c r="U104">
        <v>1</v>
      </c>
      <c r="V104">
        <v>0</v>
      </c>
      <c r="W104">
        <v>1</v>
      </c>
      <c r="X104">
        <v>0.75</v>
      </c>
      <c r="AB104" t="s">
        <v>770</v>
      </c>
      <c r="AC104">
        <v>2</v>
      </c>
      <c r="AD104">
        <v>1</v>
      </c>
      <c r="AE104">
        <v>0</v>
      </c>
      <c r="AF104">
        <v>0.66666666666666696</v>
      </c>
      <c r="AI104" t="s">
        <v>839</v>
      </c>
      <c r="AJ104">
        <v>1</v>
      </c>
      <c r="AK104">
        <v>3</v>
      </c>
      <c r="AL104">
        <v>0</v>
      </c>
      <c r="AM104">
        <v>0.25</v>
      </c>
      <c r="AN104">
        <v>4</v>
      </c>
    </row>
    <row r="105" spans="15:40" ht="15" customHeight="1" x14ac:dyDescent="0.2">
      <c r="O105" t="s">
        <v>845</v>
      </c>
      <c r="P105">
        <v>0</v>
      </c>
      <c r="Q105">
        <v>1</v>
      </c>
      <c r="R105">
        <v>1</v>
      </c>
      <c r="T105">
        <v>0.25</v>
      </c>
      <c r="U105">
        <v>0</v>
      </c>
      <c r="V105">
        <v>1</v>
      </c>
      <c r="W105">
        <v>1</v>
      </c>
      <c r="X105">
        <v>0.25</v>
      </c>
      <c r="AB105" t="s">
        <v>815</v>
      </c>
      <c r="AC105">
        <v>0</v>
      </c>
      <c r="AD105">
        <v>0</v>
      </c>
      <c r="AE105">
        <v>2</v>
      </c>
      <c r="AF105">
        <v>0.5</v>
      </c>
      <c r="AI105" t="s">
        <v>840</v>
      </c>
      <c r="AJ105">
        <v>0</v>
      </c>
      <c r="AK105">
        <v>1</v>
      </c>
      <c r="AL105">
        <v>1</v>
      </c>
      <c r="AM105">
        <v>0.25</v>
      </c>
      <c r="AN105">
        <v>2</v>
      </c>
    </row>
    <row r="106" spans="15:40" ht="15" customHeight="1" x14ac:dyDescent="0.2">
      <c r="O106" t="s">
        <v>798</v>
      </c>
      <c r="P106">
        <v>0</v>
      </c>
      <c r="Q106">
        <v>1</v>
      </c>
      <c r="R106">
        <v>1</v>
      </c>
      <c r="T106">
        <v>0.25</v>
      </c>
      <c r="U106">
        <v>0</v>
      </c>
      <c r="V106">
        <v>1</v>
      </c>
      <c r="W106">
        <v>1</v>
      </c>
      <c r="X106">
        <v>0.25</v>
      </c>
      <c r="AB106" t="s">
        <v>784</v>
      </c>
      <c r="AC106">
        <v>3</v>
      </c>
      <c r="AD106">
        <v>2</v>
      </c>
      <c r="AE106">
        <v>1</v>
      </c>
      <c r="AF106">
        <v>0.58333333333333304</v>
      </c>
      <c r="AI106" t="s">
        <v>841</v>
      </c>
      <c r="AJ106">
        <v>0</v>
      </c>
      <c r="AK106">
        <v>1</v>
      </c>
      <c r="AL106">
        <v>1</v>
      </c>
      <c r="AM106">
        <v>0.25</v>
      </c>
      <c r="AN106">
        <v>2</v>
      </c>
    </row>
    <row r="107" spans="15:40" ht="15" customHeight="1" x14ac:dyDescent="0.2">
      <c r="O107" t="s">
        <v>777</v>
      </c>
      <c r="P107">
        <v>2</v>
      </c>
      <c r="Q107">
        <v>1</v>
      </c>
      <c r="R107">
        <v>1</v>
      </c>
      <c r="T107">
        <v>0.625</v>
      </c>
      <c r="U107">
        <v>2</v>
      </c>
      <c r="V107">
        <v>1</v>
      </c>
      <c r="W107">
        <v>1</v>
      </c>
      <c r="X107">
        <v>0.625</v>
      </c>
      <c r="AB107" t="s">
        <v>848</v>
      </c>
      <c r="AC107">
        <v>0</v>
      </c>
      <c r="AD107">
        <v>1</v>
      </c>
      <c r="AE107">
        <v>1</v>
      </c>
      <c r="AF107">
        <v>0.25</v>
      </c>
      <c r="AI107" t="s">
        <v>843</v>
      </c>
      <c r="AJ107">
        <v>0</v>
      </c>
      <c r="AK107">
        <v>1</v>
      </c>
      <c r="AL107">
        <v>1</v>
      </c>
      <c r="AM107">
        <v>0.25</v>
      </c>
      <c r="AN107">
        <v>2</v>
      </c>
    </row>
    <row r="108" spans="15:40" ht="15" customHeight="1" x14ac:dyDescent="0.2">
      <c r="O108" t="s">
        <v>725</v>
      </c>
      <c r="P108">
        <v>2</v>
      </c>
      <c r="Q108">
        <v>0</v>
      </c>
      <c r="R108">
        <v>0</v>
      </c>
      <c r="T108">
        <v>1</v>
      </c>
      <c r="U108">
        <v>2</v>
      </c>
      <c r="V108">
        <v>0</v>
      </c>
      <c r="W108">
        <v>0</v>
      </c>
      <c r="X108">
        <v>1</v>
      </c>
      <c r="AB108" t="s">
        <v>734</v>
      </c>
      <c r="AC108">
        <v>2</v>
      </c>
      <c r="AD108">
        <v>0</v>
      </c>
      <c r="AE108">
        <v>0</v>
      </c>
      <c r="AF108">
        <v>1</v>
      </c>
      <c r="AI108" t="s">
        <v>844</v>
      </c>
      <c r="AJ108">
        <v>0</v>
      </c>
      <c r="AK108">
        <v>1</v>
      </c>
      <c r="AL108">
        <v>1</v>
      </c>
      <c r="AM108">
        <v>0.25</v>
      </c>
      <c r="AN108">
        <v>2</v>
      </c>
    </row>
    <row r="109" spans="15:40" ht="15" customHeight="1" x14ac:dyDescent="0.2">
      <c r="O109" t="s">
        <v>830</v>
      </c>
      <c r="P109">
        <v>1</v>
      </c>
      <c r="Q109">
        <v>1</v>
      </c>
      <c r="R109">
        <v>0</v>
      </c>
      <c r="T109">
        <v>0.5</v>
      </c>
      <c r="U109">
        <v>1</v>
      </c>
      <c r="V109">
        <v>1</v>
      </c>
      <c r="W109">
        <v>0</v>
      </c>
      <c r="X109">
        <v>0.5</v>
      </c>
      <c r="AB109" t="s">
        <v>785</v>
      </c>
      <c r="AC109">
        <v>3</v>
      </c>
      <c r="AD109">
        <v>2</v>
      </c>
      <c r="AE109">
        <v>1</v>
      </c>
      <c r="AF109">
        <v>0.58333333333333304</v>
      </c>
      <c r="AI109" t="s">
        <v>845</v>
      </c>
      <c r="AJ109">
        <v>0</v>
      </c>
      <c r="AK109">
        <v>1</v>
      </c>
      <c r="AL109">
        <v>1</v>
      </c>
      <c r="AM109">
        <v>0.25</v>
      </c>
      <c r="AN109">
        <v>2</v>
      </c>
    </row>
    <row r="110" spans="15:40" ht="15" customHeight="1" x14ac:dyDescent="0.2">
      <c r="O110" t="s">
        <v>803</v>
      </c>
      <c r="P110">
        <v>1</v>
      </c>
      <c r="Q110">
        <v>1</v>
      </c>
      <c r="R110">
        <v>0</v>
      </c>
      <c r="T110">
        <v>0.5</v>
      </c>
      <c r="U110">
        <v>1</v>
      </c>
      <c r="V110">
        <v>1</v>
      </c>
      <c r="W110">
        <v>0</v>
      </c>
      <c r="X110">
        <v>0.5</v>
      </c>
      <c r="AB110" t="s">
        <v>779</v>
      </c>
      <c r="AC110">
        <v>2</v>
      </c>
      <c r="AD110">
        <v>1</v>
      </c>
      <c r="AE110">
        <v>1</v>
      </c>
      <c r="AF110">
        <v>0.625</v>
      </c>
      <c r="AI110" t="s">
        <v>846</v>
      </c>
      <c r="AJ110">
        <v>0</v>
      </c>
      <c r="AK110">
        <v>1</v>
      </c>
      <c r="AL110">
        <v>1</v>
      </c>
      <c r="AM110">
        <v>0.25</v>
      </c>
      <c r="AN110">
        <v>2</v>
      </c>
    </row>
    <row r="111" spans="15:40" ht="15" customHeight="1" x14ac:dyDescent="0.2">
      <c r="O111" t="s">
        <v>866</v>
      </c>
      <c r="P111">
        <v>0</v>
      </c>
      <c r="Q111">
        <v>2</v>
      </c>
      <c r="R111">
        <v>0</v>
      </c>
      <c r="T111">
        <v>0</v>
      </c>
      <c r="U111">
        <v>0</v>
      </c>
      <c r="V111">
        <v>2</v>
      </c>
      <c r="W111">
        <v>0</v>
      </c>
      <c r="X111">
        <v>0</v>
      </c>
      <c r="AB111" t="s">
        <v>751</v>
      </c>
      <c r="AC111">
        <v>7</v>
      </c>
      <c r="AD111">
        <v>2</v>
      </c>
      <c r="AE111">
        <v>1</v>
      </c>
      <c r="AF111">
        <v>0.75</v>
      </c>
      <c r="AI111" t="s">
        <v>848</v>
      </c>
      <c r="AJ111">
        <v>0</v>
      </c>
      <c r="AK111">
        <v>1</v>
      </c>
      <c r="AL111">
        <v>1</v>
      </c>
      <c r="AM111">
        <v>0.25</v>
      </c>
      <c r="AN111">
        <v>2</v>
      </c>
    </row>
    <row r="112" spans="15:40" ht="15" customHeight="1" x14ac:dyDescent="0.2">
      <c r="O112" t="s">
        <v>727</v>
      </c>
      <c r="P112">
        <v>2</v>
      </c>
      <c r="Q112">
        <v>0</v>
      </c>
      <c r="R112">
        <v>0</v>
      </c>
      <c r="T112">
        <v>1</v>
      </c>
      <c r="U112">
        <v>2</v>
      </c>
      <c r="V112">
        <v>0</v>
      </c>
      <c r="W112">
        <v>0</v>
      </c>
      <c r="X112">
        <v>1</v>
      </c>
      <c r="AB112" t="s">
        <v>816</v>
      </c>
      <c r="AC112">
        <v>1</v>
      </c>
      <c r="AD112">
        <v>1</v>
      </c>
      <c r="AE112">
        <v>0</v>
      </c>
      <c r="AF112">
        <v>0.5</v>
      </c>
      <c r="AI112" t="s">
        <v>850</v>
      </c>
      <c r="AJ112">
        <v>0</v>
      </c>
      <c r="AK112">
        <v>1</v>
      </c>
      <c r="AL112">
        <v>1</v>
      </c>
      <c r="AM112">
        <v>0.25</v>
      </c>
      <c r="AN112">
        <v>2</v>
      </c>
    </row>
    <row r="113" spans="15:40" ht="15" customHeight="1" x14ac:dyDescent="0.2">
      <c r="O113" t="s">
        <v>835</v>
      </c>
      <c r="P113">
        <v>1</v>
      </c>
      <c r="Q113">
        <v>2</v>
      </c>
      <c r="R113">
        <v>0</v>
      </c>
      <c r="T113">
        <v>0.33333333333333298</v>
      </c>
      <c r="U113">
        <v>1</v>
      </c>
      <c r="V113">
        <v>2</v>
      </c>
      <c r="W113">
        <v>0</v>
      </c>
      <c r="X113">
        <v>0.33333333333333298</v>
      </c>
      <c r="AB113" t="s">
        <v>839</v>
      </c>
      <c r="AC113">
        <v>1</v>
      </c>
      <c r="AD113">
        <v>3</v>
      </c>
      <c r="AE113">
        <v>0</v>
      </c>
      <c r="AF113">
        <v>0.25</v>
      </c>
      <c r="AI113" t="s">
        <v>798</v>
      </c>
      <c r="AJ113">
        <v>0</v>
      </c>
      <c r="AK113">
        <v>1</v>
      </c>
      <c r="AL113">
        <v>1</v>
      </c>
      <c r="AM113">
        <v>0.25</v>
      </c>
      <c r="AN113">
        <v>2</v>
      </c>
    </row>
    <row r="114" spans="15:40" ht="15" customHeight="1" x14ac:dyDescent="0.2">
      <c r="O114" t="s">
        <v>1278</v>
      </c>
      <c r="P114">
        <v>1</v>
      </c>
      <c r="Q114">
        <v>1</v>
      </c>
      <c r="R114">
        <v>0</v>
      </c>
      <c r="T114">
        <v>0.5</v>
      </c>
      <c r="U114">
        <v>1</v>
      </c>
      <c r="V114">
        <v>1</v>
      </c>
      <c r="W114">
        <v>0</v>
      </c>
      <c r="X114">
        <v>0.5</v>
      </c>
      <c r="AB114" t="s">
        <v>780</v>
      </c>
      <c r="AC114">
        <v>1</v>
      </c>
      <c r="AD114">
        <v>1</v>
      </c>
      <c r="AE114">
        <v>0</v>
      </c>
      <c r="AF114">
        <v>0.5</v>
      </c>
      <c r="AI114" t="s">
        <v>831</v>
      </c>
      <c r="AJ114">
        <v>0</v>
      </c>
      <c r="AK114">
        <v>1</v>
      </c>
      <c r="AL114">
        <v>1</v>
      </c>
      <c r="AM114">
        <v>0.25</v>
      </c>
      <c r="AN114">
        <v>2</v>
      </c>
    </row>
    <row r="115" spans="15:40" ht="15" customHeight="1" x14ac:dyDescent="0.2">
      <c r="O115" t="s">
        <v>780</v>
      </c>
      <c r="P115">
        <v>1</v>
      </c>
      <c r="Q115">
        <v>1</v>
      </c>
      <c r="R115">
        <v>0</v>
      </c>
      <c r="T115">
        <v>0.5</v>
      </c>
      <c r="U115">
        <v>1</v>
      </c>
      <c r="V115">
        <v>1</v>
      </c>
      <c r="W115">
        <v>0</v>
      </c>
      <c r="X115">
        <v>0.5</v>
      </c>
      <c r="AB115" t="s">
        <v>817</v>
      </c>
      <c r="AC115">
        <v>1</v>
      </c>
      <c r="AD115">
        <v>1</v>
      </c>
      <c r="AE115">
        <v>0</v>
      </c>
      <c r="AF115">
        <v>0.5</v>
      </c>
      <c r="AI115" t="s">
        <v>852</v>
      </c>
      <c r="AJ115">
        <v>0</v>
      </c>
      <c r="AK115">
        <v>1</v>
      </c>
      <c r="AL115">
        <v>1</v>
      </c>
      <c r="AM115">
        <v>0.25</v>
      </c>
      <c r="AN115">
        <v>2</v>
      </c>
    </row>
    <row r="116" spans="15:40" ht="15" customHeight="1" x14ac:dyDescent="0.2">
      <c r="O116" t="s">
        <v>740</v>
      </c>
      <c r="P116">
        <v>2</v>
      </c>
      <c r="Q116">
        <v>0</v>
      </c>
      <c r="R116">
        <v>0</v>
      </c>
      <c r="T116">
        <v>1</v>
      </c>
      <c r="U116">
        <v>2</v>
      </c>
      <c r="V116">
        <v>0</v>
      </c>
      <c r="W116">
        <v>0</v>
      </c>
      <c r="X116">
        <v>1</v>
      </c>
      <c r="AB116" t="s">
        <v>735</v>
      </c>
      <c r="AC116">
        <v>2</v>
      </c>
      <c r="AD116">
        <v>0</v>
      </c>
      <c r="AE116">
        <v>0</v>
      </c>
      <c r="AF116">
        <v>1</v>
      </c>
      <c r="AI116" t="s">
        <v>854</v>
      </c>
      <c r="AJ116">
        <v>1</v>
      </c>
      <c r="AK116">
        <v>4</v>
      </c>
      <c r="AL116">
        <v>0</v>
      </c>
      <c r="AM116">
        <v>0.2</v>
      </c>
      <c r="AN116">
        <v>5</v>
      </c>
    </row>
    <row r="117" spans="15:40" ht="15" customHeight="1" x14ac:dyDescent="0.2">
      <c r="O117" t="s">
        <v>871</v>
      </c>
      <c r="P117">
        <v>0</v>
      </c>
      <c r="Q117">
        <v>2</v>
      </c>
      <c r="R117">
        <v>0</v>
      </c>
      <c r="T117">
        <v>0</v>
      </c>
      <c r="U117">
        <v>0</v>
      </c>
      <c r="V117">
        <v>2</v>
      </c>
      <c r="W117">
        <v>0</v>
      </c>
      <c r="X117">
        <v>0</v>
      </c>
      <c r="AB117" t="s">
        <v>818</v>
      </c>
      <c r="AC117">
        <v>1</v>
      </c>
      <c r="AD117">
        <v>1</v>
      </c>
      <c r="AE117">
        <v>0</v>
      </c>
      <c r="AF117">
        <v>0.5</v>
      </c>
      <c r="AI117" t="s">
        <v>855</v>
      </c>
      <c r="AJ117">
        <v>1</v>
      </c>
      <c r="AK117">
        <v>5</v>
      </c>
      <c r="AL117">
        <v>0</v>
      </c>
      <c r="AM117">
        <v>0.16666666666666699</v>
      </c>
      <c r="AN117">
        <v>6</v>
      </c>
    </row>
    <row r="118" spans="15:40" ht="15" customHeight="1" x14ac:dyDescent="0.2">
      <c r="O118" t="s">
        <v>732</v>
      </c>
      <c r="P118">
        <v>2</v>
      </c>
      <c r="Q118">
        <v>0</v>
      </c>
      <c r="R118">
        <v>0</v>
      </c>
      <c r="T118">
        <v>1</v>
      </c>
      <c r="U118">
        <v>2</v>
      </c>
      <c r="V118">
        <v>0</v>
      </c>
      <c r="W118">
        <v>0</v>
      </c>
      <c r="X118">
        <v>1</v>
      </c>
      <c r="AB118" t="s">
        <v>796</v>
      </c>
      <c r="AC118">
        <v>2</v>
      </c>
      <c r="AD118">
        <v>2</v>
      </c>
      <c r="AE118">
        <v>0</v>
      </c>
      <c r="AF118">
        <v>0.5</v>
      </c>
      <c r="AI118" t="s">
        <v>856</v>
      </c>
      <c r="AJ118">
        <v>0</v>
      </c>
      <c r="AK118">
        <v>2</v>
      </c>
      <c r="AL118">
        <v>1</v>
      </c>
      <c r="AM118">
        <v>0.16666666666666699</v>
      </c>
      <c r="AN118">
        <v>3</v>
      </c>
    </row>
    <row r="119" spans="15:40" ht="15" customHeight="1" x14ac:dyDescent="0.2">
      <c r="O119" t="s">
        <v>870</v>
      </c>
      <c r="P119">
        <v>0</v>
      </c>
      <c r="Q119">
        <v>2</v>
      </c>
      <c r="R119">
        <v>0</v>
      </c>
      <c r="T119">
        <v>0</v>
      </c>
      <c r="U119">
        <v>0</v>
      </c>
      <c r="V119">
        <v>2</v>
      </c>
      <c r="W119">
        <v>0</v>
      </c>
      <c r="X119">
        <v>0</v>
      </c>
      <c r="AB119" t="s">
        <v>876</v>
      </c>
      <c r="AC119">
        <v>0</v>
      </c>
      <c r="AD119">
        <v>2</v>
      </c>
      <c r="AE119">
        <v>0</v>
      </c>
      <c r="AF119">
        <v>0</v>
      </c>
      <c r="AI119" t="s">
        <v>857</v>
      </c>
      <c r="AJ119">
        <v>0</v>
      </c>
      <c r="AK119">
        <v>4</v>
      </c>
      <c r="AL119">
        <v>0</v>
      </c>
      <c r="AM119">
        <v>0</v>
      </c>
      <c r="AN119">
        <v>4</v>
      </c>
    </row>
    <row r="120" spans="15:40" ht="15" customHeight="1" x14ac:dyDescent="0.2">
      <c r="O120" t="s">
        <v>850</v>
      </c>
      <c r="P120">
        <v>0</v>
      </c>
      <c r="Q120">
        <v>1</v>
      </c>
      <c r="R120">
        <v>1</v>
      </c>
      <c r="T120">
        <v>0.25</v>
      </c>
      <c r="U120">
        <v>0</v>
      </c>
      <c r="V120">
        <v>1</v>
      </c>
      <c r="W120">
        <v>1</v>
      </c>
      <c r="X120">
        <v>0.25</v>
      </c>
      <c r="AB120" t="s">
        <v>877</v>
      </c>
      <c r="AC120">
        <v>0</v>
      </c>
      <c r="AD120">
        <v>2</v>
      </c>
      <c r="AE120">
        <v>0</v>
      </c>
      <c r="AF120">
        <v>0</v>
      </c>
      <c r="AI120" t="s">
        <v>833</v>
      </c>
      <c r="AJ120">
        <v>0</v>
      </c>
      <c r="AK120">
        <v>4</v>
      </c>
      <c r="AL120">
        <v>0</v>
      </c>
      <c r="AM120">
        <v>0</v>
      </c>
      <c r="AN120">
        <v>4</v>
      </c>
    </row>
    <row r="121" spans="15:40" ht="15" customHeight="1" x14ac:dyDescent="0.2">
      <c r="O121" t="s">
        <v>843</v>
      </c>
      <c r="P121">
        <v>0</v>
      </c>
      <c r="Q121">
        <v>1</v>
      </c>
      <c r="R121">
        <v>1</v>
      </c>
      <c r="T121">
        <v>0.25</v>
      </c>
      <c r="U121">
        <v>0</v>
      </c>
      <c r="V121">
        <v>1</v>
      </c>
      <c r="W121">
        <v>1</v>
      </c>
      <c r="X121">
        <v>0.25</v>
      </c>
      <c r="AB121" t="s">
        <v>768</v>
      </c>
      <c r="AC121">
        <v>7</v>
      </c>
      <c r="AD121">
        <v>3</v>
      </c>
      <c r="AE121">
        <v>1</v>
      </c>
      <c r="AF121">
        <v>0.68181818181818199</v>
      </c>
      <c r="AI121" t="s">
        <v>859</v>
      </c>
      <c r="AJ121">
        <v>0</v>
      </c>
      <c r="AK121">
        <v>3</v>
      </c>
      <c r="AL121">
        <v>0</v>
      </c>
      <c r="AM121">
        <v>0</v>
      </c>
      <c r="AN121">
        <v>3</v>
      </c>
    </row>
    <row r="122" spans="15:40" ht="15" customHeight="1" x14ac:dyDescent="0.2">
      <c r="O122" t="s">
        <v>868</v>
      </c>
      <c r="P122">
        <v>0</v>
      </c>
      <c r="Q122">
        <v>2</v>
      </c>
      <c r="R122">
        <v>0</v>
      </c>
      <c r="T122">
        <v>0</v>
      </c>
      <c r="U122">
        <v>0</v>
      </c>
      <c r="V122">
        <v>2</v>
      </c>
      <c r="W122">
        <v>0</v>
      </c>
      <c r="X122">
        <v>0</v>
      </c>
      <c r="AB122" t="s">
        <v>797</v>
      </c>
      <c r="AC122">
        <v>1</v>
      </c>
      <c r="AD122">
        <v>1</v>
      </c>
      <c r="AE122">
        <v>0</v>
      </c>
      <c r="AF122">
        <v>0.5</v>
      </c>
      <c r="AI122" t="s">
        <v>860</v>
      </c>
      <c r="AJ122">
        <v>0</v>
      </c>
      <c r="AK122">
        <v>2</v>
      </c>
      <c r="AL122">
        <v>0</v>
      </c>
      <c r="AM122">
        <v>0</v>
      </c>
      <c r="AN122">
        <v>2</v>
      </c>
    </row>
    <row r="123" spans="15:40" ht="15" customHeight="1" x14ac:dyDescent="0.2">
      <c r="O123" t="s">
        <v>750</v>
      </c>
      <c r="P123">
        <v>2</v>
      </c>
      <c r="Q123">
        <v>0</v>
      </c>
      <c r="R123">
        <v>1</v>
      </c>
      <c r="T123">
        <v>0.83333333333333304</v>
      </c>
      <c r="U123">
        <v>2</v>
      </c>
      <c r="V123">
        <v>0</v>
      </c>
      <c r="W123">
        <v>1</v>
      </c>
      <c r="X123">
        <v>0.83333333333333304</v>
      </c>
      <c r="AB123" t="s">
        <v>736</v>
      </c>
      <c r="AC123">
        <v>2</v>
      </c>
      <c r="AD123">
        <v>0</v>
      </c>
      <c r="AE123">
        <v>0</v>
      </c>
      <c r="AF123">
        <v>1</v>
      </c>
      <c r="AI123" t="s">
        <v>863</v>
      </c>
      <c r="AJ123">
        <v>0</v>
      </c>
      <c r="AK123">
        <v>2</v>
      </c>
      <c r="AL123">
        <v>0</v>
      </c>
      <c r="AM123">
        <v>0</v>
      </c>
      <c r="AN123">
        <v>2</v>
      </c>
    </row>
    <row r="124" spans="15:40" ht="15" customHeight="1" x14ac:dyDescent="0.2">
      <c r="O124" t="s">
        <v>755</v>
      </c>
      <c r="P124">
        <v>1</v>
      </c>
      <c r="Q124">
        <v>0</v>
      </c>
      <c r="R124">
        <v>1</v>
      </c>
      <c r="T124">
        <v>0.75</v>
      </c>
      <c r="U124">
        <v>1</v>
      </c>
      <c r="V124">
        <v>0</v>
      </c>
      <c r="W124">
        <v>1</v>
      </c>
      <c r="X124">
        <v>0.75</v>
      </c>
      <c r="AB124" t="s">
        <v>737</v>
      </c>
      <c r="AC124">
        <v>2</v>
      </c>
      <c r="AD124">
        <v>0</v>
      </c>
      <c r="AE124">
        <v>0</v>
      </c>
      <c r="AF124">
        <v>1</v>
      </c>
      <c r="AI124" t="s">
        <v>861</v>
      </c>
      <c r="AJ124">
        <v>0</v>
      </c>
      <c r="AK124">
        <v>2</v>
      </c>
      <c r="AL124">
        <v>0</v>
      </c>
      <c r="AM124">
        <v>0</v>
      </c>
      <c r="AN124">
        <v>2</v>
      </c>
    </row>
    <row r="125" spans="15:40" ht="15" customHeight="1" x14ac:dyDescent="0.2">
      <c r="O125" t="s">
        <v>821</v>
      </c>
      <c r="P125">
        <v>1</v>
      </c>
      <c r="Q125">
        <v>1</v>
      </c>
      <c r="R125">
        <v>0</v>
      </c>
      <c r="T125">
        <v>0.5</v>
      </c>
      <c r="U125">
        <v>1</v>
      </c>
      <c r="V125">
        <v>1</v>
      </c>
      <c r="W125">
        <v>0</v>
      </c>
      <c r="X125">
        <v>0.5</v>
      </c>
      <c r="AB125" t="s">
        <v>820</v>
      </c>
      <c r="AC125">
        <v>1</v>
      </c>
      <c r="AD125">
        <v>1</v>
      </c>
      <c r="AE125">
        <v>0</v>
      </c>
      <c r="AF125">
        <v>0.5</v>
      </c>
      <c r="AI125" t="s">
        <v>862</v>
      </c>
      <c r="AJ125">
        <v>0</v>
      </c>
      <c r="AK125">
        <v>2</v>
      </c>
      <c r="AL125">
        <v>0</v>
      </c>
      <c r="AM125">
        <v>0</v>
      </c>
      <c r="AN125">
        <v>2</v>
      </c>
    </row>
    <row r="126" spans="15:40" ht="15" customHeight="1" x14ac:dyDescent="0.2">
      <c r="O126" t="s">
        <v>729</v>
      </c>
      <c r="P126">
        <v>2</v>
      </c>
      <c r="Q126">
        <v>0</v>
      </c>
      <c r="R126">
        <v>0</v>
      </c>
      <c r="T126">
        <v>1</v>
      </c>
      <c r="U126">
        <v>2</v>
      </c>
      <c r="V126">
        <v>0</v>
      </c>
      <c r="W126">
        <v>0</v>
      </c>
      <c r="X126">
        <v>1</v>
      </c>
      <c r="AB126" t="s">
        <v>850</v>
      </c>
      <c r="AC126">
        <v>0</v>
      </c>
      <c r="AD126">
        <v>1</v>
      </c>
      <c r="AE126">
        <v>1</v>
      </c>
      <c r="AF126">
        <v>0.25</v>
      </c>
      <c r="AI126" t="s">
        <v>864</v>
      </c>
      <c r="AJ126">
        <v>0</v>
      </c>
      <c r="AK126">
        <v>2</v>
      </c>
      <c r="AL126">
        <v>0</v>
      </c>
      <c r="AM126">
        <v>0</v>
      </c>
      <c r="AN126">
        <v>2</v>
      </c>
    </row>
    <row r="127" spans="15:40" ht="15" customHeight="1" x14ac:dyDescent="0.2">
      <c r="O127" t="s">
        <v>752</v>
      </c>
      <c r="P127">
        <v>0</v>
      </c>
      <c r="Q127">
        <v>0</v>
      </c>
      <c r="R127">
        <v>2</v>
      </c>
      <c r="T127">
        <v>0.5</v>
      </c>
      <c r="U127">
        <v>0</v>
      </c>
      <c r="V127">
        <v>0</v>
      </c>
      <c r="W127">
        <v>2</v>
      </c>
      <c r="X127">
        <v>0.5</v>
      </c>
      <c r="AB127" t="s">
        <v>821</v>
      </c>
      <c r="AC127">
        <v>1</v>
      </c>
      <c r="AD127">
        <v>1</v>
      </c>
      <c r="AE127">
        <v>0</v>
      </c>
      <c r="AF127">
        <v>0.5</v>
      </c>
      <c r="AI127" t="s">
        <v>865</v>
      </c>
      <c r="AJ127">
        <v>0</v>
      </c>
      <c r="AK127">
        <v>2</v>
      </c>
      <c r="AL127">
        <v>0</v>
      </c>
      <c r="AM127">
        <v>0</v>
      </c>
      <c r="AN127">
        <v>2</v>
      </c>
    </row>
    <row r="128" spans="15:40" ht="15" customHeight="1" x14ac:dyDescent="0.2">
      <c r="O128" t="s">
        <v>815</v>
      </c>
      <c r="P128">
        <v>0</v>
      </c>
      <c r="Q128">
        <v>0</v>
      </c>
      <c r="R128">
        <v>2</v>
      </c>
      <c r="T128">
        <v>0.5</v>
      </c>
      <c r="U128">
        <v>0</v>
      </c>
      <c r="V128">
        <v>0</v>
      </c>
      <c r="W128">
        <v>2</v>
      </c>
      <c r="X128">
        <v>0.5</v>
      </c>
      <c r="AB128" t="s">
        <v>798</v>
      </c>
      <c r="AC128">
        <v>0</v>
      </c>
      <c r="AD128">
        <v>1</v>
      </c>
      <c r="AE128">
        <v>1</v>
      </c>
      <c r="AF128">
        <v>0.25</v>
      </c>
      <c r="AI128" t="s">
        <v>866</v>
      </c>
      <c r="AJ128">
        <v>0</v>
      </c>
      <c r="AK128">
        <v>2</v>
      </c>
      <c r="AL128">
        <v>0</v>
      </c>
      <c r="AM128">
        <v>0</v>
      </c>
      <c r="AN128">
        <v>2</v>
      </c>
    </row>
    <row r="129" spans="15:40" ht="15" customHeight="1" x14ac:dyDescent="0.2">
      <c r="O129" t="s">
        <v>886</v>
      </c>
      <c r="P129">
        <v>0</v>
      </c>
      <c r="Q129">
        <v>1</v>
      </c>
      <c r="R129">
        <v>0</v>
      </c>
      <c r="T129">
        <v>0</v>
      </c>
      <c r="U129">
        <v>0</v>
      </c>
      <c r="V129">
        <v>1</v>
      </c>
      <c r="W129">
        <v>0</v>
      </c>
      <c r="X129">
        <v>0</v>
      </c>
      <c r="AB129" t="s">
        <v>831</v>
      </c>
      <c r="AC129">
        <v>0</v>
      </c>
      <c r="AD129">
        <v>1</v>
      </c>
      <c r="AE129">
        <v>1</v>
      </c>
      <c r="AF129">
        <v>0.25</v>
      </c>
      <c r="AI129" t="s">
        <v>867</v>
      </c>
      <c r="AJ129">
        <v>0</v>
      </c>
      <c r="AK129">
        <v>2</v>
      </c>
      <c r="AL129">
        <v>0</v>
      </c>
      <c r="AM129">
        <v>0</v>
      </c>
      <c r="AN129">
        <v>2</v>
      </c>
    </row>
    <row r="130" spans="15:40" ht="15" customHeight="1" x14ac:dyDescent="0.2">
      <c r="O130" t="s">
        <v>781</v>
      </c>
      <c r="P130">
        <v>2</v>
      </c>
      <c r="Q130">
        <v>1</v>
      </c>
      <c r="R130">
        <v>0</v>
      </c>
      <c r="T130">
        <v>0.66666666666666696</v>
      </c>
      <c r="U130">
        <v>2</v>
      </c>
      <c r="V130">
        <v>1</v>
      </c>
      <c r="W130">
        <v>0</v>
      </c>
      <c r="X130">
        <v>0.66666666666666696</v>
      </c>
      <c r="AB130" t="s">
        <v>822</v>
      </c>
      <c r="AC130">
        <v>1</v>
      </c>
      <c r="AD130">
        <v>1</v>
      </c>
      <c r="AE130">
        <v>0</v>
      </c>
      <c r="AF130">
        <v>0.5</v>
      </c>
      <c r="AI130" t="s">
        <v>868</v>
      </c>
      <c r="AJ130">
        <v>0</v>
      </c>
      <c r="AK130">
        <v>2</v>
      </c>
      <c r="AL130">
        <v>0</v>
      </c>
      <c r="AM130">
        <v>0</v>
      </c>
      <c r="AN130">
        <v>2</v>
      </c>
    </row>
    <row r="131" spans="15:40" ht="15" customHeight="1" x14ac:dyDescent="0.2">
      <c r="O131" t="s">
        <v>863</v>
      </c>
      <c r="P131">
        <v>0</v>
      </c>
      <c r="Q131">
        <v>2</v>
      </c>
      <c r="R131">
        <v>0</v>
      </c>
      <c r="T131">
        <v>0</v>
      </c>
      <c r="U131">
        <v>0</v>
      </c>
      <c r="V131">
        <v>2</v>
      </c>
      <c r="W131">
        <v>0</v>
      </c>
      <c r="X131">
        <v>0</v>
      </c>
      <c r="AB131" t="s">
        <v>738</v>
      </c>
      <c r="AC131">
        <v>2</v>
      </c>
      <c r="AD131">
        <v>0</v>
      </c>
      <c r="AE131">
        <v>0</v>
      </c>
      <c r="AF131">
        <v>1</v>
      </c>
      <c r="AI131" t="s">
        <v>870</v>
      </c>
      <c r="AJ131">
        <v>0</v>
      </c>
      <c r="AK131">
        <v>2</v>
      </c>
      <c r="AL131">
        <v>0</v>
      </c>
      <c r="AM131">
        <v>0</v>
      </c>
      <c r="AN131">
        <v>2</v>
      </c>
    </row>
    <row r="132" spans="15:40" ht="15" customHeight="1" x14ac:dyDescent="0.2">
      <c r="O132" t="s">
        <v>763</v>
      </c>
      <c r="P132">
        <v>1</v>
      </c>
      <c r="Q132">
        <v>0</v>
      </c>
      <c r="R132">
        <v>1</v>
      </c>
      <c r="T132">
        <v>0.75</v>
      </c>
      <c r="U132">
        <v>1</v>
      </c>
      <c r="V132">
        <v>0</v>
      </c>
      <c r="W132">
        <v>1</v>
      </c>
      <c r="X132">
        <v>0.75</v>
      </c>
      <c r="AB132" t="s">
        <v>832</v>
      </c>
      <c r="AC132">
        <v>1</v>
      </c>
      <c r="AD132">
        <v>2</v>
      </c>
      <c r="AE132">
        <v>1</v>
      </c>
      <c r="AF132">
        <v>0.375</v>
      </c>
      <c r="AI132" t="s">
        <v>871</v>
      </c>
      <c r="AJ132">
        <v>0</v>
      </c>
      <c r="AK132">
        <v>2</v>
      </c>
      <c r="AL132">
        <v>0</v>
      </c>
      <c r="AM132">
        <v>0</v>
      </c>
      <c r="AN132">
        <v>2</v>
      </c>
    </row>
    <row r="133" spans="15:40" ht="15" customHeight="1" x14ac:dyDescent="0.2">
      <c r="O133" t="s">
        <v>831</v>
      </c>
      <c r="P133">
        <v>0</v>
      </c>
      <c r="Q133">
        <v>1</v>
      </c>
      <c r="R133">
        <v>1</v>
      </c>
      <c r="T133">
        <v>0.25</v>
      </c>
      <c r="U133">
        <v>0</v>
      </c>
      <c r="V133">
        <v>1</v>
      </c>
      <c r="W133">
        <v>1</v>
      </c>
      <c r="X133">
        <v>0.25</v>
      </c>
      <c r="AB133" t="s">
        <v>878</v>
      </c>
      <c r="AC133">
        <v>0</v>
      </c>
      <c r="AD133">
        <v>2</v>
      </c>
      <c r="AE133">
        <v>0</v>
      </c>
      <c r="AF133">
        <v>0</v>
      </c>
      <c r="AI133" t="s">
        <v>837</v>
      </c>
      <c r="AJ133">
        <v>0</v>
      </c>
      <c r="AK133">
        <v>2</v>
      </c>
      <c r="AL133">
        <v>0</v>
      </c>
      <c r="AM133">
        <v>0</v>
      </c>
      <c r="AN133">
        <v>2</v>
      </c>
    </row>
    <row r="134" spans="15:40" ht="15" customHeight="1" x14ac:dyDescent="0.2">
      <c r="O134" t="s">
        <v>724</v>
      </c>
      <c r="P134">
        <v>2</v>
      </c>
      <c r="Q134">
        <v>0</v>
      </c>
      <c r="R134">
        <v>0</v>
      </c>
      <c r="T134">
        <v>1</v>
      </c>
      <c r="U134">
        <v>2</v>
      </c>
      <c r="V134">
        <v>0</v>
      </c>
      <c r="W134">
        <v>0</v>
      </c>
      <c r="X134">
        <v>1</v>
      </c>
      <c r="AB134" t="s">
        <v>766</v>
      </c>
      <c r="AC134">
        <v>1</v>
      </c>
      <c r="AD134">
        <v>0</v>
      </c>
      <c r="AE134">
        <v>1</v>
      </c>
      <c r="AF134">
        <v>0.75</v>
      </c>
      <c r="AI134" t="s">
        <v>872</v>
      </c>
      <c r="AJ134">
        <v>0</v>
      </c>
      <c r="AK134">
        <v>2</v>
      </c>
      <c r="AL134">
        <v>0</v>
      </c>
      <c r="AM134">
        <v>0</v>
      </c>
      <c r="AN134">
        <v>2</v>
      </c>
    </row>
    <row r="135" spans="15:40" ht="15" customHeight="1" x14ac:dyDescent="0.2">
      <c r="O135" t="s">
        <v>1279</v>
      </c>
      <c r="P135">
        <v>0</v>
      </c>
      <c r="Q135">
        <v>2</v>
      </c>
      <c r="R135">
        <v>0</v>
      </c>
      <c r="T135">
        <v>0</v>
      </c>
      <c r="U135">
        <v>0</v>
      </c>
      <c r="V135">
        <v>2</v>
      </c>
      <c r="W135">
        <v>0</v>
      </c>
      <c r="X135">
        <v>0</v>
      </c>
      <c r="AB135" t="s">
        <v>823</v>
      </c>
      <c r="AC135">
        <v>1</v>
      </c>
      <c r="AD135">
        <v>1</v>
      </c>
      <c r="AE135">
        <v>0</v>
      </c>
      <c r="AF135">
        <v>0.5</v>
      </c>
      <c r="AI135" t="s">
        <v>873</v>
      </c>
      <c r="AJ135">
        <v>0</v>
      </c>
      <c r="AK135">
        <v>2</v>
      </c>
      <c r="AL135">
        <v>0</v>
      </c>
      <c r="AM135">
        <v>0</v>
      </c>
      <c r="AN135">
        <v>2</v>
      </c>
    </row>
    <row r="136" spans="15:40" ht="15" customHeight="1" x14ac:dyDescent="0.2">
      <c r="O136" t="s">
        <v>875</v>
      </c>
      <c r="P136">
        <v>0</v>
      </c>
      <c r="Q136">
        <v>2</v>
      </c>
      <c r="R136">
        <v>0</v>
      </c>
      <c r="T136">
        <v>0</v>
      </c>
      <c r="U136">
        <v>0</v>
      </c>
      <c r="V136">
        <v>2</v>
      </c>
      <c r="W136">
        <v>0</v>
      </c>
      <c r="X136">
        <v>0</v>
      </c>
      <c r="AB136" t="s">
        <v>852</v>
      </c>
      <c r="AC136">
        <v>0</v>
      </c>
      <c r="AD136">
        <v>1</v>
      </c>
      <c r="AE136">
        <v>1</v>
      </c>
      <c r="AF136">
        <v>0.25</v>
      </c>
      <c r="AI136" t="s">
        <v>858</v>
      </c>
      <c r="AJ136">
        <v>0</v>
      </c>
      <c r="AK136">
        <v>2</v>
      </c>
      <c r="AL136">
        <v>0</v>
      </c>
      <c r="AM136">
        <v>0</v>
      </c>
      <c r="AN136">
        <v>2</v>
      </c>
    </row>
    <row r="137" spans="15:40" ht="15" customHeight="1" x14ac:dyDescent="0.2">
      <c r="O137" t="s">
        <v>884</v>
      </c>
      <c r="P137">
        <v>0</v>
      </c>
      <c r="Q137">
        <v>1</v>
      </c>
      <c r="R137">
        <v>0</v>
      </c>
      <c r="T137">
        <v>0</v>
      </c>
      <c r="U137">
        <v>0</v>
      </c>
      <c r="V137">
        <v>1</v>
      </c>
      <c r="W137">
        <v>0</v>
      </c>
      <c r="X137">
        <v>0</v>
      </c>
      <c r="AB137" t="s">
        <v>781</v>
      </c>
      <c r="AC137">
        <v>2</v>
      </c>
      <c r="AD137">
        <v>1</v>
      </c>
      <c r="AE137">
        <v>0</v>
      </c>
      <c r="AF137">
        <v>0.66666666666666696</v>
      </c>
      <c r="AI137" t="s">
        <v>875</v>
      </c>
      <c r="AJ137">
        <v>0</v>
      </c>
      <c r="AK137">
        <v>2</v>
      </c>
      <c r="AL137">
        <v>0</v>
      </c>
      <c r="AM137">
        <v>0</v>
      </c>
      <c r="AN137">
        <v>2</v>
      </c>
    </row>
    <row r="138" spans="15:40" ht="15" customHeight="1" x14ac:dyDescent="0.2">
      <c r="O138" t="s">
        <v>887</v>
      </c>
      <c r="P138">
        <v>0</v>
      </c>
      <c r="Q138">
        <v>1</v>
      </c>
      <c r="R138">
        <v>0</v>
      </c>
      <c r="T138">
        <v>0</v>
      </c>
      <c r="U138">
        <v>0</v>
      </c>
      <c r="V138">
        <v>1</v>
      </c>
      <c r="W138">
        <v>0</v>
      </c>
      <c r="X138">
        <v>0</v>
      </c>
      <c r="AB138" t="s">
        <v>1279</v>
      </c>
      <c r="AC138">
        <v>0</v>
      </c>
      <c r="AD138">
        <v>2</v>
      </c>
      <c r="AE138">
        <v>0</v>
      </c>
      <c r="AF138">
        <v>0</v>
      </c>
      <c r="AI138" t="s">
        <v>876</v>
      </c>
      <c r="AJ138">
        <v>0</v>
      </c>
      <c r="AK138">
        <v>2</v>
      </c>
      <c r="AL138">
        <v>0</v>
      </c>
      <c r="AM138">
        <v>0</v>
      </c>
      <c r="AN138">
        <v>2</v>
      </c>
    </row>
    <row r="139" spans="15:40" ht="15" customHeight="1" x14ac:dyDescent="0.2">
      <c r="O139" t="s">
        <v>744</v>
      </c>
      <c r="P139">
        <v>1</v>
      </c>
      <c r="Q139">
        <v>0</v>
      </c>
      <c r="R139">
        <v>0</v>
      </c>
      <c r="T139">
        <v>1</v>
      </c>
      <c r="U139">
        <v>1</v>
      </c>
      <c r="V139">
        <v>0</v>
      </c>
      <c r="W139">
        <v>0</v>
      </c>
      <c r="X139">
        <v>1</v>
      </c>
      <c r="AB139" t="s">
        <v>745</v>
      </c>
      <c r="AC139">
        <v>1</v>
      </c>
      <c r="AD139">
        <v>0</v>
      </c>
      <c r="AE139">
        <v>0</v>
      </c>
      <c r="AF139">
        <v>1</v>
      </c>
      <c r="AI139" t="s">
        <v>877</v>
      </c>
      <c r="AJ139">
        <v>0</v>
      </c>
      <c r="AK139">
        <v>2</v>
      </c>
      <c r="AL139">
        <v>0</v>
      </c>
      <c r="AM139">
        <v>0</v>
      </c>
      <c r="AN139">
        <v>2</v>
      </c>
    </row>
    <row r="140" spans="15:40" ht="15" customHeight="1" x14ac:dyDescent="0.2">
      <c r="O140" t="s">
        <v>859</v>
      </c>
      <c r="P140">
        <v>0</v>
      </c>
      <c r="Q140">
        <v>3</v>
      </c>
      <c r="R140">
        <v>0</v>
      </c>
      <c r="T140">
        <v>0</v>
      </c>
      <c r="U140">
        <v>0</v>
      </c>
      <c r="V140">
        <v>3</v>
      </c>
      <c r="W140">
        <v>0</v>
      </c>
      <c r="X140">
        <v>0</v>
      </c>
      <c r="AB140" t="s">
        <v>740</v>
      </c>
      <c r="AC140">
        <v>2</v>
      </c>
      <c r="AD140">
        <v>0</v>
      </c>
      <c r="AE140">
        <v>0</v>
      </c>
      <c r="AF140">
        <v>1</v>
      </c>
      <c r="AI140" t="s">
        <v>878</v>
      </c>
      <c r="AJ140">
        <v>0</v>
      </c>
      <c r="AK140">
        <v>2</v>
      </c>
      <c r="AL140">
        <v>0</v>
      </c>
      <c r="AM140">
        <v>0</v>
      </c>
      <c r="AN140">
        <v>2</v>
      </c>
    </row>
    <row r="141" spans="15:40" ht="15" customHeight="1" x14ac:dyDescent="0.2">
      <c r="O141" t="s">
        <v>741</v>
      </c>
      <c r="P141">
        <v>1</v>
      </c>
      <c r="Q141">
        <v>0</v>
      </c>
      <c r="R141">
        <v>0</v>
      </c>
      <c r="T141">
        <v>1</v>
      </c>
      <c r="U141">
        <v>1</v>
      </c>
      <c r="V141">
        <v>2</v>
      </c>
      <c r="W141">
        <v>0</v>
      </c>
      <c r="X141">
        <v>0.33333333333333298</v>
      </c>
      <c r="AB141" t="s">
        <v>824</v>
      </c>
      <c r="AC141">
        <v>1</v>
      </c>
      <c r="AD141">
        <v>1</v>
      </c>
      <c r="AE141">
        <v>0</v>
      </c>
      <c r="AF141">
        <v>0.5</v>
      </c>
      <c r="AI141" t="s">
        <v>1279</v>
      </c>
      <c r="AJ141">
        <v>0</v>
      </c>
      <c r="AK141">
        <v>2</v>
      </c>
      <c r="AL141">
        <v>0</v>
      </c>
      <c r="AM141">
        <v>0</v>
      </c>
      <c r="AN141">
        <v>2</v>
      </c>
    </row>
    <row r="142" spans="15:40" ht="15" customHeight="1" x14ac:dyDescent="0.2">
      <c r="O142" t="s">
        <v>888</v>
      </c>
      <c r="P142">
        <v>0</v>
      </c>
      <c r="Q142">
        <v>1</v>
      </c>
      <c r="R142">
        <v>0</v>
      </c>
      <c r="T142">
        <v>0</v>
      </c>
      <c r="U142">
        <v>0</v>
      </c>
      <c r="V142">
        <v>1</v>
      </c>
      <c r="W142">
        <v>0</v>
      </c>
      <c r="X142">
        <v>0</v>
      </c>
      <c r="AB142" t="s">
        <v>834</v>
      </c>
      <c r="AC142">
        <v>2</v>
      </c>
      <c r="AD142">
        <v>4</v>
      </c>
      <c r="AE142">
        <v>0</v>
      </c>
      <c r="AF142">
        <v>0.33333333333333298</v>
      </c>
      <c r="AI142" t="s">
        <v>879</v>
      </c>
      <c r="AJ142">
        <v>0</v>
      </c>
      <c r="AK142">
        <v>2</v>
      </c>
      <c r="AL142">
        <v>0</v>
      </c>
      <c r="AM142">
        <v>0</v>
      </c>
      <c r="AN142">
        <v>2</v>
      </c>
    </row>
    <row r="143" spans="15:40" ht="15" customHeight="1" x14ac:dyDescent="0.2">
      <c r="O143" t="s">
        <v>742</v>
      </c>
      <c r="P143">
        <v>1</v>
      </c>
      <c r="Q143">
        <v>0</v>
      </c>
      <c r="R143">
        <v>0</v>
      </c>
      <c r="T143">
        <v>1</v>
      </c>
      <c r="U143">
        <v>1</v>
      </c>
      <c r="V143">
        <v>0</v>
      </c>
      <c r="W143">
        <v>0</v>
      </c>
      <c r="X143">
        <v>1</v>
      </c>
      <c r="AB143" t="s">
        <v>888</v>
      </c>
      <c r="AC143">
        <v>0</v>
      </c>
      <c r="AD143">
        <v>1</v>
      </c>
      <c r="AE143">
        <v>0</v>
      </c>
      <c r="AF143">
        <v>0</v>
      </c>
      <c r="AI143" t="s">
        <v>1277</v>
      </c>
      <c r="AJ143">
        <v>0</v>
      </c>
      <c r="AK143">
        <v>2</v>
      </c>
      <c r="AL143">
        <v>0</v>
      </c>
      <c r="AM143">
        <v>0</v>
      </c>
      <c r="AN143">
        <v>2</v>
      </c>
    </row>
    <row r="144" spans="15:40" ht="15" customHeight="1" x14ac:dyDescent="0.2">
      <c r="O144" t="s">
        <v>1276</v>
      </c>
      <c r="P144">
        <v>0</v>
      </c>
      <c r="Q144">
        <v>1</v>
      </c>
      <c r="R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AB144" t="s">
        <v>879</v>
      </c>
      <c r="AC144">
        <v>0</v>
      </c>
      <c r="AD144">
        <v>2</v>
      </c>
      <c r="AE144">
        <v>0</v>
      </c>
      <c r="AF144">
        <v>0</v>
      </c>
      <c r="AI144" t="s">
        <v>883</v>
      </c>
      <c r="AJ144">
        <v>0</v>
      </c>
      <c r="AK144">
        <v>1</v>
      </c>
      <c r="AL144">
        <v>0</v>
      </c>
      <c r="AM144">
        <v>0</v>
      </c>
      <c r="AN144">
        <v>1</v>
      </c>
    </row>
    <row r="145" spans="15:40" ht="15" customHeight="1" x14ac:dyDescent="0.2">
      <c r="O145" t="s">
        <v>730</v>
      </c>
      <c r="P145">
        <v>2</v>
      </c>
      <c r="Q145">
        <v>0</v>
      </c>
      <c r="R145">
        <v>0</v>
      </c>
      <c r="T145">
        <v>1</v>
      </c>
      <c r="U145">
        <v>2</v>
      </c>
      <c r="V145">
        <v>0</v>
      </c>
      <c r="W145">
        <v>0</v>
      </c>
      <c r="X145">
        <v>1</v>
      </c>
      <c r="AB145" t="s">
        <v>782</v>
      </c>
      <c r="AC145">
        <v>2</v>
      </c>
      <c r="AD145">
        <v>1</v>
      </c>
      <c r="AE145">
        <v>1</v>
      </c>
      <c r="AF145">
        <v>0.625</v>
      </c>
      <c r="AI145" t="s">
        <v>1276</v>
      </c>
      <c r="AJ145">
        <v>0</v>
      </c>
      <c r="AK145">
        <v>1</v>
      </c>
      <c r="AL145">
        <v>0</v>
      </c>
      <c r="AM145">
        <v>0</v>
      </c>
      <c r="AN145">
        <v>1</v>
      </c>
    </row>
    <row r="146" spans="15:40" ht="15" customHeight="1" x14ac:dyDescent="0.2">
      <c r="O146" t="s">
        <v>853</v>
      </c>
      <c r="P146">
        <v>0</v>
      </c>
      <c r="Q146">
        <v>1</v>
      </c>
      <c r="R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AB146" t="s">
        <v>786</v>
      </c>
      <c r="AC146">
        <v>3</v>
      </c>
      <c r="AD146">
        <v>2</v>
      </c>
      <c r="AE146">
        <v>1</v>
      </c>
      <c r="AF146">
        <v>0.58333333333333304</v>
      </c>
      <c r="AI146" t="s">
        <v>884</v>
      </c>
      <c r="AJ146">
        <v>0</v>
      </c>
      <c r="AK146">
        <v>1</v>
      </c>
      <c r="AL146">
        <v>0</v>
      </c>
      <c r="AM146">
        <v>0</v>
      </c>
      <c r="AN146">
        <v>1</v>
      </c>
    </row>
    <row r="147" spans="15:40" ht="15" customHeight="1" x14ac:dyDescent="0.2">
      <c r="O147" t="s">
        <v>764</v>
      </c>
      <c r="P147">
        <v>1</v>
      </c>
      <c r="Q147">
        <v>0</v>
      </c>
      <c r="R147">
        <v>0</v>
      </c>
      <c r="T147">
        <v>1</v>
      </c>
      <c r="U147">
        <v>1</v>
      </c>
      <c r="V147">
        <v>0</v>
      </c>
      <c r="W147">
        <v>0</v>
      </c>
      <c r="X147">
        <v>1</v>
      </c>
      <c r="AB147" t="s">
        <v>825</v>
      </c>
      <c r="AC147">
        <v>1</v>
      </c>
      <c r="AD147">
        <v>1</v>
      </c>
      <c r="AE147">
        <v>0</v>
      </c>
      <c r="AF147">
        <v>0.5</v>
      </c>
      <c r="AI147" t="s">
        <v>885</v>
      </c>
      <c r="AJ147">
        <v>0</v>
      </c>
      <c r="AK147">
        <v>1</v>
      </c>
      <c r="AL147">
        <v>0</v>
      </c>
      <c r="AM147">
        <v>0</v>
      </c>
      <c r="AN147">
        <v>1</v>
      </c>
    </row>
    <row r="148" spans="15:40" ht="15" customHeight="1" x14ac:dyDescent="0.2">
      <c r="O148" t="s">
        <v>760</v>
      </c>
      <c r="P148">
        <v>1</v>
      </c>
      <c r="Q148">
        <v>0</v>
      </c>
      <c r="R148">
        <v>1</v>
      </c>
      <c r="T148">
        <v>0.75</v>
      </c>
      <c r="U148">
        <v>1</v>
      </c>
      <c r="V148">
        <v>0</v>
      </c>
      <c r="W148">
        <v>1</v>
      </c>
      <c r="X148">
        <v>0.75</v>
      </c>
      <c r="AB148" t="s">
        <v>856</v>
      </c>
      <c r="AC148">
        <v>0</v>
      </c>
      <c r="AD148">
        <v>2</v>
      </c>
      <c r="AE148">
        <v>1</v>
      </c>
      <c r="AF148">
        <v>0.16666666666666699</v>
      </c>
      <c r="AI148" t="s">
        <v>886</v>
      </c>
      <c r="AJ148">
        <v>0</v>
      </c>
      <c r="AK148">
        <v>1</v>
      </c>
      <c r="AL148">
        <v>0</v>
      </c>
      <c r="AM148">
        <v>0</v>
      </c>
      <c r="AN148">
        <v>1</v>
      </c>
    </row>
    <row r="149" spans="15:40" ht="15" customHeight="1" x14ac:dyDescent="0.2">
      <c r="O149" t="s">
        <v>872</v>
      </c>
      <c r="P149">
        <v>0</v>
      </c>
      <c r="Q149">
        <v>2</v>
      </c>
      <c r="R149">
        <v>0</v>
      </c>
      <c r="T149">
        <v>0</v>
      </c>
      <c r="U149">
        <v>0</v>
      </c>
      <c r="V149">
        <v>2</v>
      </c>
      <c r="W149">
        <v>0</v>
      </c>
      <c r="X149">
        <v>0</v>
      </c>
      <c r="AB149" t="s">
        <v>767</v>
      </c>
      <c r="AC149">
        <v>1</v>
      </c>
      <c r="AD149">
        <v>0</v>
      </c>
      <c r="AE149">
        <v>1</v>
      </c>
      <c r="AF149">
        <v>0.75</v>
      </c>
      <c r="AI149" t="s">
        <v>887</v>
      </c>
      <c r="AJ149">
        <v>0</v>
      </c>
      <c r="AK149">
        <v>1</v>
      </c>
      <c r="AL149">
        <v>0</v>
      </c>
      <c r="AM149">
        <v>0</v>
      </c>
      <c r="AN149">
        <v>1</v>
      </c>
    </row>
    <row r="150" spans="15:40" ht="15" customHeight="1" x14ac:dyDescent="0.2">
      <c r="O150" t="s">
        <v>804</v>
      </c>
      <c r="P150">
        <v>1</v>
      </c>
      <c r="Q150">
        <v>1</v>
      </c>
      <c r="R150">
        <v>0</v>
      </c>
      <c r="T150">
        <v>0.5</v>
      </c>
      <c r="U150">
        <v>1</v>
      </c>
      <c r="V150">
        <v>1</v>
      </c>
      <c r="W150">
        <v>0</v>
      </c>
      <c r="X150">
        <v>0.5</v>
      </c>
      <c r="AB150" t="s">
        <v>853</v>
      </c>
      <c r="AC150">
        <v>0</v>
      </c>
      <c r="AD150">
        <v>1</v>
      </c>
      <c r="AE150">
        <v>0</v>
      </c>
      <c r="AF150">
        <v>0</v>
      </c>
      <c r="AI150" t="s">
        <v>888</v>
      </c>
      <c r="AJ150">
        <v>0</v>
      </c>
      <c r="AK150">
        <v>1</v>
      </c>
      <c r="AL150">
        <v>0</v>
      </c>
      <c r="AM150">
        <v>0</v>
      </c>
      <c r="AN150">
        <v>1</v>
      </c>
    </row>
    <row r="151" spans="15:40" ht="15" customHeight="1" x14ac:dyDescent="0.2">
      <c r="O151" t="s">
        <v>757</v>
      </c>
      <c r="P151">
        <v>1</v>
      </c>
      <c r="Q151">
        <v>0</v>
      </c>
      <c r="R151">
        <v>1</v>
      </c>
      <c r="T151">
        <v>0.75</v>
      </c>
      <c r="U151">
        <v>1</v>
      </c>
      <c r="V151">
        <v>0</v>
      </c>
      <c r="W151">
        <v>1</v>
      </c>
      <c r="X151">
        <v>0.75</v>
      </c>
      <c r="AB151" t="s">
        <v>1277</v>
      </c>
      <c r="AC151">
        <v>0</v>
      </c>
      <c r="AD151">
        <v>2</v>
      </c>
      <c r="AE151">
        <v>0</v>
      </c>
      <c r="AF151">
        <v>0</v>
      </c>
      <c r="AI151" t="s">
        <v>853</v>
      </c>
      <c r="AJ151">
        <v>0</v>
      </c>
      <c r="AK151">
        <v>1</v>
      </c>
      <c r="AL151">
        <v>0</v>
      </c>
      <c r="AM151">
        <v>0</v>
      </c>
      <c r="AN151">
        <v>1</v>
      </c>
    </row>
    <row r="152" spans="15:40" ht="15" customHeight="1" x14ac:dyDescent="0.2">
      <c r="O152" t="s">
        <v>686</v>
      </c>
      <c r="P152">
        <v>188</v>
      </c>
      <c r="Q152">
        <v>188</v>
      </c>
      <c r="R152">
        <v>56</v>
      </c>
      <c r="AB152" t="s">
        <v>686</v>
      </c>
      <c r="AC152">
        <v>188</v>
      </c>
      <c r="AD152">
        <v>188</v>
      </c>
      <c r="AE152">
        <v>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76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3" t="s">
        <v>0</v>
      </c>
      <c r="B1" s="3" t="s">
        <v>652</v>
      </c>
      <c r="C1" s="3" t="s">
        <v>1280</v>
      </c>
      <c r="D1" s="3" t="s">
        <v>654</v>
      </c>
      <c r="E1" s="3" t="s">
        <v>655</v>
      </c>
      <c r="F1" s="3" t="s">
        <v>656</v>
      </c>
      <c r="G1" s="3" t="s">
        <v>657</v>
      </c>
      <c r="H1" s="3" t="s">
        <v>658</v>
      </c>
      <c r="I1" s="3" t="s">
        <v>659</v>
      </c>
      <c r="J1" s="3" t="s">
        <v>660</v>
      </c>
      <c r="K1" s="3" t="s">
        <v>661</v>
      </c>
      <c r="L1" s="3" t="s">
        <v>662</v>
      </c>
      <c r="M1" s="3" t="s">
        <v>663</v>
      </c>
      <c r="N1" s="3" t="s">
        <v>664</v>
      </c>
      <c r="O1" s="3" t="s">
        <v>665</v>
      </c>
      <c r="P1" s="3" t="s">
        <v>666</v>
      </c>
      <c r="Q1" s="3" t="s">
        <v>667</v>
      </c>
      <c r="R1" s="3" t="s">
        <v>668</v>
      </c>
      <c r="S1" s="3" t="s">
        <v>669</v>
      </c>
    </row>
    <row r="2" spans="1:19" ht="15" customHeight="1" x14ac:dyDescent="0.2">
      <c r="Q2" t="s">
        <v>1281</v>
      </c>
      <c r="R2">
        <v>0.05</v>
      </c>
      <c r="S2" t="s">
        <v>1282</v>
      </c>
    </row>
    <row r="3" spans="1:19" ht="15" customHeight="1" x14ac:dyDescent="0.2">
      <c r="R3">
        <v>5500</v>
      </c>
      <c r="S3" t="s">
        <v>1283</v>
      </c>
    </row>
    <row r="4" spans="1:19" ht="15" customHeight="1" x14ac:dyDescent="0.2">
      <c r="B4" t="s">
        <v>1284</v>
      </c>
      <c r="I4" t="s">
        <v>1285</v>
      </c>
    </row>
    <row r="5" spans="1:19" ht="15" customHeight="1" x14ac:dyDescent="0.2">
      <c r="C5" t="s">
        <v>1286</v>
      </c>
      <c r="D5">
        <v>1000</v>
      </c>
      <c r="R5" t="s">
        <v>1287</v>
      </c>
      <c r="S5" t="s">
        <v>1288</v>
      </c>
    </row>
    <row r="6" spans="1:19" ht="15" customHeight="1" x14ac:dyDescent="0.2">
      <c r="C6" t="s">
        <v>1289</v>
      </c>
      <c r="D6">
        <v>800</v>
      </c>
      <c r="Q6" t="s">
        <v>1290</v>
      </c>
      <c r="R6">
        <v>19493.419999999998</v>
      </c>
      <c r="S6">
        <v>25968.091</v>
      </c>
    </row>
    <row r="7" spans="1:19" ht="15" customHeight="1" x14ac:dyDescent="0.2">
      <c r="C7" t="s">
        <v>1291</v>
      </c>
      <c r="D7">
        <v>100</v>
      </c>
      <c r="I7">
        <v>3945</v>
      </c>
      <c r="J7" t="s">
        <v>1292</v>
      </c>
      <c r="Q7" t="s">
        <v>1293</v>
      </c>
      <c r="R7">
        <v>974.67100000000005</v>
      </c>
      <c r="S7">
        <v>649.20227499999999</v>
      </c>
    </row>
    <row r="8" spans="1:19" ht="15" customHeight="1" x14ac:dyDescent="0.2">
      <c r="C8" t="s">
        <v>1294</v>
      </c>
      <c r="D8">
        <v>50</v>
      </c>
      <c r="I8">
        <v>159.37799999999999</v>
      </c>
      <c r="J8" t="s">
        <v>1295</v>
      </c>
      <c r="Q8" t="s">
        <v>1296</v>
      </c>
      <c r="R8">
        <v>5500</v>
      </c>
      <c r="S8">
        <v>0</v>
      </c>
    </row>
    <row r="9" spans="1:19" ht="15" customHeight="1" x14ac:dyDescent="0.2">
      <c r="C9" t="s">
        <v>1297</v>
      </c>
      <c r="D9">
        <v>50</v>
      </c>
      <c r="I9">
        <v>-580</v>
      </c>
      <c r="J9" t="s">
        <v>1298</v>
      </c>
      <c r="Q9" t="s">
        <v>1299</v>
      </c>
      <c r="R9">
        <v>25968.091</v>
      </c>
      <c r="S9">
        <v>26617.293275</v>
      </c>
    </row>
    <row r="10" spans="1:19" ht="15" customHeight="1" x14ac:dyDescent="0.2">
      <c r="C10" t="s">
        <v>1300</v>
      </c>
      <c r="D10">
        <v>50</v>
      </c>
      <c r="I10">
        <v>3524.3780000000002</v>
      </c>
      <c r="J10" t="s">
        <v>1301</v>
      </c>
    </row>
    <row r="11" spans="1:19" ht="15" customHeight="1" x14ac:dyDescent="0.2">
      <c r="C11" t="s">
        <v>1302</v>
      </c>
      <c r="D11">
        <v>50</v>
      </c>
    </row>
    <row r="12" spans="1:19" ht="15" customHeight="1" x14ac:dyDescent="0.2">
      <c r="C12" t="s">
        <v>1303</v>
      </c>
      <c r="D12">
        <v>50</v>
      </c>
      <c r="I12">
        <v>20</v>
      </c>
      <c r="J12" t="s">
        <v>1304</v>
      </c>
    </row>
    <row r="13" spans="1:19" ht="15" customHeight="1" x14ac:dyDescent="0.2">
      <c r="C13" t="s">
        <v>1303</v>
      </c>
      <c r="D13">
        <v>50</v>
      </c>
      <c r="I13">
        <v>70487.56</v>
      </c>
      <c r="J13" t="s">
        <v>1305</v>
      </c>
      <c r="Q13" t="s">
        <v>1306</v>
      </c>
      <c r="R13">
        <v>7.4999999999999997E-2</v>
      </c>
      <c r="S13" t="s">
        <v>1282</v>
      </c>
    </row>
    <row r="14" spans="1:19" ht="15" customHeight="1" x14ac:dyDescent="0.2">
      <c r="C14" t="s">
        <v>1307</v>
      </c>
      <c r="D14">
        <v>50</v>
      </c>
      <c r="R14">
        <v>6000</v>
      </c>
      <c r="S14" t="s">
        <v>1283</v>
      </c>
    </row>
    <row r="15" spans="1:19" ht="15" customHeight="1" x14ac:dyDescent="0.2">
      <c r="C15" t="s">
        <v>1308</v>
      </c>
      <c r="D15">
        <v>0</v>
      </c>
      <c r="I15">
        <v>19493.419999999998</v>
      </c>
      <c r="J15" t="s">
        <v>1309</v>
      </c>
    </row>
    <row r="16" spans="1:19" ht="15" customHeight="1" x14ac:dyDescent="0.2">
      <c r="C16" t="s">
        <v>1310</v>
      </c>
      <c r="D16">
        <v>2250</v>
      </c>
      <c r="R16" t="s">
        <v>1287</v>
      </c>
      <c r="S16" t="s">
        <v>1288</v>
      </c>
    </row>
    <row r="17" spans="2:19" ht="15" customHeight="1" x14ac:dyDescent="0.2">
      <c r="N17" t="s">
        <v>1311</v>
      </c>
      <c r="Q17" t="s">
        <v>1290</v>
      </c>
      <c r="R17">
        <v>19493.419999999998</v>
      </c>
      <c r="S17">
        <v>26955.426500000001</v>
      </c>
    </row>
    <row r="18" spans="2:19" ht="15" customHeight="1" x14ac:dyDescent="0.2">
      <c r="C18" t="s">
        <v>1312</v>
      </c>
      <c r="E18">
        <v>2250</v>
      </c>
      <c r="I18">
        <v>43870.266725000001</v>
      </c>
      <c r="J18" t="s">
        <v>1313</v>
      </c>
      <c r="Q18" t="s">
        <v>1293</v>
      </c>
      <c r="R18">
        <v>1462.0065</v>
      </c>
      <c r="S18">
        <v>1010.82849375</v>
      </c>
    </row>
    <row r="19" spans="2:19" ht="15" customHeight="1" x14ac:dyDescent="0.2">
      <c r="I19">
        <v>2193.5133362500001</v>
      </c>
      <c r="J19" t="s">
        <v>1314</v>
      </c>
      <c r="N19">
        <v>0.37761689119328301</v>
      </c>
      <c r="Q19" t="s">
        <v>1296</v>
      </c>
      <c r="R19">
        <v>6000</v>
      </c>
      <c r="S19">
        <v>0</v>
      </c>
    </row>
    <row r="20" spans="2:19" ht="15" customHeight="1" x14ac:dyDescent="0.2">
      <c r="B20" t="s">
        <v>1315</v>
      </c>
      <c r="Q20" t="s">
        <v>1299</v>
      </c>
      <c r="R20">
        <v>26955.426500000001</v>
      </c>
      <c r="S20">
        <v>27966.254993750001</v>
      </c>
    </row>
    <row r="21" spans="2:19" ht="15" customHeight="1" x14ac:dyDescent="0.2">
      <c r="C21" t="s">
        <v>1316</v>
      </c>
      <c r="D21">
        <v>530</v>
      </c>
      <c r="I21">
        <v>42521.305006249997</v>
      </c>
      <c r="J21" t="s">
        <v>1317</v>
      </c>
    </row>
    <row r="22" spans="2:19" ht="15" customHeight="1" x14ac:dyDescent="0.2">
      <c r="C22" t="s">
        <v>1318</v>
      </c>
      <c r="D22">
        <v>445</v>
      </c>
      <c r="I22">
        <v>2126.0652503125002</v>
      </c>
      <c r="J22" t="s">
        <v>1319</v>
      </c>
      <c r="N22">
        <v>0.39675447687152199</v>
      </c>
    </row>
    <row r="23" spans="2:19" ht="15" customHeight="1" x14ac:dyDescent="0.2">
      <c r="C23" t="s">
        <v>1320</v>
      </c>
      <c r="D23">
        <v>1500</v>
      </c>
      <c r="Q23" t="s">
        <v>1321</v>
      </c>
      <c r="R23">
        <v>0.1</v>
      </c>
      <c r="S23" t="s">
        <v>1282</v>
      </c>
    </row>
    <row r="24" spans="2:19" ht="15" customHeight="1" x14ac:dyDescent="0.2">
      <c r="C24" t="s">
        <v>1322</v>
      </c>
      <c r="D24">
        <v>-55</v>
      </c>
      <c r="I24">
        <v>40622.659899999999</v>
      </c>
      <c r="J24" t="s">
        <v>1323</v>
      </c>
      <c r="R24">
        <v>7000</v>
      </c>
      <c r="S24" t="s">
        <v>1283</v>
      </c>
    </row>
    <row r="25" spans="2:19" ht="15" customHeight="1" x14ac:dyDescent="0.2">
      <c r="C25" t="s">
        <v>1324</v>
      </c>
      <c r="D25">
        <v>100</v>
      </c>
      <c r="I25">
        <v>2031.1329949999999</v>
      </c>
      <c r="J25" t="s">
        <v>1325</v>
      </c>
      <c r="N25">
        <v>0.42369036607310601</v>
      </c>
    </row>
    <row r="26" spans="2:19" ht="15" customHeight="1" x14ac:dyDescent="0.2">
      <c r="C26" t="s">
        <v>1326</v>
      </c>
      <c r="D26">
        <v>100</v>
      </c>
      <c r="R26" t="s">
        <v>1287</v>
      </c>
      <c r="S26" t="s">
        <v>1288</v>
      </c>
    </row>
    <row r="27" spans="2:19" ht="15" customHeight="1" x14ac:dyDescent="0.2">
      <c r="C27" t="s">
        <v>1327</v>
      </c>
      <c r="D27">
        <v>2620</v>
      </c>
      <c r="Q27" t="s">
        <v>1290</v>
      </c>
      <c r="R27">
        <v>19493.419999999998</v>
      </c>
      <c r="S27">
        <v>28442.761999999999</v>
      </c>
    </row>
    <row r="28" spans="2:19" ht="15" customHeight="1" x14ac:dyDescent="0.2">
      <c r="C28" t="s">
        <v>1328</v>
      </c>
      <c r="D28">
        <v>125</v>
      </c>
      <c r="Q28" t="s">
        <v>1293</v>
      </c>
      <c r="R28">
        <v>1949.3420000000001</v>
      </c>
      <c r="S28">
        <v>1422.1380999999999</v>
      </c>
    </row>
    <row r="29" spans="2:19" ht="15" customHeight="1" x14ac:dyDescent="0.2">
      <c r="Q29" t="s">
        <v>1296</v>
      </c>
      <c r="R29">
        <v>7000</v>
      </c>
      <c r="S29">
        <v>0</v>
      </c>
    </row>
    <row r="30" spans="2:19" ht="15" customHeight="1" x14ac:dyDescent="0.2">
      <c r="C30" t="s">
        <v>1329</v>
      </c>
      <c r="E30">
        <v>5281</v>
      </c>
      <c r="Q30" t="s">
        <v>1299</v>
      </c>
      <c r="R30">
        <v>28442.761999999999</v>
      </c>
      <c r="S30">
        <v>29864.900099999999</v>
      </c>
    </row>
    <row r="32" spans="2:19" ht="15" customHeight="1" x14ac:dyDescent="0.2">
      <c r="B32" t="s">
        <v>1330</v>
      </c>
    </row>
    <row r="33" spans="2:7" ht="15" customHeight="1" x14ac:dyDescent="0.2">
      <c r="C33" t="s">
        <v>1331</v>
      </c>
      <c r="D33">
        <v>1095</v>
      </c>
    </row>
    <row r="34" spans="2:7" ht="15" customHeight="1" x14ac:dyDescent="0.2">
      <c r="C34" t="s">
        <v>1316</v>
      </c>
      <c r="D34">
        <v>1205</v>
      </c>
    </row>
    <row r="35" spans="2:7" ht="15" customHeight="1" x14ac:dyDescent="0.2">
      <c r="C35" t="s">
        <v>1332</v>
      </c>
      <c r="D35">
        <v>3000</v>
      </c>
    </row>
    <row r="36" spans="2:7" ht="15" customHeight="1" x14ac:dyDescent="0.2">
      <c r="C36" t="s">
        <v>1333</v>
      </c>
      <c r="D36">
        <v>500</v>
      </c>
    </row>
    <row r="37" spans="2:7" ht="15" customHeight="1" x14ac:dyDescent="0.2">
      <c r="C37" t="s">
        <v>1322</v>
      </c>
      <c r="D37">
        <v>334.5</v>
      </c>
    </row>
    <row r="38" spans="2:7" ht="15" customHeight="1" x14ac:dyDescent="0.2">
      <c r="C38" t="s">
        <v>1326</v>
      </c>
      <c r="D38">
        <v>12.5</v>
      </c>
    </row>
    <row r="39" spans="2:7" ht="15" customHeight="1" x14ac:dyDescent="0.2">
      <c r="C39" t="s">
        <v>1334</v>
      </c>
      <c r="D39">
        <v>-100</v>
      </c>
    </row>
    <row r="40" spans="2:7" ht="15" customHeight="1" x14ac:dyDescent="0.2">
      <c r="C40" t="s">
        <v>1335</v>
      </c>
      <c r="D40">
        <v>6047</v>
      </c>
    </row>
    <row r="41" spans="2:7" ht="15" customHeight="1" x14ac:dyDescent="0.2">
      <c r="C41" t="s">
        <v>1336</v>
      </c>
      <c r="D41">
        <v>411</v>
      </c>
    </row>
    <row r="43" spans="2:7" ht="15" customHeight="1" x14ac:dyDescent="0.2">
      <c r="C43" t="s">
        <v>1337</v>
      </c>
      <c r="E43">
        <v>13314</v>
      </c>
    </row>
    <row r="45" spans="2:7" ht="15" customHeight="1" x14ac:dyDescent="0.2">
      <c r="B45" t="s">
        <v>1338</v>
      </c>
    </row>
    <row r="46" spans="2:7" ht="15" customHeight="1" x14ac:dyDescent="0.2">
      <c r="C46" t="s">
        <v>1331</v>
      </c>
      <c r="D46">
        <v>1850</v>
      </c>
    </row>
    <row r="47" spans="2:7" ht="15" customHeight="1" x14ac:dyDescent="0.2">
      <c r="C47" t="s">
        <v>1316</v>
      </c>
      <c r="D47">
        <v>2110</v>
      </c>
    </row>
    <row r="48" spans="2:7" ht="63.75" customHeight="1" x14ac:dyDescent="0.2">
      <c r="C48" t="s">
        <v>1332</v>
      </c>
      <c r="D48">
        <v>3000</v>
      </c>
      <c r="G48" s="33" t="s">
        <v>1339</v>
      </c>
    </row>
    <row r="49" spans="3:16" ht="15" customHeight="1" x14ac:dyDescent="0.2">
      <c r="C49" t="s">
        <v>1340</v>
      </c>
      <c r="D49">
        <v>-150</v>
      </c>
      <c r="I49" t="s">
        <v>1341</v>
      </c>
    </row>
    <row r="50" spans="3:16" ht="15" customHeight="1" x14ac:dyDescent="0.2">
      <c r="C50" t="s">
        <v>1322</v>
      </c>
      <c r="D50">
        <v>-393.08</v>
      </c>
      <c r="H50">
        <v>26617.293275</v>
      </c>
      <c r="I50">
        <v>0.03</v>
      </c>
      <c r="J50">
        <v>4.4999999999999998E-2</v>
      </c>
      <c r="K50">
        <v>0.06</v>
      </c>
      <c r="L50">
        <v>7.4999999999999997E-2</v>
      </c>
      <c r="M50">
        <v>0.09</v>
      </c>
      <c r="N50">
        <v>0.105</v>
      </c>
      <c r="O50">
        <v>0.12</v>
      </c>
      <c r="P50">
        <v>0.13500000000000001</v>
      </c>
    </row>
    <row r="51" spans="3:16" ht="15" customHeight="1" x14ac:dyDescent="0.2">
      <c r="C51" t="s">
        <v>1342</v>
      </c>
      <c r="D51">
        <v>-532.5</v>
      </c>
      <c r="H51">
        <v>5000</v>
      </c>
      <c r="I51">
        <v>25454.395939000002</v>
      </c>
      <c r="J51">
        <v>25941.462937749999</v>
      </c>
      <c r="K51">
        <v>26432.915956000001</v>
      </c>
      <c r="L51">
        <v>26928.754993750001</v>
      </c>
      <c r="M51">
        <v>27428.980050999999</v>
      </c>
      <c r="N51">
        <v>27933.591127750002</v>
      </c>
      <c r="O51">
        <v>28442.588223999999</v>
      </c>
      <c r="P51">
        <v>28955.971339750002</v>
      </c>
    </row>
    <row r="52" spans="3:16" ht="15" customHeight="1" x14ac:dyDescent="0.2">
      <c r="C52" t="s">
        <v>1326</v>
      </c>
      <c r="D52">
        <v>95</v>
      </c>
      <c r="H52">
        <v>5200</v>
      </c>
      <c r="I52">
        <v>25657.395939000002</v>
      </c>
      <c r="J52">
        <v>26145.962937749999</v>
      </c>
      <c r="K52">
        <v>26638.915956000001</v>
      </c>
      <c r="L52">
        <v>27136.254993750001</v>
      </c>
      <c r="M52">
        <v>27637.980050999999</v>
      </c>
      <c r="N52">
        <v>28144.091127750002</v>
      </c>
      <c r="O52">
        <v>28654.588223999999</v>
      </c>
      <c r="P52">
        <v>29169.471339750002</v>
      </c>
    </row>
    <row r="53" spans="3:16" ht="15" customHeight="1" x14ac:dyDescent="0.2">
      <c r="C53" t="s">
        <v>1343</v>
      </c>
      <c r="D53">
        <v>200</v>
      </c>
      <c r="H53">
        <v>5400</v>
      </c>
      <c r="I53">
        <v>25860.395939000002</v>
      </c>
      <c r="J53">
        <v>26350.462937749999</v>
      </c>
      <c r="K53">
        <v>26844.915956000001</v>
      </c>
      <c r="L53">
        <v>27343.754993750001</v>
      </c>
      <c r="M53">
        <v>27846.980050999999</v>
      </c>
      <c r="N53">
        <v>28354.591127750002</v>
      </c>
      <c r="O53">
        <v>28866.588223999999</v>
      </c>
      <c r="P53">
        <v>29382.971339750002</v>
      </c>
    </row>
    <row r="54" spans="3:16" ht="15" customHeight="1" x14ac:dyDescent="0.2">
      <c r="C54" t="s">
        <v>1344</v>
      </c>
      <c r="D54">
        <v>755</v>
      </c>
      <c r="H54">
        <v>5600</v>
      </c>
      <c r="I54">
        <v>26063.395939000002</v>
      </c>
      <c r="J54">
        <v>26554.962937749999</v>
      </c>
      <c r="K54">
        <v>27050.915956000001</v>
      </c>
      <c r="L54">
        <v>27551.254993750001</v>
      </c>
      <c r="M54">
        <v>28055.980050999999</v>
      </c>
      <c r="N54">
        <v>28565.091127750002</v>
      </c>
      <c r="O54">
        <v>29078.588223999999</v>
      </c>
      <c r="P54">
        <v>29596.471339750002</v>
      </c>
    </row>
    <row r="55" spans="3:16" ht="15" customHeight="1" x14ac:dyDescent="0.2">
      <c r="H55">
        <v>5800</v>
      </c>
      <c r="I55">
        <v>26266.395939000002</v>
      </c>
      <c r="J55">
        <v>26759.462937749999</v>
      </c>
      <c r="K55">
        <v>27256.915956000001</v>
      </c>
      <c r="L55">
        <v>27758.754993750001</v>
      </c>
      <c r="M55">
        <v>28264.980050999999</v>
      </c>
      <c r="N55">
        <v>28775.591127750002</v>
      </c>
      <c r="O55">
        <v>29290.588223999999</v>
      </c>
      <c r="P55">
        <v>29809.971339750002</v>
      </c>
    </row>
    <row r="56" spans="3:16" ht="15" customHeight="1" x14ac:dyDescent="0.2">
      <c r="C56" t="s">
        <v>1345</v>
      </c>
      <c r="D56">
        <v>6934.42</v>
      </c>
      <c r="G56" t="s">
        <v>1346</v>
      </c>
      <c r="H56">
        <v>6000</v>
      </c>
      <c r="I56">
        <v>26469.395939000002</v>
      </c>
      <c r="J56">
        <v>26963.962937749999</v>
      </c>
      <c r="K56">
        <v>27462.915956000001</v>
      </c>
      <c r="L56">
        <v>27966.254993750001</v>
      </c>
      <c r="M56">
        <v>28473.980050999999</v>
      </c>
      <c r="N56">
        <v>28986.091127750002</v>
      </c>
      <c r="O56">
        <v>29502.588223999999</v>
      </c>
      <c r="P56">
        <v>30023.471339750002</v>
      </c>
    </row>
    <row r="57" spans="3:16" ht="15" customHeight="1" x14ac:dyDescent="0.2">
      <c r="C57" t="s">
        <v>1347</v>
      </c>
      <c r="D57">
        <v>1986</v>
      </c>
      <c r="G57" t="s">
        <v>1348</v>
      </c>
      <c r="H57">
        <v>6200</v>
      </c>
      <c r="I57">
        <v>26672.395939000002</v>
      </c>
      <c r="J57">
        <v>27168.462937749999</v>
      </c>
      <c r="K57">
        <v>27668.915956000001</v>
      </c>
      <c r="L57">
        <v>28173.754993750001</v>
      </c>
      <c r="M57">
        <v>28682.980050999999</v>
      </c>
      <c r="N57">
        <v>29196.591127750002</v>
      </c>
      <c r="O57">
        <v>29714.588223999999</v>
      </c>
      <c r="P57">
        <v>30236.971339750002</v>
      </c>
    </row>
    <row r="58" spans="3:16" ht="15" customHeight="1" x14ac:dyDescent="0.2">
      <c r="H58">
        <v>6400</v>
      </c>
      <c r="I58">
        <v>26875.395939000002</v>
      </c>
      <c r="J58">
        <v>27372.962937749999</v>
      </c>
      <c r="K58">
        <v>27874.915956000001</v>
      </c>
      <c r="L58">
        <v>28381.254993750001</v>
      </c>
      <c r="M58">
        <v>28891.980050999999</v>
      </c>
      <c r="N58">
        <v>29407.091127750002</v>
      </c>
      <c r="O58">
        <v>29926.588223999999</v>
      </c>
      <c r="P58">
        <v>30450.471339750002</v>
      </c>
    </row>
    <row r="59" spans="3:16" ht="15" customHeight="1" x14ac:dyDescent="0.2">
      <c r="C59" t="s">
        <v>1349</v>
      </c>
      <c r="E59">
        <v>19493.419999999998</v>
      </c>
      <c r="H59">
        <v>6600</v>
      </c>
      <c r="I59">
        <v>27078.395939000002</v>
      </c>
      <c r="J59">
        <v>27577.462937749999</v>
      </c>
      <c r="K59">
        <v>28080.915956000001</v>
      </c>
      <c r="L59">
        <v>28588.754993750001</v>
      </c>
      <c r="M59">
        <v>29100.980050999999</v>
      </c>
      <c r="N59">
        <v>29617.591127750002</v>
      </c>
      <c r="O59">
        <v>30138.588223999999</v>
      </c>
      <c r="P59">
        <v>30663.971339750002</v>
      </c>
    </row>
    <row r="60" spans="3:16" ht="15" customHeight="1" x14ac:dyDescent="0.2">
      <c r="H60">
        <v>6800</v>
      </c>
      <c r="I60">
        <v>27281.395939000002</v>
      </c>
      <c r="J60">
        <v>27781.962937749999</v>
      </c>
      <c r="K60">
        <v>28286.915956000001</v>
      </c>
      <c r="L60">
        <v>28796.254993750001</v>
      </c>
      <c r="M60">
        <v>29309.980050999999</v>
      </c>
      <c r="N60">
        <v>29828.091127750002</v>
      </c>
      <c r="O60">
        <v>30350.588223999999</v>
      </c>
      <c r="P60">
        <v>30877.471339750002</v>
      </c>
    </row>
    <row r="61" spans="3:16" ht="15" customHeight="1" x14ac:dyDescent="0.2">
      <c r="H61">
        <v>7000</v>
      </c>
      <c r="I61">
        <v>27484.395939000002</v>
      </c>
      <c r="J61">
        <v>27986.462937749999</v>
      </c>
      <c r="K61">
        <v>28492.915956000001</v>
      </c>
      <c r="L61">
        <v>29003.754993750001</v>
      </c>
      <c r="M61">
        <v>29518.980050999999</v>
      </c>
      <c r="N61">
        <v>30038.591127750002</v>
      </c>
      <c r="O61">
        <v>30562.588223999999</v>
      </c>
      <c r="P61">
        <v>31090.971339750002</v>
      </c>
    </row>
    <row r="63" spans="3:16" ht="15" customHeight="1" x14ac:dyDescent="0.2">
      <c r="G63" t="s">
        <v>1350</v>
      </c>
    </row>
    <row r="64" spans="3:16" ht="15" customHeight="1" x14ac:dyDescent="0.2">
      <c r="I64" t="s">
        <v>1341</v>
      </c>
    </row>
    <row r="65" spans="7:16" ht="15" customHeight="1" x14ac:dyDescent="0.2">
      <c r="H65">
        <v>0.37761689119328301</v>
      </c>
      <c r="I65">
        <v>0.03</v>
      </c>
      <c r="J65">
        <v>4.4999999999999998E-2</v>
      </c>
      <c r="K65">
        <v>0.06</v>
      </c>
      <c r="L65">
        <v>7.4999999999999997E-2</v>
      </c>
      <c r="M65">
        <v>0.09</v>
      </c>
      <c r="N65">
        <v>0.105</v>
      </c>
      <c r="O65">
        <v>0.12</v>
      </c>
      <c r="P65">
        <v>0.13500000000000001</v>
      </c>
    </row>
    <row r="66" spans="7:16" ht="15" customHeight="1" x14ac:dyDescent="0.2">
      <c r="H66">
        <v>5000</v>
      </c>
      <c r="I66">
        <v>0.36111898239916401</v>
      </c>
      <c r="J66">
        <v>0.36802895344582798</v>
      </c>
      <c r="K66">
        <v>0.375001148514717</v>
      </c>
      <c r="L66">
        <v>0.38203556760583002</v>
      </c>
      <c r="M66">
        <v>0.38913221071916798</v>
      </c>
      <c r="N66">
        <v>0.396291077854731</v>
      </c>
      <c r="O66">
        <v>0.40351216901251802</v>
      </c>
      <c r="P66">
        <v>0.41079548419252998</v>
      </c>
    </row>
    <row r="67" spans="7:16" ht="15" customHeight="1" x14ac:dyDescent="0.2">
      <c r="H67">
        <v>5200</v>
      </c>
      <c r="I67">
        <v>0.36399892320006499</v>
      </c>
      <c r="J67">
        <v>0.37093017459747502</v>
      </c>
      <c r="K67">
        <v>0.37792365001710898</v>
      </c>
      <c r="L67">
        <v>0.384979349458968</v>
      </c>
      <c r="M67">
        <v>0.39209727292305202</v>
      </c>
      <c r="N67">
        <v>0.39927742040935998</v>
      </c>
      <c r="O67">
        <v>0.406519791917893</v>
      </c>
      <c r="P67">
        <v>0.41382438744865102</v>
      </c>
    </row>
    <row r="68" spans="7:16" ht="15" customHeight="1" x14ac:dyDescent="0.2">
      <c r="H68">
        <v>5400</v>
      </c>
      <c r="I68">
        <v>0.36687886400096698</v>
      </c>
      <c r="J68">
        <v>0.373831395749122</v>
      </c>
      <c r="K68">
        <v>0.38084615151950202</v>
      </c>
      <c r="L68">
        <v>0.38792313131210698</v>
      </c>
      <c r="M68">
        <v>0.395062335126936</v>
      </c>
      <c r="N68">
        <v>0.40226376296399002</v>
      </c>
      <c r="O68">
        <v>0.40952741482326799</v>
      </c>
      <c r="P68">
        <v>0.41685329070477101</v>
      </c>
    </row>
    <row r="69" spans="7:16" ht="15" customHeight="1" x14ac:dyDescent="0.2">
      <c r="H69">
        <v>5600</v>
      </c>
      <c r="I69">
        <v>0.36975880480186901</v>
      </c>
      <c r="J69">
        <v>0.37673261690076898</v>
      </c>
      <c r="K69">
        <v>0.383768653021895</v>
      </c>
      <c r="L69">
        <v>0.39086691316524502</v>
      </c>
      <c r="M69">
        <v>0.39802739733081999</v>
      </c>
      <c r="N69">
        <v>0.40525010551861901</v>
      </c>
      <c r="O69">
        <v>0.41253503772864297</v>
      </c>
      <c r="P69">
        <v>0.41988219396089199</v>
      </c>
    </row>
    <row r="70" spans="7:16" ht="15" customHeight="1" x14ac:dyDescent="0.2">
      <c r="H70">
        <v>5800</v>
      </c>
      <c r="I70">
        <v>0.37263874560276999</v>
      </c>
      <c r="J70">
        <v>0.37963383805241702</v>
      </c>
      <c r="K70">
        <v>0.38669115452428798</v>
      </c>
      <c r="L70">
        <v>0.39381069501838301</v>
      </c>
      <c r="M70">
        <v>0.40099245953470403</v>
      </c>
      <c r="N70">
        <v>0.40823644807324899</v>
      </c>
      <c r="O70">
        <v>0.41554266063401801</v>
      </c>
      <c r="P70">
        <v>0.42291109721701298</v>
      </c>
    </row>
    <row r="71" spans="7:16" ht="15" customHeight="1" x14ac:dyDescent="0.2">
      <c r="G71" t="s">
        <v>1346</v>
      </c>
      <c r="H71">
        <v>6000</v>
      </c>
      <c r="I71">
        <v>0.37551868640367198</v>
      </c>
      <c r="J71">
        <v>0.382535059204064</v>
      </c>
      <c r="K71">
        <v>0.38961365602668002</v>
      </c>
      <c r="L71">
        <v>0.39675447687152199</v>
      </c>
      <c r="M71">
        <v>0.40395752173858801</v>
      </c>
      <c r="N71">
        <v>0.41122279062787798</v>
      </c>
      <c r="O71">
        <v>0.418550283539393</v>
      </c>
      <c r="P71">
        <v>0.42594000047313302</v>
      </c>
    </row>
    <row r="72" spans="7:16" ht="15" customHeight="1" x14ac:dyDescent="0.2">
      <c r="G72" t="s">
        <v>1348</v>
      </c>
      <c r="H72">
        <v>6200</v>
      </c>
      <c r="I72">
        <v>0.37839862720457301</v>
      </c>
      <c r="J72">
        <v>0.38543628035571098</v>
      </c>
      <c r="K72">
        <v>0.392536157529073</v>
      </c>
      <c r="L72">
        <v>0.39969825872466003</v>
      </c>
      <c r="M72">
        <v>0.40692258394247199</v>
      </c>
      <c r="N72">
        <v>0.41420913318250802</v>
      </c>
      <c r="O72">
        <v>0.42155790644476798</v>
      </c>
      <c r="P72">
        <v>0.428968903729254</v>
      </c>
    </row>
    <row r="73" spans="7:16" ht="15" customHeight="1" x14ac:dyDescent="0.2">
      <c r="H73">
        <v>6400</v>
      </c>
      <c r="I73">
        <v>0.38127856800547499</v>
      </c>
      <c r="J73">
        <v>0.38833750150735802</v>
      </c>
      <c r="K73">
        <v>0.39545865903146599</v>
      </c>
      <c r="L73">
        <v>0.40264204057779801</v>
      </c>
      <c r="M73">
        <v>0.40988764614635498</v>
      </c>
      <c r="N73">
        <v>0.417195475737137</v>
      </c>
      <c r="O73">
        <v>0.42456552935014402</v>
      </c>
      <c r="P73">
        <v>0.43199780698537499</v>
      </c>
    </row>
    <row r="74" spans="7:16" ht="15" customHeight="1" x14ac:dyDescent="0.2">
      <c r="H74">
        <v>6600</v>
      </c>
      <c r="I74">
        <v>0.38415850880637697</v>
      </c>
      <c r="J74">
        <v>0.391238722659005</v>
      </c>
      <c r="K74">
        <v>0.39838116053385902</v>
      </c>
      <c r="L74">
        <v>0.40558582243093699</v>
      </c>
      <c r="M74">
        <v>0.41285270835023902</v>
      </c>
      <c r="N74">
        <v>0.42018181829176698</v>
      </c>
      <c r="O74">
        <v>0.42757315225551901</v>
      </c>
      <c r="P74">
        <v>0.43502671024149497</v>
      </c>
    </row>
    <row r="75" spans="7:16" ht="15" customHeight="1" x14ac:dyDescent="0.2">
      <c r="H75">
        <v>6800</v>
      </c>
      <c r="I75">
        <v>0.38703844960727801</v>
      </c>
      <c r="J75">
        <v>0.39413994381065298</v>
      </c>
      <c r="K75">
        <v>0.40130366203625201</v>
      </c>
      <c r="L75">
        <v>0.40852960428407498</v>
      </c>
      <c r="M75">
        <v>0.415817770554123</v>
      </c>
      <c r="N75">
        <v>0.42316816084639602</v>
      </c>
      <c r="O75">
        <v>0.43058077516089399</v>
      </c>
      <c r="P75">
        <v>0.43805561349761601</v>
      </c>
    </row>
    <row r="76" spans="7:16" ht="15" customHeight="1" x14ac:dyDescent="0.2">
      <c r="H76">
        <v>7000</v>
      </c>
      <c r="I76">
        <v>0.38991839040817999</v>
      </c>
      <c r="J76">
        <v>0.39704116496230002</v>
      </c>
      <c r="K76">
        <v>0.40422616353864399</v>
      </c>
      <c r="L76">
        <v>0.41147338613721302</v>
      </c>
      <c r="M76">
        <v>0.41878283275800698</v>
      </c>
      <c r="N76">
        <v>0.42615450340102601</v>
      </c>
      <c r="O76">
        <v>0.43358839806626898</v>
      </c>
      <c r="P76">
        <v>0.441084516753736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24"/>
  <sheetViews>
    <sheetView zoomScaleNormal="100" workbookViewId="0"/>
  </sheetViews>
  <sheetFormatPr baseColWidth="10" defaultColWidth="8.83203125" defaultRowHeight="15" x14ac:dyDescent="0.2"/>
  <sheetData>
    <row r="1" spans="1:14" ht="15" customHeight="1" x14ac:dyDescent="0.2">
      <c r="A1" s="3" t="s">
        <v>0</v>
      </c>
      <c r="B1" s="3" t="s">
        <v>652</v>
      </c>
      <c r="C1" s="3" t="s">
        <v>653</v>
      </c>
      <c r="D1" s="3" t="s">
        <v>654</v>
      </c>
      <c r="E1" s="3" t="s">
        <v>655</v>
      </c>
      <c r="F1" s="3" t="s">
        <v>656</v>
      </c>
      <c r="G1" s="3" t="s">
        <v>657</v>
      </c>
      <c r="H1" s="3" t="s">
        <v>658</v>
      </c>
      <c r="I1" s="3" t="s">
        <v>659</v>
      </c>
      <c r="J1" s="3" t="s">
        <v>660</v>
      </c>
      <c r="K1" s="3" t="s">
        <v>661</v>
      </c>
      <c r="L1" s="3" t="s">
        <v>662</v>
      </c>
      <c r="M1" s="3" t="s">
        <v>663</v>
      </c>
      <c r="N1" s="3" t="s">
        <v>664</v>
      </c>
    </row>
    <row r="4" spans="1:14" ht="15" customHeight="1" x14ac:dyDescent="0.2">
      <c r="D4" t="s">
        <v>3</v>
      </c>
      <c r="E4" t="s">
        <v>1351</v>
      </c>
      <c r="F4" t="s">
        <v>1352</v>
      </c>
      <c r="G4" t="s">
        <v>1353</v>
      </c>
      <c r="H4" t="s">
        <v>1354</v>
      </c>
      <c r="I4" t="s">
        <v>1355</v>
      </c>
      <c r="J4" t="s">
        <v>1356</v>
      </c>
      <c r="K4" t="s">
        <v>1357</v>
      </c>
      <c r="L4" t="s">
        <v>1358</v>
      </c>
      <c r="N4" t="s">
        <v>1359</v>
      </c>
    </row>
    <row r="5" spans="1:14" ht="96" customHeight="1" x14ac:dyDescent="0.2">
      <c r="D5">
        <v>1</v>
      </c>
      <c r="E5" s="33" t="s">
        <v>1360</v>
      </c>
      <c r="F5">
        <v>4</v>
      </c>
      <c r="G5">
        <v>3</v>
      </c>
      <c r="H5">
        <v>2</v>
      </c>
      <c r="I5">
        <v>3</v>
      </c>
      <c r="J5">
        <v>1</v>
      </c>
      <c r="K5">
        <v>2</v>
      </c>
      <c r="L5">
        <v>4</v>
      </c>
      <c r="N5">
        <v>2.71428571428571</v>
      </c>
    </row>
    <row r="6" spans="1:14" ht="15" customHeight="1" x14ac:dyDescent="0.2">
      <c r="F6" t="s">
        <v>1361</v>
      </c>
      <c r="G6" t="s">
        <v>1362</v>
      </c>
      <c r="H6" t="s">
        <v>1363</v>
      </c>
      <c r="I6" t="s">
        <v>684</v>
      </c>
      <c r="J6" t="s">
        <v>1364</v>
      </c>
      <c r="K6" t="s">
        <v>684</v>
      </c>
      <c r="L6" t="s">
        <v>1365</v>
      </c>
    </row>
    <row r="7" spans="1:14" ht="111.75" customHeight="1" x14ac:dyDescent="0.2">
      <c r="D7">
        <v>2</v>
      </c>
      <c r="E7" s="33" t="s">
        <v>1366</v>
      </c>
      <c r="F7">
        <v>4</v>
      </c>
      <c r="G7">
        <v>4</v>
      </c>
      <c r="H7">
        <v>3</v>
      </c>
      <c r="I7">
        <v>4</v>
      </c>
      <c r="J7">
        <v>4</v>
      </c>
      <c r="K7">
        <v>4</v>
      </c>
      <c r="L7">
        <v>4</v>
      </c>
      <c r="N7">
        <v>3.8571428571428599</v>
      </c>
    </row>
    <row r="8" spans="1:14" ht="255.75" customHeight="1" x14ac:dyDescent="0.2">
      <c r="F8" t="s">
        <v>1367</v>
      </c>
      <c r="G8" s="33" t="s">
        <v>1368</v>
      </c>
      <c r="H8" t="s">
        <v>1369</v>
      </c>
      <c r="I8" t="s">
        <v>1370</v>
      </c>
      <c r="J8" t="s">
        <v>1371</v>
      </c>
      <c r="K8" t="s">
        <v>1372</v>
      </c>
      <c r="L8" t="s">
        <v>1373</v>
      </c>
    </row>
    <row r="9" spans="1:14" ht="79.5" customHeight="1" x14ac:dyDescent="0.2">
      <c r="D9">
        <v>3</v>
      </c>
      <c r="E9" s="33" t="s">
        <v>1374</v>
      </c>
      <c r="F9">
        <v>4</v>
      </c>
      <c r="G9">
        <v>5</v>
      </c>
      <c r="H9">
        <v>5</v>
      </c>
      <c r="I9">
        <v>4</v>
      </c>
      <c r="J9">
        <v>5</v>
      </c>
      <c r="K9">
        <v>5</v>
      </c>
      <c r="L9">
        <v>3</v>
      </c>
      <c r="N9">
        <v>4.4285714285714297</v>
      </c>
    </row>
    <row r="10" spans="1:14" ht="15" customHeight="1" x14ac:dyDescent="0.2">
      <c r="G10" t="s">
        <v>1375</v>
      </c>
      <c r="H10" t="s">
        <v>1376</v>
      </c>
      <c r="J10" t="s">
        <v>1377</v>
      </c>
      <c r="K10" t="s">
        <v>1378</v>
      </c>
      <c r="L10" t="s">
        <v>1379</v>
      </c>
    </row>
    <row r="11" spans="1:14" ht="63.75" customHeight="1" x14ac:dyDescent="0.2">
      <c r="D11">
        <v>4</v>
      </c>
      <c r="E11" s="33" t="s">
        <v>1380</v>
      </c>
      <c r="F11">
        <v>4</v>
      </c>
      <c r="G11">
        <v>4</v>
      </c>
      <c r="H11">
        <v>4</v>
      </c>
      <c r="I11">
        <v>2</v>
      </c>
      <c r="J11">
        <v>4</v>
      </c>
      <c r="K11">
        <v>3</v>
      </c>
      <c r="L11">
        <v>4</v>
      </c>
      <c r="N11">
        <v>3.5714285714285698</v>
      </c>
    </row>
    <row r="12" spans="1:14" ht="15" customHeight="1" x14ac:dyDescent="0.2">
      <c r="F12" t="s">
        <v>1381</v>
      </c>
      <c r="J12" t="s">
        <v>1382</v>
      </c>
      <c r="L12" t="s">
        <v>1373</v>
      </c>
    </row>
    <row r="13" spans="1:14" ht="96" customHeight="1" x14ac:dyDescent="0.2">
      <c r="D13">
        <v>5</v>
      </c>
      <c r="E13" s="33" t="s">
        <v>1383</v>
      </c>
      <c r="F13">
        <v>3</v>
      </c>
      <c r="G13">
        <v>1</v>
      </c>
      <c r="H13">
        <v>2</v>
      </c>
      <c r="I13">
        <v>2</v>
      </c>
      <c r="J13">
        <v>2</v>
      </c>
      <c r="K13">
        <v>4</v>
      </c>
      <c r="L13">
        <v>4</v>
      </c>
      <c r="N13">
        <v>2.5714285714285698</v>
      </c>
    </row>
    <row r="14" spans="1:14" ht="15" customHeight="1" x14ac:dyDescent="0.2">
      <c r="G14" t="s">
        <v>1384</v>
      </c>
      <c r="H14" t="s">
        <v>1385</v>
      </c>
      <c r="I14" t="s">
        <v>1386</v>
      </c>
      <c r="J14" t="s">
        <v>1387</v>
      </c>
      <c r="K14" t="s">
        <v>1388</v>
      </c>
      <c r="L14" t="s">
        <v>1389</v>
      </c>
    </row>
    <row r="15" spans="1:14" ht="48" customHeight="1" x14ac:dyDescent="0.2">
      <c r="D15">
        <v>6</v>
      </c>
      <c r="E15" s="33" t="s">
        <v>1390</v>
      </c>
      <c r="F15">
        <v>5</v>
      </c>
      <c r="G15">
        <v>3</v>
      </c>
      <c r="H15">
        <v>5</v>
      </c>
      <c r="I15">
        <v>5</v>
      </c>
      <c r="J15">
        <v>5</v>
      </c>
      <c r="K15">
        <v>4</v>
      </c>
      <c r="L15">
        <v>3</v>
      </c>
      <c r="N15">
        <v>4.28571428571429</v>
      </c>
    </row>
    <row r="16" spans="1:14" ht="15" customHeight="1" x14ac:dyDescent="0.2">
      <c r="G16" t="s">
        <v>1391</v>
      </c>
      <c r="H16" t="s">
        <v>1392</v>
      </c>
      <c r="I16" t="s">
        <v>1393</v>
      </c>
      <c r="J16" t="s">
        <v>1394</v>
      </c>
      <c r="K16" t="s">
        <v>1395</v>
      </c>
      <c r="L16" t="s">
        <v>1396</v>
      </c>
    </row>
    <row r="17" spans="4:14" ht="96" customHeight="1" x14ac:dyDescent="0.2">
      <c r="D17">
        <v>7</v>
      </c>
      <c r="E17" s="33" t="s">
        <v>1397</v>
      </c>
      <c r="F17">
        <v>5</v>
      </c>
      <c r="G17">
        <v>5</v>
      </c>
      <c r="H17">
        <v>5</v>
      </c>
      <c r="I17">
        <v>5</v>
      </c>
      <c r="J17">
        <v>4</v>
      </c>
      <c r="K17">
        <v>5</v>
      </c>
      <c r="L17">
        <v>4</v>
      </c>
      <c r="N17">
        <v>4.71428571428571</v>
      </c>
    </row>
    <row r="18" spans="4:14" ht="15" customHeight="1" x14ac:dyDescent="0.2">
      <c r="H18" t="s">
        <v>1398</v>
      </c>
      <c r="K18" t="s">
        <v>1399</v>
      </c>
    </row>
    <row r="20" spans="4:14" ht="15" customHeight="1" x14ac:dyDescent="0.2">
      <c r="D20">
        <v>8</v>
      </c>
      <c r="E20" t="s">
        <v>1400</v>
      </c>
      <c r="F20">
        <v>5</v>
      </c>
      <c r="G20">
        <v>4</v>
      </c>
      <c r="H20">
        <v>5</v>
      </c>
      <c r="I20">
        <v>5</v>
      </c>
      <c r="J20">
        <v>3</v>
      </c>
      <c r="K20">
        <v>4</v>
      </c>
      <c r="L20">
        <v>3</v>
      </c>
      <c r="N20">
        <v>4.1428571428571397</v>
      </c>
    </row>
    <row r="21" spans="4:14" ht="15" customHeight="1" x14ac:dyDescent="0.2">
      <c r="J21" t="s">
        <v>1401</v>
      </c>
    </row>
    <row r="23" spans="4:14" ht="15" customHeight="1" x14ac:dyDescent="0.2">
      <c r="D23">
        <v>9</v>
      </c>
      <c r="E23" t="s">
        <v>1402</v>
      </c>
      <c r="F23">
        <v>4</v>
      </c>
      <c r="G23">
        <v>2</v>
      </c>
      <c r="H23">
        <v>4</v>
      </c>
      <c r="I23">
        <v>4</v>
      </c>
      <c r="J23">
        <v>5</v>
      </c>
      <c r="K23">
        <v>2</v>
      </c>
      <c r="L23">
        <v>3</v>
      </c>
      <c r="N23">
        <v>3.4285714285714302</v>
      </c>
    </row>
    <row r="24" spans="4:14" ht="15" customHeight="1" x14ac:dyDescent="0.2">
      <c r="G24" t="s">
        <v>1403</v>
      </c>
      <c r="J24" t="s">
        <v>1401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111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3" t="s">
        <v>0</v>
      </c>
      <c r="B1" s="3" t="s">
        <v>652</v>
      </c>
      <c r="C1" s="3" t="s">
        <v>653</v>
      </c>
      <c r="D1" s="3" t="s">
        <v>654</v>
      </c>
      <c r="E1" s="3" t="s">
        <v>655</v>
      </c>
      <c r="F1" s="3" t="s">
        <v>656</v>
      </c>
      <c r="G1" s="3" t="s">
        <v>657</v>
      </c>
      <c r="H1" s="3" t="s">
        <v>658</v>
      </c>
      <c r="I1" s="3" t="s">
        <v>659</v>
      </c>
      <c r="J1" s="3" t="s">
        <v>660</v>
      </c>
      <c r="K1" s="3" t="s">
        <v>661</v>
      </c>
      <c r="L1" s="3" t="s">
        <v>662</v>
      </c>
      <c r="M1" s="3" t="s">
        <v>663</v>
      </c>
      <c r="N1" s="3" t="s">
        <v>664</v>
      </c>
      <c r="O1" s="3" t="s">
        <v>665</v>
      </c>
      <c r="P1" s="3" t="s">
        <v>666</v>
      </c>
      <c r="Q1" s="3" t="s">
        <v>667</v>
      </c>
      <c r="R1" s="3" t="s">
        <v>668</v>
      </c>
      <c r="S1" s="3" t="s">
        <v>669</v>
      </c>
    </row>
    <row r="2" spans="1:19" ht="15" customHeight="1" x14ac:dyDescent="0.2">
      <c r="A2" t="s">
        <v>45</v>
      </c>
      <c r="B2" t="s">
        <v>890</v>
      </c>
    </row>
    <row r="3" spans="1:19" ht="15" customHeight="1" x14ac:dyDescent="0.2">
      <c r="A3" t="s">
        <v>8</v>
      </c>
      <c r="B3" t="s">
        <v>167</v>
      </c>
    </row>
    <row r="5" spans="1:19" ht="15" customHeight="1" x14ac:dyDescent="0.2">
      <c r="A5" t="s">
        <v>687</v>
      </c>
      <c r="B5" t="s">
        <v>703</v>
      </c>
      <c r="C5" t="s">
        <v>704</v>
      </c>
      <c r="D5" t="s">
        <v>705</v>
      </c>
      <c r="E5" t="s">
        <v>706</v>
      </c>
    </row>
    <row r="6" spans="1:19" ht="15" customHeight="1" x14ac:dyDescent="0.2">
      <c r="A6">
        <v>40</v>
      </c>
      <c r="B6">
        <v>26</v>
      </c>
      <c r="C6">
        <v>26</v>
      </c>
      <c r="D6">
        <v>8</v>
      </c>
      <c r="E6">
        <v>0.5</v>
      </c>
      <c r="H6" t="s">
        <v>707</v>
      </c>
      <c r="N6" t="s">
        <v>708</v>
      </c>
      <c r="R6" t="s">
        <v>1404</v>
      </c>
    </row>
    <row r="7" spans="1:19" ht="15" customHeight="1" x14ac:dyDescent="0.2">
      <c r="A7" t="s">
        <v>40</v>
      </c>
      <c r="B7" t="s">
        <v>890</v>
      </c>
      <c r="H7" t="s">
        <v>714</v>
      </c>
      <c r="I7" t="s">
        <v>715</v>
      </c>
      <c r="J7" t="s">
        <v>706</v>
      </c>
      <c r="K7" t="s">
        <v>718</v>
      </c>
      <c r="L7" t="s">
        <v>719</v>
      </c>
      <c r="N7" t="s">
        <v>714</v>
      </c>
      <c r="O7" t="s">
        <v>715</v>
      </c>
      <c r="R7" t="s">
        <v>714</v>
      </c>
      <c r="S7" t="s">
        <v>706</v>
      </c>
    </row>
    <row r="8" spans="1:19" ht="15" customHeight="1" x14ac:dyDescent="0.2">
      <c r="A8" t="s">
        <v>8</v>
      </c>
      <c r="B8" t="s">
        <v>167</v>
      </c>
      <c r="H8" t="s">
        <v>45</v>
      </c>
      <c r="I8">
        <v>40</v>
      </c>
      <c r="J8">
        <v>0.5</v>
      </c>
      <c r="K8">
        <v>3</v>
      </c>
      <c r="L8">
        <v>13.3333333333333</v>
      </c>
      <c r="N8" t="s">
        <v>42</v>
      </c>
      <c r="O8">
        <v>5</v>
      </c>
      <c r="R8" t="s">
        <v>42</v>
      </c>
      <c r="S8">
        <v>0.8</v>
      </c>
    </row>
    <row r="9" spans="1:19" ht="15" customHeight="1" x14ac:dyDescent="0.2">
      <c r="H9" t="s">
        <v>40</v>
      </c>
      <c r="I9">
        <v>40</v>
      </c>
      <c r="J9">
        <v>0.5</v>
      </c>
      <c r="K9">
        <v>3</v>
      </c>
      <c r="L9">
        <v>13.3333333333333</v>
      </c>
      <c r="N9" t="s">
        <v>50</v>
      </c>
      <c r="O9">
        <v>5</v>
      </c>
      <c r="R9" t="s">
        <v>50</v>
      </c>
      <c r="S9">
        <v>0.8</v>
      </c>
    </row>
    <row r="10" spans="1:19" ht="15" customHeight="1" x14ac:dyDescent="0.2">
      <c r="A10" t="s">
        <v>687</v>
      </c>
      <c r="B10" t="s">
        <v>703</v>
      </c>
      <c r="C10" t="s">
        <v>704</v>
      </c>
      <c r="D10" t="s">
        <v>705</v>
      </c>
      <c r="E10" t="s">
        <v>706</v>
      </c>
      <c r="H10" t="s">
        <v>41</v>
      </c>
      <c r="I10">
        <v>40</v>
      </c>
      <c r="J10">
        <v>0.5</v>
      </c>
      <c r="K10">
        <v>3</v>
      </c>
      <c r="L10">
        <v>13.3333333333333</v>
      </c>
      <c r="N10" t="s">
        <v>45</v>
      </c>
      <c r="O10">
        <v>4.5</v>
      </c>
      <c r="R10" t="s">
        <v>54</v>
      </c>
      <c r="S10">
        <v>0.75</v>
      </c>
    </row>
    <row r="11" spans="1:19" ht="15" customHeight="1" x14ac:dyDescent="0.2">
      <c r="A11">
        <v>40</v>
      </c>
      <c r="B11">
        <v>26</v>
      </c>
      <c r="C11">
        <v>26</v>
      </c>
      <c r="D11">
        <v>8</v>
      </c>
      <c r="E11">
        <v>0.5</v>
      </c>
      <c r="H11" t="s">
        <v>42</v>
      </c>
      <c r="I11">
        <v>40</v>
      </c>
      <c r="J11">
        <v>0.5</v>
      </c>
      <c r="K11">
        <v>3</v>
      </c>
      <c r="L11">
        <v>13.3333333333333</v>
      </c>
      <c r="N11" t="s">
        <v>48</v>
      </c>
      <c r="O11">
        <v>4</v>
      </c>
      <c r="R11" t="s">
        <v>45</v>
      </c>
      <c r="S11">
        <v>0.7</v>
      </c>
    </row>
    <row r="12" spans="1:19" ht="15" customHeight="1" x14ac:dyDescent="0.2">
      <c r="A12" t="s">
        <v>41</v>
      </c>
      <c r="B12" t="s">
        <v>890</v>
      </c>
      <c r="H12" t="s">
        <v>43</v>
      </c>
      <c r="I12">
        <v>40</v>
      </c>
      <c r="J12">
        <v>0.5</v>
      </c>
      <c r="K12">
        <v>1</v>
      </c>
      <c r="L12">
        <v>40</v>
      </c>
      <c r="N12" t="s">
        <v>1405</v>
      </c>
      <c r="O12">
        <v>4</v>
      </c>
      <c r="R12" t="s">
        <v>48</v>
      </c>
      <c r="S12">
        <v>0.6</v>
      </c>
    </row>
    <row r="13" spans="1:19" ht="15" customHeight="1" x14ac:dyDescent="0.2">
      <c r="A13" t="s">
        <v>8</v>
      </c>
      <c r="B13" t="s">
        <v>167</v>
      </c>
      <c r="H13" t="s">
        <v>44</v>
      </c>
      <c r="I13">
        <v>40</v>
      </c>
      <c r="J13">
        <v>0.5</v>
      </c>
      <c r="K13">
        <v>3</v>
      </c>
      <c r="L13">
        <v>13.3333333333333</v>
      </c>
      <c r="N13" t="s">
        <v>1406</v>
      </c>
      <c r="O13">
        <v>4</v>
      </c>
      <c r="R13" t="s">
        <v>1405</v>
      </c>
      <c r="S13">
        <v>0.6</v>
      </c>
    </row>
    <row r="14" spans="1:19" ht="15" customHeight="1" x14ac:dyDescent="0.2">
      <c r="H14" t="s">
        <v>46</v>
      </c>
      <c r="I14">
        <v>40</v>
      </c>
      <c r="J14">
        <v>0.5</v>
      </c>
      <c r="K14">
        <v>3</v>
      </c>
      <c r="L14">
        <v>13.3333333333333</v>
      </c>
      <c r="N14" t="s">
        <v>53</v>
      </c>
      <c r="O14">
        <v>3.5</v>
      </c>
      <c r="R14" t="s">
        <v>1406</v>
      </c>
      <c r="S14">
        <v>0.6</v>
      </c>
    </row>
    <row r="15" spans="1:19" ht="15" customHeight="1" x14ac:dyDescent="0.2">
      <c r="A15" t="s">
        <v>687</v>
      </c>
      <c r="B15" t="s">
        <v>703</v>
      </c>
      <c r="C15" t="s">
        <v>704</v>
      </c>
      <c r="D15" t="s">
        <v>705</v>
      </c>
      <c r="E15" t="s">
        <v>706</v>
      </c>
      <c r="H15" t="s">
        <v>47</v>
      </c>
      <c r="I15">
        <v>40</v>
      </c>
      <c r="J15">
        <v>0.5</v>
      </c>
      <c r="K15">
        <v>3</v>
      </c>
      <c r="L15">
        <v>13.3333333333333</v>
      </c>
      <c r="N15" t="s">
        <v>55</v>
      </c>
      <c r="O15">
        <v>3.5</v>
      </c>
      <c r="R15" t="s">
        <v>55</v>
      </c>
      <c r="S15">
        <v>0.6</v>
      </c>
    </row>
    <row r="16" spans="1:19" ht="15" customHeight="1" x14ac:dyDescent="0.2">
      <c r="A16">
        <v>40</v>
      </c>
      <c r="B16">
        <v>26</v>
      </c>
      <c r="C16">
        <v>26</v>
      </c>
      <c r="D16">
        <v>8</v>
      </c>
      <c r="E16">
        <v>0.5</v>
      </c>
      <c r="H16" t="s">
        <v>48</v>
      </c>
      <c r="I16">
        <v>40</v>
      </c>
      <c r="J16">
        <v>0.5</v>
      </c>
      <c r="K16">
        <v>3</v>
      </c>
      <c r="L16">
        <v>13.3333333333333</v>
      </c>
      <c r="N16" t="s">
        <v>46</v>
      </c>
      <c r="O16">
        <v>3</v>
      </c>
      <c r="R16" t="s">
        <v>56</v>
      </c>
      <c r="S16">
        <v>0.6</v>
      </c>
    </row>
    <row r="17" spans="1:19" ht="15" customHeight="1" x14ac:dyDescent="0.2">
      <c r="A17" t="s">
        <v>42</v>
      </c>
      <c r="B17" t="s">
        <v>890</v>
      </c>
      <c r="H17" t="s">
        <v>651</v>
      </c>
      <c r="I17">
        <v>40</v>
      </c>
      <c r="J17">
        <v>0.5</v>
      </c>
      <c r="K17">
        <v>3</v>
      </c>
      <c r="L17">
        <v>13.3333333333333</v>
      </c>
      <c r="N17" t="s">
        <v>47</v>
      </c>
      <c r="O17">
        <v>3</v>
      </c>
      <c r="R17" t="s">
        <v>53</v>
      </c>
      <c r="S17">
        <v>0.5</v>
      </c>
    </row>
    <row r="18" spans="1:19" ht="15" customHeight="1" x14ac:dyDescent="0.2">
      <c r="A18" t="s">
        <v>8</v>
      </c>
      <c r="B18" t="s">
        <v>167</v>
      </c>
      <c r="H18" t="s">
        <v>50</v>
      </c>
      <c r="I18">
        <v>40</v>
      </c>
      <c r="J18">
        <v>0.5</v>
      </c>
      <c r="K18">
        <v>3</v>
      </c>
      <c r="L18">
        <v>13.3333333333333</v>
      </c>
      <c r="N18" t="s">
        <v>54</v>
      </c>
      <c r="O18">
        <v>3</v>
      </c>
      <c r="R18" t="s">
        <v>46</v>
      </c>
      <c r="S18">
        <v>0.5</v>
      </c>
    </row>
    <row r="19" spans="1:19" ht="15" customHeight="1" x14ac:dyDescent="0.2">
      <c r="H19" t="s">
        <v>51</v>
      </c>
      <c r="I19">
        <v>40</v>
      </c>
      <c r="J19">
        <v>0.5</v>
      </c>
      <c r="K19">
        <v>1</v>
      </c>
      <c r="L19">
        <v>40</v>
      </c>
      <c r="N19" t="s">
        <v>56</v>
      </c>
      <c r="O19">
        <v>3</v>
      </c>
      <c r="R19" t="s">
        <v>47</v>
      </c>
      <c r="S19">
        <v>0.5</v>
      </c>
    </row>
    <row r="20" spans="1:19" ht="15" customHeight="1" x14ac:dyDescent="0.2">
      <c r="A20" t="s">
        <v>687</v>
      </c>
      <c r="B20" t="s">
        <v>703</v>
      </c>
      <c r="C20" t="s">
        <v>704</v>
      </c>
      <c r="D20" t="s">
        <v>705</v>
      </c>
      <c r="E20" t="s">
        <v>706</v>
      </c>
      <c r="H20" t="s">
        <v>52</v>
      </c>
      <c r="I20">
        <v>40</v>
      </c>
      <c r="J20">
        <v>0.5</v>
      </c>
      <c r="K20">
        <v>2</v>
      </c>
      <c r="L20">
        <v>20</v>
      </c>
      <c r="N20" t="s">
        <v>41</v>
      </c>
      <c r="O20">
        <v>2.5</v>
      </c>
      <c r="R20" t="s">
        <v>41</v>
      </c>
      <c r="S20">
        <v>0.5</v>
      </c>
    </row>
    <row r="21" spans="1:19" ht="15" customHeight="1" x14ac:dyDescent="0.2">
      <c r="A21">
        <v>40</v>
      </c>
      <c r="B21">
        <v>26</v>
      </c>
      <c r="C21">
        <v>26</v>
      </c>
      <c r="D21">
        <v>8</v>
      </c>
      <c r="E21">
        <v>0.5</v>
      </c>
      <c r="H21" t="s">
        <v>53</v>
      </c>
      <c r="I21">
        <v>40</v>
      </c>
      <c r="J21">
        <v>0.5</v>
      </c>
      <c r="K21">
        <v>2</v>
      </c>
      <c r="L21">
        <v>20</v>
      </c>
      <c r="N21" t="s">
        <v>59</v>
      </c>
      <c r="O21">
        <v>2.5</v>
      </c>
      <c r="R21" t="s">
        <v>1407</v>
      </c>
      <c r="S21">
        <v>0.5</v>
      </c>
    </row>
    <row r="22" spans="1:19" ht="15" customHeight="1" x14ac:dyDescent="0.2">
      <c r="A22" t="s">
        <v>43</v>
      </c>
      <c r="B22" t="s">
        <v>890</v>
      </c>
      <c r="H22" t="s">
        <v>54</v>
      </c>
      <c r="I22">
        <v>40</v>
      </c>
      <c r="J22">
        <v>0.5</v>
      </c>
      <c r="K22">
        <v>2</v>
      </c>
      <c r="L22">
        <v>20</v>
      </c>
      <c r="N22" t="s">
        <v>1407</v>
      </c>
      <c r="O22">
        <v>2.5</v>
      </c>
      <c r="R22" t="s">
        <v>59</v>
      </c>
      <c r="S22">
        <v>0.4</v>
      </c>
    </row>
    <row r="23" spans="1:19" ht="15" customHeight="1" x14ac:dyDescent="0.2">
      <c r="A23" t="s">
        <v>8</v>
      </c>
      <c r="B23" t="s">
        <v>167</v>
      </c>
      <c r="H23" t="s">
        <v>55</v>
      </c>
      <c r="I23">
        <v>40</v>
      </c>
      <c r="J23">
        <v>0.5</v>
      </c>
      <c r="K23">
        <v>2</v>
      </c>
      <c r="L23">
        <v>20</v>
      </c>
      <c r="N23" t="s">
        <v>52</v>
      </c>
      <c r="O23">
        <v>2</v>
      </c>
      <c r="R23" t="s">
        <v>57</v>
      </c>
      <c r="S23">
        <v>0.4</v>
      </c>
    </row>
    <row r="24" spans="1:19" ht="15" customHeight="1" x14ac:dyDescent="0.2">
      <c r="H24" t="s">
        <v>56</v>
      </c>
      <c r="I24">
        <v>40</v>
      </c>
      <c r="J24">
        <v>0.5</v>
      </c>
      <c r="K24">
        <v>2</v>
      </c>
      <c r="L24">
        <v>20</v>
      </c>
      <c r="N24" t="s">
        <v>57</v>
      </c>
      <c r="O24">
        <v>2</v>
      </c>
      <c r="R24" t="s">
        <v>651</v>
      </c>
      <c r="S24">
        <v>0.3</v>
      </c>
    </row>
    <row r="25" spans="1:19" ht="15" customHeight="1" x14ac:dyDescent="0.2">
      <c r="A25" t="s">
        <v>687</v>
      </c>
      <c r="B25" t="s">
        <v>703</v>
      </c>
      <c r="C25" t="s">
        <v>704</v>
      </c>
      <c r="D25" t="s">
        <v>705</v>
      </c>
      <c r="E25" t="s">
        <v>706</v>
      </c>
      <c r="H25" t="s">
        <v>57</v>
      </c>
      <c r="I25">
        <v>40</v>
      </c>
      <c r="J25">
        <v>0.5</v>
      </c>
      <c r="K25">
        <v>2</v>
      </c>
      <c r="L25">
        <v>20</v>
      </c>
      <c r="N25" t="s">
        <v>651</v>
      </c>
      <c r="O25">
        <v>1.5</v>
      </c>
      <c r="R25" t="s">
        <v>52</v>
      </c>
      <c r="S25">
        <v>0.2</v>
      </c>
    </row>
    <row r="26" spans="1:19" ht="15" customHeight="1" x14ac:dyDescent="0.2">
      <c r="A26">
        <v>40</v>
      </c>
      <c r="B26">
        <v>26</v>
      </c>
      <c r="C26">
        <v>26</v>
      </c>
      <c r="D26">
        <v>8</v>
      </c>
      <c r="E26">
        <v>0.5</v>
      </c>
      <c r="H26" t="s">
        <v>1405</v>
      </c>
      <c r="I26">
        <v>40</v>
      </c>
      <c r="J26">
        <v>0.5</v>
      </c>
      <c r="K26">
        <v>1</v>
      </c>
      <c r="L26">
        <v>40</v>
      </c>
      <c r="N26" t="s">
        <v>40</v>
      </c>
      <c r="O26">
        <v>1</v>
      </c>
      <c r="R26" t="s">
        <v>40</v>
      </c>
      <c r="S26">
        <v>0.2</v>
      </c>
    </row>
    <row r="27" spans="1:19" ht="15" customHeight="1" x14ac:dyDescent="0.2">
      <c r="A27" t="s">
        <v>44</v>
      </c>
      <c r="B27" t="s">
        <v>890</v>
      </c>
      <c r="H27" t="s">
        <v>59</v>
      </c>
      <c r="I27">
        <v>40</v>
      </c>
      <c r="J27">
        <v>0.5</v>
      </c>
      <c r="K27">
        <v>1</v>
      </c>
      <c r="L27">
        <v>40</v>
      </c>
      <c r="N27" t="s">
        <v>44</v>
      </c>
      <c r="O27">
        <v>0.5</v>
      </c>
      <c r="R27" t="s">
        <v>44</v>
      </c>
      <c r="S27">
        <v>0.1</v>
      </c>
    </row>
    <row r="28" spans="1:19" ht="15" customHeight="1" x14ac:dyDescent="0.2">
      <c r="A28" t="s">
        <v>8</v>
      </c>
      <c r="B28" t="s">
        <v>167</v>
      </c>
      <c r="H28" t="s">
        <v>1406</v>
      </c>
      <c r="I28">
        <v>40</v>
      </c>
      <c r="J28">
        <v>0.5</v>
      </c>
      <c r="K28">
        <v>1</v>
      </c>
      <c r="L28">
        <v>40</v>
      </c>
    </row>
    <row r="29" spans="1:19" ht="15" customHeight="1" x14ac:dyDescent="0.2">
      <c r="H29" t="s">
        <v>1407</v>
      </c>
      <c r="I29">
        <v>40</v>
      </c>
      <c r="J29">
        <v>0.5</v>
      </c>
      <c r="K29">
        <v>1</v>
      </c>
      <c r="L29">
        <v>40</v>
      </c>
    </row>
    <row r="30" spans="1:19" ht="15" customHeight="1" x14ac:dyDescent="0.2">
      <c r="A30" t="s">
        <v>687</v>
      </c>
      <c r="B30" t="s">
        <v>703</v>
      </c>
      <c r="C30" t="s">
        <v>704</v>
      </c>
      <c r="D30" t="s">
        <v>705</v>
      </c>
      <c r="E30" t="s">
        <v>706</v>
      </c>
    </row>
    <row r="31" spans="1:19" ht="15" customHeight="1" x14ac:dyDescent="0.2">
      <c r="A31">
        <v>40</v>
      </c>
      <c r="B31">
        <v>26</v>
      </c>
      <c r="C31">
        <v>26</v>
      </c>
      <c r="D31">
        <v>8</v>
      </c>
      <c r="E31">
        <v>0.5</v>
      </c>
    </row>
    <row r="32" spans="1:19" ht="15" customHeight="1" x14ac:dyDescent="0.2">
      <c r="A32" t="s">
        <v>46</v>
      </c>
      <c r="B32" t="s">
        <v>890</v>
      </c>
    </row>
    <row r="33" spans="1:5" ht="15" customHeight="1" x14ac:dyDescent="0.2">
      <c r="A33" t="s">
        <v>8</v>
      </c>
      <c r="B33" t="s">
        <v>167</v>
      </c>
    </row>
    <row r="35" spans="1:5" ht="15" customHeight="1" x14ac:dyDescent="0.2">
      <c r="A35" t="s">
        <v>687</v>
      </c>
      <c r="B35" t="s">
        <v>703</v>
      </c>
      <c r="C35" t="s">
        <v>704</v>
      </c>
      <c r="D35" t="s">
        <v>705</v>
      </c>
      <c r="E35" t="s">
        <v>706</v>
      </c>
    </row>
    <row r="36" spans="1:5" ht="15" customHeight="1" x14ac:dyDescent="0.2">
      <c r="A36">
        <v>40</v>
      </c>
      <c r="B36">
        <v>26</v>
      </c>
      <c r="C36">
        <v>26</v>
      </c>
      <c r="D36">
        <v>8</v>
      </c>
      <c r="E36">
        <v>0.5</v>
      </c>
    </row>
    <row r="37" spans="1:5" ht="15" customHeight="1" x14ac:dyDescent="0.2">
      <c r="A37" t="s">
        <v>47</v>
      </c>
      <c r="B37" t="s">
        <v>890</v>
      </c>
    </row>
    <row r="38" spans="1:5" ht="15" customHeight="1" x14ac:dyDescent="0.2">
      <c r="A38" t="s">
        <v>8</v>
      </c>
      <c r="B38" t="s">
        <v>167</v>
      </c>
    </row>
    <row r="40" spans="1:5" ht="15" customHeight="1" x14ac:dyDescent="0.2">
      <c r="A40" t="s">
        <v>687</v>
      </c>
      <c r="B40" t="s">
        <v>703</v>
      </c>
      <c r="C40" t="s">
        <v>704</v>
      </c>
      <c r="D40" t="s">
        <v>705</v>
      </c>
      <c r="E40" t="s">
        <v>706</v>
      </c>
    </row>
    <row r="41" spans="1:5" ht="15" customHeight="1" x14ac:dyDescent="0.2">
      <c r="A41">
        <v>40</v>
      </c>
      <c r="B41">
        <v>26</v>
      </c>
      <c r="C41">
        <v>26</v>
      </c>
      <c r="D41">
        <v>8</v>
      </c>
      <c r="E41">
        <v>0.5</v>
      </c>
    </row>
    <row r="42" spans="1:5" ht="15" customHeight="1" x14ac:dyDescent="0.2">
      <c r="A42" t="s">
        <v>48</v>
      </c>
      <c r="B42" t="s">
        <v>890</v>
      </c>
    </row>
    <row r="43" spans="1:5" ht="15" customHeight="1" x14ac:dyDescent="0.2">
      <c r="A43" t="s">
        <v>8</v>
      </c>
      <c r="B43" t="s">
        <v>167</v>
      </c>
    </row>
    <row r="45" spans="1:5" ht="15" customHeight="1" x14ac:dyDescent="0.2">
      <c r="A45" t="s">
        <v>687</v>
      </c>
      <c r="B45" t="s">
        <v>703</v>
      </c>
      <c r="C45" t="s">
        <v>704</v>
      </c>
      <c r="D45" t="s">
        <v>705</v>
      </c>
      <c r="E45" t="s">
        <v>706</v>
      </c>
    </row>
    <row r="46" spans="1:5" ht="15" customHeight="1" x14ac:dyDescent="0.2">
      <c r="A46">
        <v>40</v>
      </c>
      <c r="B46">
        <v>26</v>
      </c>
      <c r="C46">
        <v>26</v>
      </c>
      <c r="D46">
        <v>8</v>
      </c>
      <c r="E46">
        <v>0.5</v>
      </c>
    </row>
    <row r="47" spans="1:5" ht="15" customHeight="1" x14ac:dyDescent="0.2">
      <c r="A47" t="s">
        <v>651</v>
      </c>
      <c r="B47" t="s">
        <v>890</v>
      </c>
    </row>
    <row r="48" spans="1:5" ht="15" customHeight="1" x14ac:dyDescent="0.2">
      <c r="A48" t="s">
        <v>8</v>
      </c>
      <c r="B48" t="s">
        <v>167</v>
      </c>
    </row>
    <row r="50" spans="1:5" ht="15" customHeight="1" x14ac:dyDescent="0.2">
      <c r="A50" t="s">
        <v>687</v>
      </c>
      <c r="B50" t="s">
        <v>703</v>
      </c>
      <c r="C50" t="s">
        <v>704</v>
      </c>
      <c r="D50" t="s">
        <v>705</v>
      </c>
      <c r="E50" t="s">
        <v>706</v>
      </c>
    </row>
    <row r="51" spans="1:5" ht="15" customHeight="1" x14ac:dyDescent="0.2">
      <c r="A51">
        <v>40</v>
      </c>
      <c r="B51">
        <v>26</v>
      </c>
      <c r="C51">
        <v>26</v>
      </c>
      <c r="D51">
        <v>8</v>
      </c>
      <c r="E51">
        <v>0.5</v>
      </c>
    </row>
    <row r="52" spans="1:5" ht="15" customHeight="1" x14ac:dyDescent="0.2">
      <c r="A52" t="s">
        <v>50</v>
      </c>
      <c r="B52" t="s">
        <v>890</v>
      </c>
    </row>
    <row r="53" spans="1:5" ht="15" customHeight="1" x14ac:dyDescent="0.2">
      <c r="A53" t="s">
        <v>8</v>
      </c>
      <c r="B53" t="s">
        <v>167</v>
      </c>
    </row>
    <row r="55" spans="1:5" ht="15" customHeight="1" x14ac:dyDescent="0.2">
      <c r="A55" t="s">
        <v>687</v>
      </c>
      <c r="B55" t="s">
        <v>703</v>
      </c>
      <c r="C55" t="s">
        <v>704</v>
      </c>
      <c r="D55" t="s">
        <v>705</v>
      </c>
      <c r="E55" t="s">
        <v>706</v>
      </c>
    </row>
    <row r="56" spans="1:5" ht="15" customHeight="1" x14ac:dyDescent="0.2">
      <c r="A56">
        <v>40</v>
      </c>
      <c r="B56">
        <v>26</v>
      </c>
      <c r="C56">
        <v>26</v>
      </c>
      <c r="D56">
        <v>8</v>
      </c>
      <c r="E56">
        <v>0.5</v>
      </c>
    </row>
    <row r="57" spans="1:5" ht="15" customHeight="1" x14ac:dyDescent="0.2">
      <c r="A57" t="s">
        <v>51</v>
      </c>
      <c r="B57" t="s">
        <v>890</v>
      </c>
    </row>
    <row r="58" spans="1:5" ht="15" customHeight="1" x14ac:dyDescent="0.2">
      <c r="A58" t="s">
        <v>8</v>
      </c>
      <c r="B58" t="s">
        <v>167</v>
      </c>
    </row>
    <row r="60" spans="1:5" ht="15" customHeight="1" x14ac:dyDescent="0.2">
      <c r="A60" t="s">
        <v>687</v>
      </c>
      <c r="B60" t="s">
        <v>703</v>
      </c>
      <c r="C60" t="s">
        <v>704</v>
      </c>
      <c r="D60" t="s">
        <v>705</v>
      </c>
      <c r="E60" t="s">
        <v>706</v>
      </c>
    </row>
    <row r="61" spans="1:5" ht="15" customHeight="1" x14ac:dyDescent="0.2">
      <c r="A61">
        <v>40</v>
      </c>
      <c r="B61">
        <v>26</v>
      </c>
      <c r="C61">
        <v>26</v>
      </c>
      <c r="D61">
        <v>8</v>
      </c>
      <c r="E61">
        <v>0.5</v>
      </c>
    </row>
    <row r="62" spans="1:5" ht="15" customHeight="1" x14ac:dyDescent="0.2">
      <c r="A62" t="s">
        <v>52</v>
      </c>
      <c r="B62" t="s">
        <v>890</v>
      </c>
    </row>
    <row r="63" spans="1:5" ht="15" customHeight="1" x14ac:dyDescent="0.2">
      <c r="A63" t="s">
        <v>8</v>
      </c>
      <c r="B63" t="s">
        <v>167</v>
      </c>
    </row>
    <row r="65" spans="1:5" ht="15" customHeight="1" x14ac:dyDescent="0.2">
      <c r="A65" t="s">
        <v>687</v>
      </c>
      <c r="B65" t="s">
        <v>703</v>
      </c>
      <c r="C65" t="s">
        <v>704</v>
      </c>
      <c r="D65" t="s">
        <v>705</v>
      </c>
      <c r="E65" t="s">
        <v>706</v>
      </c>
    </row>
    <row r="66" spans="1:5" ht="15" customHeight="1" x14ac:dyDescent="0.2">
      <c r="A66">
        <v>40</v>
      </c>
      <c r="B66">
        <v>26</v>
      </c>
      <c r="C66">
        <v>26</v>
      </c>
      <c r="D66">
        <v>8</v>
      </c>
      <c r="E66">
        <v>0.5</v>
      </c>
    </row>
    <row r="67" spans="1:5" ht="15" customHeight="1" x14ac:dyDescent="0.2">
      <c r="A67" t="s">
        <v>53</v>
      </c>
      <c r="B67" t="s">
        <v>890</v>
      </c>
    </row>
    <row r="68" spans="1:5" ht="15" customHeight="1" x14ac:dyDescent="0.2">
      <c r="A68" t="s">
        <v>8</v>
      </c>
      <c r="B68" t="s">
        <v>167</v>
      </c>
    </row>
    <row r="70" spans="1:5" ht="15" customHeight="1" x14ac:dyDescent="0.2">
      <c r="A70" t="s">
        <v>687</v>
      </c>
      <c r="B70" t="s">
        <v>703</v>
      </c>
      <c r="C70" t="s">
        <v>704</v>
      </c>
      <c r="D70" t="s">
        <v>705</v>
      </c>
      <c r="E70" t="s">
        <v>706</v>
      </c>
    </row>
    <row r="71" spans="1:5" ht="15" customHeight="1" x14ac:dyDescent="0.2">
      <c r="A71">
        <v>40</v>
      </c>
      <c r="B71">
        <v>26</v>
      </c>
      <c r="C71">
        <v>26</v>
      </c>
      <c r="D71">
        <v>8</v>
      </c>
      <c r="E71">
        <v>0.5</v>
      </c>
    </row>
    <row r="72" spans="1:5" ht="15" customHeight="1" x14ac:dyDescent="0.2">
      <c r="A72" t="s">
        <v>54</v>
      </c>
      <c r="B72" t="s">
        <v>890</v>
      </c>
    </row>
    <row r="73" spans="1:5" ht="15" customHeight="1" x14ac:dyDescent="0.2">
      <c r="A73" t="s">
        <v>8</v>
      </c>
      <c r="B73" t="s">
        <v>167</v>
      </c>
    </row>
    <row r="75" spans="1:5" ht="15" customHeight="1" x14ac:dyDescent="0.2">
      <c r="A75" t="s">
        <v>687</v>
      </c>
      <c r="B75" t="s">
        <v>703</v>
      </c>
      <c r="C75" t="s">
        <v>704</v>
      </c>
      <c r="D75" t="s">
        <v>705</v>
      </c>
      <c r="E75" t="s">
        <v>706</v>
      </c>
    </row>
    <row r="76" spans="1:5" ht="15" customHeight="1" x14ac:dyDescent="0.2">
      <c r="A76">
        <v>40</v>
      </c>
      <c r="B76">
        <v>26</v>
      </c>
      <c r="C76">
        <v>26</v>
      </c>
      <c r="D76">
        <v>8</v>
      </c>
      <c r="E76">
        <v>0.5</v>
      </c>
    </row>
    <row r="77" spans="1:5" ht="15" customHeight="1" x14ac:dyDescent="0.2">
      <c r="A77" t="s">
        <v>55</v>
      </c>
      <c r="B77" t="s">
        <v>890</v>
      </c>
    </row>
    <row r="78" spans="1:5" ht="15" customHeight="1" x14ac:dyDescent="0.2">
      <c r="A78" t="s">
        <v>8</v>
      </c>
      <c r="B78" t="s">
        <v>167</v>
      </c>
    </row>
    <row r="80" spans="1:5" ht="15" customHeight="1" x14ac:dyDescent="0.2">
      <c r="A80" t="s">
        <v>687</v>
      </c>
      <c r="B80" t="s">
        <v>703</v>
      </c>
      <c r="C80" t="s">
        <v>704</v>
      </c>
      <c r="D80" t="s">
        <v>705</v>
      </c>
      <c r="E80" t="s">
        <v>706</v>
      </c>
    </row>
    <row r="81" spans="1:5" ht="15" customHeight="1" x14ac:dyDescent="0.2">
      <c r="A81">
        <v>40</v>
      </c>
      <c r="B81">
        <v>26</v>
      </c>
      <c r="C81">
        <v>26</v>
      </c>
      <c r="D81">
        <v>8</v>
      </c>
      <c r="E81">
        <v>0.5</v>
      </c>
    </row>
    <row r="82" spans="1:5" ht="15" customHeight="1" x14ac:dyDescent="0.2">
      <c r="A82" t="s">
        <v>56</v>
      </c>
      <c r="B82" t="s">
        <v>890</v>
      </c>
    </row>
    <row r="83" spans="1:5" ht="15" customHeight="1" x14ac:dyDescent="0.2">
      <c r="A83" t="s">
        <v>8</v>
      </c>
      <c r="B83" t="s">
        <v>167</v>
      </c>
    </row>
    <row r="85" spans="1:5" ht="15" customHeight="1" x14ac:dyDescent="0.2">
      <c r="A85" t="s">
        <v>687</v>
      </c>
      <c r="B85" t="s">
        <v>703</v>
      </c>
      <c r="C85" t="s">
        <v>704</v>
      </c>
      <c r="D85" t="s">
        <v>705</v>
      </c>
      <c r="E85" t="s">
        <v>706</v>
      </c>
    </row>
    <row r="86" spans="1:5" ht="15" customHeight="1" x14ac:dyDescent="0.2">
      <c r="A86">
        <v>40</v>
      </c>
      <c r="B86">
        <v>26</v>
      </c>
      <c r="C86">
        <v>26</v>
      </c>
      <c r="D86">
        <v>8</v>
      </c>
      <c r="E86">
        <v>0.5</v>
      </c>
    </row>
    <row r="87" spans="1:5" ht="15" customHeight="1" x14ac:dyDescent="0.2">
      <c r="A87" t="s">
        <v>57</v>
      </c>
      <c r="B87" t="s">
        <v>890</v>
      </c>
    </row>
    <row r="88" spans="1:5" ht="15" customHeight="1" x14ac:dyDescent="0.2">
      <c r="A88" t="s">
        <v>8</v>
      </c>
      <c r="B88" t="s">
        <v>167</v>
      </c>
    </row>
    <row r="90" spans="1:5" ht="15" customHeight="1" x14ac:dyDescent="0.2">
      <c r="A90" t="s">
        <v>687</v>
      </c>
      <c r="B90" t="s">
        <v>703</v>
      </c>
      <c r="C90" t="s">
        <v>704</v>
      </c>
      <c r="D90" t="s">
        <v>705</v>
      </c>
      <c r="E90" t="s">
        <v>706</v>
      </c>
    </row>
    <row r="91" spans="1:5" ht="15" customHeight="1" x14ac:dyDescent="0.2">
      <c r="A91">
        <v>40</v>
      </c>
      <c r="B91">
        <v>26</v>
      </c>
      <c r="C91">
        <v>26</v>
      </c>
      <c r="D91">
        <v>8</v>
      </c>
      <c r="E91">
        <v>0.5</v>
      </c>
    </row>
    <row r="93" spans="1:5" ht="15" customHeight="1" x14ac:dyDescent="0.2">
      <c r="A93" t="s">
        <v>8</v>
      </c>
      <c r="B93" t="s">
        <v>167</v>
      </c>
    </row>
    <row r="95" spans="1:5" ht="15" customHeight="1" x14ac:dyDescent="0.2">
      <c r="A95" t="s">
        <v>687</v>
      </c>
      <c r="B95" t="s">
        <v>703</v>
      </c>
      <c r="C95" t="s">
        <v>704</v>
      </c>
      <c r="D95" t="s">
        <v>705</v>
      </c>
      <c r="E95" t="s">
        <v>706</v>
      </c>
    </row>
    <row r="96" spans="1:5" ht="15" customHeight="1" x14ac:dyDescent="0.2">
      <c r="A96">
        <v>40</v>
      </c>
      <c r="B96">
        <v>26</v>
      </c>
      <c r="C96">
        <v>26</v>
      </c>
      <c r="D96">
        <v>8</v>
      </c>
      <c r="E96">
        <v>0.5</v>
      </c>
    </row>
    <row r="97" spans="1:5" ht="15" customHeight="1" x14ac:dyDescent="0.2">
      <c r="A97" t="s">
        <v>59</v>
      </c>
      <c r="B97" t="s">
        <v>890</v>
      </c>
    </row>
    <row r="98" spans="1:5" ht="15" customHeight="1" x14ac:dyDescent="0.2">
      <c r="A98" t="s">
        <v>8</v>
      </c>
      <c r="B98" t="s">
        <v>167</v>
      </c>
    </row>
    <row r="100" spans="1:5" ht="15" customHeight="1" x14ac:dyDescent="0.2">
      <c r="A100" t="s">
        <v>687</v>
      </c>
      <c r="B100" t="s">
        <v>703</v>
      </c>
      <c r="C100" t="s">
        <v>704</v>
      </c>
      <c r="D100" t="s">
        <v>705</v>
      </c>
      <c r="E100" t="s">
        <v>706</v>
      </c>
    </row>
    <row r="101" spans="1:5" ht="15" customHeight="1" x14ac:dyDescent="0.2">
      <c r="A101">
        <v>40</v>
      </c>
      <c r="B101">
        <v>26</v>
      </c>
      <c r="C101">
        <v>26</v>
      </c>
      <c r="D101">
        <v>8</v>
      </c>
      <c r="E101">
        <v>0.5</v>
      </c>
    </row>
    <row r="103" spans="1:5" ht="15" customHeight="1" x14ac:dyDescent="0.2">
      <c r="A103" t="s">
        <v>8</v>
      </c>
      <c r="B103" t="s">
        <v>167</v>
      </c>
    </row>
    <row r="105" spans="1:5" ht="15" customHeight="1" x14ac:dyDescent="0.2">
      <c r="A105" t="s">
        <v>687</v>
      </c>
      <c r="B105" t="s">
        <v>703</v>
      </c>
      <c r="C105" t="s">
        <v>704</v>
      </c>
      <c r="D105" t="s">
        <v>705</v>
      </c>
      <c r="E105" t="s">
        <v>706</v>
      </c>
    </row>
    <row r="106" spans="1:5" ht="15" customHeight="1" x14ac:dyDescent="0.2">
      <c r="A106">
        <v>40</v>
      </c>
      <c r="B106">
        <v>26</v>
      </c>
      <c r="C106">
        <v>26</v>
      </c>
      <c r="D106">
        <v>8</v>
      </c>
      <c r="E106">
        <v>0.5</v>
      </c>
    </row>
    <row r="108" spans="1:5" ht="15" customHeight="1" x14ac:dyDescent="0.2">
      <c r="A108" t="s">
        <v>8</v>
      </c>
      <c r="B108" t="s">
        <v>167</v>
      </c>
    </row>
    <row r="110" spans="1:5" ht="15" customHeight="1" x14ac:dyDescent="0.2">
      <c r="A110" t="s">
        <v>687</v>
      </c>
      <c r="B110" t="s">
        <v>703</v>
      </c>
      <c r="C110" t="s">
        <v>704</v>
      </c>
      <c r="D110" t="s">
        <v>705</v>
      </c>
      <c r="E110" t="s">
        <v>706</v>
      </c>
    </row>
    <row r="111" spans="1:5" ht="15" customHeight="1" x14ac:dyDescent="0.2">
      <c r="A111">
        <v>40</v>
      </c>
      <c r="B111">
        <v>26</v>
      </c>
      <c r="C111">
        <v>26</v>
      </c>
      <c r="D111">
        <v>8</v>
      </c>
      <c r="E111">
        <v>0.5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I107"/>
  <sheetViews>
    <sheetView zoomScaleNormal="100" workbookViewId="0"/>
  </sheetViews>
  <sheetFormatPr baseColWidth="10" defaultColWidth="8.83203125" defaultRowHeight="15" x14ac:dyDescent="0.2"/>
  <sheetData>
    <row r="1" spans="1:35" ht="15" customHeight="1" x14ac:dyDescent="0.2">
      <c r="A1" s="3" t="s">
        <v>0</v>
      </c>
      <c r="B1" s="3" t="s">
        <v>652</v>
      </c>
      <c r="C1" s="3" t="s">
        <v>653</v>
      </c>
      <c r="D1" s="3" t="s">
        <v>654</v>
      </c>
      <c r="E1" s="3" t="s">
        <v>655</v>
      </c>
      <c r="F1" s="3" t="s">
        <v>656</v>
      </c>
      <c r="G1" s="3" t="s">
        <v>657</v>
      </c>
      <c r="H1" s="3" t="s">
        <v>658</v>
      </c>
      <c r="I1" s="3" t="s">
        <v>659</v>
      </c>
      <c r="J1" s="3" t="s">
        <v>660</v>
      </c>
      <c r="K1" s="3" t="s">
        <v>661</v>
      </c>
      <c r="L1" s="3" t="s">
        <v>662</v>
      </c>
      <c r="M1" s="3" t="s">
        <v>663</v>
      </c>
      <c r="N1" s="3" t="s">
        <v>664</v>
      </c>
      <c r="O1" s="3" t="s">
        <v>665</v>
      </c>
      <c r="P1" s="3" t="s">
        <v>666</v>
      </c>
      <c r="Q1" s="3" t="s">
        <v>667</v>
      </c>
      <c r="R1" s="3" t="s">
        <v>668</v>
      </c>
      <c r="S1" s="3" t="s">
        <v>669</v>
      </c>
      <c r="T1" s="3" t="s">
        <v>689</v>
      </c>
      <c r="U1" s="3" t="s">
        <v>690</v>
      </c>
      <c r="V1" s="3" t="s">
        <v>691</v>
      </c>
      <c r="W1" s="3" t="s">
        <v>692</v>
      </c>
      <c r="X1" s="3" t="s">
        <v>693</v>
      </c>
      <c r="Y1" s="3" t="s">
        <v>694</v>
      </c>
      <c r="Z1" s="3" t="s">
        <v>695</v>
      </c>
      <c r="AA1" s="3" t="s">
        <v>696</v>
      </c>
      <c r="AB1" s="3" t="s">
        <v>697</v>
      </c>
      <c r="AC1" s="3" t="s">
        <v>698</v>
      </c>
      <c r="AD1" s="3" t="s">
        <v>699</v>
      </c>
      <c r="AE1" s="3" t="s">
        <v>700</v>
      </c>
      <c r="AF1" s="3" t="s">
        <v>701</v>
      </c>
      <c r="AG1" s="3" t="s">
        <v>702</v>
      </c>
      <c r="AH1" s="3" t="s">
        <v>671</v>
      </c>
      <c r="AI1" s="3" t="s">
        <v>1408</v>
      </c>
    </row>
    <row r="3" spans="1:35" ht="15" customHeight="1" x14ac:dyDescent="0.2">
      <c r="C3" t="s">
        <v>1315</v>
      </c>
      <c r="X3" t="s">
        <v>1409</v>
      </c>
      <c r="Y3" t="s">
        <v>1410</v>
      </c>
      <c r="Z3" t="s">
        <v>1411</v>
      </c>
      <c r="AA3" t="s">
        <v>1412</v>
      </c>
      <c r="AF3" t="s">
        <v>1412</v>
      </c>
      <c r="AH3" t="s">
        <v>1413</v>
      </c>
    </row>
    <row r="4" spans="1:35" ht="15" customHeight="1" x14ac:dyDescent="0.2">
      <c r="C4" t="s">
        <v>1414</v>
      </c>
      <c r="D4" t="s">
        <v>1415</v>
      </c>
      <c r="E4" t="s">
        <v>1416</v>
      </c>
      <c r="F4" t="s">
        <v>1417</v>
      </c>
      <c r="G4" t="s">
        <v>1418</v>
      </c>
      <c r="H4" t="s">
        <v>1324</v>
      </c>
      <c r="I4" t="s">
        <v>1326</v>
      </c>
      <c r="J4" t="s">
        <v>1419</v>
      </c>
      <c r="W4" t="s">
        <v>1405</v>
      </c>
      <c r="X4">
        <v>655</v>
      </c>
      <c r="Y4">
        <v>335</v>
      </c>
      <c r="Z4">
        <v>990</v>
      </c>
      <c r="AA4">
        <v>94</v>
      </c>
      <c r="AE4" t="s">
        <v>1420</v>
      </c>
      <c r="AF4">
        <v>329.15</v>
      </c>
      <c r="AH4" t="s">
        <v>54</v>
      </c>
      <c r="AI4">
        <v>1340</v>
      </c>
    </row>
    <row r="5" spans="1:35" ht="15" customHeight="1" x14ac:dyDescent="0.2">
      <c r="C5" t="s">
        <v>1405</v>
      </c>
      <c r="D5">
        <v>110</v>
      </c>
      <c r="E5">
        <v>20</v>
      </c>
      <c r="F5">
        <v>0</v>
      </c>
      <c r="G5">
        <v>-100</v>
      </c>
      <c r="H5">
        <v>0</v>
      </c>
      <c r="I5">
        <v>0</v>
      </c>
      <c r="J5">
        <v>30</v>
      </c>
      <c r="W5" t="s">
        <v>57</v>
      </c>
      <c r="X5">
        <v>85</v>
      </c>
      <c r="Y5">
        <v>175</v>
      </c>
      <c r="Z5">
        <v>260</v>
      </c>
      <c r="AA5">
        <v>192</v>
      </c>
      <c r="AE5" t="s">
        <v>42</v>
      </c>
      <c r="AF5">
        <v>325</v>
      </c>
      <c r="AH5" t="s">
        <v>42</v>
      </c>
      <c r="AI5">
        <v>1055</v>
      </c>
    </row>
    <row r="6" spans="1:35" ht="15" customHeight="1" x14ac:dyDescent="0.2">
      <c r="C6" t="s">
        <v>57</v>
      </c>
      <c r="D6">
        <v>0</v>
      </c>
      <c r="E6">
        <v>50</v>
      </c>
      <c r="F6">
        <v>150</v>
      </c>
      <c r="G6">
        <v>0</v>
      </c>
      <c r="H6">
        <v>0</v>
      </c>
      <c r="I6">
        <v>0</v>
      </c>
      <c r="J6">
        <v>200</v>
      </c>
      <c r="W6" t="s">
        <v>45</v>
      </c>
      <c r="X6">
        <v>180</v>
      </c>
      <c r="Y6">
        <v>75</v>
      </c>
      <c r="Z6">
        <v>255</v>
      </c>
      <c r="AA6">
        <v>-258.74</v>
      </c>
      <c r="AE6" t="s">
        <v>40</v>
      </c>
      <c r="AF6">
        <v>302</v>
      </c>
      <c r="AH6" t="s">
        <v>48</v>
      </c>
      <c r="AI6">
        <v>1035</v>
      </c>
    </row>
    <row r="7" spans="1:35" ht="15" customHeight="1" x14ac:dyDescent="0.2">
      <c r="C7" t="s">
        <v>45</v>
      </c>
      <c r="D7">
        <v>10</v>
      </c>
      <c r="E7">
        <v>0</v>
      </c>
      <c r="F7">
        <v>0</v>
      </c>
      <c r="G7">
        <v>0</v>
      </c>
      <c r="H7">
        <v>0</v>
      </c>
      <c r="I7">
        <v>0</v>
      </c>
      <c r="J7">
        <v>10</v>
      </c>
      <c r="W7" t="s">
        <v>1260</v>
      </c>
      <c r="X7">
        <v>10</v>
      </c>
      <c r="Y7">
        <v>0</v>
      </c>
      <c r="Z7">
        <v>10</v>
      </c>
      <c r="AA7">
        <v>0</v>
      </c>
      <c r="AE7" t="s">
        <v>57</v>
      </c>
      <c r="AF7">
        <v>192</v>
      </c>
      <c r="AH7" t="s">
        <v>1405</v>
      </c>
      <c r="AI7">
        <v>990</v>
      </c>
    </row>
    <row r="8" spans="1:35" ht="15" customHeight="1" x14ac:dyDescent="0.2">
      <c r="C8" t="s">
        <v>1260</v>
      </c>
      <c r="D8">
        <v>10</v>
      </c>
      <c r="E8">
        <v>0</v>
      </c>
      <c r="F8">
        <v>0</v>
      </c>
      <c r="G8">
        <v>0</v>
      </c>
      <c r="H8">
        <v>0</v>
      </c>
      <c r="I8">
        <v>0</v>
      </c>
      <c r="J8">
        <v>10</v>
      </c>
      <c r="W8" t="s">
        <v>1262</v>
      </c>
      <c r="X8">
        <v>260</v>
      </c>
      <c r="Y8">
        <v>200</v>
      </c>
      <c r="Z8">
        <v>460</v>
      </c>
      <c r="AA8">
        <v>-147.91999999999999</v>
      </c>
      <c r="AE8" t="s">
        <v>46</v>
      </c>
      <c r="AF8">
        <v>180.24</v>
      </c>
      <c r="AH8" t="s">
        <v>1420</v>
      </c>
      <c r="AI8">
        <v>950</v>
      </c>
    </row>
    <row r="9" spans="1:35" ht="15" customHeight="1" x14ac:dyDescent="0.2">
      <c r="C9" t="s">
        <v>1262</v>
      </c>
      <c r="D9">
        <v>0</v>
      </c>
      <c r="E9">
        <v>20</v>
      </c>
      <c r="F9">
        <v>150</v>
      </c>
      <c r="G9">
        <v>0</v>
      </c>
      <c r="H9">
        <v>0</v>
      </c>
      <c r="I9">
        <v>0</v>
      </c>
      <c r="J9">
        <v>170</v>
      </c>
      <c r="W9" t="s">
        <v>44</v>
      </c>
      <c r="X9">
        <v>375</v>
      </c>
      <c r="Y9">
        <v>220</v>
      </c>
      <c r="Z9">
        <v>595</v>
      </c>
      <c r="AA9">
        <v>-195</v>
      </c>
      <c r="AE9" t="s">
        <v>53</v>
      </c>
      <c r="AF9">
        <v>154.24</v>
      </c>
      <c r="AH9" t="s">
        <v>41</v>
      </c>
      <c r="AI9">
        <v>835</v>
      </c>
    </row>
    <row r="10" spans="1:35" ht="15" customHeight="1" x14ac:dyDescent="0.2">
      <c r="C10" t="s">
        <v>44</v>
      </c>
      <c r="D10">
        <v>50</v>
      </c>
      <c r="E10">
        <v>30</v>
      </c>
      <c r="F10">
        <v>150</v>
      </c>
      <c r="G10">
        <v>0</v>
      </c>
      <c r="H10">
        <v>0</v>
      </c>
      <c r="I10">
        <v>0</v>
      </c>
      <c r="J10">
        <v>230</v>
      </c>
      <c r="W10" t="s">
        <v>53</v>
      </c>
      <c r="X10">
        <v>275</v>
      </c>
      <c r="Y10">
        <v>400</v>
      </c>
      <c r="Z10">
        <v>675</v>
      </c>
      <c r="AA10">
        <v>154.24</v>
      </c>
      <c r="AE10" t="s">
        <v>41</v>
      </c>
      <c r="AF10">
        <v>108.93</v>
      </c>
      <c r="AH10" t="s">
        <v>1421</v>
      </c>
      <c r="AI10">
        <v>725</v>
      </c>
    </row>
    <row r="11" spans="1:35" ht="15" customHeight="1" x14ac:dyDescent="0.2">
      <c r="C11" t="s">
        <v>53</v>
      </c>
      <c r="D11">
        <v>30</v>
      </c>
      <c r="E11">
        <v>75</v>
      </c>
      <c r="F11">
        <v>150</v>
      </c>
      <c r="G11">
        <v>0</v>
      </c>
      <c r="H11">
        <v>0</v>
      </c>
      <c r="I11">
        <v>0</v>
      </c>
      <c r="J11">
        <v>255</v>
      </c>
      <c r="W11" t="s">
        <v>40</v>
      </c>
      <c r="X11">
        <v>345</v>
      </c>
      <c r="Y11">
        <v>105</v>
      </c>
      <c r="Z11">
        <v>450</v>
      </c>
      <c r="AA11">
        <v>302</v>
      </c>
      <c r="AE11" t="s">
        <v>1405</v>
      </c>
      <c r="AF11">
        <v>94</v>
      </c>
      <c r="AH11" t="s">
        <v>53</v>
      </c>
      <c r="AI11">
        <v>675</v>
      </c>
    </row>
    <row r="12" spans="1:35" ht="15" customHeight="1" x14ac:dyDescent="0.2">
      <c r="C12" t="s">
        <v>40</v>
      </c>
      <c r="D12">
        <v>50</v>
      </c>
      <c r="E12">
        <v>30</v>
      </c>
      <c r="F12">
        <v>150</v>
      </c>
      <c r="G12">
        <v>130</v>
      </c>
      <c r="H12">
        <v>0</v>
      </c>
      <c r="I12">
        <v>0</v>
      </c>
      <c r="J12">
        <v>360</v>
      </c>
      <c r="W12" t="s">
        <v>47</v>
      </c>
      <c r="X12">
        <v>10</v>
      </c>
      <c r="Y12">
        <v>0</v>
      </c>
      <c r="Z12">
        <v>10</v>
      </c>
      <c r="AA12">
        <v>0</v>
      </c>
      <c r="AE12" t="s">
        <v>62</v>
      </c>
      <c r="AF12">
        <v>66.67</v>
      </c>
      <c r="AH12" t="s">
        <v>46</v>
      </c>
      <c r="AI12">
        <v>645</v>
      </c>
    </row>
    <row r="13" spans="1:35" ht="15" customHeight="1" x14ac:dyDescent="0.2">
      <c r="C13" t="s">
        <v>47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W13" t="s">
        <v>41</v>
      </c>
      <c r="X13">
        <v>320</v>
      </c>
      <c r="Y13">
        <v>515</v>
      </c>
      <c r="Z13">
        <v>835</v>
      </c>
      <c r="AA13">
        <v>108.93</v>
      </c>
      <c r="AE13" t="s">
        <v>1260</v>
      </c>
      <c r="AF13">
        <v>0</v>
      </c>
      <c r="AH13" t="s">
        <v>44</v>
      </c>
      <c r="AI13">
        <v>595</v>
      </c>
    </row>
    <row r="14" spans="1:35" ht="15" customHeight="1" x14ac:dyDescent="0.2">
      <c r="C14" t="s">
        <v>41</v>
      </c>
      <c r="D14">
        <v>100</v>
      </c>
      <c r="E14">
        <v>0</v>
      </c>
      <c r="F14">
        <v>0</v>
      </c>
      <c r="G14">
        <v>-50</v>
      </c>
      <c r="H14">
        <v>0</v>
      </c>
      <c r="I14">
        <v>0</v>
      </c>
      <c r="J14">
        <v>50</v>
      </c>
      <c r="W14" t="s">
        <v>42</v>
      </c>
      <c r="X14">
        <v>515</v>
      </c>
      <c r="Y14">
        <v>540</v>
      </c>
      <c r="Z14">
        <v>1055</v>
      </c>
      <c r="AA14">
        <v>325</v>
      </c>
      <c r="AE14" t="s">
        <v>47</v>
      </c>
      <c r="AF14">
        <v>0</v>
      </c>
      <c r="AH14" t="s">
        <v>62</v>
      </c>
      <c r="AI14">
        <v>570</v>
      </c>
    </row>
    <row r="15" spans="1:35" ht="15" customHeight="1" x14ac:dyDescent="0.2">
      <c r="C15" t="s">
        <v>42</v>
      </c>
      <c r="D15">
        <v>85</v>
      </c>
      <c r="E15">
        <v>0</v>
      </c>
      <c r="F15">
        <v>150</v>
      </c>
      <c r="G15">
        <v>100</v>
      </c>
      <c r="H15">
        <v>0</v>
      </c>
      <c r="I15">
        <v>0</v>
      </c>
      <c r="J15">
        <v>335</v>
      </c>
      <c r="W15" t="s">
        <v>1422</v>
      </c>
      <c r="X15">
        <v>60</v>
      </c>
      <c r="Y15">
        <v>60</v>
      </c>
      <c r="Z15">
        <v>120</v>
      </c>
      <c r="AA15">
        <v>0</v>
      </c>
      <c r="AE15" t="s">
        <v>1422</v>
      </c>
      <c r="AF15">
        <v>0</v>
      </c>
      <c r="AH15" t="s">
        <v>1262</v>
      </c>
      <c r="AI15">
        <v>460</v>
      </c>
    </row>
    <row r="16" spans="1:35" ht="15" customHeight="1" x14ac:dyDescent="0.2">
      <c r="C16" t="s">
        <v>1422</v>
      </c>
      <c r="D16">
        <v>50</v>
      </c>
      <c r="E16">
        <v>20</v>
      </c>
      <c r="F16">
        <v>0</v>
      </c>
      <c r="G16">
        <v>0</v>
      </c>
      <c r="H16">
        <v>0</v>
      </c>
      <c r="I16">
        <v>0</v>
      </c>
      <c r="J16">
        <v>70</v>
      </c>
      <c r="W16" t="s">
        <v>48</v>
      </c>
      <c r="X16">
        <v>505</v>
      </c>
      <c r="Y16">
        <v>530</v>
      </c>
      <c r="Z16">
        <v>1035</v>
      </c>
      <c r="AA16">
        <v>-31.25</v>
      </c>
      <c r="AE16" t="s">
        <v>1423</v>
      </c>
      <c r="AF16">
        <v>0</v>
      </c>
      <c r="AH16" t="s">
        <v>40</v>
      </c>
      <c r="AI16">
        <v>450</v>
      </c>
    </row>
    <row r="17" spans="3:35" ht="15" customHeight="1" x14ac:dyDescent="0.2">
      <c r="C17" t="s">
        <v>48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W17" t="s">
        <v>46</v>
      </c>
      <c r="X17">
        <v>320</v>
      </c>
      <c r="Y17">
        <v>325</v>
      </c>
      <c r="Z17">
        <v>645</v>
      </c>
      <c r="AA17">
        <v>180.24</v>
      </c>
      <c r="AE17" t="s">
        <v>651</v>
      </c>
      <c r="AF17">
        <v>0</v>
      </c>
      <c r="AH17" t="s">
        <v>1406</v>
      </c>
      <c r="AI17">
        <v>425</v>
      </c>
    </row>
    <row r="18" spans="3:35" ht="15" customHeight="1" x14ac:dyDescent="0.2">
      <c r="C18" t="s">
        <v>46</v>
      </c>
      <c r="D18">
        <v>0</v>
      </c>
      <c r="E18">
        <v>0</v>
      </c>
      <c r="F18">
        <v>150</v>
      </c>
      <c r="G18">
        <v>0</v>
      </c>
      <c r="H18">
        <v>0</v>
      </c>
      <c r="I18">
        <v>0</v>
      </c>
      <c r="J18">
        <v>150</v>
      </c>
      <c r="W18" t="s">
        <v>61</v>
      </c>
      <c r="X18">
        <v>10</v>
      </c>
      <c r="Y18">
        <v>190</v>
      </c>
      <c r="Z18">
        <v>200</v>
      </c>
      <c r="AA18">
        <v>-25</v>
      </c>
      <c r="AE18" t="s">
        <v>1421</v>
      </c>
      <c r="AF18">
        <v>-5</v>
      </c>
      <c r="AH18" t="s">
        <v>57</v>
      </c>
      <c r="AI18">
        <v>260</v>
      </c>
    </row>
    <row r="19" spans="3:35" ht="15" customHeight="1" x14ac:dyDescent="0.2">
      <c r="C19" t="s">
        <v>61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W19" t="s">
        <v>59</v>
      </c>
      <c r="X19">
        <v>95</v>
      </c>
      <c r="Y19">
        <v>0</v>
      </c>
      <c r="Z19">
        <v>95</v>
      </c>
      <c r="AA19">
        <v>-91</v>
      </c>
      <c r="AE19" t="s">
        <v>61</v>
      </c>
      <c r="AF19">
        <v>-25</v>
      </c>
      <c r="AH19" t="s">
        <v>45</v>
      </c>
      <c r="AI19">
        <v>255</v>
      </c>
    </row>
    <row r="20" spans="3:35" ht="15" customHeight="1" x14ac:dyDescent="0.2">
      <c r="C20" t="s">
        <v>59</v>
      </c>
      <c r="D20">
        <v>0</v>
      </c>
      <c r="E20">
        <v>0</v>
      </c>
      <c r="F20">
        <v>150</v>
      </c>
      <c r="G20">
        <v>0</v>
      </c>
      <c r="H20">
        <v>0</v>
      </c>
      <c r="I20">
        <v>0</v>
      </c>
      <c r="J20">
        <v>150</v>
      </c>
      <c r="W20" t="s">
        <v>43</v>
      </c>
      <c r="X20">
        <v>210</v>
      </c>
      <c r="Y20">
        <v>0</v>
      </c>
      <c r="Z20">
        <v>210</v>
      </c>
      <c r="AA20">
        <v>-739</v>
      </c>
      <c r="AE20" t="s">
        <v>48</v>
      </c>
      <c r="AF20">
        <v>-31.25</v>
      </c>
      <c r="AH20" t="s">
        <v>43</v>
      </c>
      <c r="AI20">
        <v>210</v>
      </c>
    </row>
    <row r="21" spans="3:35" ht="15" customHeight="1" x14ac:dyDescent="0.2">
      <c r="C21" t="s">
        <v>43</v>
      </c>
      <c r="D21">
        <v>0</v>
      </c>
      <c r="E21">
        <v>0</v>
      </c>
      <c r="F21">
        <v>0</v>
      </c>
      <c r="G21">
        <v>215</v>
      </c>
      <c r="H21">
        <v>0</v>
      </c>
      <c r="I21">
        <v>0</v>
      </c>
      <c r="J21">
        <v>215</v>
      </c>
      <c r="W21" t="s">
        <v>1423</v>
      </c>
      <c r="X21">
        <v>35</v>
      </c>
      <c r="Y21">
        <v>50</v>
      </c>
      <c r="Z21">
        <v>85</v>
      </c>
      <c r="AA21">
        <v>0</v>
      </c>
      <c r="AE21" t="s">
        <v>59</v>
      </c>
      <c r="AF21">
        <v>-91</v>
      </c>
      <c r="AH21" t="s">
        <v>61</v>
      </c>
      <c r="AI21">
        <v>200</v>
      </c>
    </row>
    <row r="22" spans="3:35" ht="15" customHeight="1" x14ac:dyDescent="0.2">
      <c r="C22" t="s">
        <v>1423</v>
      </c>
      <c r="D22">
        <v>35</v>
      </c>
      <c r="E22">
        <v>50</v>
      </c>
      <c r="F22">
        <v>0</v>
      </c>
      <c r="G22">
        <v>0</v>
      </c>
      <c r="H22">
        <v>0</v>
      </c>
      <c r="I22">
        <v>0</v>
      </c>
      <c r="J22">
        <v>85</v>
      </c>
      <c r="W22" t="s">
        <v>651</v>
      </c>
      <c r="X22">
        <v>10</v>
      </c>
      <c r="Y22">
        <v>155</v>
      </c>
      <c r="Z22">
        <v>165</v>
      </c>
      <c r="AA22">
        <v>0</v>
      </c>
      <c r="AE22" t="s">
        <v>1262</v>
      </c>
      <c r="AF22">
        <v>-147.91999999999999</v>
      </c>
      <c r="AH22" t="s">
        <v>651</v>
      </c>
      <c r="AI22">
        <v>165</v>
      </c>
    </row>
    <row r="23" spans="3:35" ht="15" customHeight="1" x14ac:dyDescent="0.2">
      <c r="C23" t="s">
        <v>651</v>
      </c>
      <c r="D23">
        <v>0</v>
      </c>
      <c r="E23">
        <v>0</v>
      </c>
      <c r="F23">
        <v>150</v>
      </c>
      <c r="G23">
        <v>0</v>
      </c>
      <c r="H23">
        <v>0</v>
      </c>
      <c r="I23">
        <v>0</v>
      </c>
      <c r="J23">
        <v>150</v>
      </c>
      <c r="W23" t="s">
        <v>1406</v>
      </c>
      <c r="X23">
        <v>10</v>
      </c>
      <c r="Y23">
        <v>415</v>
      </c>
      <c r="Z23">
        <v>425</v>
      </c>
      <c r="AA23">
        <v>-261</v>
      </c>
      <c r="AE23" t="s">
        <v>54</v>
      </c>
      <c r="AF23">
        <v>-165.93</v>
      </c>
      <c r="AH23" t="s">
        <v>1422</v>
      </c>
      <c r="AI23">
        <v>120</v>
      </c>
    </row>
    <row r="24" spans="3:35" ht="15" customHeight="1" x14ac:dyDescent="0.2">
      <c r="C24" t="s">
        <v>1406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W24" t="s">
        <v>1421</v>
      </c>
      <c r="X24">
        <v>260</v>
      </c>
      <c r="Y24">
        <v>465</v>
      </c>
      <c r="Z24">
        <v>725</v>
      </c>
      <c r="AA24">
        <v>-5</v>
      </c>
      <c r="AE24" t="s">
        <v>44</v>
      </c>
      <c r="AF24">
        <v>-195</v>
      </c>
      <c r="AH24" t="s">
        <v>59</v>
      </c>
      <c r="AI24">
        <v>95</v>
      </c>
    </row>
    <row r="25" spans="3:35" ht="15" customHeight="1" x14ac:dyDescent="0.2">
      <c r="C25" t="s">
        <v>1421</v>
      </c>
      <c r="D25">
        <v>0</v>
      </c>
      <c r="E25">
        <v>0</v>
      </c>
      <c r="F25">
        <v>150</v>
      </c>
      <c r="G25">
        <v>0</v>
      </c>
      <c r="H25">
        <v>0</v>
      </c>
      <c r="I25">
        <v>0</v>
      </c>
      <c r="J25">
        <v>150</v>
      </c>
      <c r="W25" t="s">
        <v>1420</v>
      </c>
      <c r="X25">
        <v>335</v>
      </c>
      <c r="Y25">
        <v>615</v>
      </c>
      <c r="Z25">
        <v>950</v>
      </c>
      <c r="AA25">
        <v>329.15</v>
      </c>
      <c r="AE25" t="s">
        <v>45</v>
      </c>
      <c r="AF25">
        <v>-258.74</v>
      </c>
      <c r="AH25" t="s">
        <v>1423</v>
      </c>
      <c r="AI25">
        <v>85</v>
      </c>
    </row>
    <row r="26" spans="3:35" ht="15" customHeight="1" x14ac:dyDescent="0.2">
      <c r="C26" t="s">
        <v>1420</v>
      </c>
      <c r="D26">
        <v>0</v>
      </c>
      <c r="E26">
        <v>150</v>
      </c>
      <c r="F26">
        <v>0</v>
      </c>
      <c r="G26">
        <v>-350</v>
      </c>
      <c r="H26">
        <v>100</v>
      </c>
      <c r="I26">
        <v>100</v>
      </c>
      <c r="J26">
        <v>0</v>
      </c>
      <c r="W26" t="s">
        <v>54</v>
      </c>
      <c r="X26">
        <v>460</v>
      </c>
      <c r="Y26">
        <v>880</v>
      </c>
      <c r="Z26">
        <v>1340</v>
      </c>
      <c r="AA26">
        <v>-165.93</v>
      </c>
      <c r="AE26" t="s">
        <v>1406</v>
      </c>
      <c r="AF26">
        <v>-261</v>
      </c>
      <c r="AH26" t="s">
        <v>1260</v>
      </c>
      <c r="AI26">
        <v>10</v>
      </c>
    </row>
    <row r="27" spans="3:35" ht="15" customHeight="1" x14ac:dyDescent="0.2">
      <c r="C27" t="s">
        <v>1424</v>
      </c>
      <c r="D27">
        <v>530</v>
      </c>
      <c r="E27">
        <v>445</v>
      </c>
      <c r="F27">
        <v>1500</v>
      </c>
      <c r="G27">
        <v>-55</v>
      </c>
      <c r="H27">
        <v>100</v>
      </c>
      <c r="I27">
        <v>100</v>
      </c>
      <c r="J27">
        <v>2620</v>
      </c>
      <c r="W27" t="s">
        <v>62</v>
      </c>
      <c r="X27">
        <v>280</v>
      </c>
      <c r="Y27">
        <v>290</v>
      </c>
      <c r="Z27">
        <v>570</v>
      </c>
      <c r="AA27">
        <v>66.67</v>
      </c>
      <c r="AE27" t="s">
        <v>43</v>
      </c>
      <c r="AF27">
        <v>-739</v>
      </c>
      <c r="AH27" t="s">
        <v>47</v>
      </c>
      <c r="AI27">
        <v>10</v>
      </c>
    </row>
    <row r="29" spans="3:35" ht="15" customHeight="1" x14ac:dyDescent="0.2">
      <c r="C29" t="s">
        <v>1330</v>
      </c>
    </row>
    <row r="30" spans="3:35" ht="15" customHeight="1" x14ac:dyDescent="0.2">
      <c r="C30" t="s">
        <v>1414</v>
      </c>
      <c r="D30" t="s">
        <v>1425</v>
      </c>
      <c r="E30" t="s">
        <v>1415</v>
      </c>
      <c r="F30" t="s">
        <v>1426</v>
      </c>
      <c r="G30" t="s">
        <v>1427</v>
      </c>
      <c r="H30" t="s">
        <v>1418</v>
      </c>
      <c r="I30" t="s">
        <v>1428</v>
      </c>
      <c r="J30" t="s">
        <v>1326</v>
      </c>
      <c r="K30" t="s">
        <v>1429</v>
      </c>
      <c r="L30" t="s">
        <v>1430</v>
      </c>
      <c r="M30" t="s">
        <v>1431</v>
      </c>
      <c r="N30" t="s">
        <v>1432</v>
      </c>
      <c r="O30" t="s">
        <v>1433</v>
      </c>
      <c r="P30" t="s">
        <v>1434</v>
      </c>
      <c r="Q30" t="s">
        <v>1435</v>
      </c>
      <c r="R30" t="s">
        <v>1436</v>
      </c>
      <c r="AE30">
        <v>4.3988095238095202</v>
      </c>
    </row>
    <row r="31" spans="3:35" ht="15" customHeight="1" x14ac:dyDescent="0.2">
      <c r="C31" t="s">
        <v>1405</v>
      </c>
      <c r="D31">
        <v>170</v>
      </c>
      <c r="E31">
        <v>0</v>
      </c>
      <c r="F31">
        <v>0</v>
      </c>
      <c r="G31">
        <v>300</v>
      </c>
      <c r="H31">
        <v>-40</v>
      </c>
      <c r="I31">
        <v>0</v>
      </c>
      <c r="J31">
        <v>0</v>
      </c>
      <c r="K31">
        <v>0</v>
      </c>
      <c r="L31">
        <v>430</v>
      </c>
      <c r="N31">
        <v>144</v>
      </c>
      <c r="O31">
        <v>76</v>
      </c>
      <c r="P31">
        <v>220</v>
      </c>
      <c r="Q31">
        <v>30.6</v>
      </c>
      <c r="R31">
        <v>30.6</v>
      </c>
    </row>
    <row r="32" spans="3:35" ht="15" customHeight="1" x14ac:dyDescent="0.2">
      <c r="C32" t="s">
        <v>57</v>
      </c>
      <c r="D32">
        <v>85</v>
      </c>
      <c r="E32">
        <v>0</v>
      </c>
      <c r="F32">
        <v>50</v>
      </c>
      <c r="G32">
        <v>0</v>
      </c>
      <c r="H32">
        <v>0</v>
      </c>
      <c r="I32">
        <v>0</v>
      </c>
      <c r="J32">
        <v>0</v>
      </c>
      <c r="K32">
        <v>0</v>
      </c>
      <c r="L32">
        <v>135</v>
      </c>
      <c r="N32">
        <v>144</v>
      </c>
      <c r="O32">
        <v>76</v>
      </c>
      <c r="P32">
        <v>220</v>
      </c>
      <c r="Q32">
        <v>30.6</v>
      </c>
      <c r="R32">
        <v>30.6</v>
      </c>
    </row>
    <row r="33" spans="3:18" ht="15" customHeight="1" x14ac:dyDescent="0.2">
      <c r="C33" t="s">
        <v>45</v>
      </c>
      <c r="D33">
        <v>10</v>
      </c>
      <c r="E33">
        <v>75</v>
      </c>
      <c r="F33">
        <v>50</v>
      </c>
      <c r="G33">
        <v>0</v>
      </c>
      <c r="H33">
        <v>0</v>
      </c>
      <c r="I33">
        <v>0</v>
      </c>
      <c r="J33">
        <v>0</v>
      </c>
      <c r="K33">
        <v>0</v>
      </c>
      <c r="L33">
        <v>135</v>
      </c>
      <c r="N33">
        <v>288</v>
      </c>
      <c r="O33">
        <v>76</v>
      </c>
      <c r="P33">
        <v>364</v>
      </c>
      <c r="Q33">
        <v>30.6</v>
      </c>
      <c r="R33">
        <v>30.6</v>
      </c>
    </row>
    <row r="34" spans="3:18" ht="15" customHeight="1" x14ac:dyDescent="0.2">
      <c r="C34" t="s">
        <v>1260</v>
      </c>
      <c r="D34">
        <v>0</v>
      </c>
      <c r="E34">
        <v>0</v>
      </c>
      <c r="F34">
        <v>0</v>
      </c>
      <c r="G34">
        <v>150</v>
      </c>
      <c r="H34">
        <v>0</v>
      </c>
      <c r="I34">
        <v>0</v>
      </c>
      <c r="J34">
        <v>0</v>
      </c>
      <c r="K34">
        <v>0</v>
      </c>
      <c r="L34">
        <v>150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3:18" ht="15" customHeight="1" x14ac:dyDescent="0.2">
      <c r="C35" t="s">
        <v>1262</v>
      </c>
      <c r="D35">
        <v>10</v>
      </c>
      <c r="E35">
        <v>0</v>
      </c>
      <c r="F35">
        <v>0</v>
      </c>
      <c r="G35">
        <v>150</v>
      </c>
      <c r="H35">
        <v>0</v>
      </c>
      <c r="I35">
        <v>0</v>
      </c>
      <c r="J35">
        <v>0</v>
      </c>
      <c r="K35">
        <v>0</v>
      </c>
      <c r="L35">
        <v>160</v>
      </c>
      <c r="N35">
        <v>144</v>
      </c>
      <c r="O35">
        <v>76</v>
      </c>
      <c r="P35">
        <v>220</v>
      </c>
      <c r="Q35">
        <v>30.6</v>
      </c>
      <c r="R35">
        <v>30.6</v>
      </c>
    </row>
    <row r="36" spans="3:18" ht="15" customHeight="1" x14ac:dyDescent="0.2">
      <c r="C36" t="s">
        <v>44</v>
      </c>
      <c r="D36">
        <v>130</v>
      </c>
      <c r="E36">
        <v>40</v>
      </c>
      <c r="F36">
        <v>0</v>
      </c>
      <c r="G36">
        <v>300</v>
      </c>
      <c r="H36">
        <v>0</v>
      </c>
      <c r="I36">
        <v>0</v>
      </c>
      <c r="J36">
        <v>0</v>
      </c>
      <c r="K36">
        <v>0</v>
      </c>
      <c r="L36">
        <v>470</v>
      </c>
      <c r="N36">
        <v>144</v>
      </c>
      <c r="O36">
        <v>76</v>
      </c>
      <c r="P36">
        <v>220</v>
      </c>
      <c r="Q36">
        <v>30.6</v>
      </c>
      <c r="R36">
        <v>30.6</v>
      </c>
    </row>
    <row r="37" spans="3:18" ht="15" customHeight="1" x14ac:dyDescent="0.2">
      <c r="C37" t="s">
        <v>53</v>
      </c>
      <c r="D37">
        <v>50</v>
      </c>
      <c r="E37">
        <v>0</v>
      </c>
      <c r="F37">
        <v>0</v>
      </c>
      <c r="G37">
        <v>300</v>
      </c>
      <c r="H37">
        <v>0</v>
      </c>
      <c r="I37">
        <v>0</v>
      </c>
      <c r="J37">
        <v>0</v>
      </c>
      <c r="K37">
        <v>0</v>
      </c>
      <c r="L37">
        <v>350</v>
      </c>
      <c r="N37">
        <v>144</v>
      </c>
      <c r="O37">
        <v>76</v>
      </c>
      <c r="P37">
        <v>220</v>
      </c>
      <c r="Q37">
        <v>30.6</v>
      </c>
      <c r="R37">
        <v>30.6</v>
      </c>
    </row>
    <row r="38" spans="3:18" ht="15" customHeight="1" x14ac:dyDescent="0.2">
      <c r="C38" t="s">
        <v>40</v>
      </c>
      <c r="D38">
        <v>70</v>
      </c>
      <c r="E38">
        <v>75</v>
      </c>
      <c r="F38">
        <v>50</v>
      </c>
      <c r="G38">
        <v>0</v>
      </c>
      <c r="H38">
        <v>0</v>
      </c>
      <c r="I38">
        <v>0</v>
      </c>
      <c r="J38">
        <v>0</v>
      </c>
      <c r="K38">
        <v>0</v>
      </c>
      <c r="L38">
        <v>195</v>
      </c>
      <c r="N38">
        <v>144</v>
      </c>
      <c r="O38">
        <v>76</v>
      </c>
      <c r="P38">
        <v>220</v>
      </c>
      <c r="Q38">
        <v>30.6</v>
      </c>
      <c r="R38">
        <v>30.6</v>
      </c>
    </row>
    <row r="39" spans="3:18" ht="15" customHeight="1" x14ac:dyDescent="0.2">
      <c r="C39" t="s">
        <v>47</v>
      </c>
      <c r="D39">
        <v>10</v>
      </c>
      <c r="E39">
        <v>0</v>
      </c>
      <c r="F39">
        <v>50</v>
      </c>
      <c r="G39">
        <v>0</v>
      </c>
      <c r="H39">
        <v>0</v>
      </c>
      <c r="I39">
        <v>0</v>
      </c>
      <c r="J39">
        <v>0</v>
      </c>
      <c r="K39">
        <v>0</v>
      </c>
      <c r="L39">
        <v>60</v>
      </c>
      <c r="N39">
        <v>144</v>
      </c>
      <c r="O39">
        <v>76</v>
      </c>
      <c r="P39">
        <v>220</v>
      </c>
      <c r="Q39">
        <v>30.6</v>
      </c>
      <c r="R39">
        <v>30.6</v>
      </c>
    </row>
    <row r="40" spans="3:18" ht="15" customHeight="1" x14ac:dyDescent="0.2">
      <c r="C40" t="s">
        <v>42</v>
      </c>
      <c r="D40">
        <v>70</v>
      </c>
      <c r="E40">
        <v>75</v>
      </c>
      <c r="F40">
        <v>0</v>
      </c>
      <c r="G40">
        <v>300</v>
      </c>
      <c r="H40">
        <v>0</v>
      </c>
      <c r="I40">
        <v>0</v>
      </c>
      <c r="J40">
        <v>0</v>
      </c>
      <c r="K40">
        <v>0</v>
      </c>
      <c r="L40">
        <v>445</v>
      </c>
      <c r="N40">
        <v>144</v>
      </c>
      <c r="O40">
        <v>76</v>
      </c>
      <c r="P40">
        <v>220</v>
      </c>
      <c r="Q40">
        <v>30.6</v>
      </c>
      <c r="R40">
        <v>30.6</v>
      </c>
    </row>
    <row r="41" spans="3:18" ht="15" customHeight="1" x14ac:dyDescent="0.2">
      <c r="C41" t="s">
        <v>1422</v>
      </c>
      <c r="D41">
        <v>10</v>
      </c>
      <c r="E41">
        <v>40</v>
      </c>
      <c r="F41">
        <v>0</v>
      </c>
      <c r="G41">
        <v>300</v>
      </c>
      <c r="H41">
        <v>0</v>
      </c>
      <c r="I41">
        <v>0</v>
      </c>
      <c r="J41">
        <v>0</v>
      </c>
      <c r="K41">
        <v>0</v>
      </c>
      <c r="L41">
        <v>350</v>
      </c>
      <c r="N41">
        <v>144</v>
      </c>
      <c r="O41">
        <v>76</v>
      </c>
      <c r="P41">
        <v>220</v>
      </c>
      <c r="Q41">
        <v>30.6</v>
      </c>
      <c r="R41">
        <v>30.6</v>
      </c>
    </row>
    <row r="42" spans="3:18" ht="15" customHeight="1" x14ac:dyDescent="0.2">
      <c r="C42" t="s">
        <v>48</v>
      </c>
      <c r="D42">
        <v>105</v>
      </c>
      <c r="E42">
        <v>40</v>
      </c>
      <c r="F42">
        <v>50</v>
      </c>
      <c r="G42">
        <v>0</v>
      </c>
      <c r="H42">
        <v>0</v>
      </c>
      <c r="I42">
        <v>0</v>
      </c>
      <c r="J42">
        <v>0</v>
      </c>
      <c r="K42">
        <v>0</v>
      </c>
      <c r="L42">
        <v>195</v>
      </c>
      <c r="N42">
        <v>144</v>
      </c>
      <c r="O42">
        <v>76</v>
      </c>
      <c r="P42">
        <v>220</v>
      </c>
      <c r="Q42">
        <v>30.6</v>
      </c>
      <c r="R42">
        <v>30.6</v>
      </c>
    </row>
    <row r="43" spans="3:18" ht="15" customHeight="1" x14ac:dyDescent="0.2">
      <c r="C43" t="s">
        <v>46</v>
      </c>
      <c r="D43">
        <v>10</v>
      </c>
      <c r="E43">
        <v>0</v>
      </c>
      <c r="F43">
        <v>0</v>
      </c>
      <c r="G43">
        <v>300</v>
      </c>
      <c r="H43">
        <v>0</v>
      </c>
      <c r="I43">
        <v>0</v>
      </c>
      <c r="J43">
        <v>0</v>
      </c>
      <c r="K43">
        <v>0</v>
      </c>
      <c r="L43">
        <v>310</v>
      </c>
      <c r="N43">
        <v>144</v>
      </c>
      <c r="O43">
        <v>76</v>
      </c>
      <c r="P43">
        <v>220</v>
      </c>
      <c r="Q43">
        <v>30.6</v>
      </c>
      <c r="R43">
        <v>30.6</v>
      </c>
    </row>
    <row r="44" spans="3:18" ht="15" customHeight="1" x14ac:dyDescent="0.2">
      <c r="C44" t="s">
        <v>61</v>
      </c>
      <c r="D44">
        <v>10</v>
      </c>
      <c r="E44">
        <v>150</v>
      </c>
      <c r="F44">
        <v>50</v>
      </c>
      <c r="G44">
        <v>0</v>
      </c>
      <c r="H44">
        <v>0</v>
      </c>
      <c r="I44">
        <v>0</v>
      </c>
      <c r="J44">
        <v>0</v>
      </c>
      <c r="K44">
        <v>0</v>
      </c>
      <c r="L44">
        <v>210</v>
      </c>
      <c r="N44">
        <v>144</v>
      </c>
      <c r="O44">
        <v>76</v>
      </c>
      <c r="P44">
        <v>220</v>
      </c>
      <c r="Q44">
        <v>30.6</v>
      </c>
      <c r="R44">
        <v>30.6</v>
      </c>
    </row>
    <row r="45" spans="3:18" ht="15" customHeight="1" x14ac:dyDescent="0.2">
      <c r="C45" t="s">
        <v>59</v>
      </c>
      <c r="D45">
        <v>10</v>
      </c>
      <c r="E45">
        <v>0</v>
      </c>
      <c r="F45">
        <v>0</v>
      </c>
      <c r="G45">
        <v>300</v>
      </c>
      <c r="H45">
        <v>80</v>
      </c>
      <c r="I45">
        <v>0</v>
      </c>
      <c r="J45">
        <v>0</v>
      </c>
      <c r="K45">
        <v>0</v>
      </c>
      <c r="L45">
        <v>390</v>
      </c>
      <c r="M45">
        <v>83</v>
      </c>
      <c r="N45">
        <v>144</v>
      </c>
      <c r="O45">
        <v>76</v>
      </c>
      <c r="P45">
        <v>303</v>
      </c>
      <c r="Q45">
        <v>30.6</v>
      </c>
      <c r="R45">
        <v>30.6</v>
      </c>
    </row>
    <row r="46" spans="3:18" ht="15" customHeight="1" x14ac:dyDescent="0.2">
      <c r="C46" t="s">
        <v>54</v>
      </c>
      <c r="D46">
        <v>165</v>
      </c>
      <c r="E46">
        <v>300</v>
      </c>
      <c r="F46">
        <v>50</v>
      </c>
      <c r="G46">
        <v>0</v>
      </c>
      <c r="H46">
        <v>40</v>
      </c>
      <c r="I46">
        <v>0</v>
      </c>
      <c r="J46">
        <v>0</v>
      </c>
      <c r="K46">
        <v>0</v>
      </c>
      <c r="L46">
        <v>555</v>
      </c>
      <c r="N46">
        <v>144</v>
      </c>
      <c r="O46">
        <v>76</v>
      </c>
      <c r="P46">
        <v>220</v>
      </c>
      <c r="Q46">
        <v>30.6</v>
      </c>
      <c r="R46">
        <v>30.6</v>
      </c>
    </row>
    <row r="47" spans="3:18" ht="15" customHeight="1" x14ac:dyDescent="0.2">
      <c r="C47" t="s">
        <v>651</v>
      </c>
      <c r="D47">
        <v>10</v>
      </c>
      <c r="E47">
        <v>40</v>
      </c>
      <c r="F47">
        <v>50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N47">
        <v>144</v>
      </c>
      <c r="O47">
        <v>76</v>
      </c>
      <c r="P47">
        <v>220</v>
      </c>
      <c r="Q47">
        <v>30.6</v>
      </c>
      <c r="R47">
        <v>30.6</v>
      </c>
    </row>
    <row r="48" spans="3:18" ht="15" customHeight="1" x14ac:dyDescent="0.2">
      <c r="C48" t="s">
        <v>1406</v>
      </c>
      <c r="D48">
        <v>10</v>
      </c>
      <c r="E48">
        <v>115</v>
      </c>
      <c r="F48">
        <v>50</v>
      </c>
      <c r="G48">
        <v>0</v>
      </c>
      <c r="H48">
        <v>0</v>
      </c>
      <c r="I48">
        <v>0</v>
      </c>
      <c r="J48">
        <v>0</v>
      </c>
      <c r="K48">
        <v>0</v>
      </c>
      <c r="L48">
        <v>175</v>
      </c>
      <c r="M48">
        <v>83</v>
      </c>
      <c r="N48">
        <v>144</v>
      </c>
      <c r="O48">
        <v>76</v>
      </c>
      <c r="P48">
        <v>303</v>
      </c>
      <c r="Q48">
        <v>30.6</v>
      </c>
      <c r="R48">
        <v>30.6</v>
      </c>
    </row>
    <row r="49" spans="3:19" ht="15" customHeight="1" x14ac:dyDescent="0.2">
      <c r="C49" t="s">
        <v>1421</v>
      </c>
      <c r="D49">
        <v>10</v>
      </c>
      <c r="E49">
        <v>100</v>
      </c>
      <c r="F49">
        <v>0</v>
      </c>
      <c r="G49">
        <v>300</v>
      </c>
      <c r="H49">
        <v>0</v>
      </c>
      <c r="I49">
        <v>0</v>
      </c>
      <c r="J49">
        <v>0</v>
      </c>
      <c r="K49">
        <v>0</v>
      </c>
      <c r="L49">
        <v>410</v>
      </c>
      <c r="M49">
        <v>83</v>
      </c>
      <c r="N49">
        <v>144</v>
      </c>
      <c r="O49">
        <v>76</v>
      </c>
      <c r="P49">
        <v>303</v>
      </c>
      <c r="Q49">
        <v>30.6</v>
      </c>
      <c r="R49">
        <v>30.6</v>
      </c>
    </row>
    <row r="50" spans="3:19" ht="15" customHeight="1" x14ac:dyDescent="0.2">
      <c r="C50" t="s">
        <v>1420</v>
      </c>
      <c r="D50">
        <v>140</v>
      </c>
      <c r="E50">
        <v>115</v>
      </c>
      <c r="F50">
        <v>0</v>
      </c>
      <c r="G50">
        <v>300</v>
      </c>
      <c r="H50">
        <v>0</v>
      </c>
      <c r="I50">
        <v>-100</v>
      </c>
      <c r="J50">
        <v>0</v>
      </c>
      <c r="K50">
        <v>0</v>
      </c>
      <c r="L50">
        <v>455</v>
      </c>
      <c r="N50">
        <v>144</v>
      </c>
      <c r="O50">
        <v>76</v>
      </c>
      <c r="P50">
        <v>220</v>
      </c>
      <c r="Q50">
        <v>30.6</v>
      </c>
      <c r="R50">
        <v>30.6</v>
      </c>
    </row>
    <row r="51" spans="3:19" ht="15" customHeight="1" x14ac:dyDescent="0.2">
      <c r="C51" t="s">
        <v>62</v>
      </c>
      <c r="D51">
        <v>10</v>
      </c>
      <c r="E51">
        <v>40</v>
      </c>
      <c r="F51">
        <v>50</v>
      </c>
      <c r="G51">
        <v>0</v>
      </c>
      <c r="H51">
        <v>0</v>
      </c>
      <c r="I51">
        <v>0</v>
      </c>
      <c r="J51">
        <v>0</v>
      </c>
      <c r="K51">
        <v>0</v>
      </c>
      <c r="L51">
        <v>100</v>
      </c>
      <c r="N51">
        <v>144</v>
      </c>
      <c r="O51">
        <v>76</v>
      </c>
      <c r="P51">
        <v>220</v>
      </c>
      <c r="Q51">
        <v>30.6</v>
      </c>
      <c r="R51">
        <v>30.6</v>
      </c>
    </row>
    <row r="52" spans="3:19" ht="15" customHeight="1" x14ac:dyDescent="0.2">
      <c r="C52" t="s">
        <v>1405</v>
      </c>
      <c r="D52">
        <v>0</v>
      </c>
      <c r="E52">
        <v>0</v>
      </c>
      <c r="F52">
        <v>0</v>
      </c>
      <c r="G52">
        <v>0</v>
      </c>
      <c r="H52">
        <v>217</v>
      </c>
      <c r="I52">
        <v>0</v>
      </c>
      <c r="J52">
        <v>0</v>
      </c>
      <c r="K52">
        <v>-217</v>
      </c>
      <c r="L52">
        <v>217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3:19" ht="15" customHeight="1" x14ac:dyDescent="0.2">
      <c r="C53" t="s">
        <v>41</v>
      </c>
      <c r="D53">
        <v>0</v>
      </c>
      <c r="E53">
        <v>0</v>
      </c>
      <c r="F53">
        <v>0</v>
      </c>
      <c r="G53">
        <v>0</v>
      </c>
      <c r="H53">
        <v>-12.5</v>
      </c>
      <c r="I53">
        <v>0</v>
      </c>
      <c r="J53">
        <v>12.5</v>
      </c>
      <c r="K53">
        <v>0</v>
      </c>
      <c r="L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3:19" ht="15" customHeight="1" x14ac:dyDescent="0.2">
      <c r="C54" t="s">
        <v>43</v>
      </c>
      <c r="D54">
        <v>0</v>
      </c>
      <c r="E54">
        <v>0</v>
      </c>
      <c r="F54">
        <v>0</v>
      </c>
      <c r="G54">
        <v>0</v>
      </c>
      <c r="H54">
        <v>50</v>
      </c>
      <c r="I54">
        <v>0</v>
      </c>
      <c r="J54">
        <v>0</v>
      </c>
      <c r="K54">
        <v>0</v>
      </c>
      <c r="L54">
        <v>50</v>
      </c>
      <c r="N54">
        <v>144</v>
      </c>
      <c r="O54">
        <v>0</v>
      </c>
      <c r="P54">
        <v>144</v>
      </c>
      <c r="Q54">
        <v>0</v>
      </c>
      <c r="R54">
        <v>0</v>
      </c>
    </row>
    <row r="55" spans="3:19" ht="15" customHeight="1" x14ac:dyDescent="0.2">
      <c r="C55" t="s">
        <v>1437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N55">
        <v>144</v>
      </c>
      <c r="O55">
        <v>0</v>
      </c>
      <c r="P55">
        <v>144</v>
      </c>
      <c r="Q55">
        <v>0</v>
      </c>
      <c r="R55">
        <v>0</v>
      </c>
    </row>
    <row r="56" spans="3:19" ht="15" customHeight="1" x14ac:dyDescent="0.2">
      <c r="C56" t="s">
        <v>1424</v>
      </c>
      <c r="D56">
        <v>1095</v>
      </c>
      <c r="E56">
        <v>1205</v>
      </c>
      <c r="F56">
        <v>500</v>
      </c>
      <c r="G56">
        <v>3000</v>
      </c>
      <c r="H56">
        <v>334.5</v>
      </c>
      <c r="I56">
        <v>-100</v>
      </c>
      <c r="J56">
        <v>12.5</v>
      </c>
      <c r="K56">
        <v>-217</v>
      </c>
      <c r="L56">
        <v>6047</v>
      </c>
      <c r="M56">
        <v>249</v>
      </c>
      <c r="N56">
        <v>3312</v>
      </c>
      <c r="O56">
        <v>1520</v>
      </c>
      <c r="P56">
        <v>5081</v>
      </c>
      <c r="Q56">
        <v>612</v>
      </c>
      <c r="R56">
        <v>612</v>
      </c>
    </row>
    <row r="58" spans="3:19" ht="15" customHeight="1" x14ac:dyDescent="0.2">
      <c r="C58" t="s">
        <v>1338</v>
      </c>
    </row>
    <row r="59" spans="3:19" ht="48" customHeight="1" x14ac:dyDescent="0.2">
      <c r="C59" t="s">
        <v>1414</v>
      </c>
      <c r="D59" t="s">
        <v>1425</v>
      </c>
      <c r="E59" t="s">
        <v>1415</v>
      </c>
      <c r="F59" t="s">
        <v>1438</v>
      </c>
      <c r="G59" t="s">
        <v>1427</v>
      </c>
      <c r="H59" t="s">
        <v>1418</v>
      </c>
      <c r="I59" t="s">
        <v>1439</v>
      </c>
      <c r="J59" t="s">
        <v>1440</v>
      </c>
      <c r="K59" t="s">
        <v>1441</v>
      </c>
      <c r="L59" t="s">
        <v>1442</v>
      </c>
      <c r="M59" s="33" t="s">
        <v>1443</v>
      </c>
      <c r="N59" t="s">
        <v>1429</v>
      </c>
      <c r="O59" t="s">
        <v>1430</v>
      </c>
      <c r="P59" t="s">
        <v>1444</v>
      </c>
      <c r="Q59" t="s">
        <v>1445</v>
      </c>
      <c r="R59" t="s">
        <v>1446</v>
      </c>
      <c r="S59" t="s">
        <v>1447</v>
      </c>
    </row>
    <row r="60" spans="3:19" ht="15" customHeight="1" x14ac:dyDescent="0.2">
      <c r="C60" t="s">
        <v>45</v>
      </c>
      <c r="D60">
        <v>160</v>
      </c>
      <c r="E60">
        <v>0</v>
      </c>
      <c r="F60">
        <v>0</v>
      </c>
      <c r="G60">
        <v>0</v>
      </c>
      <c r="H60">
        <v>100</v>
      </c>
      <c r="I60">
        <v>0</v>
      </c>
      <c r="J60">
        <v>-25</v>
      </c>
      <c r="K60">
        <v>-100</v>
      </c>
      <c r="L60">
        <v>0</v>
      </c>
      <c r="M60">
        <v>0</v>
      </c>
      <c r="N60">
        <v>0</v>
      </c>
      <c r="O60">
        <v>135</v>
      </c>
      <c r="P60">
        <v>152</v>
      </c>
      <c r="Q60">
        <v>152</v>
      </c>
      <c r="R60">
        <v>45</v>
      </c>
      <c r="S60">
        <v>45</v>
      </c>
    </row>
    <row r="61" spans="3:19" ht="15" customHeight="1" x14ac:dyDescent="0.2">
      <c r="C61" t="s">
        <v>1260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3:19" ht="15" customHeight="1" x14ac:dyDescent="0.2">
      <c r="C62" t="s">
        <v>1262</v>
      </c>
      <c r="D62">
        <v>75</v>
      </c>
      <c r="E62">
        <v>140</v>
      </c>
      <c r="F62">
        <v>0</v>
      </c>
      <c r="G62">
        <v>300</v>
      </c>
      <c r="H62">
        <v>186.67</v>
      </c>
      <c r="I62">
        <v>0</v>
      </c>
      <c r="J62">
        <v>-25</v>
      </c>
      <c r="K62">
        <v>0</v>
      </c>
      <c r="L62">
        <v>0</v>
      </c>
      <c r="M62">
        <v>0</v>
      </c>
      <c r="N62">
        <v>0</v>
      </c>
      <c r="O62">
        <v>676.67</v>
      </c>
      <c r="P62">
        <v>152</v>
      </c>
      <c r="Q62">
        <v>152</v>
      </c>
      <c r="R62">
        <v>45</v>
      </c>
      <c r="S62">
        <v>45</v>
      </c>
    </row>
    <row r="63" spans="3:19" ht="15" customHeight="1" x14ac:dyDescent="0.2">
      <c r="C63" t="s">
        <v>63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152</v>
      </c>
      <c r="Q63">
        <v>152</v>
      </c>
      <c r="R63">
        <v>45</v>
      </c>
      <c r="S63">
        <v>45</v>
      </c>
    </row>
    <row r="64" spans="3:19" ht="15" customHeight="1" x14ac:dyDescent="0.2">
      <c r="C64" t="s">
        <v>44</v>
      </c>
      <c r="D64">
        <v>95</v>
      </c>
      <c r="E64">
        <v>0</v>
      </c>
      <c r="F64">
        <v>0</v>
      </c>
      <c r="G64">
        <v>300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395</v>
      </c>
      <c r="P64">
        <v>152</v>
      </c>
      <c r="Q64">
        <v>152</v>
      </c>
      <c r="R64">
        <v>45</v>
      </c>
      <c r="S64">
        <v>45</v>
      </c>
    </row>
    <row r="65" spans="3:19" ht="15" customHeight="1" x14ac:dyDescent="0.2">
      <c r="C65" t="s">
        <v>54</v>
      </c>
      <c r="D65">
        <v>120</v>
      </c>
      <c r="E65">
        <v>290</v>
      </c>
      <c r="F65">
        <v>0</v>
      </c>
      <c r="G65">
        <v>300</v>
      </c>
      <c r="H65">
        <v>0</v>
      </c>
      <c r="I65">
        <v>0</v>
      </c>
      <c r="J65">
        <v>0</v>
      </c>
      <c r="K65">
        <v>-160</v>
      </c>
      <c r="L65">
        <v>0</v>
      </c>
      <c r="M65">
        <v>0</v>
      </c>
      <c r="N65">
        <v>0</v>
      </c>
      <c r="O65">
        <v>550</v>
      </c>
      <c r="P65">
        <v>152</v>
      </c>
      <c r="Q65">
        <v>152</v>
      </c>
      <c r="R65">
        <v>45</v>
      </c>
      <c r="S65">
        <v>45</v>
      </c>
    </row>
    <row r="66" spans="3:19" ht="15" customHeight="1" x14ac:dyDescent="0.2">
      <c r="C66" t="s">
        <v>53</v>
      </c>
      <c r="D66">
        <v>60</v>
      </c>
      <c r="E66">
        <v>225</v>
      </c>
      <c r="F66">
        <v>0</v>
      </c>
      <c r="G66">
        <v>0</v>
      </c>
      <c r="H66">
        <v>-253.41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31.59</v>
      </c>
      <c r="P66">
        <v>152</v>
      </c>
      <c r="Q66">
        <v>152</v>
      </c>
      <c r="R66">
        <v>45</v>
      </c>
      <c r="S66">
        <v>45</v>
      </c>
    </row>
    <row r="67" spans="3:19" ht="15" customHeight="1" x14ac:dyDescent="0.2">
      <c r="C67" t="s">
        <v>1405</v>
      </c>
      <c r="D67">
        <v>200</v>
      </c>
      <c r="E67">
        <v>40</v>
      </c>
      <c r="F67">
        <v>0</v>
      </c>
      <c r="G67">
        <v>300</v>
      </c>
      <c r="H67">
        <v>129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669</v>
      </c>
      <c r="P67">
        <v>152</v>
      </c>
      <c r="Q67">
        <v>152</v>
      </c>
      <c r="R67">
        <v>45</v>
      </c>
      <c r="S67">
        <v>45</v>
      </c>
    </row>
    <row r="68" spans="3:19" ht="15" customHeight="1" x14ac:dyDescent="0.2">
      <c r="C68" t="s">
        <v>40</v>
      </c>
      <c r="D68">
        <v>225</v>
      </c>
      <c r="E68">
        <v>0</v>
      </c>
      <c r="F68">
        <v>100</v>
      </c>
      <c r="G68">
        <v>0</v>
      </c>
      <c r="H68">
        <v>-100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225</v>
      </c>
      <c r="P68">
        <v>152</v>
      </c>
      <c r="Q68">
        <v>152</v>
      </c>
      <c r="R68">
        <v>45</v>
      </c>
      <c r="S68">
        <v>45</v>
      </c>
    </row>
    <row r="69" spans="3:19" ht="15" customHeight="1" x14ac:dyDescent="0.2">
      <c r="C69" t="s">
        <v>41</v>
      </c>
      <c r="D69">
        <v>120</v>
      </c>
      <c r="E69">
        <v>215</v>
      </c>
      <c r="F69">
        <v>0</v>
      </c>
      <c r="G69">
        <v>300</v>
      </c>
      <c r="H69">
        <v>-71.430000000000007</v>
      </c>
      <c r="I69">
        <v>0</v>
      </c>
      <c r="J69">
        <v>0</v>
      </c>
      <c r="K69">
        <v>-112.5</v>
      </c>
      <c r="L69">
        <v>0</v>
      </c>
      <c r="M69">
        <v>0</v>
      </c>
      <c r="N69">
        <v>0</v>
      </c>
      <c r="O69">
        <v>451.07</v>
      </c>
      <c r="P69">
        <v>152</v>
      </c>
      <c r="Q69">
        <v>152</v>
      </c>
      <c r="R69">
        <v>45</v>
      </c>
      <c r="S69">
        <v>45</v>
      </c>
    </row>
    <row r="70" spans="3:19" ht="15" customHeight="1" x14ac:dyDescent="0.2">
      <c r="C70" t="s">
        <v>42</v>
      </c>
      <c r="D70">
        <v>260</v>
      </c>
      <c r="E70">
        <v>290</v>
      </c>
      <c r="F70">
        <v>0</v>
      </c>
      <c r="G70">
        <v>300</v>
      </c>
      <c r="H70">
        <v>-260</v>
      </c>
      <c r="I70">
        <v>-25</v>
      </c>
      <c r="J70">
        <v>0</v>
      </c>
      <c r="K70">
        <v>-160</v>
      </c>
      <c r="L70">
        <v>0</v>
      </c>
      <c r="M70">
        <v>0</v>
      </c>
      <c r="N70">
        <v>0</v>
      </c>
      <c r="O70">
        <v>405</v>
      </c>
      <c r="P70">
        <v>152</v>
      </c>
      <c r="Q70">
        <v>152</v>
      </c>
      <c r="R70">
        <v>45</v>
      </c>
      <c r="S70">
        <v>45</v>
      </c>
    </row>
    <row r="71" spans="3:19" ht="15" customHeight="1" x14ac:dyDescent="0.2">
      <c r="C71" t="s">
        <v>48</v>
      </c>
      <c r="D71">
        <v>100</v>
      </c>
      <c r="E71">
        <v>290</v>
      </c>
      <c r="F71">
        <v>0</v>
      </c>
      <c r="G71">
        <v>0</v>
      </c>
      <c r="H71">
        <v>-91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299</v>
      </c>
      <c r="P71">
        <v>152</v>
      </c>
      <c r="Q71">
        <v>152</v>
      </c>
      <c r="R71">
        <v>45</v>
      </c>
      <c r="S71">
        <v>45</v>
      </c>
    </row>
    <row r="72" spans="3:19" ht="15" customHeight="1" x14ac:dyDescent="0.2">
      <c r="C72" t="s">
        <v>46</v>
      </c>
      <c r="D72">
        <v>60</v>
      </c>
      <c r="E72">
        <v>100</v>
      </c>
      <c r="F72">
        <v>0</v>
      </c>
      <c r="G72">
        <v>0</v>
      </c>
      <c r="H72">
        <v>-25.24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134.76</v>
      </c>
      <c r="P72">
        <v>152</v>
      </c>
      <c r="Q72">
        <v>152</v>
      </c>
      <c r="R72">
        <v>45</v>
      </c>
      <c r="S72">
        <v>45</v>
      </c>
    </row>
    <row r="73" spans="3:19" ht="15" customHeight="1" x14ac:dyDescent="0.2">
      <c r="C73" t="s">
        <v>61</v>
      </c>
      <c r="D73">
        <v>0</v>
      </c>
      <c r="E73">
        <v>40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40</v>
      </c>
      <c r="P73">
        <v>152</v>
      </c>
      <c r="Q73">
        <v>152</v>
      </c>
      <c r="R73">
        <v>45</v>
      </c>
      <c r="S73">
        <v>45</v>
      </c>
    </row>
    <row r="74" spans="3:19" ht="15" customHeight="1" x14ac:dyDescent="0.2">
      <c r="C74" t="s">
        <v>59</v>
      </c>
      <c r="D74">
        <v>60</v>
      </c>
      <c r="E74">
        <v>0</v>
      </c>
      <c r="F74">
        <v>100</v>
      </c>
      <c r="G74">
        <v>0</v>
      </c>
      <c r="H74">
        <v>100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260</v>
      </c>
      <c r="P74">
        <v>152</v>
      </c>
      <c r="Q74">
        <v>152</v>
      </c>
      <c r="R74">
        <v>45</v>
      </c>
      <c r="S74">
        <v>45</v>
      </c>
    </row>
    <row r="75" spans="3:19" ht="15" customHeight="1" x14ac:dyDescent="0.2">
      <c r="C75" t="s">
        <v>43</v>
      </c>
      <c r="D75">
        <v>60</v>
      </c>
      <c r="E75">
        <v>0</v>
      </c>
      <c r="F75">
        <v>0</v>
      </c>
      <c r="G75">
        <v>300</v>
      </c>
      <c r="H75">
        <v>29</v>
      </c>
      <c r="I75">
        <v>-25</v>
      </c>
      <c r="J75">
        <v>0</v>
      </c>
      <c r="K75">
        <v>-100</v>
      </c>
      <c r="L75">
        <v>100</v>
      </c>
      <c r="M75">
        <v>0</v>
      </c>
      <c r="N75">
        <v>0</v>
      </c>
      <c r="O75">
        <v>364</v>
      </c>
      <c r="P75">
        <v>152</v>
      </c>
      <c r="Q75">
        <v>152</v>
      </c>
      <c r="R75">
        <v>45</v>
      </c>
      <c r="S75">
        <v>45</v>
      </c>
    </row>
    <row r="76" spans="3:19" ht="15" customHeight="1" x14ac:dyDescent="0.2">
      <c r="C76" t="s">
        <v>651</v>
      </c>
      <c r="D76">
        <v>0</v>
      </c>
      <c r="E76">
        <v>115</v>
      </c>
      <c r="F76">
        <v>0</v>
      </c>
      <c r="G76">
        <v>0</v>
      </c>
      <c r="I76">
        <v>-25</v>
      </c>
      <c r="J76">
        <v>0</v>
      </c>
      <c r="K76">
        <v>0</v>
      </c>
      <c r="L76">
        <v>0</v>
      </c>
      <c r="M76">
        <v>0</v>
      </c>
      <c r="N76">
        <v>0</v>
      </c>
      <c r="O76">
        <v>90</v>
      </c>
      <c r="P76">
        <v>152</v>
      </c>
      <c r="Q76">
        <v>152</v>
      </c>
      <c r="R76">
        <v>45</v>
      </c>
      <c r="S76">
        <v>45</v>
      </c>
    </row>
    <row r="77" spans="3:19" ht="15" customHeight="1" x14ac:dyDescent="0.2">
      <c r="C77" t="s">
        <v>1406</v>
      </c>
      <c r="D77">
        <v>0</v>
      </c>
      <c r="E77">
        <v>0</v>
      </c>
      <c r="F77">
        <v>0</v>
      </c>
      <c r="G77">
        <v>0</v>
      </c>
      <c r="H77">
        <v>-70</v>
      </c>
      <c r="I77">
        <v>-25</v>
      </c>
      <c r="J77">
        <v>0</v>
      </c>
      <c r="K77">
        <v>0</v>
      </c>
      <c r="L77">
        <v>0</v>
      </c>
      <c r="M77">
        <v>95</v>
      </c>
      <c r="N77">
        <v>0</v>
      </c>
      <c r="O77">
        <v>0</v>
      </c>
      <c r="P77">
        <v>152</v>
      </c>
      <c r="Q77">
        <v>152</v>
      </c>
      <c r="R77">
        <v>45</v>
      </c>
      <c r="S77">
        <v>45</v>
      </c>
    </row>
    <row r="78" spans="3:19" ht="15" customHeight="1" x14ac:dyDescent="0.2">
      <c r="C78" t="s">
        <v>1421</v>
      </c>
      <c r="D78">
        <v>0</v>
      </c>
      <c r="E78">
        <v>115</v>
      </c>
      <c r="F78">
        <v>0</v>
      </c>
      <c r="G78">
        <v>300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415</v>
      </c>
      <c r="P78">
        <v>152</v>
      </c>
      <c r="Q78">
        <v>152</v>
      </c>
      <c r="R78">
        <v>45</v>
      </c>
      <c r="S78">
        <v>45</v>
      </c>
    </row>
    <row r="79" spans="3:19" ht="15" customHeight="1" x14ac:dyDescent="0.2">
      <c r="C79" t="s">
        <v>1420</v>
      </c>
      <c r="D79">
        <v>120</v>
      </c>
      <c r="E79">
        <v>150</v>
      </c>
      <c r="F79">
        <v>0</v>
      </c>
      <c r="G79">
        <v>300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570</v>
      </c>
      <c r="P79">
        <v>152</v>
      </c>
      <c r="Q79">
        <v>152</v>
      </c>
      <c r="R79">
        <v>45</v>
      </c>
      <c r="S79">
        <v>45</v>
      </c>
    </row>
    <row r="80" spans="3:19" ht="15" customHeight="1" x14ac:dyDescent="0.2">
      <c r="C80" t="s">
        <v>62</v>
      </c>
      <c r="D80">
        <v>135</v>
      </c>
      <c r="E80">
        <v>100</v>
      </c>
      <c r="F80">
        <v>0</v>
      </c>
      <c r="G80">
        <v>300</v>
      </c>
      <c r="H80">
        <v>-66.67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468.33</v>
      </c>
      <c r="P80">
        <v>152</v>
      </c>
      <c r="Q80">
        <v>152</v>
      </c>
      <c r="R80">
        <v>45</v>
      </c>
      <c r="S80">
        <v>45</v>
      </c>
    </row>
    <row r="81" spans="3:19" ht="15" customHeight="1" x14ac:dyDescent="0.2">
      <c r="C81" t="s">
        <v>1424</v>
      </c>
      <c r="D81">
        <v>1850</v>
      </c>
      <c r="E81">
        <v>2110</v>
      </c>
      <c r="F81">
        <v>200</v>
      </c>
      <c r="G81">
        <v>3000</v>
      </c>
      <c r="H81">
        <v>-393.08</v>
      </c>
      <c r="I81">
        <v>-100</v>
      </c>
      <c r="J81">
        <v>-50</v>
      </c>
      <c r="K81">
        <v>-632.5</v>
      </c>
      <c r="L81">
        <v>100</v>
      </c>
      <c r="M81">
        <v>95</v>
      </c>
      <c r="N81">
        <v>0</v>
      </c>
      <c r="O81">
        <v>6179.42</v>
      </c>
      <c r="P81">
        <v>3040</v>
      </c>
      <c r="Q81">
        <v>3040</v>
      </c>
      <c r="R81">
        <v>900</v>
      </c>
      <c r="S81">
        <v>900</v>
      </c>
    </row>
    <row r="83" spans="3:19" ht="15" customHeight="1" x14ac:dyDescent="0.2">
      <c r="C83" t="s">
        <v>1348</v>
      </c>
    </row>
    <row r="84" spans="3:19" ht="48" customHeight="1" x14ac:dyDescent="0.2">
      <c r="C84" t="s">
        <v>1414</v>
      </c>
      <c r="D84" t="s">
        <v>1425</v>
      </c>
      <c r="E84" t="s">
        <v>1415</v>
      </c>
      <c r="F84" t="s">
        <v>1427</v>
      </c>
      <c r="G84" t="s">
        <v>1418</v>
      </c>
      <c r="H84" t="s">
        <v>1439</v>
      </c>
      <c r="I84" t="s">
        <v>1440</v>
      </c>
      <c r="J84" t="s">
        <v>1441</v>
      </c>
      <c r="K84" s="33" t="s">
        <v>1448</v>
      </c>
      <c r="L84" t="s">
        <v>1429</v>
      </c>
      <c r="M84" t="s">
        <v>1430</v>
      </c>
      <c r="N84" t="s">
        <v>1449</v>
      </c>
      <c r="O84" t="s">
        <v>1450</v>
      </c>
    </row>
    <row r="85" spans="3:19" ht="15" customHeight="1" x14ac:dyDescent="0.2">
      <c r="C85" t="s">
        <v>57</v>
      </c>
      <c r="D85">
        <v>0</v>
      </c>
      <c r="E85">
        <v>125</v>
      </c>
      <c r="F85">
        <v>0</v>
      </c>
      <c r="G85">
        <v>-192</v>
      </c>
      <c r="H85">
        <v>0</v>
      </c>
      <c r="I85">
        <v>0</v>
      </c>
      <c r="J85">
        <v>0</v>
      </c>
      <c r="K85">
        <v>67</v>
      </c>
      <c r="L85">
        <v>0</v>
      </c>
      <c r="M85">
        <v>0</v>
      </c>
      <c r="N85">
        <v>233.04190476190499</v>
      </c>
      <c r="O85">
        <v>233.04190476190499</v>
      </c>
    </row>
    <row r="86" spans="3:19" ht="15" customHeight="1" x14ac:dyDescent="0.2">
      <c r="C86" t="s">
        <v>45</v>
      </c>
      <c r="D86">
        <v>0</v>
      </c>
      <c r="E86">
        <v>0</v>
      </c>
      <c r="F86">
        <v>300</v>
      </c>
      <c r="G86">
        <v>158.74</v>
      </c>
      <c r="H86">
        <v>-25</v>
      </c>
      <c r="I86">
        <v>-25</v>
      </c>
      <c r="J86">
        <v>-100</v>
      </c>
      <c r="K86">
        <v>0</v>
      </c>
      <c r="L86">
        <v>0</v>
      </c>
      <c r="M86">
        <v>308.74</v>
      </c>
      <c r="N86">
        <v>233.04190476190499</v>
      </c>
      <c r="O86">
        <v>233.04190476190499</v>
      </c>
    </row>
    <row r="87" spans="3:19" ht="15" customHeight="1" x14ac:dyDescent="0.2">
      <c r="C87" t="s">
        <v>1260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3:19" ht="15" customHeight="1" x14ac:dyDescent="0.2">
      <c r="C88" t="s">
        <v>1262</v>
      </c>
      <c r="D88">
        <v>175</v>
      </c>
      <c r="E88">
        <v>40</v>
      </c>
      <c r="F88">
        <v>300</v>
      </c>
      <c r="G88">
        <v>-38.75</v>
      </c>
      <c r="H88">
        <v>0</v>
      </c>
      <c r="I88">
        <v>0</v>
      </c>
      <c r="J88">
        <v>-100</v>
      </c>
      <c r="K88">
        <v>0</v>
      </c>
      <c r="L88">
        <v>0</v>
      </c>
      <c r="M88">
        <v>376.25</v>
      </c>
      <c r="N88">
        <v>233.04190476190499</v>
      </c>
      <c r="O88">
        <v>233.04190476190499</v>
      </c>
    </row>
    <row r="89" spans="3:19" ht="15" customHeight="1" x14ac:dyDescent="0.2">
      <c r="C89" t="s">
        <v>64</v>
      </c>
      <c r="D89">
        <v>0</v>
      </c>
      <c r="E89">
        <v>0</v>
      </c>
      <c r="F89">
        <v>0</v>
      </c>
      <c r="G89">
        <v>17.32</v>
      </c>
      <c r="H89">
        <v>0</v>
      </c>
      <c r="I89">
        <v>0</v>
      </c>
      <c r="J89">
        <v>0</v>
      </c>
      <c r="K89">
        <v>0</v>
      </c>
      <c r="L89">
        <v>0</v>
      </c>
      <c r="M89">
        <v>17.32</v>
      </c>
      <c r="N89">
        <v>233.04190476190499</v>
      </c>
      <c r="O89">
        <v>233.04190476190499</v>
      </c>
    </row>
    <row r="90" spans="3:19" ht="15" customHeight="1" x14ac:dyDescent="0.2">
      <c r="C90" t="s">
        <v>44</v>
      </c>
      <c r="D90">
        <v>100</v>
      </c>
      <c r="E90">
        <v>150</v>
      </c>
      <c r="F90">
        <v>300</v>
      </c>
      <c r="G90">
        <v>195</v>
      </c>
      <c r="H90">
        <v>0</v>
      </c>
      <c r="I90">
        <v>0</v>
      </c>
      <c r="J90">
        <v>-100</v>
      </c>
      <c r="K90">
        <v>0</v>
      </c>
      <c r="L90">
        <v>0</v>
      </c>
      <c r="M90">
        <v>645</v>
      </c>
      <c r="N90">
        <v>233.04190476190499</v>
      </c>
      <c r="O90">
        <v>233.04190476190499</v>
      </c>
    </row>
    <row r="91" spans="3:19" ht="15" customHeight="1" x14ac:dyDescent="0.2">
      <c r="C91" t="s">
        <v>54</v>
      </c>
      <c r="D91">
        <v>175</v>
      </c>
      <c r="E91">
        <v>290</v>
      </c>
      <c r="F91">
        <v>0</v>
      </c>
      <c r="G91">
        <v>125.93</v>
      </c>
      <c r="H91">
        <v>0</v>
      </c>
      <c r="I91">
        <v>0</v>
      </c>
      <c r="J91">
        <v>-160</v>
      </c>
      <c r="K91">
        <v>0</v>
      </c>
      <c r="L91">
        <v>0</v>
      </c>
      <c r="M91">
        <v>430.93</v>
      </c>
      <c r="N91">
        <v>233.04190476190499</v>
      </c>
      <c r="O91">
        <v>233.04190476190499</v>
      </c>
    </row>
    <row r="92" spans="3:19" ht="15" customHeight="1" x14ac:dyDescent="0.2">
      <c r="C92" t="s">
        <v>53</v>
      </c>
      <c r="D92">
        <v>135</v>
      </c>
      <c r="E92">
        <v>100</v>
      </c>
      <c r="F92">
        <v>300</v>
      </c>
      <c r="G92">
        <v>99.17</v>
      </c>
      <c r="H92">
        <v>0</v>
      </c>
      <c r="I92">
        <v>0</v>
      </c>
      <c r="J92">
        <v>0</v>
      </c>
      <c r="K92">
        <v>0</v>
      </c>
      <c r="L92">
        <v>0</v>
      </c>
      <c r="M92">
        <v>634.16999999999996</v>
      </c>
      <c r="N92">
        <v>233.04190476190499</v>
      </c>
      <c r="O92">
        <v>233.04190476190499</v>
      </c>
    </row>
    <row r="93" spans="3:19" ht="15" customHeight="1" x14ac:dyDescent="0.2">
      <c r="C93" t="s">
        <v>1405</v>
      </c>
      <c r="D93">
        <v>175</v>
      </c>
      <c r="E93">
        <v>275</v>
      </c>
      <c r="F93">
        <v>0</v>
      </c>
      <c r="G93">
        <v>-300</v>
      </c>
      <c r="H93">
        <v>-25</v>
      </c>
      <c r="I93">
        <v>0</v>
      </c>
      <c r="J93">
        <v>0</v>
      </c>
      <c r="K93">
        <v>0</v>
      </c>
      <c r="L93">
        <v>0</v>
      </c>
      <c r="M93">
        <v>125</v>
      </c>
      <c r="N93">
        <v>233.04190476190499</v>
      </c>
      <c r="O93">
        <v>233.04190476190499</v>
      </c>
    </row>
    <row r="94" spans="3:19" ht="15" customHeight="1" x14ac:dyDescent="0.2">
      <c r="C94" t="s">
        <v>40</v>
      </c>
      <c r="D94">
        <v>0</v>
      </c>
      <c r="E94">
        <v>0</v>
      </c>
      <c r="F94">
        <v>0</v>
      </c>
      <c r="G94">
        <v>-332</v>
      </c>
      <c r="H94">
        <v>0</v>
      </c>
      <c r="I94">
        <v>0</v>
      </c>
      <c r="J94">
        <v>0</v>
      </c>
      <c r="K94">
        <v>332</v>
      </c>
      <c r="L94">
        <v>0</v>
      </c>
      <c r="M94">
        <v>0</v>
      </c>
      <c r="N94">
        <v>233.04190476190499</v>
      </c>
      <c r="O94">
        <v>233.04190476190499</v>
      </c>
    </row>
    <row r="95" spans="3:19" ht="15" customHeight="1" x14ac:dyDescent="0.2">
      <c r="C95" t="s">
        <v>41</v>
      </c>
      <c r="D95">
        <v>100</v>
      </c>
      <c r="E95">
        <v>300</v>
      </c>
      <c r="F95">
        <v>0</v>
      </c>
      <c r="G95">
        <v>25</v>
      </c>
      <c r="H95">
        <v>0</v>
      </c>
      <c r="I95">
        <v>0</v>
      </c>
      <c r="J95">
        <v>-160</v>
      </c>
      <c r="K95">
        <v>0</v>
      </c>
      <c r="L95">
        <v>0</v>
      </c>
      <c r="M95">
        <v>265</v>
      </c>
      <c r="N95">
        <v>233.04190476190499</v>
      </c>
      <c r="O95">
        <v>233.04190476190499</v>
      </c>
    </row>
    <row r="96" spans="3:19" ht="15" customHeight="1" x14ac:dyDescent="0.2">
      <c r="C96" t="s">
        <v>42</v>
      </c>
      <c r="D96">
        <v>100</v>
      </c>
      <c r="E96">
        <v>175</v>
      </c>
      <c r="F96">
        <v>0</v>
      </c>
      <c r="G96">
        <v>-165</v>
      </c>
      <c r="I96">
        <v>0</v>
      </c>
      <c r="J96">
        <v>-310</v>
      </c>
      <c r="K96">
        <v>200</v>
      </c>
      <c r="L96">
        <v>0</v>
      </c>
      <c r="M96">
        <v>0</v>
      </c>
      <c r="N96">
        <v>233.04190476190499</v>
      </c>
      <c r="O96">
        <v>233.04190476190499</v>
      </c>
    </row>
    <row r="97" spans="3:15" ht="15" customHeight="1" x14ac:dyDescent="0.2">
      <c r="C97" t="s">
        <v>48</v>
      </c>
      <c r="D97">
        <v>300</v>
      </c>
      <c r="E97">
        <v>200</v>
      </c>
      <c r="F97">
        <v>0</v>
      </c>
      <c r="G97">
        <v>122.25</v>
      </c>
      <c r="H97">
        <v>-25</v>
      </c>
      <c r="I97">
        <v>0</v>
      </c>
      <c r="J97">
        <v>0</v>
      </c>
      <c r="K97">
        <v>0</v>
      </c>
      <c r="L97">
        <v>0</v>
      </c>
      <c r="M97">
        <v>597.25</v>
      </c>
      <c r="N97">
        <v>233.04190476190499</v>
      </c>
      <c r="O97">
        <v>233.04190476190499</v>
      </c>
    </row>
    <row r="98" spans="3:15" ht="15" customHeight="1" x14ac:dyDescent="0.2">
      <c r="C98" t="s">
        <v>46</v>
      </c>
      <c r="D98">
        <v>250</v>
      </c>
      <c r="E98">
        <v>225</v>
      </c>
      <c r="F98">
        <v>0</v>
      </c>
      <c r="G98">
        <v>-155</v>
      </c>
      <c r="H98">
        <v>0</v>
      </c>
      <c r="I98">
        <v>0</v>
      </c>
      <c r="J98">
        <v>0</v>
      </c>
      <c r="K98">
        <v>0</v>
      </c>
      <c r="L98">
        <v>0</v>
      </c>
      <c r="M98">
        <v>320</v>
      </c>
      <c r="N98">
        <v>233.04190476190499</v>
      </c>
      <c r="O98">
        <v>233.04190476190499</v>
      </c>
    </row>
    <row r="99" spans="3:15" ht="15" customHeight="1" x14ac:dyDescent="0.2">
      <c r="C99" t="s">
        <v>61</v>
      </c>
      <c r="D99">
        <v>0</v>
      </c>
      <c r="E99">
        <v>0</v>
      </c>
      <c r="F99">
        <v>0</v>
      </c>
      <c r="G99">
        <v>25</v>
      </c>
      <c r="H99">
        <v>-25</v>
      </c>
      <c r="I99">
        <v>0</v>
      </c>
      <c r="J99">
        <v>0</v>
      </c>
      <c r="K99">
        <v>0</v>
      </c>
      <c r="L99">
        <v>0</v>
      </c>
      <c r="M99">
        <v>0</v>
      </c>
      <c r="N99">
        <v>233.04190476190499</v>
      </c>
      <c r="O99">
        <v>233.04190476190499</v>
      </c>
    </row>
    <row r="100" spans="3:15" ht="15" customHeight="1" x14ac:dyDescent="0.2">
      <c r="C100" t="s">
        <v>59</v>
      </c>
      <c r="D100">
        <v>25</v>
      </c>
      <c r="E100">
        <v>0</v>
      </c>
      <c r="F100">
        <v>300</v>
      </c>
      <c r="G100">
        <v>-89</v>
      </c>
      <c r="H100">
        <v>0</v>
      </c>
      <c r="I100">
        <v>0</v>
      </c>
      <c r="J100">
        <v>-50</v>
      </c>
      <c r="K100">
        <v>0</v>
      </c>
      <c r="L100">
        <v>0</v>
      </c>
      <c r="M100">
        <v>186</v>
      </c>
      <c r="N100">
        <v>233.04190476190499</v>
      </c>
      <c r="O100">
        <v>233.04190476190499</v>
      </c>
    </row>
    <row r="101" spans="3:15" ht="15" customHeight="1" x14ac:dyDescent="0.2">
      <c r="C101" t="s">
        <v>43</v>
      </c>
      <c r="D101">
        <v>150</v>
      </c>
      <c r="E101">
        <v>0</v>
      </c>
      <c r="F101">
        <v>300</v>
      </c>
      <c r="G101">
        <v>445</v>
      </c>
      <c r="H101">
        <v>0</v>
      </c>
      <c r="I101">
        <v>0</v>
      </c>
      <c r="J101">
        <v>-100</v>
      </c>
      <c r="K101">
        <v>0</v>
      </c>
      <c r="L101">
        <v>0</v>
      </c>
      <c r="M101">
        <v>795</v>
      </c>
      <c r="N101">
        <v>233.04190476190499</v>
      </c>
      <c r="O101">
        <v>233.04190476190499</v>
      </c>
    </row>
    <row r="102" spans="3:15" ht="15" customHeight="1" x14ac:dyDescent="0.2">
      <c r="C102" t="s">
        <v>651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233.04190476190499</v>
      </c>
      <c r="O102">
        <v>233.04190476190499</v>
      </c>
    </row>
    <row r="103" spans="3:15" ht="15" customHeight="1" x14ac:dyDescent="0.2">
      <c r="C103" t="s">
        <v>1406</v>
      </c>
      <c r="D103">
        <v>0</v>
      </c>
      <c r="E103">
        <v>300</v>
      </c>
      <c r="F103">
        <v>300</v>
      </c>
      <c r="G103">
        <v>331</v>
      </c>
      <c r="H103">
        <v>0</v>
      </c>
      <c r="I103">
        <v>0</v>
      </c>
      <c r="J103">
        <v>-160</v>
      </c>
      <c r="K103">
        <v>0</v>
      </c>
      <c r="L103">
        <v>0</v>
      </c>
      <c r="M103">
        <v>771</v>
      </c>
      <c r="N103">
        <v>233.04190476190499</v>
      </c>
      <c r="O103">
        <v>233.04190476190499</v>
      </c>
    </row>
    <row r="104" spans="3:15" ht="15" customHeight="1" x14ac:dyDescent="0.2">
      <c r="C104" t="s">
        <v>1421</v>
      </c>
      <c r="D104">
        <v>250</v>
      </c>
      <c r="E104">
        <v>250</v>
      </c>
      <c r="F104">
        <v>300</v>
      </c>
      <c r="G104">
        <v>5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805</v>
      </c>
      <c r="N104">
        <v>233.04190476190499</v>
      </c>
      <c r="O104">
        <v>233.04190476190499</v>
      </c>
    </row>
    <row r="105" spans="3:15" ht="15" customHeight="1" x14ac:dyDescent="0.2">
      <c r="C105" t="s">
        <v>1420</v>
      </c>
      <c r="D105">
        <v>75</v>
      </c>
      <c r="E105">
        <v>200</v>
      </c>
      <c r="F105">
        <v>300</v>
      </c>
      <c r="G105">
        <v>20.85</v>
      </c>
      <c r="H105">
        <v>0</v>
      </c>
      <c r="I105">
        <v>0</v>
      </c>
      <c r="J105">
        <v>-100</v>
      </c>
      <c r="K105">
        <v>0</v>
      </c>
      <c r="L105">
        <v>0</v>
      </c>
      <c r="M105">
        <v>495.85</v>
      </c>
      <c r="N105">
        <v>233.04190476190499</v>
      </c>
      <c r="O105">
        <v>233.04190476190499</v>
      </c>
    </row>
    <row r="106" spans="3:15" ht="15" customHeight="1" x14ac:dyDescent="0.2">
      <c r="C106" t="s">
        <v>62</v>
      </c>
      <c r="D106">
        <v>135</v>
      </c>
      <c r="E106">
        <v>150</v>
      </c>
      <c r="F106">
        <v>300</v>
      </c>
      <c r="G106">
        <v>0</v>
      </c>
      <c r="H106">
        <v>0</v>
      </c>
      <c r="I106">
        <v>0</v>
      </c>
      <c r="J106">
        <v>-100</v>
      </c>
      <c r="K106">
        <v>0</v>
      </c>
      <c r="L106">
        <v>0</v>
      </c>
      <c r="M106">
        <v>485</v>
      </c>
      <c r="N106">
        <v>233.04190476190499</v>
      </c>
      <c r="O106">
        <v>233.04190476190499</v>
      </c>
    </row>
    <row r="107" spans="3:15" ht="15" customHeight="1" x14ac:dyDescent="0.2">
      <c r="C107" t="s">
        <v>1424</v>
      </c>
      <c r="D107">
        <v>2145</v>
      </c>
      <c r="E107">
        <v>2780</v>
      </c>
      <c r="F107">
        <v>3000</v>
      </c>
      <c r="G107">
        <v>298.51</v>
      </c>
      <c r="H107">
        <v>-100</v>
      </c>
      <c r="I107">
        <v>-25</v>
      </c>
      <c r="J107">
        <v>-1440</v>
      </c>
      <c r="K107">
        <v>599</v>
      </c>
      <c r="L107">
        <v>0</v>
      </c>
      <c r="M107">
        <v>7257.51</v>
      </c>
      <c r="N107">
        <v>4893.88</v>
      </c>
      <c r="O107">
        <v>4893.88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14"/>
  <sheetViews>
    <sheetView zoomScaleNormal="100" workbookViewId="0"/>
  </sheetViews>
  <sheetFormatPr baseColWidth="10" defaultColWidth="8.83203125" defaultRowHeight="15" x14ac:dyDescent="0.2"/>
  <sheetData>
    <row r="1" spans="1:9" ht="15" customHeight="1" x14ac:dyDescent="0.2">
      <c r="A1" s="3" t="s">
        <v>0</v>
      </c>
      <c r="B1" s="3" t="s">
        <v>652</v>
      </c>
      <c r="C1" s="3" t="s">
        <v>653</v>
      </c>
      <c r="D1" s="3" t="s">
        <v>654</v>
      </c>
      <c r="E1" s="3" t="s">
        <v>655</v>
      </c>
      <c r="F1" s="3" t="s">
        <v>656</v>
      </c>
      <c r="G1" s="3" t="s">
        <v>657</v>
      </c>
      <c r="H1" s="3" t="s">
        <v>658</v>
      </c>
      <c r="I1" s="3" t="s">
        <v>659</v>
      </c>
    </row>
    <row r="2" spans="1:9" ht="15" customHeight="1" x14ac:dyDescent="0.2">
      <c r="C2" t="s">
        <v>1451</v>
      </c>
      <c r="D2" t="s">
        <v>615</v>
      </c>
      <c r="E2" t="s">
        <v>3</v>
      </c>
      <c r="F2" t="s">
        <v>32</v>
      </c>
      <c r="G2" t="s">
        <v>33</v>
      </c>
      <c r="H2" t="s">
        <v>34</v>
      </c>
    </row>
    <row r="3" spans="1:9" ht="15" customHeight="1" x14ac:dyDescent="0.2">
      <c r="C3" t="s">
        <v>1452</v>
      </c>
      <c r="D3" t="s">
        <v>55</v>
      </c>
      <c r="E3" t="s">
        <v>1284</v>
      </c>
      <c r="F3">
        <v>0</v>
      </c>
      <c r="G3">
        <v>4</v>
      </c>
      <c r="H3">
        <v>1</v>
      </c>
    </row>
    <row r="4" spans="1:9" ht="15" customHeight="1" x14ac:dyDescent="0.2">
      <c r="C4" t="s">
        <v>1453</v>
      </c>
      <c r="D4" t="s">
        <v>56</v>
      </c>
      <c r="E4" t="s">
        <v>1284</v>
      </c>
      <c r="F4">
        <v>1</v>
      </c>
      <c r="G4">
        <v>3</v>
      </c>
      <c r="H4">
        <v>1</v>
      </c>
    </row>
    <row r="5" spans="1:9" ht="15" customHeight="1" x14ac:dyDescent="0.2">
      <c r="C5" t="s">
        <v>1453</v>
      </c>
      <c r="D5" t="s">
        <v>52</v>
      </c>
      <c r="E5" t="s">
        <v>1284</v>
      </c>
      <c r="F5">
        <v>2</v>
      </c>
      <c r="G5">
        <v>2</v>
      </c>
      <c r="H5">
        <v>1</v>
      </c>
    </row>
    <row r="6" spans="1:9" ht="15" customHeight="1" x14ac:dyDescent="0.2">
      <c r="C6" t="s">
        <v>1454</v>
      </c>
      <c r="D6" t="s">
        <v>57</v>
      </c>
      <c r="E6" t="s">
        <v>1284</v>
      </c>
      <c r="F6">
        <v>2</v>
      </c>
      <c r="G6">
        <v>3</v>
      </c>
      <c r="H6">
        <v>0</v>
      </c>
    </row>
    <row r="7" spans="1:9" ht="15" customHeight="1" x14ac:dyDescent="0.2">
      <c r="C7" t="s">
        <v>1452</v>
      </c>
      <c r="D7" t="s">
        <v>53</v>
      </c>
      <c r="E7" t="s">
        <v>1284</v>
      </c>
      <c r="F7">
        <v>4</v>
      </c>
      <c r="G7">
        <v>0</v>
      </c>
      <c r="H7">
        <v>1</v>
      </c>
    </row>
    <row r="8" spans="1:9" ht="15" customHeight="1" x14ac:dyDescent="0.2">
      <c r="C8" t="s">
        <v>1452</v>
      </c>
      <c r="D8" t="s">
        <v>54</v>
      </c>
      <c r="E8" t="s">
        <v>1284</v>
      </c>
      <c r="F8">
        <v>1</v>
      </c>
      <c r="G8">
        <v>4</v>
      </c>
      <c r="H8">
        <v>0</v>
      </c>
    </row>
    <row r="9" spans="1:9" ht="15" customHeight="1" x14ac:dyDescent="0.2">
      <c r="C9" t="s">
        <v>1454</v>
      </c>
      <c r="D9" t="s">
        <v>58</v>
      </c>
      <c r="E9" t="s">
        <v>1315</v>
      </c>
      <c r="F9">
        <v>3</v>
      </c>
      <c r="G9">
        <v>2</v>
      </c>
      <c r="H9">
        <v>0</v>
      </c>
    </row>
    <row r="10" spans="1:9" ht="15" customHeight="1" x14ac:dyDescent="0.2">
      <c r="C10" t="s">
        <v>1453</v>
      </c>
      <c r="D10" t="s">
        <v>60</v>
      </c>
      <c r="E10" t="s">
        <v>1315</v>
      </c>
      <c r="F10">
        <v>3</v>
      </c>
      <c r="G10">
        <v>2</v>
      </c>
      <c r="H10">
        <v>0</v>
      </c>
    </row>
    <row r="11" spans="1:9" ht="15" customHeight="1" x14ac:dyDescent="0.2">
      <c r="C11" t="s">
        <v>1454</v>
      </c>
      <c r="D11" t="s">
        <v>61</v>
      </c>
      <c r="E11" t="s">
        <v>1315</v>
      </c>
      <c r="F11">
        <v>2</v>
      </c>
      <c r="G11">
        <v>2</v>
      </c>
      <c r="H11">
        <v>1</v>
      </c>
    </row>
    <row r="12" spans="1:9" ht="15" customHeight="1" x14ac:dyDescent="0.2">
      <c r="C12" t="s">
        <v>1452</v>
      </c>
      <c r="D12" t="s">
        <v>59</v>
      </c>
      <c r="E12" t="s">
        <v>1315</v>
      </c>
      <c r="F12">
        <v>1</v>
      </c>
      <c r="G12">
        <v>2</v>
      </c>
      <c r="H12">
        <v>2</v>
      </c>
    </row>
    <row r="13" spans="1:9" ht="15" customHeight="1" x14ac:dyDescent="0.2">
      <c r="C13" t="s">
        <v>1453</v>
      </c>
      <c r="D13" t="s">
        <v>62</v>
      </c>
      <c r="E13" t="s">
        <v>1330</v>
      </c>
      <c r="F13">
        <v>2</v>
      </c>
      <c r="G13">
        <v>4</v>
      </c>
      <c r="H13">
        <v>0</v>
      </c>
      <c r="I13" t="s">
        <v>706</v>
      </c>
    </row>
    <row r="14" spans="1:9" ht="15" customHeight="1" x14ac:dyDescent="0.2">
      <c r="C14" t="s">
        <v>1455</v>
      </c>
      <c r="F14">
        <v>21</v>
      </c>
      <c r="G14">
        <v>28</v>
      </c>
      <c r="H14">
        <v>7</v>
      </c>
      <c r="I14">
        <v>0.4375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20"/>
  <sheetViews>
    <sheetView zoomScaleNormal="100" workbookViewId="0"/>
  </sheetViews>
  <sheetFormatPr baseColWidth="10" defaultColWidth="8.83203125" defaultRowHeight="15" x14ac:dyDescent="0.2"/>
  <sheetData>
    <row r="1" spans="1:8" ht="15" customHeight="1" x14ac:dyDescent="0.2">
      <c r="A1" s="3" t="s">
        <v>0</v>
      </c>
      <c r="B1" s="3" t="s">
        <v>652</v>
      </c>
      <c r="C1" s="3" t="s">
        <v>653</v>
      </c>
      <c r="D1" s="3" t="s">
        <v>654</v>
      </c>
      <c r="E1" s="3" t="s">
        <v>655</v>
      </c>
      <c r="F1" s="3" t="s">
        <v>656</v>
      </c>
      <c r="G1" s="3" t="s">
        <v>657</v>
      </c>
      <c r="H1" s="3" t="s">
        <v>658</v>
      </c>
    </row>
    <row r="4" spans="1:8" ht="15" customHeight="1" x14ac:dyDescent="0.2">
      <c r="D4" t="s">
        <v>1456</v>
      </c>
    </row>
    <row r="6" spans="1:8" ht="15" customHeight="1" x14ac:dyDescent="0.2">
      <c r="D6" t="s">
        <v>1457</v>
      </c>
      <c r="E6" t="s">
        <v>1458</v>
      </c>
    </row>
    <row r="7" spans="1:8" ht="15" customHeight="1" x14ac:dyDescent="0.2">
      <c r="D7" t="s">
        <v>1459</v>
      </c>
      <c r="E7">
        <v>100</v>
      </c>
    </row>
    <row r="8" spans="1:8" ht="15" customHeight="1" x14ac:dyDescent="0.2">
      <c r="D8" t="s">
        <v>1460</v>
      </c>
      <c r="E8">
        <v>60</v>
      </c>
    </row>
    <row r="9" spans="1:8" ht="15" customHeight="1" x14ac:dyDescent="0.2">
      <c r="D9" t="s">
        <v>1461</v>
      </c>
      <c r="E9">
        <v>60</v>
      </c>
    </row>
    <row r="10" spans="1:8" ht="15" customHeight="1" x14ac:dyDescent="0.2">
      <c r="D10" t="s">
        <v>1462</v>
      </c>
      <c r="E10">
        <v>100</v>
      </c>
    </row>
    <row r="11" spans="1:8" ht="15" customHeight="1" x14ac:dyDescent="0.2">
      <c r="D11" t="s">
        <v>1463</v>
      </c>
      <c r="E11">
        <v>100</v>
      </c>
    </row>
    <row r="12" spans="1:8" ht="15" customHeight="1" x14ac:dyDescent="0.2">
      <c r="D12" t="s">
        <v>1464</v>
      </c>
      <c r="E12">
        <v>75</v>
      </c>
    </row>
    <row r="13" spans="1:8" ht="15" customHeight="1" x14ac:dyDescent="0.2">
      <c r="D13" t="s">
        <v>1465</v>
      </c>
      <c r="E13">
        <v>75</v>
      </c>
    </row>
    <row r="14" spans="1:8" ht="15" customHeight="1" x14ac:dyDescent="0.2">
      <c r="D14" t="s">
        <v>1466</v>
      </c>
      <c r="E14">
        <v>75</v>
      </c>
    </row>
    <row r="15" spans="1:8" ht="15" customHeight="1" x14ac:dyDescent="0.2">
      <c r="D15" t="s">
        <v>1467</v>
      </c>
      <c r="E15">
        <v>75</v>
      </c>
    </row>
    <row r="16" spans="1:8" ht="15" customHeight="1" x14ac:dyDescent="0.2">
      <c r="D16" t="s">
        <v>1468</v>
      </c>
      <c r="E16">
        <v>75</v>
      </c>
      <c r="G16" t="s">
        <v>1469</v>
      </c>
      <c r="H16">
        <v>-540</v>
      </c>
    </row>
    <row r="17" spans="4:8" ht="15" customHeight="1" x14ac:dyDescent="0.2">
      <c r="D17" t="s">
        <v>1470</v>
      </c>
      <c r="E17">
        <v>795</v>
      </c>
      <c r="G17" t="s">
        <v>1471</v>
      </c>
      <c r="H17">
        <v>500</v>
      </c>
    </row>
    <row r="18" spans="4:8" ht="15" customHeight="1" x14ac:dyDescent="0.2">
      <c r="G18" t="s">
        <v>1472</v>
      </c>
      <c r="H18">
        <v>-40</v>
      </c>
    </row>
    <row r="19" spans="4:8" ht="15" customHeight="1" x14ac:dyDescent="0.2">
      <c r="D19" t="s">
        <v>1473</v>
      </c>
      <c r="E19">
        <v>-40</v>
      </c>
    </row>
    <row r="20" spans="4:8" ht="15" customHeight="1" x14ac:dyDescent="0.2">
      <c r="D20" t="s">
        <v>1474</v>
      </c>
      <c r="E20">
        <v>755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19"/>
  <sheetViews>
    <sheetView zoomScaleNormal="100" workbookViewId="0"/>
  </sheetViews>
  <sheetFormatPr baseColWidth="10" defaultColWidth="8.83203125" defaultRowHeight="15" x14ac:dyDescent="0.2"/>
  <sheetData>
    <row r="1" spans="1:5" ht="15" customHeight="1" x14ac:dyDescent="0.2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</row>
    <row r="2" spans="1:5" ht="15" customHeight="1" x14ac:dyDescent="0.2">
      <c r="A2" t="s">
        <v>1475</v>
      </c>
      <c r="B2" t="s">
        <v>78</v>
      </c>
      <c r="C2">
        <v>71.3</v>
      </c>
      <c r="D2">
        <v>130</v>
      </c>
      <c r="E2">
        <v>6225</v>
      </c>
    </row>
    <row r="3" spans="1:5" ht="15" customHeight="1" x14ac:dyDescent="0.2">
      <c r="A3" t="s">
        <v>1476</v>
      </c>
      <c r="B3" t="s">
        <v>109</v>
      </c>
      <c r="C3">
        <v>72.2</v>
      </c>
      <c r="D3">
        <v>128</v>
      </c>
      <c r="E3">
        <v>6772</v>
      </c>
    </row>
    <row r="4" spans="1:5" ht="15" customHeight="1" x14ac:dyDescent="0.2">
      <c r="A4" t="s">
        <v>1477</v>
      </c>
      <c r="B4" t="s">
        <v>78</v>
      </c>
      <c r="C4">
        <v>71.599999999999994</v>
      </c>
      <c r="D4">
        <v>131</v>
      </c>
      <c r="E4">
        <v>6561</v>
      </c>
    </row>
    <row r="5" spans="1:5" ht="15" customHeight="1" x14ac:dyDescent="0.2">
      <c r="A5" t="s">
        <v>1478</v>
      </c>
      <c r="B5" t="s">
        <v>78</v>
      </c>
      <c r="C5">
        <v>70.599999999999994</v>
      </c>
      <c r="D5">
        <v>133</v>
      </c>
      <c r="E5">
        <v>6328</v>
      </c>
    </row>
    <row r="6" spans="1:5" ht="15" customHeight="1" x14ac:dyDescent="0.2">
      <c r="A6" t="s">
        <v>1479</v>
      </c>
      <c r="B6" t="s">
        <v>78</v>
      </c>
      <c r="C6">
        <v>70.900000000000006</v>
      </c>
      <c r="D6">
        <v>132</v>
      </c>
      <c r="E6">
        <v>6183</v>
      </c>
    </row>
    <row r="7" spans="1:5" ht="15" customHeight="1" x14ac:dyDescent="0.2">
      <c r="A7" t="s">
        <v>1480</v>
      </c>
      <c r="B7" t="s">
        <v>123</v>
      </c>
      <c r="C7">
        <v>71.099999999999994</v>
      </c>
      <c r="D7">
        <v>135</v>
      </c>
      <c r="E7">
        <v>6323</v>
      </c>
    </row>
    <row r="8" spans="1:5" ht="15" customHeight="1" x14ac:dyDescent="0.2">
      <c r="A8" t="s">
        <v>1481</v>
      </c>
      <c r="B8" t="s">
        <v>78</v>
      </c>
      <c r="C8">
        <v>70.900000000000006</v>
      </c>
      <c r="D8">
        <v>133</v>
      </c>
      <c r="E8">
        <v>5980</v>
      </c>
    </row>
    <row r="9" spans="1:5" ht="15" customHeight="1" x14ac:dyDescent="0.2">
      <c r="A9" t="s">
        <v>1482</v>
      </c>
      <c r="B9" t="s">
        <v>123</v>
      </c>
      <c r="C9">
        <v>71.3</v>
      </c>
      <c r="D9">
        <v>130</v>
      </c>
      <c r="E9">
        <v>6326</v>
      </c>
    </row>
    <row r="10" spans="1:5" ht="15" customHeight="1" x14ac:dyDescent="0.2">
      <c r="A10" t="s">
        <v>1483</v>
      </c>
      <c r="B10" t="s">
        <v>78</v>
      </c>
      <c r="C10">
        <v>70.599999999999994</v>
      </c>
      <c r="D10">
        <v>130</v>
      </c>
      <c r="E10">
        <v>6111</v>
      </c>
    </row>
    <row r="11" spans="1:5" ht="15" customHeight="1" x14ac:dyDescent="0.2">
      <c r="A11" t="s">
        <v>1484</v>
      </c>
      <c r="B11" t="s">
        <v>251</v>
      </c>
      <c r="C11">
        <v>72.3</v>
      </c>
      <c r="D11">
        <v>132</v>
      </c>
      <c r="E11">
        <v>6517</v>
      </c>
    </row>
    <row r="12" spans="1:5" ht="15" customHeight="1" x14ac:dyDescent="0.2">
      <c r="A12" t="s">
        <v>1485</v>
      </c>
      <c r="B12" t="s">
        <v>266</v>
      </c>
      <c r="C12">
        <v>71.400000000000006</v>
      </c>
      <c r="D12">
        <v>136</v>
      </c>
      <c r="E12">
        <v>6251</v>
      </c>
    </row>
    <row r="13" spans="1:5" ht="15" customHeight="1" x14ac:dyDescent="0.2">
      <c r="A13" t="s">
        <v>1486</v>
      </c>
      <c r="B13" t="s">
        <v>109</v>
      </c>
      <c r="C13">
        <v>72.2</v>
      </c>
      <c r="D13">
        <v>136</v>
      </c>
      <c r="E13">
        <v>6522</v>
      </c>
    </row>
    <row r="14" spans="1:5" ht="15" customHeight="1" x14ac:dyDescent="0.2">
      <c r="A14" t="s">
        <v>681</v>
      </c>
      <c r="B14" t="s">
        <v>78</v>
      </c>
      <c r="C14">
        <v>70.5</v>
      </c>
      <c r="D14">
        <v>134</v>
      </c>
      <c r="E14">
        <v>6389</v>
      </c>
    </row>
    <row r="15" spans="1:5" ht="15" customHeight="1" x14ac:dyDescent="0.2">
      <c r="A15" t="s">
        <v>349</v>
      </c>
    </row>
    <row r="16" spans="1:5" ht="15" customHeight="1" x14ac:dyDescent="0.2">
      <c r="A16" t="s">
        <v>385</v>
      </c>
    </row>
    <row r="17" spans="1:5" ht="15" customHeight="1" x14ac:dyDescent="0.2">
      <c r="A17" t="s">
        <v>1487</v>
      </c>
    </row>
    <row r="19" spans="1:5" ht="15" customHeight="1" x14ac:dyDescent="0.2">
      <c r="A19" t="s">
        <v>1488</v>
      </c>
      <c r="C19">
        <v>71.3</v>
      </c>
      <c r="D19">
        <v>132.30769230769201</v>
      </c>
      <c r="E19">
        <v>6345.2307692307704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Q30"/>
  <sheetViews>
    <sheetView zoomScaleNormal="100" workbookViewId="0"/>
  </sheetViews>
  <sheetFormatPr baseColWidth="10" defaultColWidth="8.83203125" defaultRowHeight="15" x14ac:dyDescent="0.2"/>
  <sheetData>
    <row r="1" spans="1:43" ht="15" customHeight="1" x14ac:dyDescent="0.2">
      <c r="A1" s="3" t="s">
        <v>0</v>
      </c>
      <c r="B1" s="3" t="s">
        <v>652</v>
      </c>
      <c r="C1" s="3" t="s">
        <v>653</v>
      </c>
      <c r="D1" s="3" t="s">
        <v>654</v>
      </c>
      <c r="E1" s="3" t="s">
        <v>655</v>
      </c>
      <c r="F1" s="3" t="s">
        <v>656</v>
      </c>
      <c r="G1" s="3" t="s">
        <v>657</v>
      </c>
      <c r="H1" s="3" t="s">
        <v>658</v>
      </c>
      <c r="I1" s="3" t="s">
        <v>659</v>
      </c>
      <c r="J1" s="3" t="s">
        <v>660</v>
      </c>
      <c r="K1" s="3" t="s">
        <v>661</v>
      </c>
      <c r="L1" s="3" t="s">
        <v>662</v>
      </c>
      <c r="M1" s="3" t="s">
        <v>663</v>
      </c>
      <c r="N1" s="3" t="s">
        <v>664</v>
      </c>
      <c r="O1" s="3" t="s">
        <v>665</v>
      </c>
      <c r="P1" s="3" t="s">
        <v>666</v>
      </c>
      <c r="Q1" s="3" t="s">
        <v>667</v>
      </c>
      <c r="R1" s="3" t="s">
        <v>668</v>
      </c>
      <c r="S1" s="3" t="s">
        <v>669</v>
      </c>
      <c r="T1" s="3" t="s">
        <v>689</v>
      </c>
      <c r="U1" s="3" t="s">
        <v>690</v>
      </c>
      <c r="V1" s="3" t="s">
        <v>691</v>
      </c>
      <c r="W1" s="3" t="s">
        <v>692</v>
      </c>
      <c r="X1" s="3" t="s">
        <v>693</v>
      </c>
      <c r="Y1" s="3" t="s">
        <v>694</v>
      </c>
      <c r="Z1" s="3" t="s">
        <v>695</v>
      </c>
      <c r="AA1" s="3" t="s">
        <v>696</v>
      </c>
      <c r="AB1" s="3" t="s">
        <v>697</v>
      </c>
      <c r="AC1" s="3" t="s">
        <v>698</v>
      </c>
      <c r="AD1" s="3" t="s">
        <v>699</v>
      </c>
      <c r="AE1" s="3" t="s">
        <v>700</v>
      </c>
      <c r="AF1" s="3" t="s">
        <v>701</v>
      </c>
      <c r="AG1" s="3" t="s">
        <v>702</v>
      </c>
      <c r="AH1" s="3" t="s">
        <v>671</v>
      </c>
      <c r="AI1" s="3" t="s">
        <v>1408</v>
      </c>
      <c r="AJ1" s="3" t="s">
        <v>1264</v>
      </c>
      <c r="AK1" s="3" t="s">
        <v>1265</v>
      </c>
      <c r="AL1" s="3" t="s">
        <v>1266</v>
      </c>
      <c r="AM1" s="3" t="s">
        <v>1267</v>
      </c>
      <c r="AN1" s="3" t="s">
        <v>1268</v>
      </c>
      <c r="AO1" s="3" t="s">
        <v>1489</v>
      </c>
      <c r="AP1" s="3" t="s">
        <v>1490</v>
      </c>
      <c r="AQ1" s="3" t="s">
        <v>1491</v>
      </c>
    </row>
    <row r="2" spans="1:43" ht="15" customHeight="1" x14ac:dyDescent="0.2">
      <c r="A2" t="s">
        <v>19</v>
      </c>
      <c r="B2" t="s">
        <v>83</v>
      </c>
      <c r="H2" t="s">
        <v>19</v>
      </c>
      <c r="I2" t="s">
        <v>83</v>
      </c>
      <c r="Q2" t="s">
        <v>1492</v>
      </c>
      <c r="W2" t="s">
        <v>19</v>
      </c>
      <c r="X2" t="s">
        <v>81</v>
      </c>
      <c r="AD2" t="s">
        <v>19</v>
      </c>
      <c r="AE2" t="s">
        <v>81</v>
      </c>
      <c r="AM2" t="s">
        <v>1493</v>
      </c>
    </row>
    <row r="3" spans="1:43" ht="15" customHeight="1" x14ac:dyDescent="0.2">
      <c r="R3" t="s">
        <v>1494</v>
      </c>
      <c r="S3" t="s">
        <v>928</v>
      </c>
      <c r="T3" t="s">
        <v>706</v>
      </c>
      <c r="U3" t="s">
        <v>20</v>
      </c>
      <c r="AN3" t="s">
        <v>1494</v>
      </c>
      <c r="AO3" t="s">
        <v>928</v>
      </c>
      <c r="AP3" t="s">
        <v>706</v>
      </c>
      <c r="AQ3" t="s">
        <v>20</v>
      </c>
    </row>
    <row r="4" spans="1:43" ht="15" customHeight="1" x14ac:dyDescent="0.2">
      <c r="A4" t="s">
        <v>892</v>
      </c>
      <c r="B4" t="s">
        <v>703</v>
      </c>
      <c r="C4" t="s">
        <v>704</v>
      </c>
      <c r="D4" t="s">
        <v>705</v>
      </c>
      <c r="E4" t="s">
        <v>715</v>
      </c>
      <c r="F4" t="s">
        <v>928</v>
      </c>
      <c r="H4" t="s">
        <v>892</v>
      </c>
      <c r="I4" t="s">
        <v>703</v>
      </c>
      <c r="J4" t="s">
        <v>704</v>
      </c>
      <c r="K4" t="s">
        <v>705</v>
      </c>
      <c r="L4" t="s">
        <v>715</v>
      </c>
      <c r="M4" t="s">
        <v>928</v>
      </c>
      <c r="Q4" t="s">
        <v>42</v>
      </c>
      <c r="R4">
        <v>5</v>
      </c>
      <c r="S4">
        <v>5</v>
      </c>
      <c r="T4">
        <v>1</v>
      </c>
      <c r="U4" t="s">
        <v>54</v>
      </c>
      <c r="W4" t="s">
        <v>892</v>
      </c>
      <c r="X4" t="s">
        <v>703</v>
      </c>
      <c r="Y4" t="s">
        <v>704</v>
      </c>
      <c r="Z4" t="s">
        <v>705</v>
      </c>
      <c r="AA4" t="s">
        <v>715</v>
      </c>
      <c r="AB4" t="s">
        <v>928</v>
      </c>
      <c r="AD4" t="s">
        <v>892</v>
      </c>
      <c r="AE4" t="s">
        <v>703</v>
      </c>
      <c r="AF4" t="s">
        <v>704</v>
      </c>
      <c r="AG4" t="s">
        <v>705</v>
      </c>
      <c r="AH4" t="s">
        <v>715</v>
      </c>
      <c r="AI4" t="s">
        <v>928</v>
      </c>
      <c r="AM4" t="s">
        <v>48</v>
      </c>
      <c r="AN4">
        <v>0</v>
      </c>
      <c r="AO4">
        <v>0</v>
      </c>
      <c r="AQ4" t="s">
        <v>54</v>
      </c>
    </row>
    <row r="5" spans="1:43" ht="15" customHeight="1" x14ac:dyDescent="0.2">
      <c r="A5" t="s">
        <v>57</v>
      </c>
      <c r="B5">
        <v>5</v>
      </c>
      <c r="C5">
        <v>5</v>
      </c>
      <c r="D5">
        <v>1</v>
      </c>
      <c r="E5">
        <v>5.5</v>
      </c>
      <c r="F5">
        <v>11</v>
      </c>
      <c r="H5" t="s">
        <v>52</v>
      </c>
      <c r="I5">
        <v>1</v>
      </c>
      <c r="J5">
        <v>2</v>
      </c>
      <c r="K5">
        <v>1</v>
      </c>
      <c r="L5">
        <v>1.5</v>
      </c>
      <c r="M5">
        <v>4</v>
      </c>
      <c r="Q5" t="s">
        <v>40</v>
      </c>
      <c r="R5">
        <v>11</v>
      </c>
      <c r="S5">
        <v>17</v>
      </c>
      <c r="T5">
        <v>0.64705882352941202</v>
      </c>
      <c r="U5" t="s">
        <v>54</v>
      </c>
      <c r="W5" t="s">
        <v>57</v>
      </c>
      <c r="X5">
        <v>2</v>
      </c>
      <c r="Y5">
        <v>3</v>
      </c>
      <c r="Z5">
        <v>0</v>
      </c>
      <c r="AA5">
        <v>2</v>
      </c>
      <c r="AB5">
        <v>5</v>
      </c>
      <c r="AD5" t="s">
        <v>52</v>
      </c>
      <c r="AE5">
        <v>0</v>
      </c>
      <c r="AF5">
        <v>2</v>
      </c>
      <c r="AG5">
        <v>0</v>
      </c>
      <c r="AH5">
        <v>0</v>
      </c>
      <c r="AI5">
        <v>2</v>
      </c>
      <c r="AM5" t="s">
        <v>42</v>
      </c>
      <c r="AN5">
        <v>13</v>
      </c>
      <c r="AO5">
        <v>22</v>
      </c>
      <c r="AP5">
        <v>0.59090909090909105</v>
      </c>
      <c r="AQ5" t="s">
        <v>54</v>
      </c>
    </row>
    <row r="6" spans="1:43" ht="15" customHeight="1" x14ac:dyDescent="0.2">
      <c r="A6" t="s">
        <v>55</v>
      </c>
      <c r="B6">
        <v>2</v>
      </c>
      <c r="C6">
        <v>7</v>
      </c>
      <c r="D6">
        <v>3</v>
      </c>
      <c r="E6">
        <v>3.5</v>
      </c>
      <c r="F6">
        <v>12</v>
      </c>
      <c r="H6" t="s">
        <v>50</v>
      </c>
      <c r="I6">
        <v>0</v>
      </c>
      <c r="J6">
        <v>2</v>
      </c>
      <c r="K6">
        <v>0</v>
      </c>
      <c r="L6">
        <v>0</v>
      </c>
      <c r="M6">
        <v>2</v>
      </c>
      <c r="Q6" t="s">
        <v>46</v>
      </c>
      <c r="R6">
        <v>7</v>
      </c>
      <c r="S6">
        <v>11</v>
      </c>
      <c r="T6">
        <v>0.63636363636363602</v>
      </c>
      <c r="U6" t="s">
        <v>54</v>
      </c>
      <c r="W6" t="s">
        <v>55</v>
      </c>
      <c r="X6">
        <v>4</v>
      </c>
      <c r="Y6">
        <v>6</v>
      </c>
      <c r="Z6">
        <v>0</v>
      </c>
      <c r="AA6">
        <v>4</v>
      </c>
      <c r="AB6">
        <v>10</v>
      </c>
      <c r="AD6" t="s">
        <v>44</v>
      </c>
      <c r="AE6">
        <v>2</v>
      </c>
      <c r="AF6">
        <v>0</v>
      </c>
      <c r="AG6">
        <v>0</v>
      </c>
      <c r="AH6">
        <v>2</v>
      </c>
      <c r="AI6">
        <v>2</v>
      </c>
      <c r="AM6" t="s">
        <v>57</v>
      </c>
      <c r="AN6">
        <v>2</v>
      </c>
      <c r="AO6">
        <v>5</v>
      </c>
      <c r="AP6">
        <v>0.4</v>
      </c>
      <c r="AQ6" t="s">
        <v>54</v>
      </c>
    </row>
    <row r="7" spans="1:43" ht="15" customHeight="1" x14ac:dyDescent="0.2">
      <c r="A7" t="s">
        <v>45</v>
      </c>
      <c r="B7">
        <v>17</v>
      </c>
      <c r="C7">
        <v>6</v>
      </c>
      <c r="D7">
        <v>4</v>
      </c>
      <c r="E7">
        <v>19</v>
      </c>
      <c r="F7">
        <v>27</v>
      </c>
      <c r="H7" t="s">
        <v>54</v>
      </c>
      <c r="I7">
        <v>0</v>
      </c>
      <c r="J7">
        <v>2</v>
      </c>
      <c r="K7">
        <v>0</v>
      </c>
      <c r="L7">
        <v>0</v>
      </c>
      <c r="M7">
        <v>2</v>
      </c>
      <c r="Q7" t="s">
        <v>48</v>
      </c>
      <c r="R7">
        <v>15</v>
      </c>
      <c r="S7">
        <v>27</v>
      </c>
      <c r="T7">
        <v>0.55555555555555602</v>
      </c>
      <c r="U7" t="s">
        <v>54</v>
      </c>
      <c r="W7" t="s">
        <v>52</v>
      </c>
      <c r="X7">
        <v>5</v>
      </c>
      <c r="Y7">
        <v>8</v>
      </c>
      <c r="Z7">
        <v>0</v>
      </c>
      <c r="AA7">
        <v>5</v>
      </c>
      <c r="AB7">
        <v>13</v>
      </c>
      <c r="AD7" t="s">
        <v>53</v>
      </c>
      <c r="AE7">
        <v>3</v>
      </c>
      <c r="AF7">
        <v>3</v>
      </c>
      <c r="AG7">
        <v>0</v>
      </c>
      <c r="AH7">
        <v>3</v>
      </c>
      <c r="AI7">
        <v>6</v>
      </c>
      <c r="AM7" t="s">
        <v>40</v>
      </c>
      <c r="AN7">
        <v>3.5</v>
      </c>
      <c r="AO7">
        <v>10</v>
      </c>
      <c r="AP7">
        <v>0.35</v>
      </c>
      <c r="AQ7" t="s">
        <v>54</v>
      </c>
    </row>
    <row r="8" spans="1:43" ht="15" customHeight="1" x14ac:dyDescent="0.2">
      <c r="A8" t="s">
        <v>52</v>
      </c>
      <c r="B8">
        <v>1</v>
      </c>
      <c r="C8">
        <v>2</v>
      </c>
      <c r="D8">
        <v>0</v>
      </c>
      <c r="E8">
        <v>1</v>
      </c>
      <c r="F8">
        <v>3</v>
      </c>
      <c r="H8" t="s">
        <v>53</v>
      </c>
      <c r="I8">
        <v>2</v>
      </c>
      <c r="J8">
        <v>0</v>
      </c>
      <c r="K8">
        <v>2</v>
      </c>
      <c r="L8">
        <v>3</v>
      </c>
      <c r="M8">
        <v>4</v>
      </c>
      <c r="Q8" t="s">
        <v>57</v>
      </c>
      <c r="R8">
        <v>5.5</v>
      </c>
      <c r="S8">
        <v>11</v>
      </c>
      <c r="T8">
        <v>0.5</v>
      </c>
      <c r="U8" t="s">
        <v>54</v>
      </c>
      <c r="W8" t="s">
        <v>50</v>
      </c>
      <c r="X8">
        <v>14</v>
      </c>
      <c r="Y8">
        <v>6</v>
      </c>
      <c r="Z8">
        <v>2</v>
      </c>
      <c r="AA8">
        <v>15</v>
      </c>
      <c r="AB8">
        <v>22</v>
      </c>
      <c r="AD8" t="s">
        <v>40</v>
      </c>
      <c r="AE8">
        <v>0</v>
      </c>
      <c r="AF8">
        <v>2</v>
      </c>
      <c r="AG8">
        <v>0</v>
      </c>
      <c r="AH8">
        <v>0</v>
      </c>
      <c r="AI8">
        <v>2</v>
      </c>
      <c r="AM8" t="s">
        <v>41</v>
      </c>
      <c r="AN8">
        <v>2</v>
      </c>
      <c r="AO8">
        <v>6</v>
      </c>
      <c r="AP8">
        <v>0.33333333333333298</v>
      </c>
      <c r="AQ8" t="s">
        <v>54</v>
      </c>
    </row>
    <row r="9" spans="1:43" ht="15" customHeight="1" x14ac:dyDescent="0.2">
      <c r="A9" t="s">
        <v>63</v>
      </c>
      <c r="B9">
        <v>4</v>
      </c>
      <c r="C9">
        <v>1</v>
      </c>
      <c r="D9">
        <v>1</v>
      </c>
      <c r="E9">
        <v>4.5</v>
      </c>
      <c r="F9">
        <v>6</v>
      </c>
      <c r="H9" t="s">
        <v>40</v>
      </c>
      <c r="I9">
        <v>1</v>
      </c>
      <c r="J9">
        <v>1</v>
      </c>
      <c r="K9">
        <v>0</v>
      </c>
      <c r="L9">
        <v>1</v>
      </c>
      <c r="M9">
        <v>2</v>
      </c>
      <c r="Q9" t="s">
        <v>651</v>
      </c>
      <c r="R9">
        <v>9.5</v>
      </c>
      <c r="S9">
        <v>22</v>
      </c>
      <c r="T9">
        <v>0.43181818181818199</v>
      </c>
      <c r="U9" t="s">
        <v>54</v>
      </c>
      <c r="W9" t="s">
        <v>44</v>
      </c>
      <c r="X9">
        <v>7</v>
      </c>
      <c r="Y9">
        <v>12</v>
      </c>
      <c r="Z9">
        <v>1</v>
      </c>
      <c r="AA9">
        <v>7.5</v>
      </c>
      <c r="AB9">
        <v>20</v>
      </c>
      <c r="AD9" t="s">
        <v>47</v>
      </c>
      <c r="AE9">
        <v>2</v>
      </c>
      <c r="AF9">
        <v>1</v>
      </c>
      <c r="AG9">
        <v>1</v>
      </c>
      <c r="AH9">
        <v>2.5</v>
      </c>
      <c r="AI9">
        <v>4</v>
      </c>
      <c r="AM9" t="s">
        <v>46</v>
      </c>
      <c r="AN9">
        <v>5</v>
      </c>
      <c r="AO9">
        <v>16</v>
      </c>
      <c r="AP9">
        <v>0.3125</v>
      </c>
      <c r="AQ9" t="s">
        <v>54</v>
      </c>
    </row>
    <row r="10" spans="1:43" ht="15" customHeight="1" x14ac:dyDescent="0.2">
      <c r="A10" t="s">
        <v>50</v>
      </c>
      <c r="B10">
        <v>1</v>
      </c>
      <c r="C10">
        <v>1</v>
      </c>
      <c r="D10">
        <v>1</v>
      </c>
      <c r="E10">
        <v>1.5</v>
      </c>
      <c r="F10">
        <v>3</v>
      </c>
      <c r="H10" t="s">
        <v>47</v>
      </c>
      <c r="I10">
        <v>2</v>
      </c>
      <c r="J10">
        <v>2</v>
      </c>
      <c r="K10">
        <v>0</v>
      </c>
      <c r="L10">
        <v>2</v>
      </c>
      <c r="M10">
        <v>4</v>
      </c>
      <c r="Q10" t="s">
        <v>41</v>
      </c>
      <c r="R10">
        <v>6</v>
      </c>
      <c r="S10">
        <v>15</v>
      </c>
      <c r="T10">
        <v>0.4</v>
      </c>
      <c r="U10" t="s">
        <v>54</v>
      </c>
      <c r="W10" t="s">
        <v>54</v>
      </c>
      <c r="X10">
        <v>1</v>
      </c>
      <c r="Y10">
        <v>5</v>
      </c>
      <c r="Z10">
        <v>0</v>
      </c>
      <c r="AA10">
        <v>1</v>
      </c>
      <c r="AB10">
        <v>6</v>
      </c>
      <c r="AD10" t="s">
        <v>41</v>
      </c>
      <c r="AE10">
        <v>1</v>
      </c>
      <c r="AF10">
        <v>3</v>
      </c>
      <c r="AG10">
        <v>0</v>
      </c>
      <c r="AH10">
        <v>1</v>
      </c>
      <c r="AI10">
        <v>4</v>
      </c>
      <c r="AM10" t="s">
        <v>651</v>
      </c>
      <c r="AN10">
        <v>1.5</v>
      </c>
      <c r="AO10">
        <v>5</v>
      </c>
      <c r="AP10">
        <v>0.3</v>
      </c>
      <c r="AQ10" t="s">
        <v>54</v>
      </c>
    </row>
    <row r="11" spans="1:43" ht="15" customHeight="1" x14ac:dyDescent="0.2">
      <c r="A11" t="s">
        <v>44</v>
      </c>
      <c r="B11">
        <v>1</v>
      </c>
      <c r="C11">
        <v>3</v>
      </c>
      <c r="D11">
        <v>1</v>
      </c>
      <c r="E11">
        <v>1.5</v>
      </c>
      <c r="F11">
        <v>5</v>
      </c>
      <c r="H11" t="s">
        <v>41</v>
      </c>
      <c r="I11">
        <v>2</v>
      </c>
      <c r="J11">
        <v>3</v>
      </c>
      <c r="K11">
        <v>1</v>
      </c>
      <c r="L11">
        <v>2.5</v>
      </c>
      <c r="M11">
        <v>6</v>
      </c>
      <c r="Q11" t="s">
        <v>54</v>
      </c>
      <c r="R11">
        <v>6</v>
      </c>
      <c r="S11">
        <v>16</v>
      </c>
      <c r="T11">
        <v>0.375</v>
      </c>
      <c r="U11" t="s">
        <v>54</v>
      </c>
      <c r="W11" t="s">
        <v>53</v>
      </c>
      <c r="X11">
        <v>4</v>
      </c>
      <c r="Y11">
        <v>0</v>
      </c>
      <c r="Z11">
        <v>1</v>
      </c>
      <c r="AA11">
        <v>4.5</v>
      </c>
      <c r="AB11">
        <v>5</v>
      </c>
      <c r="AD11" t="s">
        <v>42</v>
      </c>
      <c r="AE11">
        <v>9</v>
      </c>
      <c r="AF11">
        <v>5</v>
      </c>
      <c r="AG11">
        <v>2</v>
      </c>
      <c r="AH11">
        <v>10</v>
      </c>
      <c r="AI11">
        <v>16</v>
      </c>
      <c r="AM11" t="s">
        <v>54</v>
      </c>
      <c r="AN11">
        <v>1</v>
      </c>
      <c r="AO11">
        <v>6</v>
      </c>
      <c r="AP11">
        <v>0.16666666666666699</v>
      </c>
      <c r="AQ11" t="s">
        <v>54</v>
      </c>
    </row>
    <row r="12" spans="1:43" ht="15" customHeight="1" x14ac:dyDescent="0.2">
      <c r="A12" t="s">
        <v>54</v>
      </c>
      <c r="B12">
        <v>6</v>
      </c>
      <c r="C12">
        <v>8</v>
      </c>
      <c r="D12">
        <v>0</v>
      </c>
      <c r="E12">
        <v>6</v>
      </c>
      <c r="F12">
        <v>14</v>
      </c>
      <c r="H12" t="s">
        <v>42</v>
      </c>
      <c r="I12">
        <v>4</v>
      </c>
      <c r="J12">
        <v>0</v>
      </c>
      <c r="K12">
        <v>0</v>
      </c>
      <c r="L12">
        <v>4</v>
      </c>
      <c r="M12">
        <v>4</v>
      </c>
      <c r="Q12" t="s">
        <v>53</v>
      </c>
      <c r="R12">
        <v>9</v>
      </c>
      <c r="S12">
        <v>11</v>
      </c>
      <c r="T12">
        <v>0.81818181818181801</v>
      </c>
      <c r="U12" t="s">
        <v>59</v>
      </c>
      <c r="W12" t="s">
        <v>58</v>
      </c>
      <c r="X12">
        <v>5</v>
      </c>
      <c r="Y12">
        <v>4</v>
      </c>
      <c r="Z12">
        <v>3</v>
      </c>
      <c r="AA12">
        <v>6.5</v>
      </c>
      <c r="AB12">
        <v>12</v>
      </c>
      <c r="AD12" t="s">
        <v>46</v>
      </c>
      <c r="AE12">
        <v>3</v>
      </c>
      <c r="AF12">
        <v>7</v>
      </c>
      <c r="AG12">
        <v>0</v>
      </c>
      <c r="AH12">
        <v>3</v>
      </c>
      <c r="AI12">
        <v>10</v>
      </c>
      <c r="AM12" t="s">
        <v>61</v>
      </c>
      <c r="AN12">
        <v>0</v>
      </c>
      <c r="AO12">
        <v>0</v>
      </c>
      <c r="AQ12" t="s">
        <v>54</v>
      </c>
    </row>
    <row r="13" spans="1:43" ht="15" customHeight="1" x14ac:dyDescent="0.2">
      <c r="A13" t="s">
        <v>53</v>
      </c>
      <c r="B13">
        <v>6</v>
      </c>
      <c r="C13">
        <v>1</v>
      </c>
      <c r="D13">
        <v>0</v>
      </c>
      <c r="E13">
        <v>6</v>
      </c>
      <c r="F13">
        <v>7</v>
      </c>
      <c r="H13" t="s">
        <v>48</v>
      </c>
      <c r="I13">
        <v>11</v>
      </c>
      <c r="J13">
        <v>8</v>
      </c>
      <c r="K13">
        <v>1</v>
      </c>
      <c r="L13">
        <v>11.5</v>
      </c>
      <c r="M13">
        <v>20</v>
      </c>
      <c r="Q13" t="s">
        <v>45</v>
      </c>
      <c r="R13">
        <v>19</v>
      </c>
      <c r="S13">
        <v>27</v>
      </c>
      <c r="T13">
        <v>0.70370370370370405</v>
      </c>
      <c r="U13" t="s">
        <v>59</v>
      </c>
      <c r="W13" t="s">
        <v>40</v>
      </c>
      <c r="X13">
        <v>3</v>
      </c>
      <c r="Y13">
        <v>4</v>
      </c>
      <c r="Z13">
        <v>1</v>
      </c>
      <c r="AA13">
        <v>3.5</v>
      </c>
      <c r="AB13">
        <v>8</v>
      </c>
      <c r="AD13" t="s">
        <v>59</v>
      </c>
      <c r="AE13">
        <v>2</v>
      </c>
      <c r="AF13">
        <v>4</v>
      </c>
      <c r="AG13">
        <v>2</v>
      </c>
      <c r="AH13">
        <v>3</v>
      </c>
      <c r="AI13">
        <v>8</v>
      </c>
      <c r="AM13" t="s">
        <v>58</v>
      </c>
      <c r="AN13">
        <v>6.5</v>
      </c>
      <c r="AO13">
        <v>12</v>
      </c>
      <c r="AP13">
        <v>0.54166666666666696</v>
      </c>
      <c r="AQ13" t="s">
        <v>54</v>
      </c>
    </row>
    <row r="14" spans="1:43" ht="15" customHeight="1" x14ac:dyDescent="0.2">
      <c r="A14" t="s">
        <v>58</v>
      </c>
      <c r="B14">
        <v>3</v>
      </c>
      <c r="C14">
        <v>2</v>
      </c>
      <c r="D14">
        <v>0</v>
      </c>
      <c r="E14">
        <v>3</v>
      </c>
      <c r="F14">
        <v>5</v>
      </c>
      <c r="H14" t="s">
        <v>46</v>
      </c>
      <c r="I14">
        <v>2</v>
      </c>
      <c r="J14">
        <v>2</v>
      </c>
      <c r="K14">
        <v>2</v>
      </c>
      <c r="L14">
        <v>3</v>
      </c>
      <c r="M14">
        <v>6</v>
      </c>
      <c r="Q14" t="s">
        <v>43</v>
      </c>
      <c r="R14">
        <v>2.5</v>
      </c>
      <c r="S14">
        <v>5</v>
      </c>
      <c r="T14">
        <v>0.5</v>
      </c>
      <c r="U14" t="s">
        <v>59</v>
      </c>
      <c r="W14" t="s">
        <v>47</v>
      </c>
      <c r="X14">
        <v>0</v>
      </c>
      <c r="Y14">
        <v>0</v>
      </c>
      <c r="Z14">
        <v>1</v>
      </c>
      <c r="AA14">
        <v>0.5</v>
      </c>
      <c r="AB14">
        <v>1</v>
      </c>
      <c r="AD14" t="s">
        <v>43</v>
      </c>
      <c r="AE14">
        <v>1</v>
      </c>
      <c r="AF14">
        <v>2</v>
      </c>
      <c r="AG14">
        <v>1</v>
      </c>
      <c r="AH14">
        <v>1.5</v>
      </c>
      <c r="AI14">
        <v>4</v>
      </c>
    </row>
    <row r="15" spans="1:43" ht="15" customHeight="1" x14ac:dyDescent="0.2">
      <c r="A15" t="s">
        <v>40</v>
      </c>
      <c r="B15">
        <v>10</v>
      </c>
      <c r="C15">
        <v>5</v>
      </c>
      <c r="D15">
        <v>0</v>
      </c>
      <c r="E15">
        <v>10</v>
      </c>
      <c r="F15">
        <v>15</v>
      </c>
      <c r="H15" t="s">
        <v>61</v>
      </c>
      <c r="I15">
        <v>4</v>
      </c>
      <c r="J15">
        <v>4</v>
      </c>
      <c r="K15">
        <v>2</v>
      </c>
      <c r="L15">
        <v>5</v>
      </c>
      <c r="M15">
        <v>10</v>
      </c>
      <c r="Q15" t="s">
        <v>52</v>
      </c>
      <c r="R15">
        <v>2.5</v>
      </c>
      <c r="S15">
        <v>7</v>
      </c>
      <c r="T15">
        <v>0.35714285714285698</v>
      </c>
      <c r="U15" t="s">
        <v>59</v>
      </c>
      <c r="W15" t="s">
        <v>41</v>
      </c>
      <c r="X15">
        <v>1</v>
      </c>
      <c r="Y15">
        <v>1</v>
      </c>
      <c r="Z15">
        <v>0</v>
      </c>
      <c r="AA15">
        <v>1</v>
      </c>
      <c r="AB15">
        <v>2</v>
      </c>
      <c r="AD15" t="s">
        <v>651</v>
      </c>
      <c r="AE15">
        <v>1</v>
      </c>
      <c r="AF15">
        <v>2</v>
      </c>
      <c r="AG15">
        <v>1</v>
      </c>
      <c r="AH15">
        <v>1.5</v>
      </c>
      <c r="AI15">
        <v>4</v>
      </c>
      <c r="AM15" t="s">
        <v>53</v>
      </c>
      <c r="AN15">
        <v>7.5</v>
      </c>
      <c r="AO15">
        <v>11</v>
      </c>
      <c r="AP15">
        <v>0.68181818181818199</v>
      </c>
      <c r="AQ15" t="s">
        <v>59</v>
      </c>
    </row>
    <row r="16" spans="1:43" ht="15" customHeight="1" x14ac:dyDescent="0.2">
      <c r="A16" t="s">
        <v>47</v>
      </c>
      <c r="B16">
        <v>2</v>
      </c>
      <c r="C16">
        <v>9</v>
      </c>
      <c r="D16">
        <v>1</v>
      </c>
      <c r="E16">
        <v>2.5</v>
      </c>
      <c r="F16">
        <v>12</v>
      </c>
      <c r="H16" t="s">
        <v>43</v>
      </c>
      <c r="I16">
        <v>1</v>
      </c>
      <c r="J16">
        <v>2</v>
      </c>
      <c r="K16">
        <v>1</v>
      </c>
      <c r="L16">
        <v>1.5</v>
      </c>
      <c r="M16">
        <v>4</v>
      </c>
      <c r="Q16" t="s">
        <v>50</v>
      </c>
      <c r="R16">
        <v>1.5</v>
      </c>
      <c r="S16">
        <v>5</v>
      </c>
      <c r="T16">
        <v>0.3</v>
      </c>
      <c r="U16" t="s">
        <v>59</v>
      </c>
      <c r="W16" t="s">
        <v>42</v>
      </c>
      <c r="X16">
        <v>3</v>
      </c>
      <c r="Y16">
        <v>3</v>
      </c>
      <c r="Z16">
        <v>0</v>
      </c>
      <c r="AA16">
        <v>3</v>
      </c>
      <c r="AB16">
        <v>6</v>
      </c>
      <c r="AD16" t="s">
        <v>56</v>
      </c>
      <c r="AE16">
        <v>2</v>
      </c>
      <c r="AF16">
        <v>1</v>
      </c>
      <c r="AG16">
        <v>1</v>
      </c>
      <c r="AH16">
        <v>2.5</v>
      </c>
      <c r="AI16">
        <v>4</v>
      </c>
      <c r="AM16" t="s">
        <v>45</v>
      </c>
      <c r="AN16">
        <v>0</v>
      </c>
      <c r="AO16">
        <v>0</v>
      </c>
      <c r="AQ16" t="s">
        <v>59</v>
      </c>
    </row>
    <row r="17" spans="1:43" ht="15" customHeight="1" x14ac:dyDescent="0.2">
      <c r="A17" t="s">
        <v>41</v>
      </c>
      <c r="B17">
        <v>3</v>
      </c>
      <c r="C17">
        <v>5</v>
      </c>
      <c r="D17">
        <v>1</v>
      </c>
      <c r="E17">
        <v>3.5</v>
      </c>
      <c r="F17">
        <v>9</v>
      </c>
      <c r="H17" t="s">
        <v>651</v>
      </c>
      <c r="I17">
        <v>7</v>
      </c>
      <c r="J17">
        <v>8</v>
      </c>
      <c r="K17">
        <v>1</v>
      </c>
      <c r="L17">
        <v>7.5</v>
      </c>
      <c r="M17">
        <v>16</v>
      </c>
      <c r="Q17" t="s">
        <v>44</v>
      </c>
      <c r="R17">
        <v>1.5</v>
      </c>
      <c r="S17">
        <v>5</v>
      </c>
      <c r="T17">
        <v>0.3</v>
      </c>
      <c r="U17" t="s">
        <v>59</v>
      </c>
      <c r="W17" t="s">
        <v>46</v>
      </c>
      <c r="X17">
        <v>1</v>
      </c>
      <c r="Y17">
        <v>3</v>
      </c>
      <c r="Z17">
        <v>2</v>
      </c>
      <c r="AA17">
        <v>2</v>
      </c>
      <c r="AB17">
        <v>6</v>
      </c>
      <c r="AD17" t="s">
        <v>62</v>
      </c>
      <c r="AE17">
        <v>3</v>
      </c>
      <c r="AF17">
        <v>1</v>
      </c>
      <c r="AG17">
        <v>0</v>
      </c>
      <c r="AH17">
        <v>3</v>
      </c>
      <c r="AI17">
        <v>4</v>
      </c>
      <c r="AM17" t="s">
        <v>50</v>
      </c>
      <c r="AN17">
        <v>15</v>
      </c>
      <c r="AO17">
        <v>22</v>
      </c>
      <c r="AP17">
        <v>0.68181818181818199</v>
      </c>
      <c r="AQ17" t="s">
        <v>59</v>
      </c>
    </row>
    <row r="18" spans="1:43" ht="15" customHeight="1" x14ac:dyDescent="0.2">
      <c r="A18" t="s">
        <v>42</v>
      </c>
      <c r="B18">
        <v>1</v>
      </c>
      <c r="C18">
        <v>0</v>
      </c>
      <c r="D18">
        <v>0</v>
      </c>
      <c r="E18">
        <v>1</v>
      </c>
      <c r="F18">
        <v>1</v>
      </c>
      <c r="H18" t="s">
        <v>56</v>
      </c>
      <c r="I18">
        <v>3</v>
      </c>
      <c r="J18">
        <v>4</v>
      </c>
      <c r="K18">
        <v>1</v>
      </c>
      <c r="L18">
        <v>3.5</v>
      </c>
      <c r="M18">
        <v>8</v>
      </c>
      <c r="Q18" t="s">
        <v>55</v>
      </c>
      <c r="R18">
        <v>3.5</v>
      </c>
      <c r="S18">
        <v>12</v>
      </c>
      <c r="T18">
        <v>0.29166666666666702</v>
      </c>
      <c r="U18" t="s">
        <v>59</v>
      </c>
      <c r="W18" t="s">
        <v>59</v>
      </c>
      <c r="X18">
        <v>3</v>
      </c>
      <c r="Y18">
        <v>1</v>
      </c>
      <c r="Z18">
        <v>1</v>
      </c>
      <c r="AA18">
        <v>3.5</v>
      </c>
      <c r="AB18">
        <v>5</v>
      </c>
      <c r="AD18" t="s">
        <v>60</v>
      </c>
      <c r="AE18">
        <v>2</v>
      </c>
      <c r="AF18">
        <v>0</v>
      </c>
      <c r="AG18">
        <v>0</v>
      </c>
      <c r="AH18">
        <v>2</v>
      </c>
      <c r="AI18">
        <v>2</v>
      </c>
      <c r="AM18" t="s">
        <v>44</v>
      </c>
      <c r="AN18">
        <v>9.5</v>
      </c>
      <c r="AO18">
        <v>22</v>
      </c>
      <c r="AP18">
        <v>0.43181818181818199</v>
      </c>
      <c r="AQ18" t="s">
        <v>59</v>
      </c>
    </row>
    <row r="19" spans="1:43" ht="15" customHeight="1" x14ac:dyDescent="0.2">
      <c r="A19" t="s">
        <v>48</v>
      </c>
      <c r="B19">
        <v>3</v>
      </c>
      <c r="C19">
        <v>3</v>
      </c>
      <c r="D19">
        <v>1</v>
      </c>
      <c r="E19">
        <v>3.5</v>
      </c>
      <c r="F19">
        <v>7</v>
      </c>
      <c r="H19" t="s">
        <v>62</v>
      </c>
      <c r="I19">
        <v>2</v>
      </c>
      <c r="J19">
        <v>2</v>
      </c>
      <c r="K19">
        <v>0</v>
      </c>
      <c r="L19">
        <v>2</v>
      </c>
      <c r="M19">
        <v>4</v>
      </c>
      <c r="W19" t="s">
        <v>43</v>
      </c>
      <c r="X19">
        <v>1</v>
      </c>
      <c r="Y19">
        <v>1</v>
      </c>
      <c r="Z19">
        <v>0</v>
      </c>
      <c r="AA19">
        <v>1</v>
      </c>
      <c r="AB19">
        <v>2</v>
      </c>
      <c r="AD19" t="s">
        <v>1097</v>
      </c>
      <c r="AE19">
        <v>24</v>
      </c>
      <c r="AF19">
        <v>28</v>
      </c>
      <c r="AG19">
        <v>4</v>
      </c>
      <c r="AM19" t="s">
        <v>43</v>
      </c>
      <c r="AN19">
        <v>2.5</v>
      </c>
      <c r="AO19">
        <v>6</v>
      </c>
      <c r="AP19">
        <v>0.41666666666666702</v>
      </c>
      <c r="AQ19" t="s">
        <v>59</v>
      </c>
    </row>
    <row r="20" spans="1:43" ht="15" customHeight="1" x14ac:dyDescent="0.2">
      <c r="A20" t="s">
        <v>51</v>
      </c>
      <c r="B20">
        <v>1</v>
      </c>
      <c r="C20">
        <v>3</v>
      </c>
      <c r="D20">
        <v>1</v>
      </c>
      <c r="E20">
        <v>1.5</v>
      </c>
      <c r="F20">
        <v>5</v>
      </c>
      <c r="H20" t="s">
        <v>60</v>
      </c>
      <c r="I20">
        <v>5</v>
      </c>
      <c r="J20">
        <v>3</v>
      </c>
      <c r="K20">
        <v>0</v>
      </c>
      <c r="L20">
        <v>5</v>
      </c>
      <c r="M20">
        <v>8</v>
      </c>
      <c r="Q20" t="s">
        <v>20</v>
      </c>
      <c r="T20" t="s">
        <v>1495</v>
      </c>
      <c r="W20" t="s">
        <v>651</v>
      </c>
      <c r="X20">
        <v>0</v>
      </c>
      <c r="Y20">
        <v>1</v>
      </c>
      <c r="Z20">
        <v>0</v>
      </c>
      <c r="AA20">
        <v>0</v>
      </c>
      <c r="AB20">
        <v>1</v>
      </c>
      <c r="AD20" t="s">
        <v>686</v>
      </c>
      <c r="AE20">
        <v>55</v>
      </c>
      <c r="AF20">
        <v>61</v>
      </c>
      <c r="AG20">
        <v>12</v>
      </c>
      <c r="AM20" t="s">
        <v>55</v>
      </c>
      <c r="AN20">
        <v>4</v>
      </c>
      <c r="AO20">
        <v>10</v>
      </c>
      <c r="AP20">
        <v>0.4</v>
      </c>
      <c r="AQ20" t="s">
        <v>59</v>
      </c>
    </row>
    <row r="21" spans="1:43" ht="15" customHeight="1" x14ac:dyDescent="0.2">
      <c r="A21" t="s">
        <v>46</v>
      </c>
      <c r="B21">
        <v>4</v>
      </c>
      <c r="C21">
        <v>1</v>
      </c>
      <c r="D21">
        <v>0</v>
      </c>
      <c r="E21">
        <v>4</v>
      </c>
      <c r="F21">
        <v>5</v>
      </c>
      <c r="H21" t="s">
        <v>1097</v>
      </c>
      <c r="I21">
        <v>36</v>
      </c>
      <c r="J21">
        <v>32</v>
      </c>
      <c r="K21">
        <v>4</v>
      </c>
      <c r="L21">
        <v>38</v>
      </c>
      <c r="M21">
        <v>72</v>
      </c>
      <c r="Q21" t="s">
        <v>54</v>
      </c>
      <c r="T21">
        <v>0.56822452465834805</v>
      </c>
      <c r="W21" t="s">
        <v>56</v>
      </c>
      <c r="X21">
        <v>1</v>
      </c>
      <c r="Y21">
        <v>1</v>
      </c>
      <c r="Z21">
        <v>0</v>
      </c>
      <c r="AA21">
        <v>1</v>
      </c>
      <c r="AB21">
        <v>2</v>
      </c>
      <c r="AM21" t="s">
        <v>52</v>
      </c>
      <c r="AN21">
        <v>5</v>
      </c>
      <c r="AO21">
        <v>15</v>
      </c>
      <c r="AP21">
        <v>0.33333333333333298</v>
      </c>
      <c r="AQ21" t="s">
        <v>59</v>
      </c>
    </row>
    <row r="22" spans="1:43" ht="15" customHeight="1" x14ac:dyDescent="0.2">
      <c r="A22" t="s">
        <v>61</v>
      </c>
      <c r="B22">
        <v>3</v>
      </c>
      <c r="C22">
        <v>4</v>
      </c>
      <c r="D22">
        <v>0</v>
      </c>
      <c r="E22">
        <v>3</v>
      </c>
      <c r="F22">
        <v>7</v>
      </c>
      <c r="H22" t="s">
        <v>686</v>
      </c>
      <c r="I22">
        <v>83</v>
      </c>
      <c r="J22">
        <v>77</v>
      </c>
      <c r="K22">
        <v>16</v>
      </c>
      <c r="Q22" t="s">
        <v>59</v>
      </c>
      <c r="T22">
        <v>0.46724214938500702</v>
      </c>
      <c r="W22" t="s">
        <v>62</v>
      </c>
      <c r="X22">
        <v>0</v>
      </c>
      <c r="Y22">
        <v>2</v>
      </c>
      <c r="Z22">
        <v>0</v>
      </c>
      <c r="AA22">
        <v>0</v>
      </c>
      <c r="AB22">
        <v>2</v>
      </c>
      <c r="AM22" t="s">
        <v>62</v>
      </c>
      <c r="AN22">
        <v>3</v>
      </c>
      <c r="AO22">
        <v>6</v>
      </c>
      <c r="AP22">
        <v>0.5</v>
      </c>
      <c r="AQ22" t="s">
        <v>59</v>
      </c>
    </row>
    <row r="23" spans="1:43" ht="15" customHeight="1" x14ac:dyDescent="0.2">
      <c r="A23" t="s">
        <v>59</v>
      </c>
      <c r="B23">
        <v>3</v>
      </c>
      <c r="C23">
        <v>1</v>
      </c>
      <c r="D23">
        <v>0</v>
      </c>
      <c r="E23">
        <v>3</v>
      </c>
      <c r="F23">
        <v>4</v>
      </c>
      <c r="W23" t="s">
        <v>686</v>
      </c>
      <c r="X23">
        <v>55</v>
      </c>
      <c r="Y23">
        <v>61</v>
      </c>
      <c r="Z23">
        <v>12</v>
      </c>
      <c r="AM23" t="s">
        <v>60</v>
      </c>
      <c r="AN23">
        <v>2</v>
      </c>
      <c r="AO23">
        <v>2</v>
      </c>
      <c r="AP23">
        <v>1</v>
      </c>
      <c r="AQ23" t="s">
        <v>59</v>
      </c>
    </row>
    <row r="24" spans="1:43" ht="15" customHeight="1" x14ac:dyDescent="0.2">
      <c r="A24" t="s">
        <v>43</v>
      </c>
      <c r="B24">
        <v>1</v>
      </c>
      <c r="C24">
        <v>0</v>
      </c>
      <c r="D24">
        <v>0</v>
      </c>
      <c r="E24">
        <v>1</v>
      </c>
      <c r="F24">
        <v>1</v>
      </c>
      <c r="AM24" t="s">
        <v>59</v>
      </c>
      <c r="AN24">
        <v>6.5</v>
      </c>
      <c r="AO24">
        <v>13</v>
      </c>
      <c r="AP24">
        <v>0.5</v>
      </c>
      <c r="AQ24" t="s">
        <v>59</v>
      </c>
    </row>
    <row r="25" spans="1:43" ht="15" customHeight="1" x14ac:dyDescent="0.2">
      <c r="A25" t="s">
        <v>651</v>
      </c>
      <c r="B25">
        <v>2</v>
      </c>
      <c r="C25">
        <v>4</v>
      </c>
      <c r="D25">
        <v>0</v>
      </c>
      <c r="E25">
        <v>2</v>
      </c>
      <c r="F25">
        <v>6</v>
      </c>
    </row>
    <row r="26" spans="1:43" ht="15" customHeight="1" x14ac:dyDescent="0.2">
      <c r="A26" t="s">
        <v>56</v>
      </c>
      <c r="B26">
        <v>1</v>
      </c>
      <c r="C26">
        <v>1</v>
      </c>
      <c r="D26">
        <v>0</v>
      </c>
      <c r="E26">
        <v>1</v>
      </c>
      <c r="F26">
        <v>2</v>
      </c>
    </row>
    <row r="27" spans="1:43" ht="15" customHeight="1" x14ac:dyDescent="0.2">
      <c r="A27" t="s">
        <v>62</v>
      </c>
      <c r="B27">
        <v>0</v>
      </c>
      <c r="C27">
        <v>2</v>
      </c>
      <c r="D27">
        <v>0</v>
      </c>
      <c r="E27">
        <v>0</v>
      </c>
      <c r="F27">
        <v>2</v>
      </c>
    </row>
    <row r="28" spans="1:43" ht="15" customHeight="1" x14ac:dyDescent="0.2">
      <c r="A28" t="s">
        <v>60</v>
      </c>
      <c r="B28">
        <v>3</v>
      </c>
      <c r="C28">
        <v>3</v>
      </c>
      <c r="D28">
        <v>1</v>
      </c>
      <c r="E28">
        <v>3.5</v>
      </c>
      <c r="F28">
        <v>7</v>
      </c>
      <c r="Q28" t="s">
        <v>20</v>
      </c>
      <c r="R28" t="s">
        <v>1496</v>
      </c>
      <c r="S28" t="s">
        <v>928</v>
      </c>
      <c r="T28" t="s">
        <v>706</v>
      </c>
      <c r="AM28" t="s">
        <v>20</v>
      </c>
      <c r="AN28" t="s">
        <v>1496</v>
      </c>
      <c r="AO28" t="s">
        <v>928</v>
      </c>
      <c r="AP28" t="s">
        <v>706</v>
      </c>
    </row>
    <row r="29" spans="1:43" ht="15" customHeight="1" x14ac:dyDescent="0.2">
      <c r="A29" t="s">
        <v>686</v>
      </c>
      <c r="B29">
        <v>83</v>
      </c>
      <c r="C29">
        <v>77</v>
      </c>
      <c r="D29">
        <v>16</v>
      </c>
      <c r="E29">
        <v>91</v>
      </c>
      <c r="F29">
        <v>176</v>
      </c>
      <c r="Q29" t="s">
        <v>54</v>
      </c>
      <c r="R29">
        <v>65</v>
      </c>
      <c r="S29">
        <v>124</v>
      </c>
      <c r="T29">
        <v>0.52419354838709697</v>
      </c>
      <c r="AM29" t="s">
        <v>54</v>
      </c>
      <c r="AP29">
        <v>0.37438446969696998</v>
      </c>
    </row>
    <row r="30" spans="1:43" ht="15" customHeight="1" x14ac:dyDescent="0.2">
      <c r="Q30" t="s">
        <v>59</v>
      </c>
      <c r="R30">
        <v>39.5</v>
      </c>
      <c r="S30">
        <v>72</v>
      </c>
      <c r="T30">
        <v>0.54861111111111105</v>
      </c>
      <c r="AM30" t="s">
        <v>59</v>
      </c>
      <c r="AP30">
        <v>0.54949494949495004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X23"/>
  <sheetViews>
    <sheetView zoomScaleNormal="100" workbookViewId="0"/>
  </sheetViews>
  <sheetFormatPr baseColWidth="10" defaultColWidth="8.83203125" defaultRowHeight="15" x14ac:dyDescent="0.2"/>
  <sheetData>
    <row r="1" spans="1:24" ht="15" customHeight="1" x14ac:dyDescent="0.2">
      <c r="A1" s="3" t="s">
        <v>0</v>
      </c>
      <c r="B1" s="3" t="s">
        <v>652</v>
      </c>
      <c r="C1" s="3" t="s">
        <v>653</v>
      </c>
      <c r="D1" s="3" t="s">
        <v>654</v>
      </c>
      <c r="E1" s="3" t="s">
        <v>655</v>
      </c>
      <c r="F1" s="3" t="s">
        <v>656</v>
      </c>
      <c r="G1" s="3" t="s">
        <v>657</v>
      </c>
      <c r="H1" s="3" t="s">
        <v>658</v>
      </c>
      <c r="I1" s="3" t="s">
        <v>659</v>
      </c>
      <c r="J1" s="3" t="s">
        <v>660</v>
      </c>
      <c r="K1" s="3" t="s">
        <v>661</v>
      </c>
      <c r="L1" s="3" t="s">
        <v>662</v>
      </c>
      <c r="M1" s="3" t="s">
        <v>663</v>
      </c>
      <c r="N1" s="3" t="s">
        <v>664</v>
      </c>
      <c r="O1" s="3" t="s">
        <v>665</v>
      </c>
      <c r="P1" s="3" t="s">
        <v>666</v>
      </c>
      <c r="Q1" s="3" t="s">
        <v>667</v>
      </c>
      <c r="R1" s="3" t="s">
        <v>668</v>
      </c>
      <c r="S1" s="3" t="s">
        <v>669</v>
      </c>
      <c r="T1" s="3" t="s">
        <v>689</v>
      </c>
      <c r="U1" s="3" t="s">
        <v>690</v>
      </c>
      <c r="V1" s="3" t="s">
        <v>691</v>
      </c>
      <c r="W1" s="3" t="s">
        <v>692</v>
      </c>
      <c r="X1" s="3" t="s">
        <v>693</v>
      </c>
    </row>
    <row r="2" spans="1:24" ht="15" customHeight="1" x14ac:dyDescent="0.2">
      <c r="A2" t="s">
        <v>9</v>
      </c>
      <c r="B2" t="s">
        <v>75</v>
      </c>
      <c r="H2" t="s">
        <v>9</v>
      </c>
      <c r="I2" t="s">
        <v>75</v>
      </c>
      <c r="Q2" t="s">
        <v>1497</v>
      </c>
    </row>
    <row r="3" spans="1:24" ht="15" customHeight="1" x14ac:dyDescent="0.2">
      <c r="R3" t="s">
        <v>1494</v>
      </c>
      <c r="S3" t="s">
        <v>928</v>
      </c>
      <c r="T3" t="s">
        <v>706</v>
      </c>
      <c r="U3" t="s">
        <v>20</v>
      </c>
    </row>
    <row r="4" spans="1:24" ht="15" customHeight="1" x14ac:dyDescent="0.2">
      <c r="A4" t="s">
        <v>892</v>
      </c>
      <c r="B4" t="s">
        <v>703</v>
      </c>
      <c r="C4" t="s">
        <v>704</v>
      </c>
      <c r="D4" t="s">
        <v>705</v>
      </c>
      <c r="E4" t="s">
        <v>715</v>
      </c>
      <c r="F4" t="s">
        <v>928</v>
      </c>
      <c r="H4" t="s">
        <v>892</v>
      </c>
      <c r="I4" t="s">
        <v>703</v>
      </c>
      <c r="J4" t="s">
        <v>704</v>
      </c>
      <c r="K4" t="s">
        <v>705</v>
      </c>
      <c r="L4" t="s">
        <v>715</v>
      </c>
      <c r="M4" t="s">
        <v>928</v>
      </c>
      <c r="Q4" t="s">
        <v>42</v>
      </c>
      <c r="R4">
        <v>8.5</v>
      </c>
      <c r="S4">
        <v>10</v>
      </c>
      <c r="T4">
        <v>0.85</v>
      </c>
      <c r="U4" t="s">
        <v>54</v>
      </c>
    </row>
    <row r="5" spans="1:24" ht="15" customHeight="1" x14ac:dyDescent="0.2">
      <c r="A5" t="s">
        <v>57</v>
      </c>
      <c r="B5">
        <v>2</v>
      </c>
      <c r="C5">
        <v>3</v>
      </c>
      <c r="D5">
        <v>0</v>
      </c>
      <c r="E5">
        <v>2</v>
      </c>
      <c r="F5">
        <v>5</v>
      </c>
      <c r="H5" t="s">
        <v>52</v>
      </c>
      <c r="I5">
        <v>1</v>
      </c>
      <c r="J5">
        <v>0</v>
      </c>
      <c r="K5">
        <v>1</v>
      </c>
      <c r="L5">
        <v>1.5</v>
      </c>
      <c r="M5">
        <v>2</v>
      </c>
      <c r="Q5" t="s">
        <v>40</v>
      </c>
      <c r="R5">
        <v>6.5</v>
      </c>
      <c r="S5">
        <v>10</v>
      </c>
      <c r="T5">
        <v>0.65</v>
      </c>
      <c r="U5" t="s">
        <v>54</v>
      </c>
    </row>
    <row r="6" spans="1:24" ht="15" customHeight="1" x14ac:dyDescent="0.2">
      <c r="A6" t="s">
        <v>55</v>
      </c>
      <c r="B6">
        <v>0</v>
      </c>
      <c r="C6">
        <v>4</v>
      </c>
      <c r="D6">
        <v>1</v>
      </c>
      <c r="E6">
        <v>0.5</v>
      </c>
      <c r="F6">
        <v>5</v>
      </c>
      <c r="H6" t="s">
        <v>50</v>
      </c>
      <c r="I6">
        <v>0</v>
      </c>
      <c r="J6">
        <v>2</v>
      </c>
      <c r="K6">
        <v>0</v>
      </c>
      <c r="L6">
        <v>0</v>
      </c>
      <c r="M6">
        <v>2</v>
      </c>
      <c r="Q6" t="s">
        <v>651</v>
      </c>
      <c r="R6">
        <v>6</v>
      </c>
      <c r="S6">
        <v>10</v>
      </c>
      <c r="T6">
        <v>0.6</v>
      </c>
      <c r="U6" t="s">
        <v>54</v>
      </c>
    </row>
    <row r="7" spans="1:24" ht="15" customHeight="1" x14ac:dyDescent="0.2">
      <c r="A7" t="s">
        <v>45</v>
      </c>
      <c r="B7">
        <v>8</v>
      </c>
      <c r="C7">
        <v>1</v>
      </c>
      <c r="D7">
        <v>1</v>
      </c>
      <c r="E7">
        <v>8.5</v>
      </c>
      <c r="F7">
        <v>10</v>
      </c>
      <c r="H7" t="s">
        <v>54</v>
      </c>
      <c r="I7">
        <v>0</v>
      </c>
      <c r="J7">
        <v>2</v>
      </c>
      <c r="K7">
        <v>0</v>
      </c>
      <c r="L7">
        <v>0</v>
      </c>
      <c r="M7">
        <v>2</v>
      </c>
      <c r="Q7" t="s">
        <v>48</v>
      </c>
      <c r="R7">
        <v>5</v>
      </c>
      <c r="S7">
        <v>10</v>
      </c>
      <c r="T7">
        <v>0.5</v>
      </c>
      <c r="U7" t="s">
        <v>54</v>
      </c>
    </row>
    <row r="8" spans="1:24" ht="15" customHeight="1" x14ac:dyDescent="0.2">
      <c r="A8" t="s">
        <v>52</v>
      </c>
      <c r="B8">
        <v>1</v>
      </c>
      <c r="C8">
        <v>2</v>
      </c>
      <c r="D8">
        <v>0</v>
      </c>
      <c r="E8">
        <v>1</v>
      </c>
      <c r="F8">
        <v>3</v>
      </c>
      <c r="H8" t="s">
        <v>53</v>
      </c>
      <c r="I8">
        <v>1</v>
      </c>
      <c r="J8">
        <v>0</v>
      </c>
      <c r="K8">
        <v>1</v>
      </c>
      <c r="L8">
        <v>1.5</v>
      </c>
      <c r="M8">
        <v>2</v>
      </c>
      <c r="Q8" t="s">
        <v>57</v>
      </c>
      <c r="R8">
        <v>2</v>
      </c>
      <c r="S8">
        <v>5</v>
      </c>
      <c r="T8">
        <v>0.4</v>
      </c>
      <c r="U8" t="s">
        <v>54</v>
      </c>
    </row>
    <row r="9" spans="1:24" ht="15" customHeight="1" x14ac:dyDescent="0.2">
      <c r="A9" t="s">
        <v>50</v>
      </c>
      <c r="B9">
        <v>5</v>
      </c>
      <c r="C9">
        <v>1</v>
      </c>
      <c r="D9">
        <v>2</v>
      </c>
      <c r="E9">
        <v>6</v>
      </c>
      <c r="F9">
        <v>8</v>
      </c>
      <c r="H9" t="s">
        <v>40</v>
      </c>
      <c r="I9">
        <v>1</v>
      </c>
      <c r="J9">
        <v>1</v>
      </c>
      <c r="K9">
        <v>0</v>
      </c>
      <c r="L9">
        <v>1</v>
      </c>
      <c r="M9">
        <v>2</v>
      </c>
      <c r="Q9" t="s">
        <v>41</v>
      </c>
      <c r="R9">
        <v>3.5</v>
      </c>
      <c r="S9">
        <v>10</v>
      </c>
      <c r="T9">
        <v>0.35</v>
      </c>
      <c r="U9" t="s">
        <v>54</v>
      </c>
    </row>
    <row r="10" spans="1:24" ht="15" customHeight="1" x14ac:dyDescent="0.2">
      <c r="A10" t="s">
        <v>44</v>
      </c>
      <c r="B10">
        <v>2</v>
      </c>
      <c r="C10">
        <v>7</v>
      </c>
      <c r="D10">
        <v>1</v>
      </c>
      <c r="E10">
        <v>2.5</v>
      </c>
      <c r="F10">
        <v>10</v>
      </c>
      <c r="H10" t="s">
        <v>47</v>
      </c>
      <c r="I10">
        <v>4</v>
      </c>
      <c r="J10">
        <v>1</v>
      </c>
      <c r="K10">
        <v>1</v>
      </c>
      <c r="L10">
        <v>4.5</v>
      </c>
      <c r="M10">
        <v>6</v>
      </c>
      <c r="Q10" t="s">
        <v>46</v>
      </c>
      <c r="R10">
        <v>2.5</v>
      </c>
      <c r="S10">
        <v>10</v>
      </c>
      <c r="T10">
        <v>0.25</v>
      </c>
      <c r="U10" t="s">
        <v>54</v>
      </c>
    </row>
    <row r="11" spans="1:24" ht="15" customHeight="1" x14ac:dyDescent="0.2">
      <c r="A11" t="s">
        <v>54</v>
      </c>
      <c r="B11">
        <v>1</v>
      </c>
      <c r="C11">
        <v>2</v>
      </c>
      <c r="D11">
        <v>0</v>
      </c>
      <c r="E11">
        <v>1</v>
      </c>
      <c r="F11">
        <v>3</v>
      </c>
      <c r="H11" t="s">
        <v>41</v>
      </c>
      <c r="I11">
        <v>0</v>
      </c>
      <c r="J11">
        <v>2</v>
      </c>
      <c r="K11">
        <v>0</v>
      </c>
      <c r="L11">
        <v>0</v>
      </c>
      <c r="M11">
        <v>2</v>
      </c>
      <c r="Q11" t="s">
        <v>54</v>
      </c>
      <c r="R11">
        <v>1</v>
      </c>
      <c r="S11">
        <v>5</v>
      </c>
      <c r="T11">
        <v>0.2</v>
      </c>
      <c r="U11" t="s">
        <v>54</v>
      </c>
    </row>
    <row r="12" spans="1:24" ht="15" customHeight="1" x14ac:dyDescent="0.2">
      <c r="A12" t="s">
        <v>53</v>
      </c>
      <c r="B12">
        <v>3</v>
      </c>
      <c r="C12">
        <v>0</v>
      </c>
      <c r="D12">
        <v>0</v>
      </c>
      <c r="E12">
        <v>3</v>
      </c>
      <c r="F12">
        <v>3</v>
      </c>
      <c r="H12" t="s">
        <v>42</v>
      </c>
      <c r="I12">
        <v>7</v>
      </c>
      <c r="J12">
        <v>0</v>
      </c>
      <c r="K12">
        <v>1</v>
      </c>
      <c r="L12">
        <v>7.5</v>
      </c>
      <c r="M12">
        <v>8</v>
      </c>
      <c r="Q12" t="s">
        <v>53</v>
      </c>
      <c r="R12">
        <v>4.5</v>
      </c>
      <c r="S12">
        <v>5</v>
      </c>
      <c r="T12">
        <v>0.9</v>
      </c>
      <c r="U12" t="s">
        <v>59</v>
      </c>
    </row>
    <row r="13" spans="1:24" ht="15" customHeight="1" x14ac:dyDescent="0.2">
      <c r="A13" t="s">
        <v>40</v>
      </c>
      <c r="B13">
        <v>5</v>
      </c>
      <c r="C13">
        <v>2</v>
      </c>
      <c r="D13">
        <v>1</v>
      </c>
      <c r="E13">
        <v>5.5</v>
      </c>
      <c r="F13">
        <v>8</v>
      </c>
      <c r="H13" t="s">
        <v>48</v>
      </c>
      <c r="I13">
        <v>4</v>
      </c>
      <c r="J13">
        <v>3</v>
      </c>
      <c r="K13">
        <v>1</v>
      </c>
      <c r="L13">
        <v>4.5</v>
      </c>
      <c r="M13">
        <v>8</v>
      </c>
      <c r="Q13" t="s">
        <v>45</v>
      </c>
      <c r="R13">
        <v>8.5</v>
      </c>
      <c r="S13">
        <v>10</v>
      </c>
      <c r="T13">
        <v>0.85</v>
      </c>
      <c r="U13" t="s">
        <v>59</v>
      </c>
    </row>
    <row r="14" spans="1:24" ht="15" customHeight="1" x14ac:dyDescent="0.2">
      <c r="A14" t="s">
        <v>47</v>
      </c>
      <c r="B14">
        <v>0</v>
      </c>
      <c r="C14">
        <v>3</v>
      </c>
      <c r="D14">
        <v>1</v>
      </c>
      <c r="E14">
        <v>0.5</v>
      </c>
      <c r="F14">
        <v>4</v>
      </c>
      <c r="H14" t="s">
        <v>46</v>
      </c>
      <c r="I14">
        <v>0</v>
      </c>
      <c r="J14">
        <v>5</v>
      </c>
      <c r="K14">
        <v>1</v>
      </c>
      <c r="L14">
        <v>0.5</v>
      </c>
      <c r="M14">
        <v>6</v>
      </c>
      <c r="Q14" t="s">
        <v>50</v>
      </c>
      <c r="R14">
        <v>6</v>
      </c>
      <c r="S14">
        <v>10</v>
      </c>
      <c r="T14">
        <v>0.6</v>
      </c>
      <c r="U14" t="s">
        <v>59</v>
      </c>
    </row>
    <row r="15" spans="1:24" ht="15" customHeight="1" x14ac:dyDescent="0.2">
      <c r="A15" t="s">
        <v>41</v>
      </c>
      <c r="B15">
        <v>3</v>
      </c>
      <c r="C15">
        <v>4</v>
      </c>
      <c r="D15">
        <v>1</v>
      </c>
      <c r="E15">
        <v>3.5</v>
      </c>
      <c r="F15">
        <v>8</v>
      </c>
      <c r="H15" t="s">
        <v>43</v>
      </c>
      <c r="I15">
        <v>1</v>
      </c>
      <c r="J15">
        <v>2</v>
      </c>
      <c r="K15">
        <v>1</v>
      </c>
      <c r="L15">
        <v>1.5</v>
      </c>
      <c r="M15">
        <v>4</v>
      </c>
      <c r="Q15" t="s">
        <v>52</v>
      </c>
      <c r="R15">
        <v>2.5</v>
      </c>
      <c r="S15">
        <v>5</v>
      </c>
      <c r="T15">
        <v>0.5</v>
      </c>
      <c r="U15" t="s">
        <v>59</v>
      </c>
    </row>
    <row r="16" spans="1:24" ht="15" customHeight="1" x14ac:dyDescent="0.2">
      <c r="A16" t="s">
        <v>42</v>
      </c>
      <c r="B16">
        <v>1</v>
      </c>
      <c r="C16">
        <v>1</v>
      </c>
      <c r="D16">
        <v>0</v>
      </c>
      <c r="E16">
        <v>1</v>
      </c>
      <c r="F16">
        <v>2</v>
      </c>
      <c r="H16" t="s">
        <v>651</v>
      </c>
      <c r="I16">
        <v>5</v>
      </c>
      <c r="J16">
        <v>3</v>
      </c>
      <c r="K16">
        <v>0</v>
      </c>
      <c r="L16">
        <v>5</v>
      </c>
      <c r="M16">
        <v>8</v>
      </c>
      <c r="Q16" t="s">
        <v>43</v>
      </c>
      <c r="R16">
        <v>2.5</v>
      </c>
      <c r="S16">
        <v>5</v>
      </c>
      <c r="T16">
        <v>0.5</v>
      </c>
      <c r="U16" t="s">
        <v>59</v>
      </c>
    </row>
    <row r="17" spans="1:24" ht="15" customHeight="1" x14ac:dyDescent="0.2">
      <c r="A17" t="s">
        <v>48</v>
      </c>
      <c r="B17">
        <v>0</v>
      </c>
      <c r="C17">
        <v>1</v>
      </c>
      <c r="D17">
        <v>1</v>
      </c>
      <c r="E17">
        <v>0.5</v>
      </c>
      <c r="F17">
        <v>2</v>
      </c>
      <c r="H17" t="s">
        <v>56</v>
      </c>
      <c r="I17">
        <v>0</v>
      </c>
      <c r="J17">
        <v>3</v>
      </c>
      <c r="K17">
        <v>1</v>
      </c>
      <c r="L17">
        <v>0.5</v>
      </c>
      <c r="M17">
        <v>4</v>
      </c>
      <c r="Q17" t="s">
        <v>44</v>
      </c>
      <c r="R17">
        <v>2.5</v>
      </c>
      <c r="S17">
        <v>10</v>
      </c>
      <c r="T17">
        <v>0.25</v>
      </c>
      <c r="U17" t="s">
        <v>59</v>
      </c>
    </row>
    <row r="18" spans="1:24" ht="15" customHeight="1" x14ac:dyDescent="0.2">
      <c r="A18" t="s">
        <v>51</v>
      </c>
      <c r="B18">
        <v>1</v>
      </c>
      <c r="C18">
        <v>3</v>
      </c>
      <c r="D18">
        <v>1</v>
      </c>
      <c r="E18">
        <v>1.5</v>
      </c>
      <c r="F18">
        <v>5</v>
      </c>
      <c r="H18" t="s">
        <v>1097</v>
      </c>
      <c r="I18">
        <v>13</v>
      </c>
      <c r="J18">
        <v>13</v>
      </c>
      <c r="K18">
        <v>2</v>
      </c>
      <c r="Q18" t="s">
        <v>55</v>
      </c>
      <c r="R18">
        <v>0.5</v>
      </c>
      <c r="S18">
        <v>5</v>
      </c>
      <c r="T18">
        <v>0.1</v>
      </c>
      <c r="U18" t="s">
        <v>59</v>
      </c>
    </row>
    <row r="19" spans="1:24" ht="15" customHeight="1" x14ac:dyDescent="0.2">
      <c r="A19" t="s">
        <v>46</v>
      </c>
      <c r="B19">
        <v>2</v>
      </c>
      <c r="C19">
        <v>2</v>
      </c>
      <c r="D19">
        <v>0</v>
      </c>
      <c r="E19">
        <v>2</v>
      </c>
      <c r="F19">
        <v>4</v>
      </c>
      <c r="H19" t="s">
        <v>686</v>
      </c>
      <c r="I19">
        <v>37</v>
      </c>
      <c r="J19">
        <v>37</v>
      </c>
      <c r="K19">
        <v>10</v>
      </c>
    </row>
    <row r="20" spans="1:24" ht="15" customHeight="1" x14ac:dyDescent="0.2">
      <c r="A20" t="s">
        <v>43</v>
      </c>
      <c r="B20">
        <v>1</v>
      </c>
      <c r="C20">
        <v>0</v>
      </c>
      <c r="D20">
        <v>0</v>
      </c>
      <c r="E20">
        <v>1</v>
      </c>
      <c r="F20">
        <v>1</v>
      </c>
      <c r="Q20" t="s">
        <v>20</v>
      </c>
      <c r="R20" t="s">
        <v>1496</v>
      </c>
      <c r="S20" t="s">
        <v>928</v>
      </c>
      <c r="T20" t="s">
        <v>706</v>
      </c>
    </row>
    <row r="21" spans="1:24" ht="15" customHeight="1" x14ac:dyDescent="0.2">
      <c r="A21" t="s">
        <v>651</v>
      </c>
      <c r="B21">
        <v>1</v>
      </c>
      <c r="C21">
        <v>1</v>
      </c>
      <c r="D21">
        <v>0</v>
      </c>
      <c r="E21">
        <v>1</v>
      </c>
      <c r="F21">
        <v>2</v>
      </c>
      <c r="Q21" t="s">
        <v>54</v>
      </c>
      <c r="R21">
        <v>35</v>
      </c>
      <c r="S21">
        <v>70</v>
      </c>
      <c r="T21">
        <v>0.5</v>
      </c>
      <c r="X21">
        <v>0.5</v>
      </c>
    </row>
    <row r="22" spans="1:24" ht="15" customHeight="1" x14ac:dyDescent="0.2">
      <c r="A22" t="s">
        <v>56</v>
      </c>
      <c r="B22">
        <v>1</v>
      </c>
      <c r="C22">
        <v>0</v>
      </c>
      <c r="D22">
        <v>0</v>
      </c>
      <c r="E22">
        <v>1</v>
      </c>
      <c r="F22">
        <v>1</v>
      </c>
      <c r="Q22" t="s">
        <v>59</v>
      </c>
      <c r="R22">
        <v>27</v>
      </c>
      <c r="S22">
        <v>50</v>
      </c>
      <c r="T22">
        <v>0.54</v>
      </c>
      <c r="X22">
        <v>0.54</v>
      </c>
    </row>
    <row r="23" spans="1:24" ht="15" customHeight="1" x14ac:dyDescent="0.2">
      <c r="A23" t="s">
        <v>686</v>
      </c>
      <c r="B23">
        <v>37</v>
      </c>
      <c r="C23">
        <v>37</v>
      </c>
      <c r="D23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Archives</vt:lpstr>
      <vt:lpstr>Cups</vt:lpstr>
      <vt:lpstr>Handicaps</vt:lpstr>
      <vt:lpstr>Points</vt:lpstr>
      <vt:lpstr>LifetimeLeaderboard</vt:lpstr>
      <vt:lpstr>Bounties</vt:lpstr>
      <vt:lpstr>CAPA PPC</vt:lpstr>
      <vt:lpstr>PartnerSkill</vt:lpstr>
      <vt:lpstr>SoS</vt:lpstr>
      <vt:lpstr>RecordBook</vt:lpstr>
      <vt:lpstr>NHI</vt:lpstr>
      <vt:lpstr>Singles_Doubles records</vt:lpstr>
      <vt:lpstr>7yrFund</vt:lpstr>
      <vt:lpstr>Ratings</vt:lpstr>
      <vt:lpstr>FBC3</vt:lpstr>
      <vt:lpstr>Lifetime Mulligans</vt:lpstr>
      <vt:lpstr>Rookies</vt:lpstr>
      <vt:lpstr>Cyber Monday</vt:lpstr>
      <vt:lpstr>Difficulty Graph</vt:lpstr>
      <vt:lpstr>Size Analysis</vt:lpstr>
      <vt:lpstr>North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Craig Hilts</cp:lastModifiedBy>
  <cp:revision>0</cp:revision>
  <dcterms:created xsi:type="dcterms:W3CDTF">2026-06-07T21:04:39Z</dcterms:created>
  <dcterms:modified xsi:type="dcterms:W3CDTF">2026-06-07T22:25:35Z</dcterms:modified>
  <dc:language>en-US</dc:language>
</cp:coreProperties>
</file>